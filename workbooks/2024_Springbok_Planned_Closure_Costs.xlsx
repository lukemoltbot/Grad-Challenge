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24226"/>
  <mc:AlternateContent xmlns:mc="http://schemas.openxmlformats.org/markup-compatibility/2006">
    <mc:Choice Requires="x15">
      <x15ac:absPath xmlns:x15ac="http://schemas.microsoft.com/office/spreadsheetml/2010/11/ac" url="https://glencore.sharepoint.com/sites/AU2025GraduatesDataRoom/Shared Documents/Business Challenge/Business Challenge Documents/"/>
    </mc:Choice>
  </mc:AlternateContent>
  <xr:revisionPtr revIDLastSave="13" documentId="8_{B07CFF03-27BC-47C6-9BE5-BAD74D6B09CE}" xr6:coauthVersionLast="47" xr6:coauthVersionMax="47" xr10:uidLastSave="{D8BAF3E5-CAD3-4718-8800-84BAB43780C0}"/>
  <bookViews>
    <workbookView xWindow="30612" yWindow="-108" windowWidth="30936" windowHeight="16776" tabRatio="720" xr2:uid="{8986D81C-7009-426C-935D-68BAF413724C}"/>
  </bookViews>
  <sheets>
    <sheet name="High Level Summary" sheetId="33" r:id="rId1"/>
    <sheet name="Planned Closure Detail" sheetId="34" r:id="rId2"/>
    <sheet name="BulkPush" sheetId="25" r:id="rId3"/>
    <sheet name="Haulage" sheetId="26" r:id="rId4"/>
    <sheet name="Holding Costs" sheetId="31" r:id="rId5"/>
    <sheet name="2024 Cost Schedule for Tool" sheetId="24" r:id="rId6"/>
  </sheets>
  <externalReferences>
    <externalReference r:id="rId7"/>
    <externalReference r:id="rId8"/>
  </externalReferences>
  <definedNames>
    <definedName name="_10._PITS">'[1]10. Pits'!$C$2</definedName>
    <definedName name="_11_UNDERGROUND_MINES">'[1]11.Underground Mines'!$C$2</definedName>
    <definedName name="_12._PORTS">'[1]12. Ports'!$C$2</definedName>
    <definedName name="_13._INVESTIGATION_CONTAMINATION_SCRAP_LEVY">'[1]13. Investigation Contamination'!$C$2</definedName>
    <definedName name="_14._GENERAL_LAND_REHABILITATION">'[1]14. General Land Rehabilitation'!$C$2</definedName>
    <definedName name="_15._MOBILISATION___DEMOBILISATION_AND_ADDITIONAL_USER_ITEMS">'[1]15. Mobilisation and User'!$C$2</definedName>
    <definedName name="_2._EXPLORATION">'[1]2. Exploration'!$C$2</definedName>
    <definedName name="_3._INFRASTRUCTURE">'[1]3. Infrastructure'!$C$2</definedName>
    <definedName name="_5._WATER_STORAGE">'[1]5. Water Storage'!$C$2</definedName>
    <definedName name="_6._WATER_TREATMENT_AND_PUMPING">'[1]6. Water Treatment'!$C$2</definedName>
    <definedName name="_7._WASTE_ROCK_DUMPS__OVERBURDEN_DUMPS__SPOIL_PILES_AND_STOCKPILES">'[1]7. Overburden Dumps Piles'!$C$2</definedName>
    <definedName name="_8._HEAP_LEACH_PADS">'[1]8. Heap Leach Pads'!$C$2</definedName>
    <definedName name="_9._TAILING_STORAGE_FACILITIES__REJECTS__SLIMES__SLIMES_STORAGE_FACILITIES">'[1]9. Tailings Storage Facilities'!$C$2</definedName>
    <definedName name="_xlnm._FilterDatabase" localSheetId="5" hidden="1">'2024 Cost Schedule for Tool'!$A$9:$H$296</definedName>
    <definedName name="_xlnm._FilterDatabase" localSheetId="1" hidden="1">'Planned Closure Detail'!$E$1:$E$791</definedName>
    <definedName name="Building_list">[1]Lists!$B$190:$B$195</definedName>
    <definedName name="Cost_Schedule" localSheetId="5">'2024 Cost Schedule for Tool'!$C$10:$F$296</definedName>
    <definedName name="Cost_Schedule">#REF!</definedName>
    <definedName name="ELIGIBLE_MINING_ACTIVITIES">'[1]1. Eligible Mining Activities'!$C$2</definedName>
    <definedName name="Select_Haul_Dist_315">[2]System!$A$27:$A$30</definedName>
    <definedName name="Select_Haul_Dist_315_Index">[2]System!$A$27:$B$30</definedName>
    <definedName name="Select_Haul_Dist_805_Index">[2]System!$A$32:$B$35</definedName>
    <definedName name="Select_Haul_Distance">[2]System!$A$3:$A$7</definedName>
    <definedName name="Select_Haul_Distance_Here">[2]System!$A$22:$A$25</definedName>
    <definedName name="Select_Haul_distance_Here_index">[2]System!$A$22:$B$25</definedName>
    <definedName name="Select_Haul_Distance_Index">[2]System!$A$3:$B$7</definedName>
    <definedName name="Select_HAZMAT">[2]System!$A$38:$A$41</definedName>
    <definedName name="Select_HAZMAT_Index">[2]System!$A$38:$B$41</definedName>
    <definedName name="Select_Op">[2]System!#REF!</definedName>
    <definedName name="Select_Push_Length">[2]System!$A$9:$A$13</definedName>
    <definedName name="Select_Push_Length_Index">[2]System!$A$9:$B$13</definedName>
    <definedName name="Select_Volume">[2]System!$A$15:$A$19</definedName>
    <definedName name="Select_Volume_Index">[2]System!$A$15:$B$19</definedName>
    <definedName name="Total_Liability" localSheetId="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1" i="34" l="1"/>
  <c r="F470" i="34"/>
  <c r="F462" i="34"/>
  <c r="G462" i="34" s="1"/>
  <c r="F460" i="34"/>
  <c r="G460" i="34" s="1"/>
  <c r="F459" i="34"/>
  <c r="G459" i="34" s="1"/>
  <c r="F456" i="34"/>
  <c r="G456" i="34" s="1"/>
  <c r="F454" i="34"/>
  <c r="G454" i="34" s="1"/>
  <c r="F452" i="34"/>
  <c r="G452" i="34" s="1"/>
  <c r="F448" i="34"/>
  <c r="G448" i="34" s="1"/>
  <c r="F447" i="34"/>
  <c r="G447" i="34" s="1"/>
  <c r="F445" i="34"/>
  <c r="G445" i="34" s="1"/>
  <c r="F444" i="34"/>
  <c r="G444" i="34" s="1"/>
  <c r="F443" i="34"/>
  <c r="G443" i="34" s="1"/>
  <c r="F442" i="34"/>
  <c r="G442" i="34" s="1"/>
  <c r="F440" i="34"/>
  <c r="G440" i="34" s="1"/>
  <c r="G439" i="34" s="1"/>
  <c r="F437" i="34"/>
  <c r="G437" i="34" s="1"/>
  <c r="G436" i="34" s="1"/>
  <c r="F434" i="34"/>
  <c r="G434" i="34" s="1"/>
  <c r="F431" i="34"/>
  <c r="G431" i="34" s="1"/>
  <c r="F428" i="34"/>
  <c r="G428" i="34" s="1"/>
  <c r="F427" i="34"/>
  <c r="G427" i="34" s="1"/>
  <c r="F425" i="34"/>
  <c r="G425" i="34" s="1"/>
  <c r="F424" i="34"/>
  <c r="G424" i="34" s="1"/>
  <c r="F422" i="34"/>
  <c r="G422" i="34" s="1"/>
  <c r="G421" i="34" s="1"/>
  <c r="F419" i="34"/>
  <c r="G419" i="34" s="1"/>
  <c r="F418" i="34"/>
  <c r="G418" i="34" s="1"/>
  <c r="F415" i="34"/>
  <c r="G415" i="34" s="1"/>
  <c r="F414" i="34"/>
  <c r="G414" i="34" s="1"/>
  <c r="F413" i="34"/>
  <c r="G413" i="34" s="1"/>
  <c r="F412" i="34"/>
  <c r="G412" i="34" s="1"/>
  <c r="F410" i="34"/>
  <c r="G410" i="34" s="1"/>
  <c r="F407" i="34"/>
  <c r="G407" i="34" s="1"/>
  <c r="F403" i="34"/>
  <c r="F402" i="34"/>
  <c r="G402" i="34" s="1"/>
  <c r="F400" i="34"/>
  <c r="G400" i="34" s="1"/>
  <c r="F399" i="34"/>
  <c r="G399" i="34" s="1"/>
  <c r="F398" i="34"/>
  <c r="G398" i="34" s="1"/>
  <c r="F396" i="34"/>
  <c r="G396" i="34" s="1"/>
  <c r="F395" i="34"/>
  <c r="G395" i="34" s="1"/>
  <c r="F391" i="34"/>
  <c r="G391" i="34" s="1"/>
  <c r="F388" i="34"/>
  <c r="G388" i="34" s="1"/>
  <c r="F385" i="34"/>
  <c r="F383" i="34"/>
  <c r="G383" i="34" s="1"/>
  <c r="F382" i="34"/>
  <c r="G382" i="34" s="1"/>
  <c r="F381" i="34"/>
  <c r="G381" i="34" s="1"/>
  <c r="F379" i="34"/>
  <c r="G379" i="34" s="1"/>
  <c r="F378" i="34"/>
  <c r="G378" i="34" s="1"/>
  <c r="F375" i="34"/>
  <c r="G375" i="34" s="1"/>
  <c r="F374" i="34"/>
  <c r="G374" i="34" s="1"/>
  <c r="F373" i="34"/>
  <c r="G373" i="34" s="1"/>
  <c r="F371" i="34"/>
  <c r="G371" i="34" s="1"/>
  <c r="F368" i="34"/>
  <c r="G368" i="34" s="1"/>
  <c r="F366" i="34"/>
  <c r="G366" i="34" s="1"/>
  <c r="F363" i="34"/>
  <c r="F362" i="34"/>
  <c r="F361" i="34"/>
  <c r="G361" i="34" s="1"/>
  <c r="F359" i="34"/>
  <c r="F357" i="34"/>
  <c r="G357" i="34" s="1"/>
  <c r="F355" i="34"/>
  <c r="G355" i="34" s="1"/>
  <c r="F354" i="34"/>
  <c r="G354" i="34" s="1"/>
  <c r="F346" i="34"/>
  <c r="F345" i="34"/>
  <c r="F344" i="34"/>
  <c r="F342" i="34"/>
  <c r="F341" i="34"/>
  <c r="F340" i="34"/>
  <c r="F338" i="34"/>
  <c r="G338" i="34" s="1"/>
  <c r="F337" i="34"/>
  <c r="G337" i="34" s="1"/>
  <c r="F336" i="34"/>
  <c r="F335" i="34"/>
  <c r="F334" i="34"/>
  <c r="F333" i="34"/>
  <c r="F328" i="34"/>
  <c r="G328" i="34" s="1"/>
  <c r="F327" i="34"/>
  <c r="G327" i="34" s="1"/>
  <c r="F326" i="34"/>
  <c r="G326" i="34" s="1"/>
  <c r="F324" i="34"/>
  <c r="F323" i="34"/>
  <c r="G323" i="34" s="1"/>
  <c r="F322" i="34"/>
  <c r="F320" i="34"/>
  <c r="G320" i="34" s="1"/>
  <c r="F319" i="34"/>
  <c r="G319" i="34" s="1"/>
  <c r="F318" i="34"/>
  <c r="G318" i="34" s="1"/>
  <c r="F317" i="34"/>
  <c r="G317" i="34" s="1"/>
  <c r="F315" i="34"/>
  <c r="G315" i="34" s="1"/>
  <c r="F314" i="34"/>
  <c r="G314" i="34" s="1"/>
  <c r="F313" i="34"/>
  <c r="F312" i="34"/>
  <c r="F311" i="34"/>
  <c r="G311" i="34" s="1"/>
  <c r="F310" i="34"/>
  <c r="G310" i="34" s="1"/>
  <c r="F309" i="34"/>
  <c r="G309" i="34" s="1"/>
  <c r="F308" i="34"/>
  <c r="G308" i="34" s="1"/>
  <c r="F307" i="34"/>
  <c r="G307" i="34" s="1"/>
  <c r="F306" i="34"/>
  <c r="G306" i="34" s="1"/>
  <c r="F303" i="34"/>
  <c r="G303" i="34" s="1"/>
  <c r="F302" i="34"/>
  <c r="F301" i="34"/>
  <c r="F300" i="34"/>
  <c r="F298" i="34"/>
  <c r="F297" i="34"/>
  <c r="G297" i="34" s="1"/>
  <c r="F296" i="34"/>
  <c r="F295" i="34"/>
  <c r="F294" i="34"/>
  <c r="F293" i="34"/>
  <c r="F291" i="34"/>
  <c r="F290" i="34"/>
  <c r="G290" i="34" s="1"/>
  <c r="F287" i="34"/>
  <c r="G287" i="34" s="1"/>
  <c r="F285" i="34"/>
  <c r="G285" i="34" s="1"/>
  <c r="G284" i="34" s="1"/>
  <c r="F282" i="34"/>
  <c r="G282" i="34" s="1"/>
  <c r="G281" i="34" s="1"/>
  <c r="F280" i="34"/>
  <c r="G280" i="34" s="1"/>
  <c r="F279" i="34"/>
  <c r="G279" i="34" s="1"/>
  <c r="F278" i="34"/>
  <c r="G278" i="34" s="1"/>
  <c r="F277" i="34"/>
  <c r="G277" i="34" s="1"/>
  <c r="F276" i="34"/>
  <c r="G276" i="34" s="1"/>
  <c r="F273" i="34"/>
  <c r="C273" i="34"/>
  <c r="F272" i="34"/>
  <c r="C272" i="34"/>
  <c r="F270" i="34"/>
  <c r="G270" i="34" s="1"/>
  <c r="F267" i="34"/>
  <c r="C267" i="34"/>
  <c r="F266" i="34"/>
  <c r="C266" i="34"/>
  <c r="G266" i="34" s="1"/>
  <c r="F264" i="34"/>
  <c r="G264" i="34" s="1"/>
  <c r="G263" i="34" s="1"/>
  <c r="F258" i="34"/>
  <c r="G258" i="34" s="1"/>
  <c r="F255" i="34"/>
  <c r="C255" i="34"/>
  <c r="F254" i="34"/>
  <c r="C254" i="34"/>
  <c r="F252" i="34"/>
  <c r="G252" i="34" s="1"/>
  <c r="F250" i="34"/>
  <c r="G250" i="34" s="1"/>
  <c r="F247" i="34"/>
  <c r="C247" i="34"/>
  <c r="F246" i="34"/>
  <c r="C246" i="34"/>
  <c r="F244" i="34"/>
  <c r="G244" i="34" s="1"/>
  <c r="F242" i="34"/>
  <c r="G242" i="34" s="1"/>
  <c r="G241" i="34" s="1"/>
  <c r="F239" i="34"/>
  <c r="C239" i="34"/>
  <c r="F238" i="34"/>
  <c r="C238" i="34"/>
  <c r="F236" i="34"/>
  <c r="G236" i="34" s="1"/>
  <c r="F233" i="34"/>
  <c r="C233" i="34"/>
  <c r="F232" i="34"/>
  <c r="C232" i="34"/>
  <c r="F230" i="34"/>
  <c r="G230" i="34" s="1"/>
  <c r="G229" i="34" s="1"/>
  <c r="F227" i="34"/>
  <c r="C227" i="34"/>
  <c r="F226" i="34"/>
  <c r="G226" i="34" s="1"/>
  <c r="C226" i="34"/>
  <c r="F224" i="34"/>
  <c r="G224" i="34" s="1"/>
  <c r="F221" i="34"/>
  <c r="C221" i="34"/>
  <c r="F220" i="34"/>
  <c r="C220" i="34"/>
  <c r="F218" i="34"/>
  <c r="G218" i="34" s="1"/>
  <c r="F215" i="34"/>
  <c r="C215" i="34"/>
  <c r="F214" i="34"/>
  <c r="C214" i="34"/>
  <c r="F212" i="34"/>
  <c r="G212" i="34" s="1"/>
  <c r="F210" i="34"/>
  <c r="G210" i="34" s="1"/>
  <c r="F209" i="34"/>
  <c r="G209" i="34" s="1"/>
  <c r="F206" i="34"/>
  <c r="C206" i="34"/>
  <c r="F205" i="34"/>
  <c r="C205" i="34"/>
  <c r="F203" i="34"/>
  <c r="G203" i="34" s="1"/>
  <c r="F201" i="34"/>
  <c r="G201" i="34" s="1"/>
  <c r="G200" i="34" s="1"/>
  <c r="F199" i="34"/>
  <c r="G199" i="34" s="1"/>
  <c r="F196" i="34"/>
  <c r="C196" i="34"/>
  <c r="F195" i="34"/>
  <c r="C195" i="34"/>
  <c r="F193" i="34"/>
  <c r="G193" i="34" s="1"/>
  <c r="F191" i="34"/>
  <c r="G191" i="34" s="1"/>
  <c r="F188" i="34"/>
  <c r="C188" i="34"/>
  <c r="F187" i="34"/>
  <c r="C187" i="34"/>
  <c r="F185" i="34"/>
  <c r="G185" i="34" s="1"/>
  <c r="F182" i="34"/>
  <c r="C182" i="34"/>
  <c r="F181" i="34"/>
  <c r="C181" i="34"/>
  <c r="F179" i="34"/>
  <c r="G179" i="34" s="1"/>
  <c r="F177" i="34"/>
  <c r="G177" i="34" s="1"/>
  <c r="G176" i="34" s="1"/>
  <c r="F174" i="34"/>
  <c r="G174" i="34" s="1"/>
  <c r="F173" i="34"/>
  <c r="C173" i="34"/>
  <c r="F171" i="34"/>
  <c r="G171" i="34" s="1"/>
  <c r="G170" i="34" s="1"/>
  <c r="F169" i="34"/>
  <c r="G169" i="34" s="1"/>
  <c r="F165" i="34"/>
  <c r="F164" i="34"/>
  <c r="F163" i="34"/>
  <c r="F160" i="34"/>
  <c r="G160" i="34" s="1"/>
  <c r="F159" i="34"/>
  <c r="G159" i="34" s="1"/>
  <c r="F158" i="34"/>
  <c r="F157" i="34"/>
  <c r="F156" i="34"/>
  <c r="G156" i="34" s="1"/>
  <c r="F155" i="34"/>
  <c r="F153" i="34"/>
  <c r="F152" i="34"/>
  <c r="F148" i="34"/>
  <c r="F147" i="34"/>
  <c r="F146" i="34"/>
  <c r="F145" i="34"/>
  <c r="F143" i="34"/>
  <c r="G143" i="34" s="1"/>
  <c r="F142" i="34"/>
  <c r="F141" i="34"/>
  <c r="F140" i="34"/>
  <c r="F139" i="34"/>
  <c r="F137" i="34"/>
  <c r="G137" i="34" s="1"/>
  <c r="F136" i="34"/>
  <c r="G136" i="34" s="1"/>
  <c r="F135" i="34"/>
  <c r="G135" i="34" s="1"/>
  <c r="F134" i="34"/>
  <c r="G134" i="34" s="1"/>
  <c r="F133" i="34"/>
  <c r="G133" i="34" s="1"/>
  <c r="F132" i="34"/>
  <c r="G132" i="34" s="1"/>
  <c r="F131" i="34"/>
  <c r="G131" i="34" s="1"/>
  <c r="F127" i="34"/>
  <c r="G127" i="34" s="1"/>
  <c r="G126" i="34" s="1"/>
  <c r="F123" i="34"/>
  <c r="G123" i="34" s="1"/>
  <c r="F122" i="34"/>
  <c r="F121" i="34"/>
  <c r="F120" i="34"/>
  <c r="F118" i="34"/>
  <c r="G118" i="34" s="1"/>
  <c r="F117" i="34"/>
  <c r="G117" i="34" s="1"/>
  <c r="F116" i="34"/>
  <c r="F115" i="34"/>
  <c r="F114" i="34"/>
  <c r="F113" i="34"/>
  <c r="F111" i="34"/>
  <c r="F110" i="34"/>
  <c r="G110" i="34" s="1"/>
  <c r="F107" i="34"/>
  <c r="G107" i="34" s="1"/>
  <c r="F105" i="34"/>
  <c r="G105" i="34" s="1"/>
  <c r="F104" i="34"/>
  <c r="G104" i="34" s="1"/>
  <c r="F101" i="34"/>
  <c r="G101" i="34" s="1"/>
  <c r="F100" i="34"/>
  <c r="G100" i="34" s="1"/>
  <c r="F97" i="34"/>
  <c r="G97" i="34" s="1"/>
  <c r="F96" i="34"/>
  <c r="G96" i="34" s="1"/>
  <c r="F95" i="34"/>
  <c r="G95" i="34" s="1"/>
  <c r="F92" i="34"/>
  <c r="G92" i="34" s="1"/>
  <c r="G91" i="34" s="1"/>
  <c r="F90" i="34"/>
  <c r="G90" i="34" s="1"/>
  <c r="G89" i="34" s="1"/>
  <c r="F88" i="34"/>
  <c r="G88" i="34" s="1"/>
  <c r="F87" i="34"/>
  <c r="G87" i="34" s="1"/>
  <c r="F86" i="34"/>
  <c r="F82" i="34"/>
  <c r="G82" i="34" s="1"/>
  <c r="F80" i="34"/>
  <c r="G80" i="34" s="1"/>
  <c r="F79" i="34"/>
  <c r="G79" i="34" s="1"/>
  <c r="F78" i="34"/>
  <c r="G78" i="34" s="1"/>
  <c r="F75" i="34"/>
  <c r="G75" i="34" s="1"/>
  <c r="F74" i="34"/>
  <c r="G74" i="34" s="1"/>
  <c r="F73" i="34"/>
  <c r="G73" i="34" s="1"/>
  <c r="F69" i="34"/>
  <c r="G69" i="34" s="1"/>
  <c r="F68" i="34"/>
  <c r="G68" i="34" s="1"/>
  <c r="F67" i="34"/>
  <c r="G67" i="34" s="1"/>
  <c r="F66" i="34"/>
  <c r="G66" i="34" s="1"/>
  <c r="F64" i="34"/>
  <c r="G64" i="34" s="1"/>
  <c r="F62" i="34"/>
  <c r="G62" i="34" s="1"/>
  <c r="F61" i="34"/>
  <c r="G61" i="34" s="1"/>
  <c r="F59" i="34"/>
  <c r="G59" i="34" s="1"/>
  <c r="G58" i="34" s="1"/>
  <c r="G57" i="34" s="1"/>
  <c r="F56" i="34"/>
  <c r="G56" i="34" s="1"/>
  <c r="F55" i="34"/>
  <c r="G55" i="34" s="1"/>
  <c r="F53" i="34"/>
  <c r="G53" i="34" s="1"/>
  <c r="F52" i="34"/>
  <c r="G52" i="34" s="1"/>
  <c r="F50" i="34"/>
  <c r="G50" i="34" s="1"/>
  <c r="F49" i="34"/>
  <c r="G49" i="34" s="1"/>
  <c r="F48" i="34"/>
  <c r="G48" i="34" s="1"/>
  <c r="F45" i="34"/>
  <c r="G45" i="34" s="1"/>
  <c r="F44" i="34"/>
  <c r="G44" i="34" s="1"/>
  <c r="F42" i="34"/>
  <c r="G42" i="34" s="1"/>
  <c r="F40" i="34"/>
  <c r="G40" i="34" s="1"/>
  <c r="G39" i="34" s="1"/>
  <c r="F38" i="34"/>
  <c r="G38" i="34" s="1"/>
  <c r="F37" i="34"/>
  <c r="G37" i="34" s="1"/>
  <c r="F36" i="34"/>
  <c r="G36" i="34" s="1"/>
  <c r="F35" i="34"/>
  <c r="G35" i="34" s="1"/>
  <c r="F34" i="34"/>
  <c r="G34" i="34" s="1"/>
  <c r="F33" i="34"/>
  <c r="G33" i="34" s="1"/>
  <c r="F32" i="34"/>
  <c r="G32" i="34" s="1"/>
  <c r="F31" i="34"/>
  <c r="G31" i="34" s="1"/>
  <c r="F28" i="34"/>
  <c r="G28" i="34" s="1"/>
  <c r="F27" i="34"/>
  <c r="G27" i="34" s="1"/>
  <c r="F24" i="34"/>
  <c r="G24" i="34" s="1"/>
  <c r="F23" i="34"/>
  <c r="G23" i="34" s="1"/>
  <c r="F22" i="34"/>
  <c r="G22" i="34" s="1"/>
  <c r="F18" i="34"/>
  <c r="G18" i="34" s="1"/>
  <c r="F17" i="34"/>
  <c r="G17" i="34" s="1"/>
  <c r="F15" i="34"/>
  <c r="F13" i="34"/>
  <c r="F12" i="34"/>
  <c r="F11" i="34"/>
  <c r="G11" i="34" s="1"/>
  <c r="F10" i="34"/>
  <c r="G10" i="34" s="1"/>
  <c r="F9" i="34"/>
  <c r="G9" i="34" s="1"/>
  <c r="G471" i="34"/>
  <c r="G470" i="34"/>
  <c r="G458" i="34"/>
  <c r="G403" i="34"/>
  <c r="F394" i="34"/>
  <c r="G394" i="34" s="1"/>
  <c r="G385" i="34"/>
  <c r="F369" i="34"/>
  <c r="G369" i="34" s="1"/>
  <c r="G363" i="34"/>
  <c r="G362" i="34"/>
  <c r="G359" i="34"/>
  <c r="C344" i="34"/>
  <c r="C346" i="34" s="1"/>
  <c r="C340" i="34"/>
  <c r="C336" i="34"/>
  <c r="C334" i="34"/>
  <c r="C333" i="34"/>
  <c r="G331" i="34"/>
  <c r="G330" i="34"/>
  <c r="G329" i="34"/>
  <c r="C324" i="34"/>
  <c r="C322" i="34"/>
  <c r="F316" i="34"/>
  <c r="G316" i="34" s="1"/>
  <c r="G313" i="34"/>
  <c r="G312" i="34"/>
  <c r="C300" i="34"/>
  <c r="C302" i="34" s="1"/>
  <c r="C298" i="34"/>
  <c r="G298" i="34" s="1"/>
  <c r="C296" i="34"/>
  <c r="C294" i="34"/>
  <c r="C293" i="34"/>
  <c r="C295" i="34" s="1"/>
  <c r="C291" i="34"/>
  <c r="G261" i="34"/>
  <c r="G260" i="34"/>
  <c r="G259" i="34" s="1"/>
  <c r="C163" i="34"/>
  <c r="C164" i="34" s="1"/>
  <c r="G161" i="34"/>
  <c r="C158" i="34"/>
  <c r="C156" i="34"/>
  <c r="C155" i="34"/>
  <c r="C153" i="34"/>
  <c r="G152" i="34"/>
  <c r="G148" i="34"/>
  <c r="C139" i="34"/>
  <c r="C142" i="34" s="1"/>
  <c r="G130" i="34"/>
  <c r="F129" i="34"/>
  <c r="G129" i="34" s="1"/>
  <c r="C120" i="34"/>
  <c r="C122" i="34" s="1"/>
  <c r="C116" i="34"/>
  <c r="C114" i="34"/>
  <c r="C113" i="34"/>
  <c r="C111" i="34"/>
  <c r="C115" i="34" s="1"/>
  <c r="F98" i="34"/>
  <c r="G98" i="34" s="1"/>
  <c r="G86" i="34"/>
  <c r="F83" i="34"/>
  <c r="G83" i="34" s="1"/>
  <c r="F77" i="34"/>
  <c r="G77" i="34" s="1"/>
  <c r="F76" i="34"/>
  <c r="G76" i="34" s="1"/>
  <c r="G70" i="34"/>
  <c r="F65" i="34"/>
  <c r="G65" i="34" s="1"/>
  <c r="F63" i="34"/>
  <c r="G63" i="34" s="1"/>
  <c r="F21" i="34"/>
  <c r="G21" i="34" s="1"/>
  <c r="G15" i="34"/>
  <c r="G13" i="34"/>
  <c r="G12" i="34"/>
  <c r="G16" i="34" l="1"/>
  <c r="C301" i="34"/>
  <c r="G291" i="34"/>
  <c r="G296" i="34"/>
  <c r="C141" i="34"/>
  <c r="G293" i="34"/>
  <c r="G141" i="34"/>
  <c r="G116" i="34"/>
  <c r="G227" i="34"/>
  <c r="G225" i="34" s="1"/>
  <c r="G215" i="34"/>
  <c r="G232" i="34"/>
  <c r="G254" i="34"/>
  <c r="G346" i="34"/>
  <c r="G113" i="34"/>
  <c r="G334" i="34"/>
  <c r="G430" i="34"/>
  <c r="G429" i="34" s="1"/>
  <c r="G206" i="34"/>
  <c r="G220" i="34"/>
  <c r="G188" i="34"/>
  <c r="G267" i="34"/>
  <c r="G272" i="34"/>
  <c r="C345" i="34"/>
  <c r="G345" i="34" s="1"/>
  <c r="G295" i="34"/>
  <c r="G322" i="34"/>
  <c r="G181" i="34"/>
  <c r="G163" i="34"/>
  <c r="G401" i="34"/>
  <c r="G139" i="34"/>
  <c r="G158" i="34"/>
  <c r="G238" i="34"/>
  <c r="G300" i="34"/>
  <c r="G325" i="34"/>
  <c r="G223" i="34"/>
  <c r="G365" i="34"/>
  <c r="G356" i="34"/>
  <c r="G14" i="34"/>
  <c r="G202" i="34"/>
  <c r="G198" i="34"/>
  <c r="G41" i="34"/>
  <c r="G286" i="34"/>
  <c r="G283" i="34" s="1"/>
  <c r="C121" i="34"/>
  <c r="G121" i="34" s="1"/>
  <c r="C165" i="34"/>
  <c r="G165" i="34" s="1"/>
  <c r="G196" i="34"/>
  <c r="G406" i="34"/>
  <c r="G405" i="34" s="1"/>
  <c r="G120" i="34"/>
  <c r="G122" i="34"/>
  <c r="G387" i="34"/>
  <c r="G386" i="34" s="1"/>
  <c r="G173" i="34"/>
  <c r="G172" i="34" s="1"/>
  <c r="G187" i="34"/>
  <c r="G344" i="34"/>
  <c r="G20" i="34"/>
  <c r="G72" i="34"/>
  <c r="G182" i="34"/>
  <c r="G257" i="34"/>
  <c r="G153" i="34"/>
  <c r="G178" i="34"/>
  <c r="G85" i="34"/>
  <c r="G106" i="34"/>
  <c r="G358" i="34"/>
  <c r="G8" i="34"/>
  <c r="G30" i="34"/>
  <c r="G26" i="34"/>
  <c r="G54" i="34"/>
  <c r="G114" i="34"/>
  <c r="G128" i="34"/>
  <c r="G211" i="34"/>
  <c r="G99" i="34"/>
  <c r="G243" i="34"/>
  <c r="G60" i="34"/>
  <c r="G115" i="34"/>
  <c r="G184" i="34"/>
  <c r="G103" i="34"/>
  <c r="G217" i="34"/>
  <c r="G384" i="34"/>
  <c r="G190" i="34"/>
  <c r="G192" i="34"/>
  <c r="G47" i="34"/>
  <c r="G51" i="34"/>
  <c r="G81" i="34"/>
  <c r="G249" i="34"/>
  <c r="G43" i="34"/>
  <c r="G246" i="34"/>
  <c r="G377" i="34"/>
  <c r="G221" i="34"/>
  <c r="G255" i="34"/>
  <c r="G367" i="34"/>
  <c r="G214" i="34"/>
  <c r="G111" i="34"/>
  <c r="G411" i="34"/>
  <c r="G426" i="34"/>
  <c r="G142" i="34"/>
  <c r="G164" i="34"/>
  <c r="G168" i="34"/>
  <c r="G289" i="34"/>
  <c r="G195" i="34"/>
  <c r="G239" i="34"/>
  <c r="G94" i="34"/>
  <c r="G155" i="34"/>
  <c r="C157" i="34"/>
  <c r="G208" i="34"/>
  <c r="G417" i="34"/>
  <c r="G302" i="34"/>
  <c r="C145" i="34"/>
  <c r="C140" i="34"/>
  <c r="G205" i="34"/>
  <c r="G233" i="34"/>
  <c r="G251" i="34"/>
  <c r="G305" i="34"/>
  <c r="G247" i="34"/>
  <c r="G301" i="34"/>
  <c r="G235" i="34"/>
  <c r="G435" i="34"/>
  <c r="G453" i="34"/>
  <c r="G273" i="34"/>
  <c r="G360" i="34"/>
  <c r="G372" i="34"/>
  <c r="G324" i="34"/>
  <c r="C335" i="34"/>
  <c r="G333" i="34"/>
  <c r="G294" i="34"/>
  <c r="G370" i="34"/>
  <c r="G275" i="34"/>
  <c r="G269" i="34"/>
  <c r="G393" i="34"/>
  <c r="G451" i="34"/>
  <c r="G433" i="34"/>
  <c r="C342" i="34"/>
  <c r="G340" i="34"/>
  <c r="G353" i="34"/>
  <c r="G457" i="34"/>
  <c r="G469" i="34"/>
  <c r="G423" i="34"/>
  <c r="G380" i="34"/>
  <c r="G397" i="34"/>
  <c r="C341" i="34"/>
  <c r="G390" i="34"/>
  <c r="G409" i="34"/>
  <c r="G441" i="34"/>
  <c r="G446" i="34"/>
  <c r="G461" i="34"/>
  <c r="G336" i="34"/>
  <c r="G455" i="34"/>
  <c r="G186" i="34" l="1"/>
  <c r="G183" i="34" s="1"/>
  <c r="G151" i="34"/>
  <c r="G119" i="34"/>
  <c r="G265" i="34"/>
  <c r="G262" i="34" s="1"/>
  <c r="G321" i="34"/>
  <c r="G343" i="34"/>
  <c r="G237" i="34"/>
  <c r="G222" i="34"/>
  <c r="G194" i="34"/>
  <c r="G145" i="34"/>
  <c r="C146" i="34"/>
  <c r="C147" i="34"/>
  <c r="G167" i="34"/>
  <c r="G342" i="34"/>
  <c r="G335" i="34"/>
  <c r="G157" i="34"/>
  <c r="G162" i="34"/>
  <c r="G292" i="34"/>
  <c r="G271" i="34"/>
  <c r="G25" i="34"/>
  <c r="G341" i="34"/>
  <c r="G299" i="34"/>
  <c r="G109" i="34"/>
  <c r="G256" i="34"/>
  <c r="G71" i="34"/>
  <c r="G29" i="34"/>
  <c r="G438" i="34"/>
  <c r="G204" i="34"/>
  <c r="G364" i="34"/>
  <c r="G376" i="34"/>
  <c r="G219" i="34"/>
  <c r="G416" i="34"/>
  <c r="G7" i="34"/>
  <c r="G84" i="34"/>
  <c r="G102" i="34"/>
  <c r="G274" i="34"/>
  <c r="G213" i="34"/>
  <c r="G207" i="34" s="1"/>
  <c r="G253" i="34"/>
  <c r="G46" i="34"/>
  <c r="G180" i="34"/>
  <c r="G140" i="34"/>
  <c r="G408" i="34"/>
  <c r="G432" i="34"/>
  <c r="G231" i="34"/>
  <c r="G19" i="34"/>
  <c r="G389" i="34"/>
  <c r="G420" i="34"/>
  <c r="G112" i="34"/>
  <c r="G450" i="34"/>
  <c r="G352" i="34"/>
  <c r="G392" i="34"/>
  <c r="G93" i="34"/>
  <c r="G245" i="34"/>
  <c r="G240" i="34" l="1"/>
  <c r="G234" i="34"/>
  <c r="G268" i="34"/>
  <c r="G175" i="34"/>
  <c r="G248" i="34"/>
  <c r="G332" i="34"/>
  <c r="G449" i="34"/>
  <c r="G189" i="34"/>
  <c r="G197" i="34"/>
  <c r="G154" i="34"/>
  <c r="G147" i="34"/>
  <c r="G351" i="34"/>
  <c r="G146" i="34"/>
  <c r="G108" i="34"/>
  <c r="G138" i="34"/>
  <c r="G228" i="34"/>
  <c r="G404" i="34"/>
  <c r="G216" i="34"/>
  <c r="G339" i="34"/>
  <c r="G288" i="34"/>
  <c r="G144" i="34" l="1"/>
  <c r="G6" i="34"/>
  <c r="G304" i="34"/>
  <c r="G166" i="34"/>
  <c r="G150" i="34"/>
  <c r="G125" i="34" l="1"/>
  <c r="G149" i="34"/>
  <c r="G124" i="34" l="1"/>
  <c r="G463" i="34" l="1"/>
  <c r="F465" i="34" l="1"/>
  <c r="G465" i="34" s="1"/>
  <c r="F466" i="34"/>
  <c r="G466" i="34" s="1"/>
  <c r="F467" i="34"/>
  <c r="G467" i="34" s="1"/>
  <c r="G464" i="34" l="1"/>
  <c r="G468" i="34" l="1"/>
  <c r="G472" i="34" s="1"/>
  <c r="G474" i="34" s="1"/>
  <c r="G2" i="34" s="1"/>
  <c r="B14" i="33" l="1"/>
  <c r="G14" i="31" l="1"/>
  <c r="J13" i="31"/>
  <c r="J12" i="31"/>
  <c r="G11" i="31"/>
  <c r="G10" i="31"/>
  <c r="J9" i="31"/>
  <c r="J8" i="31"/>
  <c r="J7" i="31"/>
  <c r="G6" i="31"/>
  <c r="J5" i="31"/>
  <c r="K4" i="31"/>
  <c r="L4" i="31" s="1"/>
  <c r="J14" i="31" l="1"/>
  <c r="K14" i="31" s="1"/>
  <c r="L14" i="31" s="1"/>
  <c r="M14" i="31" s="1"/>
  <c r="N14" i="31" s="1"/>
  <c r="O14" i="31" s="1"/>
  <c r="P14" i="31" s="1"/>
  <c r="Q14" i="31" s="1"/>
  <c r="R14" i="31" s="1"/>
  <c r="S14" i="31" s="1"/>
  <c r="T14" i="31" s="1"/>
  <c r="U14" i="31" s="1"/>
  <c r="V14" i="31" s="1"/>
  <c r="W14" i="31" s="1"/>
  <c r="X14" i="31" s="1"/>
  <c r="J11" i="31"/>
  <c r="J6" i="31"/>
  <c r="K6" i="31" s="1"/>
  <c r="L6" i="31" s="1"/>
  <c r="M6" i="31" s="1"/>
  <c r="N6" i="31" s="1"/>
  <c r="O6" i="31" s="1"/>
  <c r="P6" i="31" s="1"/>
  <c r="Q6" i="31" s="1"/>
  <c r="R6" i="31" s="1"/>
  <c r="S6" i="31" s="1"/>
  <c r="T6" i="31" s="1"/>
  <c r="U6" i="31" s="1"/>
  <c r="V6" i="31" s="1"/>
  <c r="W6" i="31" s="1"/>
  <c r="X6" i="31" s="1"/>
  <c r="J10" i="31"/>
  <c r="K10" i="31" s="1"/>
  <c r="L10" i="31" s="1"/>
  <c r="M10" i="31" s="1"/>
  <c r="N10" i="31" s="1"/>
  <c r="O10" i="31" s="1"/>
  <c r="P10" i="31" s="1"/>
  <c r="Q10" i="31" s="1"/>
  <c r="R10" i="31" s="1"/>
  <c r="S10" i="31" s="1"/>
  <c r="T10" i="31" s="1"/>
  <c r="U10" i="31" s="1"/>
  <c r="V10" i="31" s="1"/>
  <c r="W10" i="31" s="1"/>
  <c r="X10" i="31" s="1"/>
  <c r="G7" i="31"/>
  <c r="D16" i="31"/>
  <c r="E16" i="31"/>
  <c r="F16" i="31"/>
  <c r="K8" i="31"/>
  <c r="L8" i="31" s="1"/>
  <c r="M8" i="31" s="1"/>
  <c r="N8" i="31" s="1"/>
  <c r="O8" i="31" s="1"/>
  <c r="P8" i="31" s="1"/>
  <c r="Q8" i="31" s="1"/>
  <c r="R8" i="31" s="1"/>
  <c r="S8" i="31" s="1"/>
  <c r="T8" i="31" s="1"/>
  <c r="U8" i="31" s="1"/>
  <c r="V8" i="31" s="1"/>
  <c r="W8" i="31" s="1"/>
  <c r="X8" i="31" s="1"/>
  <c r="K13" i="31"/>
  <c r="L13" i="31" s="1"/>
  <c r="M13" i="31" s="1"/>
  <c r="N13" i="31" s="1"/>
  <c r="O13" i="31" s="1"/>
  <c r="P13" i="31" s="1"/>
  <c r="Q13" i="31" s="1"/>
  <c r="R13" i="31" s="1"/>
  <c r="S13" i="31" s="1"/>
  <c r="T13" i="31" s="1"/>
  <c r="U13" i="31" s="1"/>
  <c r="V13" i="31" s="1"/>
  <c r="W13" i="31" s="1"/>
  <c r="X13" i="31" s="1"/>
  <c r="K9" i="31"/>
  <c r="L9" i="31" s="1"/>
  <c r="M9" i="31" s="1"/>
  <c r="N9" i="31" s="1"/>
  <c r="O9" i="31" s="1"/>
  <c r="P9" i="31" s="1"/>
  <c r="Q9" i="31" s="1"/>
  <c r="R9" i="31" s="1"/>
  <c r="S9" i="31" s="1"/>
  <c r="T9" i="31" s="1"/>
  <c r="U9" i="31" s="1"/>
  <c r="V9" i="31" s="1"/>
  <c r="W9" i="31" s="1"/>
  <c r="X9" i="31" s="1"/>
  <c r="K5" i="31"/>
  <c r="L5" i="31" s="1"/>
  <c r="M5" i="31" s="1"/>
  <c r="N5" i="31" s="1"/>
  <c r="O5" i="31" s="1"/>
  <c r="P5" i="31" s="1"/>
  <c r="Q5" i="31" s="1"/>
  <c r="R5" i="31" s="1"/>
  <c r="S5" i="31" s="1"/>
  <c r="T5" i="31" s="1"/>
  <c r="U5" i="31" s="1"/>
  <c r="V5" i="31" s="1"/>
  <c r="W5" i="31" s="1"/>
  <c r="X5" i="31" s="1"/>
  <c r="K12" i="31"/>
  <c r="L12" i="31" s="1"/>
  <c r="M12" i="31" s="1"/>
  <c r="N12" i="31" s="1"/>
  <c r="O12" i="31" s="1"/>
  <c r="P12" i="31" s="1"/>
  <c r="Q12" i="31" s="1"/>
  <c r="R12" i="31" s="1"/>
  <c r="S12" i="31" s="1"/>
  <c r="T12" i="31" s="1"/>
  <c r="U12" i="31" s="1"/>
  <c r="V12" i="31" s="1"/>
  <c r="W12" i="31" s="1"/>
  <c r="X12" i="31" s="1"/>
  <c r="M4" i="31"/>
  <c r="N4" i="31" s="1"/>
  <c r="O4" i="31" s="1"/>
  <c r="P4" i="31" s="1"/>
  <c r="Q4" i="31" s="1"/>
  <c r="R4" i="31" s="1"/>
  <c r="S4" i="31" s="1"/>
  <c r="T4" i="31" s="1"/>
  <c r="U4" i="31" s="1"/>
  <c r="V4" i="31" s="1"/>
  <c r="W4" i="31" s="1"/>
  <c r="X4" i="31" s="1"/>
  <c r="G5" i="31"/>
  <c r="K7" i="31"/>
  <c r="L7" i="31" s="1"/>
  <c r="M7" i="31" s="1"/>
  <c r="N7" i="31" s="1"/>
  <c r="O7" i="31" s="1"/>
  <c r="P7" i="31" s="1"/>
  <c r="Q7" i="31" s="1"/>
  <c r="R7" i="31" s="1"/>
  <c r="S7" i="31" s="1"/>
  <c r="T7" i="31" s="1"/>
  <c r="U7" i="31" s="1"/>
  <c r="V7" i="31" s="1"/>
  <c r="W7" i="31" s="1"/>
  <c r="X7" i="31" s="1"/>
  <c r="G9" i="31"/>
  <c r="G13" i="31"/>
  <c r="G8" i="31"/>
  <c r="G12" i="31"/>
  <c r="G4" i="31"/>
  <c r="H14" i="31" l="1"/>
  <c r="I14" i="31" s="1"/>
  <c r="H13" i="31"/>
  <c r="I13" i="31" s="1"/>
  <c r="K11" i="31"/>
  <c r="L11" i="31" s="1"/>
  <c r="M11" i="31" s="1"/>
  <c r="N11" i="31" s="1"/>
  <c r="O11" i="31" s="1"/>
  <c r="P11" i="31" s="1"/>
  <c r="Q11" i="31" s="1"/>
  <c r="R11" i="31" s="1"/>
  <c r="S11" i="31" s="1"/>
  <c r="T11" i="31" s="1"/>
  <c r="U11" i="31" s="1"/>
  <c r="V11" i="31" s="1"/>
  <c r="W11" i="31" s="1"/>
  <c r="X11" i="31" s="1"/>
  <c r="H9" i="31"/>
  <c r="I9" i="31" s="1"/>
  <c r="H5" i="31"/>
  <c r="I5" i="31" s="1"/>
  <c r="H8" i="31"/>
  <c r="I8" i="31" s="1"/>
  <c r="H7" i="31"/>
  <c r="I7" i="31" s="1"/>
  <c r="H4" i="31"/>
  <c r="I4" i="31" s="1"/>
  <c r="H12" i="31"/>
  <c r="I12" i="31" s="1"/>
  <c r="H6" i="31"/>
  <c r="I6" i="31" s="1"/>
  <c r="G16" i="31"/>
  <c r="H10" i="31"/>
  <c r="I10" i="31" s="1"/>
  <c r="H11" i="31" l="1"/>
  <c r="I11" i="31" s="1"/>
  <c r="I16" i="31" s="1"/>
  <c r="H16" i="31" l="1"/>
  <c r="C16" i="31" l="1"/>
  <c r="AV47" i="26" l="1"/>
  <c r="AA47" i="26"/>
  <c r="AV46" i="26"/>
  <c r="AA46" i="26"/>
  <c r="AV45" i="26"/>
  <c r="AA45" i="26"/>
  <c r="AV44" i="26"/>
  <c r="AA44" i="26"/>
  <c r="AV42" i="26"/>
  <c r="AA42" i="26"/>
  <c r="AV41" i="26"/>
  <c r="AA41" i="26"/>
  <c r="AV40" i="26"/>
  <c r="AA40" i="26"/>
  <c r="AV39" i="26"/>
  <c r="AA39" i="26"/>
  <c r="AV37" i="26"/>
  <c r="AA37" i="26"/>
  <c r="AV36" i="26"/>
  <c r="AA36" i="26"/>
  <c r="AV35" i="26"/>
  <c r="AA35" i="26"/>
  <c r="AV34" i="26"/>
  <c r="AA34" i="26"/>
  <c r="AV32" i="26"/>
  <c r="AA32" i="26"/>
  <c r="AV31" i="26"/>
  <c r="AA31" i="26"/>
  <c r="AV30" i="26"/>
  <c r="AA30" i="26"/>
  <c r="AV29" i="26"/>
  <c r="AA29" i="26"/>
  <c r="AV27" i="26"/>
  <c r="AA27" i="26"/>
  <c r="AV26" i="26"/>
  <c r="AA26" i="26"/>
  <c r="AV25" i="26"/>
  <c r="AA25" i="26"/>
  <c r="AV24" i="26"/>
  <c r="AA24" i="26"/>
  <c r="AV22" i="26"/>
  <c r="AA22" i="26"/>
  <c r="AV21" i="26"/>
  <c r="AA21" i="26"/>
  <c r="AV20" i="26"/>
  <c r="AA20" i="26"/>
  <c r="AV19" i="26"/>
  <c r="AA19" i="26"/>
  <c r="AV17" i="26"/>
  <c r="AA17" i="26"/>
  <c r="AV16" i="26"/>
  <c r="AA16" i="26"/>
  <c r="AV15" i="26"/>
  <c r="AA15" i="26"/>
  <c r="AV14" i="26"/>
  <c r="AA14" i="26"/>
  <c r="AV12" i="26"/>
  <c r="AA12" i="26"/>
  <c r="AV11" i="26"/>
  <c r="AA11" i="26"/>
  <c r="AV10" i="26"/>
  <c r="AA10" i="26"/>
  <c r="AV9" i="26"/>
  <c r="AA9" i="26"/>
  <c r="AV7" i="26"/>
  <c r="AA7" i="26"/>
  <c r="AV6" i="26"/>
  <c r="AA6" i="26"/>
  <c r="AV5" i="26"/>
  <c r="AA5" i="26"/>
  <c r="AV4" i="26"/>
  <c r="H4" i="26"/>
  <c r="G4" i="26"/>
  <c r="F4" i="26"/>
  <c r="E4" i="26"/>
  <c r="D4" i="26"/>
  <c r="W2" i="26"/>
  <c r="V2" i="26"/>
  <c r="U2" i="26"/>
  <c r="T2" i="26"/>
  <c r="S2" i="26"/>
  <c r="R2" i="26"/>
  <c r="Q2" i="26"/>
  <c r="P2" i="26"/>
  <c r="O2" i="26"/>
  <c r="N2" i="26"/>
  <c r="M2" i="26"/>
  <c r="L2" i="26"/>
  <c r="K2" i="26"/>
  <c r="J2" i="26"/>
  <c r="I2" i="26"/>
  <c r="H2" i="26"/>
  <c r="G2" i="26"/>
  <c r="F2" i="26"/>
  <c r="E2" i="26"/>
  <c r="D2" i="26"/>
  <c r="C2" i="26"/>
  <c r="X51" i="25"/>
  <c r="X50" i="25"/>
  <c r="X49" i="25"/>
  <c r="X48" i="25"/>
  <c r="X47" i="25"/>
  <c r="X46" i="25"/>
  <c r="X45" i="25"/>
  <c r="X44" i="25"/>
  <c r="X43" i="25"/>
  <c r="X42" i="25"/>
  <c r="X41" i="25"/>
  <c r="X40" i="25"/>
  <c r="X36" i="25"/>
  <c r="X35" i="25"/>
  <c r="X34" i="25"/>
  <c r="X33" i="25"/>
  <c r="X32" i="25"/>
  <c r="X31" i="25"/>
  <c r="X30" i="25"/>
  <c r="X29" i="25"/>
  <c r="X28" i="25"/>
  <c r="X27" i="25"/>
  <c r="X26" i="25"/>
  <c r="X25" i="25"/>
  <c r="X21" i="25"/>
  <c r="X20" i="25"/>
  <c r="X19" i="25"/>
  <c r="X18" i="25"/>
  <c r="X17" i="25"/>
  <c r="X16" i="25"/>
  <c r="X15" i="25"/>
  <c r="X14" i="25"/>
  <c r="X13" i="25"/>
  <c r="X12" i="25"/>
  <c r="X11" i="25"/>
  <c r="X10" i="25"/>
  <c r="X9" i="25"/>
  <c r="X8" i="25"/>
  <c r="X7" i="25"/>
  <c r="X6" i="25"/>
  <c r="AA4"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tc={2BDDD5AD-F676-491B-A278-67F7566E628D}</author>
  </authors>
  <commentList>
    <comment ref="A351" authorId="0" shapeId="0" xr:uid="{2BDDD5AD-F676-491B-A278-67F7566E628D}">
      <text>
        <t>[Threaded comment]
Your version of Excel allows you to read this threaded comment; however, any edits to it will get removed if the file is opened in a newer version of Excel. Learn more: https://go.microsoft.com/fwlink/?linkid=870924
Comment:
    Does the UG mine finish up before the open cuts? i.e. would any of these UG costs be completed by LOM?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tc={8E68307A-1256-4C46-88B8-7A0D47EAFEF7}</author>
  </authors>
  <commentList>
    <comment ref="I18" authorId="0" shapeId="0" xr:uid="{8E68307A-1256-4C46-88B8-7A0D47EAFEF7}">
      <text>
        <t>[Threaded comment]
Your version of Excel allows you to read this threaded comment; however, any edits to it will get removed if the file is opened in a newer version of Excel. Learn more: https://go.microsoft.com/fwlink/?linkid=870924
Comment:
    Reprofiling from 15% to 10% to remedy eroded surface or shape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tc={6DA02A36-F776-4C0E-BFAD-65E4080AAC03}</author>
    <author>tc={F9FC82AF-947F-4E20-BFBC-14032AEFD618}</author>
  </authors>
  <commentList>
    <comment ref="D80" authorId="0" shapeId="0" xr:uid="{6DA02A36-F776-4C0E-BFAD-65E4080AAC03}">
      <text>
        <t>[Threaded comment]
Your version of Excel allows you to read this threaded comment; however, any edits to it will get removed if the file is opened in a newer version of Excel. Learn more: https://go.microsoft.com/fwlink/?linkid=870924
Comment:
    These items are different for Qld - per ha rate for various road types</t>
      </text>
    </comment>
    <comment ref="D122" authorId="1" shapeId="0" xr:uid="{F9FC82AF-947F-4E20-BFBC-14032AEFD618}">
      <text>
        <t>[Threaded comment]
Your version of Excel allows you to read this threaded comment; however, any edits to it will get removed if the file is opened in a newer version of Excel. Learn more: https://go.microsoft.com/fwlink/?linkid=870924
Comment:
    NSW rate now allows for grout filling at 7250 per LM</t>
      </text>
    </comment>
  </commentList>
</comments>
</file>

<file path=xl/sharedStrings.xml><?xml version="1.0" encoding="utf-8"?>
<sst xmlns="http://schemas.openxmlformats.org/spreadsheetml/2006/main" count="2251" uniqueCount="775">
  <si>
    <t>Item Number</t>
  </si>
  <si>
    <t>Estimated Cost 2024 Triennial Review</t>
  </si>
  <si>
    <t>Domain 1 - Surface Infrastructure</t>
  </si>
  <si>
    <t>Domain 2 - Tailings and Reject Emplacement Areas</t>
  </si>
  <si>
    <t>Domain 3 - Overburden / Waste Emplacement Areas</t>
  </si>
  <si>
    <t>Domain 4 - Active Mining, Pits and Voids</t>
  </si>
  <si>
    <t>Domain 5 - Water Management</t>
  </si>
  <si>
    <t>Domain 6 - Existing Rehabilitation Areas</t>
  </si>
  <si>
    <t>Domain 7 - Offset Areas</t>
  </si>
  <si>
    <t>Domain 8 - Underground Mining Areas</t>
  </si>
  <si>
    <t>Domain 9 - Other Lands</t>
  </si>
  <si>
    <t>Whole of Site - Sundry Items and HR/Admin/Stakeholders</t>
  </si>
  <si>
    <t>Contingencies etc</t>
  </si>
  <si>
    <t>Holding Costs</t>
  </si>
  <si>
    <t>Total</t>
  </si>
  <si>
    <t>Springbok Creek</t>
  </si>
  <si>
    <t>Planned Closure Costing (2024)</t>
  </si>
  <si>
    <t>Total Liability</t>
  </si>
  <si>
    <t>Activity / Description</t>
  </si>
  <si>
    <t>2024 Quantity</t>
  </si>
  <si>
    <t>Unit</t>
  </si>
  <si>
    <t>Cost code</t>
  </si>
  <si>
    <t>2024 Unit Rate</t>
  </si>
  <si>
    <t>2024 Comments</t>
  </si>
  <si>
    <t>Domain 1A - MIA (Admin, workshops, bathhouse, car park etc)</t>
  </si>
  <si>
    <t>Termination of Services and Demolition Works</t>
  </si>
  <si>
    <t>Disconnect and terminate all services (Water, electricity, gas etc. at point of attachment to site).</t>
  </si>
  <si>
    <t>@</t>
  </si>
  <si>
    <t>No change in quantity in 2024 review. A provisional amount used to allow for the removal of services.</t>
  </si>
  <si>
    <t>Demolish and remove small buildings/tanks (admin buildings - single story etc).</t>
  </si>
  <si>
    <t>m2</t>
  </si>
  <si>
    <t xml:space="preserve">No change in quantity in 2024 review. </t>
  </si>
  <si>
    <t>Remove concrete pads and footings (&lt; 0.3 m thickness) from small buildings and dumping in void.</t>
  </si>
  <si>
    <t xml:space="preserve">No change in quantity in 2024 review. Estimate includes additional 10% for aprons, pathways etc. </t>
  </si>
  <si>
    <t>Demolish and remove medium buildings</t>
  </si>
  <si>
    <t>m2/level</t>
  </si>
  <si>
    <t xml:space="preserve">No change in quantity in 2024 review. Areas calculated for medium buildings in domain. </t>
  </si>
  <si>
    <t>Remove concrete pads and footings (&gt; 0.3 m thickness) from medium buildings and dumping in void.</t>
  </si>
  <si>
    <t>Minor Reshaping, Final Trim (Roads)</t>
  </si>
  <si>
    <t>Remove hardstand material (spillage or otherwise) from footprint of Domain (Does not include product stockpiles, CHPP or ROM) (haul distance &gt; 1 km but &lt; 2 km).</t>
  </si>
  <si>
    <t>m3</t>
  </si>
  <si>
    <t xml:space="preserve">No change in quantity in 2024 review. Assume 0.3 m depth hardstand material removed. </t>
  </si>
  <si>
    <t>Contaminated materials</t>
  </si>
  <si>
    <t>Onsite remediation of hydrocarbon contaminated soils (&gt;1000m3)</t>
  </si>
  <si>
    <t xml:space="preserve">No change in quantity in 2024 review. Provisional sum.  </t>
  </si>
  <si>
    <t>Construct and set up bioremediation pad</t>
  </si>
  <si>
    <t>allow</t>
  </si>
  <si>
    <t>4.09a</t>
  </si>
  <si>
    <t>Domain 1B - CHPP Main Plant</t>
  </si>
  <si>
    <t xml:space="preserve">Demolish and remove CHPP </t>
  </si>
  <si>
    <t>SS</t>
  </si>
  <si>
    <t>Demolish and remove CHPP (include the area of each floor of the structure)</t>
  </si>
  <si>
    <t>Captured above</t>
  </si>
  <si>
    <t>Demolish and remove heavy industrial buildings - crushers, sizing stations, rotary breakers, etc (area of each floor of the structure).</t>
  </si>
  <si>
    <t>Remove concrete pads and footings (&gt; 0.3 m thickness) and dumping in void.</t>
  </si>
  <si>
    <t>Domain 1C - CHPP MOD 4</t>
  </si>
  <si>
    <t xml:space="preserve">No change in quantity in 2024 review. ~627 m2 x 5 levels. </t>
  </si>
  <si>
    <t>Remove concrete pads and footings (&gt; 300 mm thickness) and dumping in void.</t>
  </si>
  <si>
    <t>Domain 1D - Product Stockpiles and ROM (includes relevant Rail Loop infrastructure)</t>
  </si>
  <si>
    <t>Demolish and remove bucket wheel stacker/reclaimer</t>
  </si>
  <si>
    <t>No change in quantity in 2024 review. Just removal of the bucket wheel stacker/reclaim unit - does not include terminate services, remove rails and ballast etc.</t>
  </si>
  <si>
    <t>Demolish and remove on ground conveyors, transfer stations &amp; gantries (scrap only – does not include dismantling for reuse at another site).</t>
  </si>
  <si>
    <t>m</t>
  </si>
  <si>
    <t xml:space="preserve">No change in quantity in 2024 review. All within the CHPP/stockpile area.  </t>
  </si>
  <si>
    <t>Demolish and remove elevated conveyors, transfer stations &amp; gantries (scrap only – does not include dismantling for reuse at another site).</t>
  </si>
  <si>
    <t>Demolish and remove overhead conveyors, transfer stations &amp; gantries (scrap only – does not include dismantling for reuse at another site)</t>
  </si>
  <si>
    <t xml:space="preserve">No change in quantity in 2024 review. All within the CHPP/stockpile area. </t>
  </si>
  <si>
    <t>Demolish reclaim tunnel, cut reo and expose reclaim conveyor, then collapse into the reclaim tunnel void (Does not include excavation to expose reclaim tunnel, removal of conveyor or backfilling void).</t>
  </si>
  <si>
    <t>Remove and demolish conveyor from reclaim tunnel (Does not include excavation and demolition of reclaim tunnel roof).</t>
  </si>
  <si>
    <t xml:space="preserve">No change in quantity in 2024 review. Estimate for underground conveyor infrastructure to be removed. </t>
  </si>
  <si>
    <t xml:space="preserve">No change in quantity in 2024 review. Assume ~0.5 m footings. </t>
  </si>
  <si>
    <t>Demolish and remove rejects bin</t>
  </si>
  <si>
    <t xml:space="preserve">No change in quantity in 2024 review. Assumes 1250 t coal bin. </t>
  </si>
  <si>
    <t>Unsealed roads / vehicle park-up areas – Minor earthworks, final trim and deep rip and seed (pasture grass)</t>
  </si>
  <si>
    <t>ha</t>
  </si>
  <si>
    <t xml:space="preserve">Zeroed as these are now consolidated at the bottom of the infrastructure domain. </t>
  </si>
  <si>
    <t>Remove carbonaceous material (spillage or otherwise) from footprint of the CHPP, ROM, Product stockpiles &amp; Roadways (haul distance &gt; 1 km but &lt; 2 km).</t>
  </si>
  <si>
    <t xml:space="preserve">No change in quantity in 2024 review. Includes scalping carbonaceous material from ROM and two product stockpile areas to depth of 0.5 m. </t>
  </si>
  <si>
    <t>Earthworks / Structural Works</t>
  </si>
  <si>
    <t>Replace material from above to expose the concrete reclaim tunnel. 150m - 200 m push length, D11</t>
  </si>
  <si>
    <t>8.04a</t>
  </si>
  <si>
    <t xml:space="preserve">No change in quantity in 2024 review. Average excavation depth of 3 m over 450 m2  and will be stockpiled locally and replaced. </t>
  </si>
  <si>
    <t>Excavate material from above to expose the concrete reclaim tunnel.</t>
  </si>
  <si>
    <t>Domain 1E - Camp (80 man camp)</t>
  </si>
  <si>
    <t xml:space="preserve">No change in quantity in 2024 review. A provisional amount used to allow for the removal of services. </t>
  </si>
  <si>
    <t>Demolish and remove infrastructure (accommodation)</t>
  </si>
  <si>
    <t>No change in quantity in 2024 review. Assume 80 demountable buildings @ 22 m2 area.</t>
  </si>
  <si>
    <t>Remove bitumen (car park and access roads) for dumping in a void on the site.</t>
  </si>
  <si>
    <t>Remove stabilised material (blue metal, aggregate etc.) from roadways / hardstands / laydown areas and dump in a void on-site (haul distance &gt;1 km but &lt;2 km)</t>
  </si>
  <si>
    <t xml:space="preserve">Not required. Discussed with site. </t>
  </si>
  <si>
    <t>Domain 1G - Lake horn</t>
  </si>
  <si>
    <t>Remove surface pipelines.</t>
  </si>
  <si>
    <t>No change in quantity in 2024 review. Estimate assumes some pipes/pumps are located within the dam.</t>
  </si>
  <si>
    <t>Remove pump and pontoon from a small lake or dam including pipes and electrical supply or diesel tank/s.</t>
  </si>
  <si>
    <t>1.40a</t>
  </si>
  <si>
    <t>Domain 1H - Roads</t>
  </si>
  <si>
    <t>No change in quantity in 2024 review. Includes all sealed road except for that asP6iated with the Camp, OC1 and surface.</t>
  </si>
  <si>
    <t>Domain 1I - Other Infrastructure</t>
  </si>
  <si>
    <t>Airstrip - Remove bitumen material and dumping in void.</t>
  </si>
  <si>
    <t>Removal of powerlines (this includes disconnection, rolling up the wires and removing the poles). It does not include the removal of substations.</t>
  </si>
  <si>
    <t>km</t>
  </si>
  <si>
    <t xml:space="preserve">No change in quantity in 2024 review. Based on the length of all powerlines on site in ERC. </t>
  </si>
  <si>
    <t>Miscellaneous clean-up around site (carbonaceous materials etc)</t>
  </si>
  <si>
    <t xml:space="preserve">Includes 16% escalation for site specific rates in 2014.Provisional sum. </t>
  </si>
  <si>
    <t>Zeroed as these are now captured within other domains.</t>
  </si>
  <si>
    <t>Provision to dewater sumps and general tidy up of site prior to the commencement of demolition</t>
  </si>
  <si>
    <t>Includes 16% escalation for site specific rates in 2014.Provisional sum.</t>
  </si>
  <si>
    <t>Fence removal</t>
  </si>
  <si>
    <t>Demolish and remove small buildings/tanks</t>
  </si>
  <si>
    <t>No change in quantity in 2024 review. Areas calculated for small buildings in Other Lands domain based on rate review.  Assume all are single storey buildings.</t>
  </si>
  <si>
    <t>No change in quantity in 2024 review. Assume 10% additional footprint for aprons, etc.</t>
  </si>
  <si>
    <t>Demolition/Removal of Dragline.</t>
  </si>
  <si>
    <t xml:space="preserve">New Line Added. Rate is based on quote. Quote was $2.7M for the small dragline (CAT 8000 Dragline - BE 1370) and $4.3M for the big one (CAT 8750 Dragline - Marion 8750). Site to confirm size of dragline and most 
applicable rate. 
Draglines are 1370s with total out of pocket expense of $2M combined (includes $2.3M for scrap steel , total $4.3M). </t>
  </si>
  <si>
    <t>Domain 9K - Camp Infrastructure</t>
  </si>
  <si>
    <t xml:space="preserve">Note that in the 2021 costing cells R777-779 were double counted. </t>
  </si>
  <si>
    <t>Disconnect and terminate all services (Water, electricity, gas etc. at point of attachment to site)</t>
  </si>
  <si>
    <t>No change in quantity in 2024 review. For disconnection of all services, at building boundaries, physical cut at the distributions board.</t>
  </si>
  <si>
    <t>Demolish and/or remove substations (Assumes they are in a closed building)</t>
  </si>
  <si>
    <t>Removal of services (rolling up the wires and removing the poles, removing water/sewage  pipes).  It does not include the removal of substations.</t>
  </si>
  <si>
    <t>No change in quantity in 2024 review. Assumes underground powerlines run along-side roads, therefore equal in length.</t>
  </si>
  <si>
    <t>Demolish and remove small buildings - houses</t>
  </si>
  <si>
    <t xml:space="preserve">Includes 16% escalation for site specific rates in 2014.Approximately 505 dwellings.  </t>
  </si>
  <si>
    <t xml:space="preserve">Remove all demountables </t>
  </si>
  <si>
    <t>Includes 16% escalation for site specific rates in 2014.86 single person dwellings.</t>
  </si>
  <si>
    <t>Demolish and remove moderate buildings (e.g. school, shopping centre)</t>
  </si>
  <si>
    <t>No change in quantity in 2024 review. This includes schools, shopping centres, public building etc (0.75+0.49+0.16+0.17+0.23+0.84= 2.6 ha).</t>
  </si>
  <si>
    <t>Remove concrete pads &amp; footings (&lt;300mm thickness) and dumping in void</t>
  </si>
  <si>
    <t>Remove bitumen (e.g. car park and access roads)</t>
  </si>
  <si>
    <t>No change in quantity in 2024 review. The total length of all road at Camp are ~ 20.5 km, assume an average width of 7 m. Demolition expert estimate however economies of scale could reduce this number</t>
  </si>
  <si>
    <t>Remove and dispose of asbestos</t>
  </si>
  <si>
    <t>No change in quantity in 2024 review. Remove, contain, transport and dispose of asbestos materials</t>
  </si>
  <si>
    <t>Sale of houses at Middlemount</t>
  </si>
  <si>
    <t>Includes 16% escalation for site specific rates in 2014.Number of houses confirmed with SCC.  Provisional sum for managing sale of houses.</t>
  </si>
  <si>
    <t>Domain 9L - Camp Water Treatment Plant</t>
  </si>
  <si>
    <t>Water treatment plant infrastructure</t>
  </si>
  <si>
    <t>No change in quantity in 2024 review. The infrastructure includes small building (220 m2 and 450 m2).</t>
  </si>
  <si>
    <t>Demolish and remove small tank clean (thickener etc 3-9 m diameter)</t>
  </si>
  <si>
    <t>Demolish and remove small tank clean (thickener etc 15-30 m diameter)</t>
  </si>
  <si>
    <t>Remove stabilised material (blue metal, aggregate etc) from roadways and dump in a void on-site (haul distance &gt;2 km but &lt;5 km)</t>
  </si>
  <si>
    <t>Major bulk pushing to achieve grades nominated in the approval/permit - 50 m-100 m push length, D11</t>
  </si>
  <si>
    <t>8.02a</t>
  </si>
  <si>
    <t xml:space="preserve">Assumes No change in quantity in 2024 review. Assume a average depth of 2.6 m.  Assumes evaporation ponds will be pushed in and recontoured. </t>
  </si>
  <si>
    <t>Domain 9M - Camp Sewage Treatment Plant</t>
  </si>
  <si>
    <t>Sewage treatment plant infrastructure</t>
  </si>
  <si>
    <t>No change in quantity in 2024 review. The infrastructure includes small building (50 m2 and 100 m2).</t>
  </si>
  <si>
    <t>Demolish and remove small tank clean (thickener etc 10-15 m diameter)</t>
  </si>
  <si>
    <t>No change in quantity in 2024 review. Concrete tanks with booms.</t>
  </si>
  <si>
    <t>Remove contaminated water from maturation pond</t>
  </si>
  <si>
    <t>Includes 16% escalation for site specific rates in 2014. Provisional sum.</t>
  </si>
  <si>
    <t>Major bulk pushing to achieve grades nominated in the approval/permit - 50 m-100 m push length, D11. CampSewage Treatment Plant</t>
  </si>
  <si>
    <t>Assumes No change in quantity in 2024 review. Assumes the dam wall will be pushed in and recontoured - 100 x 5 x 3 m.  Also includes recontouring around the concrete tanks after removal.</t>
  </si>
  <si>
    <t>Domain 9N - Camp Landfill</t>
  </si>
  <si>
    <t>No change in quantity in 2024 review. Assume 0.5 m of material is to be removed.</t>
  </si>
  <si>
    <t>Major bulk pushing to achieve grades nominated in the approval/permit - &lt; 50 m push length, D11. CampLandfill.</t>
  </si>
  <si>
    <t>8.01a</t>
  </si>
  <si>
    <t xml:space="preserve">Assumes No change in quantity in 2024 review. This includes 0.84 ha and 1.09 ha to doze edges and contour, assume ~3 m deep. </t>
  </si>
  <si>
    <t>Rehabilitation</t>
  </si>
  <si>
    <t>Cap town landfill - Source local material, cart and spread to cap or backfill. Cap thickness determined by approval/permit (haul distance &gt;5 km)</t>
  </si>
  <si>
    <t xml:space="preserve">No change in quantity in 2024 review. Assumes some capping will be required on the active landfill area. Assume 1 m depth across the area of approximately 4.84 ha (specific to this feature). </t>
  </si>
  <si>
    <t>Total Infrastructure Domain</t>
  </si>
  <si>
    <t>Minor reshaping and pushing</t>
  </si>
  <si>
    <t xml:space="preserve">New line item added in 2024 review. Entire infrastructure domain at LOM. </t>
  </si>
  <si>
    <t>Structural works, banks, waterways</t>
  </si>
  <si>
    <t>Final trim, rock rake and deep rip (includes minor levelling and landscaping).</t>
  </si>
  <si>
    <t>Source, cart and spread topsoil (@ 0.1 m) haul distance &gt;2km and &lt;5km).</t>
  </si>
  <si>
    <t>Due to a lack of topsoil available across site, topsoil will be used over 40% of the area, and biosolids over the remaining 60%.</t>
  </si>
  <si>
    <t>Topsoil amelioration with bio-solids</t>
  </si>
  <si>
    <t>Spoil amelioration (adding gypsum, lime etc.)</t>
  </si>
  <si>
    <t>Direct seeding / fertiliser (tree or native grass species)</t>
  </si>
  <si>
    <t>Direct seeding / fertiliser (pasture grass species)</t>
  </si>
  <si>
    <t>Maintenance of Rehabilitation Areas</t>
  </si>
  <si>
    <t>Maintenance of established rehabilitation areas.</t>
  </si>
  <si>
    <t>New line item added in 2024 review. Covers entire infrastructure domain.</t>
  </si>
  <si>
    <t>Existing rehabilitation repair - minor</t>
  </si>
  <si>
    <t>Assumes 30% of rehab will require minor repairs.</t>
  </si>
  <si>
    <t>Existing rehabilitation repair - major</t>
  </si>
  <si>
    <t>Assumes 10% of rehab will require major repairs.</t>
  </si>
  <si>
    <t>Existing rehabilitation repair - (moderate)</t>
  </si>
  <si>
    <t xml:space="preserve">Zeroed in 2024 as the WM sites all use 10% major/30% minor repairs. </t>
  </si>
  <si>
    <t>Domain 2A - Tailings Storage Facility</t>
  </si>
  <si>
    <t xml:space="preserve">Zeroed as these are now consolidated in the infrastructure domain. </t>
  </si>
  <si>
    <t>Tailings Storage Facility (Out of Pit)</t>
  </si>
  <si>
    <t>Rate provided by site. 
Volumes and Rates.
Hydraulic mining: 5473k m3 at $4.47
Reject Removal: 623k m3 at $12.46
Capping: 133k m3 at $22.73
TOTAL MAT: 6229k m3 at $5.66</t>
  </si>
  <si>
    <t xml:space="preserve">
Layered tailings capping 3m depth (2 x 1.5m layers)</t>
  </si>
  <si>
    <t>8.07b</t>
  </si>
  <si>
    <t>Zeroed as this will be capped at LOM</t>
  </si>
  <si>
    <t xml:space="preserve">Area updated based on GIS data provided by site. Rate updated as per 2024 WM tailings rates - based on the requirement for 2 x 1.5m layered tailings capping. </t>
  </si>
  <si>
    <t>Fill dams, voids etc. - Source local material, cart and spread to cap or backfill, cap thickness determined by approval / permit ( haul distance &gt;1km but &lt;2km)</t>
  </si>
  <si>
    <t>Removed in 2024 review.  Golder design and cost fir out of pit tailings includes all material.
As per the PRCP, the in pit tailings dams will be filled to within 3m of the lowest natural point to allow final capping with 3m cap depth to final landform.  3m cap included in per ha tailings rates above.   Note if closure prior to achieving depth of tailings additional material may be required to final landform.,</t>
  </si>
  <si>
    <t>Structural banks, waterways &amp; water management</t>
  </si>
  <si>
    <t>Not included for this domain as these costs are captured in the overall tailings capping rates above.</t>
  </si>
  <si>
    <t>Final trim, rock rake &amp; deep rip.</t>
  </si>
  <si>
    <t>Area updated in 2024 review. Includes all in pit TSF and out of pit TSF.</t>
  </si>
  <si>
    <t>No pasture rehab at LOM</t>
  </si>
  <si>
    <t>All Overburden emplacement areas</t>
  </si>
  <si>
    <t xml:space="preserve">New domain added in 2024 review. Area as per domain plan pivot table. </t>
  </si>
  <si>
    <t>New domain added in 2024 review. Area as per domain plan pivot table. Assumes 5t/ha</t>
  </si>
  <si>
    <t xml:space="preserve">New domain added in 2024 review. Area as per domain plan pivot table (grazing rehab). </t>
  </si>
  <si>
    <t xml:space="preserve">New domain added in 2024 review. Area as per domain plan pivot table (native ecosystem rehab). </t>
  </si>
  <si>
    <t xml:space="preserve"> Reshaping</t>
  </si>
  <si>
    <t>Springbok has two small pits, P6 &amp; BOC, that have had their rehabilitation fail and therefore requires remediation. The current landform shows significant erosion and exhibits steeper grades than are typically acceptable in a reshaped surface. 
Site specific rate</t>
  </si>
  <si>
    <t>Domain 4A</t>
  </si>
  <si>
    <t>Rehabilitation of areas cleared for mining (active)</t>
  </si>
  <si>
    <t>Zeroed in 2024 as these costs are captured in the overall rehabilitation costs for this domain.</t>
  </si>
  <si>
    <t>Mining and Exploration Works</t>
  </si>
  <si>
    <t>Active pit area – benches blasted and doze to acceptable grade</t>
  </si>
  <si>
    <t xml:space="preserve">Zeroed. Site will not use this method. Highwalls will be ripped and pushed to grade instead. </t>
  </si>
  <si>
    <t>D11 - Major bulk pushing to achieve grades nominated in the approval/permit – 100m-150m push length</t>
  </si>
  <si>
    <t>8.03a</t>
  </si>
  <si>
    <t xml:space="preserve">Volume provided in Material Volume RFI. 
Push Length 100-150m. </t>
  </si>
  <si>
    <t>Load and haul 400 t fleet, flat, &lt;1km</t>
  </si>
  <si>
    <t xml:space="preserve">New Line: Volume provided in Material Volume RFI. </t>
  </si>
  <si>
    <t>Domain 4B</t>
  </si>
  <si>
    <t>Bulk push as provided in site RFI. Note that data provided was for a 100t fleet, however as there is no WM rate for this, the 400t fleet rate has been used.</t>
  </si>
  <si>
    <t>Domain 4C</t>
  </si>
  <si>
    <t>P6</t>
  </si>
  <si>
    <t xml:space="preserve">Zeroed as these are now consolidated at the bottom of the active mining domain. </t>
  </si>
  <si>
    <t>Major bulk pushing to achieve grades nominated in the approval/permit – 50 m-100 m push length, D11</t>
  </si>
  <si>
    <t xml:space="preserve">Zeroed. Volume not provided in materials volume RFI. </t>
  </si>
  <si>
    <t>Domain 4D</t>
  </si>
  <si>
    <t>Load and haul 400 t fleet, flat, 1-2km</t>
  </si>
  <si>
    <t>Domain 4E</t>
  </si>
  <si>
    <t>Remove carbonaceous material (spillage or otherwise) from footprint of the CHPP, ROM, Product stockpiles &amp; Roadway (haul distance &gt;1km but &lt;2km)</t>
  </si>
  <si>
    <t xml:space="preserve">Zeroed in 2024 as no updated data. Note likely error in 2021 sheet. Volume of 1.5m3 used. </t>
  </si>
  <si>
    <t>Domain 4F</t>
  </si>
  <si>
    <t>Remove stabilised material (blue metal, aggregate etc) from roadways / hardstands / laydown areas and dump in a void on-site (haul distance &lt; 1km)</t>
  </si>
  <si>
    <t xml:space="preserve">Not required. As per discussions with site. </t>
  </si>
  <si>
    <t>Domain 4G</t>
  </si>
  <si>
    <t>Domain 4H</t>
  </si>
  <si>
    <t>Domain 4I</t>
  </si>
  <si>
    <t>Domain 4J</t>
  </si>
  <si>
    <t>Domain 4K</t>
  </si>
  <si>
    <t>Domain 4L</t>
  </si>
  <si>
    <t>Domain 4M</t>
  </si>
  <si>
    <t>Domain 4N</t>
  </si>
  <si>
    <t>Domain 4O</t>
  </si>
  <si>
    <t>Domain 4P</t>
  </si>
  <si>
    <t>Domain 4Q</t>
  </si>
  <si>
    <t>Drill and blast faces to make safe the existing high wall areas</t>
  </si>
  <si>
    <t>High wall treatment - (trench and safety berm).</t>
  </si>
  <si>
    <t>Security fence around steep section of high wall.</t>
  </si>
  <si>
    <t>Purchase and erect warning signs.</t>
  </si>
  <si>
    <t>Domain 4S - Tracks and Other Disturbance</t>
  </si>
  <si>
    <t>Demolish and remove demountable structures on concrete stumps - assumes not being re-used</t>
  </si>
  <si>
    <t>No change in quantity in 2024 review. Buildings assumed to be demountables.</t>
  </si>
  <si>
    <t>Entire Active Mining Domain</t>
  </si>
  <si>
    <t xml:space="preserve">New line item added in 2024 review. </t>
  </si>
  <si>
    <t>Water Management</t>
  </si>
  <si>
    <t>Small clean water dams (i.e. &lt;2ha) to be retained after mine closure – make safe and minor earthworks (Product Stockpiles and ROM)</t>
  </si>
  <si>
    <t xml:space="preserve">No change in quantity in 2024 review. Assume dams to be retained.  Includes rail dams.  </t>
  </si>
  <si>
    <t>Small clean water dams (i.e. &lt; 2ha) to be retained after mine closure – make safe and minor earthworks (tracks)</t>
  </si>
  <si>
    <t xml:space="preserve">No change in quantity in 2024 review. Dams to be retained. </t>
  </si>
  <si>
    <t>Large clean water dams (i.e. &gt;2ha) to be retained after mine closure – make safe and minor earthworks (tracks)</t>
  </si>
  <si>
    <t>9.03a</t>
  </si>
  <si>
    <t>Small clean water dams (i.e. &lt; 2ha) to be retained after mine closure – make safe and minor earthworks (A8 Grasstree Pit)</t>
  </si>
  <si>
    <t>No change in quantity in 2024 review. Four x sediment dams</t>
  </si>
  <si>
    <t>Small clean water dams (i.e. &lt; 2ha) to be retained after mine closure – make safe and minor earthworks. A3 Pit</t>
  </si>
  <si>
    <t xml:space="preserve">Clean water dams to be retained after mine closure – make safe and minor earthworks. Lake Leghorn. </t>
  </si>
  <si>
    <t xml:space="preserve">No change in quantity in 2024 review. Provision to rehabilitate embankments.  </t>
  </si>
  <si>
    <t xml:space="preserve">Drain and remove contaminated sediments from the floor of the dam to enable it to be converted into clean water structure (haul distance &lt;1km). Lake Leghorn. </t>
  </si>
  <si>
    <t xml:space="preserve">No change in quantity in 2024 review.  Assume 1 m of contaminated sediment to be removed prior to conversion to clean water structure. </t>
  </si>
  <si>
    <t xml:space="preserve">Drain and remove contaminated sediments from the floor of the dam to enable it to be converted into clean water structure (haul distance &gt;1 km but &lt;2 km). Tailings emplacement area. </t>
  </si>
  <si>
    <t>No change in quantity in 2024 review. Assume 0.5 m of contaminated sediment to be removed prior to conversion to clean water structure.</t>
  </si>
  <si>
    <t>Large clean water dams (i.e. &gt;2ha) to be retained after mine closure – make safe and minor earthworks (tailings emplacement area)</t>
  </si>
  <si>
    <t>No change in quantity in 2024 review. Dams to be retained.</t>
  </si>
  <si>
    <t>Small clean water dams (i.e. &lt; 2ha) to be retained after mine closure – make safe and minor earthworks (P1)</t>
  </si>
  <si>
    <t xml:space="preserve">No change in quantity in 2024 review. New Turkeys Nest dam. Dam to be retained. </t>
  </si>
  <si>
    <t>Miscellaneous sediment dam and drainage works during mine closure works.(Additional Rehabilitation Works)</t>
  </si>
  <si>
    <t>Small clean water dams (i.e. &lt; 2ha) to be retained after mine closure – make safe and minor earthworks (Additional Rehabilitation Works)</t>
  </si>
  <si>
    <t xml:space="preserve">No change in quantity in 2024 review. Dam to be retained. </t>
  </si>
  <si>
    <t>Large clean water dams (i.e. &gt;2ha) to be retained after mine closure – make safe and minor earthworks (Additional Rehabilitation Works)</t>
  </si>
  <si>
    <t>Drain and remove contaminated sediment from the floor of the dam to enable it to be converted into clean water structure (haul distance &gt;5 km) (CampWater Treatment Plant)</t>
  </si>
  <si>
    <t>No change in quantity in 2024 review. Assumes the large dam and 2 small dams at the water treatment plant will remain for the final land-user.  Material will be deposited in evaporation pond area.</t>
  </si>
  <si>
    <t>Small clean water dams (i.e. &lt; 2ha) to be retained after mine closure – make safe and minor earthworks (Other infrastructure)</t>
  </si>
  <si>
    <t xml:space="preserve">D11 - Major bulk pushing to achieve grades nominated in the approval/permit – 50m push length.  </t>
  </si>
  <si>
    <t xml:space="preserve">New line item added in 2024. Assumes 2m fill average depth for dams being rehabilitated at closure. Assumes dam walls being pushed in. </t>
  </si>
  <si>
    <t>New domain added in 2024 review. Covers entire water management domain being rehabilitated at closure.</t>
  </si>
  <si>
    <t>Creek Diversions</t>
  </si>
  <si>
    <t>Long term maintenance of water course diversion – Channel constructed through competent material. Springbok Creek Diversion.</t>
  </si>
  <si>
    <t xml:space="preserve">No change in quantity in 2024 review. Updated to reflect ERC approach - only 30% of diversion requiring maintenance. </t>
  </si>
  <si>
    <t>Long term maintenance of water course diversion – Channel constructed through competent material. Bull Bull Diversions/Bund</t>
  </si>
  <si>
    <t>Long term maintenance of Creek diversion – Channel constructed through competent material. Sandy Creek Diversions</t>
  </si>
  <si>
    <t>Rate provided by site. (Email from Adam Heap)</t>
  </si>
  <si>
    <t>New domain added in 2024 review. Covers entire water management domain being rehabilitated at closure. Assumes 5t/ha.</t>
  </si>
  <si>
    <t xml:space="preserve">Covers all rehabilitation being undertaken (7511.83ha) and completed (662.05 ha) at site, as per domain plan pivot table. </t>
  </si>
  <si>
    <t>N/A</t>
  </si>
  <si>
    <t>Domain 8A - Vent Fans</t>
  </si>
  <si>
    <t>Disconnect and terminate services at remote areas (admin buildings, workshops).</t>
  </si>
  <si>
    <t>Demolition and removal of vent raise fans, electrical substation and winch</t>
  </si>
  <si>
    <t>No change in quantity in 2024 review. 3 Return shafts at OCN.</t>
  </si>
  <si>
    <t>Seal and rehabilitate ventilation shafts</t>
  </si>
  <si>
    <t xml:space="preserve">No change in quantity in 2024 review. 9 ventilation shafts </t>
  </si>
  <si>
    <t>Zeroed as these costs are now captured in other domains.</t>
  </si>
  <si>
    <t>Final trim, rock rake &amp; deep rip</t>
  </si>
  <si>
    <t>Domain 8B - Springbok North MIA</t>
  </si>
  <si>
    <t>Carparks and hardstands - remove bitumen and dispose in onsite void</t>
  </si>
  <si>
    <t xml:space="preserve">Seal drift (width &gt;3m) - backfill the drift for at least 50m against a concrete bulk head with drainage slots. The rate includes some reshaping of batters around the adit entrance. </t>
  </si>
  <si>
    <t>No change in quantity in 2024 review. Three portal entries and one drift into OCN. Each needs sealing.</t>
  </si>
  <si>
    <t>Remove ancillary infrastructure from around the drift</t>
  </si>
  <si>
    <t>Includes 16% escalation for site specific rates in 2014.</t>
  </si>
  <si>
    <t>Domain 8C- Exploration Areas and mining purpose boreholes</t>
  </si>
  <si>
    <t xml:space="preserve">Remove gas pipelines </t>
  </si>
  <si>
    <t xml:space="preserve">No change in quantity in 2024 review. Below ground gas pipelines length from ERC 2020. </t>
  </si>
  <si>
    <t>Remove above ground pipe - supported</t>
  </si>
  <si>
    <t xml:space="preserve">No change in quantity in 2024 review. Above ground gas drainage pipelines. Length from ERC 2020. </t>
  </si>
  <si>
    <t>Bore holes – cap and seal open bore to depth of up to 150m - exploration etc.</t>
  </si>
  <si>
    <t>5.12a</t>
  </si>
  <si>
    <t>No change in quantity in 2024 review. Number from ERC 2020. Includes coal quality, ballast holes, geotechnical and structural holes.</t>
  </si>
  <si>
    <t>Geology Bore holes – cap and seal open bore to depth of greater than 150m - &lt; 300m - exploration etc.</t>
  </si>
  <si>
    <t>5.12b</t>
  </si>
  <si>
    <t xml:space="preserve">No change in quantity in 2024 review. Number from ERC 2020. Includes gas riser, vertical wells, ranging wells, SIS, Goaf,  gas permeability, gas compliance. </t>
  </si>
  <si>
    <t>Gas Drainage holes – cap and seal open bore holes - pre-drainage, SIS etc</t>
  </si>
  <si>
    <t>5.12c</t>
  </si>
  <si>
    <t>No change in quantity in 2024 review. Number from ERC 2020. Includes Piezometer, water flow, dewatering and raw water.</t>
  </si>
  <si>
    <t>Land Management (Rehabilitation, weeds, ferals, erosion &amp; seed)</t>
  </si>
  <si>
    <t>Domain 8D - Watercourses and Landforms</t>
  </si>
  <si>
    <t>Construction of cut throughs to re-establish surface drainage channels.</t>
  </si>
  <si>
    <t>Domain 9E - Subsidence Areas</t>
  </si>
  <si>
    <t>Minor earthworks and maintenance of mine subsidence areas</t>
  </si>
  <si>
    <t>Domain 8E - Other Infrastructure</t>
  </si>
  <si>
    <t>General Infrastructure (centre of mine)</t>
  </si>
  <si>
    <t>Includes 16% escalation for site specific rates in 2014.Provisional sum</t>
  </si>
  <si>
    <t xml:space="preserve">Not required. As per disussions with site. </t>
  </si>
  <si>
    <t>Domain 9D - Clearing Areas</t>
  </si>
  <si>
    <t xml:space="preserve">No change in quantity in 2024 review. Assume required for 25% of all other lands undisturbed excluding area in subsidence.  </t>
  </si>
  <si>
    <t>Domain 9F - Airstrip</t>
  </si>
  <si>
    <t>Amelioration with agricultural lime</t>
  </si>
  <si>
    <t>Domain 9H - Tracks</t>
  </si>
  <si>
    <t>Direct seeding / fertiliser (tree or native grass species).</t>
  </si>
  <si>
    <t>Domain 9J - Additional Rehabilitation Works</t>
  </si>
  <si>
    <t>No change in quantity in 2024 review. Includes areas for buildings, hardstands (excluding Lilyvale substation), soil stockpiles and spoil in this domain.</t>
  </si>
  <si>
    <t>Domain 9M - CampSewage Treatment Plant</t>
  </si>
  <si>
    <t>Domain 9N - CampLandfill</t>
  </si>
  <si>
    <t>Domain 9O - Camp Rehabilitation</t>
  </si>
  <si>
    <t>Maintenance of established rehabilitated areas</t>
  </si>
  <si>
    <t>Whole of Site A - Sundry Items</t>
  </si>
  <si>
    <t>i</t>
  </si>
  <si>
    <t>Removal and disposal of radiation devices</t>
  </si>
  <si>
    <t>each</t>
  </si>
  <si>
    <t>h</t>
  </si>
  <si>
    <t>HAZMAT Clean-up - cleaning and decontaminating plant and equipment, chemical storage locations, oil and grease traps, tanks, vessels, and pipe work etc.</t>
  </si>
  <si>
    <t>Heritage Items</t>
  </si>
  <si>
    <t>j</t>
  </si>
  <si>
    <t>The restoration and care and maintenance of items that have historical significance and are not to be retained after the cessation of mining</t>
  </si>
  <si>
    <t>HR, Admin and Sundry Items</t>
  </si>
  <si>
    <t>a</t>
  </si>
  <si>
    <t>Stakeholder consultation during closure process</t>
  </si>
  <si>
    <t>b</t>
  </si>
  <si>
    <t>Development of a Planned Project Closure Plan</t>
  </si>
  <si>
    <t>12.02a</t>
  </si>
  <si>
    <t>Planned project closure plan</t>
  </si>
  <si>
    <t>n</t>
  </si>
  <si>
    <t>Monitoring borehole installation</t>
  </si>
  <si>
    <t>No change in quantity in 2024 review. Assume 5 monitoring boreholes unless detailed closure planning shows otherwise.</t>
  </si>
  <si>
    <t>Third Party Project Management and Contingencies</t>
  </si>
  <si>
    <t>Mobilisation &amp; Demobilisation (for large demolition specific equipment only)  (Distance to site &gt;500km but &lt;1000km)</t>
  </si>
  <si>
    <t xml:space="preserve">No change in quantity in 2024 review. Assumes mobilisation from Brisbane. </t>
  </si>
  <si>
    <t>Total All Domains</t>
  </si>
  <si>
    <t>Project management and surveying</t>
  </si>
  <si>
    <t>ii</t>
  </si>
  <si>
    <t>Post closure environmental monitoring</t>
  </si>
  <si>
    <t>Monitoring contingency increased to 10% as per 2024 WM schedule of rates</t>
  </si>
  <si>
    <t>iii</t>
  </si>
  <si>
    <t>Contingency</t>
  </si>
  <si>
    <t>Updated to 15% in 2024  (Detailed Planning (PFS) (2-5 years until mine closure)</t>
  </si>
  <si>
    <t>Total + Contingency</t>
  </si>
  <si>
    <t>Holding costs - 5 years during closure execution</t>
  </si>
  <si>
    <t>Holding costs as provied by WM (refer separate tab)</t>
  </si>
  <si>
    <t>Holding costs - 15 years post-closure execution</t>
  </si>
  <si>
    <t>GRAND TOTAL</t>
  </si>
  <si>
    <t>Planned Closure Cost Volumes and Push Lengths Required:</t>
  </si>
  <si>
    <t>Equipment (Dozer)</t>
  </si>
  <si>
    <r>
      <t>Planned closure (</t>
    </r>
    <r>
      <rPr>
        <b/>
        <sz val="12"/>
        <color rgb="FFFF0000"/>
        <rFont val="Calibri"/>
        <family val="2"/>
        <scheme val="minor"/>
      </rPr>
      <t>Active Mining, Pits and Voids</t>
    </r>
    <r>
      <rPr>
        <b/>
        <sz val="12"/>
        <color theme="1"/>
        <rFont val="Calibri"/>
        <family val="2"/>
        <scheme val="minor"/>
      </rPr>
      <t>):</t>
    </r>
  </si>
  <si>
    <t>2024 Volume (m3)</t>
  </si>
  <si>
    <t>Planned Closure Volume (m3)</t>
  </si>
  <si>
    <t xml:space="preserve">Comments </t>
  </si>
  <si>
    <t>P1</t>
  </si>
  <si>
    <t>P2</t>
  </si>
  <si>
    <t>P3</t>
  </si>
  <si>
    <t>P4</t>
  </si>
  <si>
    <t>P5</t>
  </si>
  <si>
    <t>G6</t>
  </si>
  <si>
    <t>A3</t>
  </si>
  <si>
    <t>A4</t>
  </si>
  <si>
    <t>G8</t>
  </si>
  <si>
    <t>G5</t>
  </si>
  <si>
    <t>G3</t>
  </si>
  <si>
    <t>G4</t>
  </si>
  <si>
    <t>G7</t>
  </si>
  <si>
    <t>G9</t>
  </si>
  <si>
    <t>Pit 1 (insert pit name)</t>
  </si>
  <si>
    <t>Pit 2</t>
  </si>
  <si>
    <t>Pit 3</t>
  </si>
  <si>
    <t>Pit 4</t>
  </si>
  <si>
    <t>Pit 5</t>
  </si>
  <si>
    <t>Benches, high wall treatment</t>
  </si>
  <si>
    <t>Drill &amp; blast faces to make safe</t>
  </si>
  <si>
    <t>High wall treatment – (trench and safety berm) no additional works required to establish</t>
  </si>
  <si>
    <t>High wall treatment – (trench and safety berm) with additional treatment of adjacent loose weathered material</t>
  </si>
  <si>
    <t xml:space="preserve">D10  Major bulk  </t>
  </si>
  <si>
    <t xml:space="preserve">50m push length.  </t>
  </si>
  <si>
    <t>50m-100m push length</t>
  </si>
  <si>
    <t>100m-150m push length</t>
  </si>
  <si>
    <t>150m - 200 m push length</t>
  </si>
  <si>
    <t>200m - 300 m push length</t>
  </si>
  <si>
    <t>&gt;300 m push length</t>
  </si>
  <si>
    <t xml:space="preserve">Use load and haul for distances greater than 300m. </t>
  </si>
  <si>
    <t xml:space="preserve">D11  Major bulk  </t>
  </si>
  <si>
    <r>
      <t>Planned closure (</t>
    </r>
    <r>
      <rPr>
        <b/>
        <sz val="12"/>
        <color rgb="FFFF0000"/>
        <rFont val="Calibri"/>
        <family val="2"/>
        <scheme val="minor"/>
      </rPr>
      <t>Overburden/Waste Emplacement Areas</t>
    </r>
    <r>
      <rPr>
        <b/>
        <sz val="12"/>
        <color theme="1"/>
        <rFont val="Calibri"/>
        <family val="2"/>
        <scheme val="minor"/>
      </rPr>
      <t>):</t>
    </r>
  </si>
  <si>
    <t>Dump 1 (insert dump name</t>
  </si>
  <si>
    <t>Dump 2</t>
  </si>
  <si>
    <t>Dump 3</t>
  </si>
  <si>
    <t>Dump 4</t>
  </si>
  <si>
    <t>Dump 5</t>
  </si>
  <si>
    <r>
      <t>Planned closure (</t>
    </r>
    <r>
      <rPr>
        <b/>
        <sz val="12"/>
        <color rgb="FFFF0000"/>
        <rFont val="Calibri"/>
        <family val="2"/>
        <scheme val="minor"/>
      </rPr>
      <t>Tailings Dams</t>
    </r>
    <r>
      <rPr>
        <b/>
        <sz val="12"/>
        <color theme="1"/>
        <rFont val="Calibri"/>
        <family val="2"/>
        <scheme val="minor"/>
      </rPr>
      <t xml:space="preserve">):
</t>
    </r>
    <r>
      <rPr>
        <b/>
        <i/>
        <sz val="12"/>
        <color theme="1"/>
        <rFont val="Calibri"/>
        <family val="2"/>
        <scheme val="minor"/>
      </rPr>
      <t xml:space="preserve">Assuming material that is placed on the approved cap. Ie. Material to get to final landform, after capping. </t>
    </r>
  </si>
  <si>
    <t>Tailings Dam 1 (insert TD name</t>
  </si>
  <si>
    <t>Tailings Dam 2 (insert TD name</t>
  </si>
  <si>
    <t>Tailings Dam 3 (insert TD name</t>
  </si>
  <si>
    <t>Tailings Dam 4 (insert TD name</t>
  </si>
  <si>
    <t>Tailings Dam 5 (insert TD name</t>
  </si>
  <si>
    <r>
      <rPr>
        <b/>
        <u/>
        <sz val="12"/>
        <color theme="1"/>
        <rFont val="Calibri"/>
        <family val="2"/>
        <scheme val="minor"/>
      </rPr>
      <t>Imminent Closure</t>
    </r>
    <r>
      <rPr>
        <b/>
        <sz val="12"/>
        <color theme="1"/>
        <rFont val="Calibri"/>
        <family val="2"/>
        <scheme val="minor"/>
      </rPr>
      <t xml:space="preserve"> - Volumes and Load and Haul Lengths Required:</t>
    </r>
  </si>
  <si>
    <r>
      <rPr>
        <b/>
        <u/>
        <sz val="12"/>
        <color theme="1"/>
        <rFont val="Calibri"/>
        <family val="2"/>
        <scheme val="minor"/>
      </rPr>
      <t>Planned Closure</t>
    </r>
    <r>
      <rPr>
        <b/>
        <sz val="12"/>
        <color theme="1"/>
        <rFont val="Calibri"/>
        <family val="2"/>
        <scheme val="minor"/>
      </rPr>
      <t xml:space="preserve"> - Volumes and Load and Haul Lengths Required:</t>
    </r>
  </si>
  <si>
    <t>Imminent closure:</t>
  </si>
  <si>
    <t>Haul 1 (m3)</t>
  </si>
  <si>
    <t>Haul 2 (m3)</t>
  </si>
  <si>
    <t>Haul 3 (m3)</t>
  </si>
  <si>
    <t>Total (m3)</t>
  </si>
  <si>
    <t>Comments</t>
  </si>
  <si>
    <t>Planned closure:</t>
  </si>
  <si>
    <t>W6</t>
  </si>
  <si>
    <t>W8</t>
  </si>
  <si>
    <t>W5</t>
  </si>
  <si>
    <t>W3</t>
  </si>
  <si>
    <t>W4</t>
  </si>
  <si>
    <t>W7</t>
  </si>
  <si>
    <t>W9</t>
  </si>
  <si>
    <t>800t fleet - Flat</t>
  </si>
  <si>
    <t>100t fleet - Flat</t>
  </si>
  <si>
    <t>Load and haul 800 t fleet, flat, &lt;1km</t>
  </si>
  <si>
    <t>Load and haul 100 t fleet, flat, &lt;1km</t>
  </si>
  <si>
    <t>Load and haul 800 t fleet, flat, 1-2km</t>
  </si>
  <si>
    <t xml:space="preserve">See the conceptual option4 </t>
  </si>
  <si>
    <t>Load and haul 100 t fleet, flat, 1-2km</t>
  </si>
  <si>
    <t>Load and haul 800 t fleet, flat, 2-5km</t>
  </si>
  <si>
    <t>Load and haul 800 t fleet, flat, &gt;5km</t>
  </si>
  <si>
    <t>600t fleet - Flat</t>
  </si>
  <si>
    <t>Load and haul 600 t fleet, flat, &lt;1km</t>
  </si>
  <si>
    <t>Load and haul 600 t fleet, flat, 1-2km</t>
  </si>
  <si>
    <t>Load and haul 600 t fleet, flat, 2-5km</t>
  </si>
  <si>
    <t>Load and haul 600 t fleet, flat, &gt;5km</t>
  </si>
  <si>
    <t>400t fleet - Flat</t>
  </si>
  <si>
    <t>Assumed the smaller Truck and Excavator Fleet will be applied.</t>
  </si>
  <si>
    <t>Load and haul 400 t fleet, flat, 2-5km</t>
  </si>
  <si>
    <t>Load and haul 400 t fleet, flat, &gt;5km</t>
  </si>
  <si>
    <t xml:space="preserve">800 t fleet - 50m Elevation </t>
  </si>
  <si>
    <t>Load and haul 800 t fleet, 50m Elevation, &lt;1km</t>
  </si>
  <si>
    <t>Load and haul 800 t fleet, 50m Elevation, &lt;1-2km</t>
  </si>
  <si>
    <t>Load and haul 800 t fleet, 50m Elevation, 2-5km</t>
  </si>
  <si>
    <t>Load and haul 800 t fleet, 50m Elevation, &gt;5km</t>
  </si>
  <si>
    <t xml:space="preserve">600 t fleet - 50m Elevation </t>
  </si>
  <si>
    <t>Load and haul 600 t fleet, 50m Elevation, &lt;1km</t>
  </si>
  <si>
    <t>Load and haul 600 t fleet, 50m Elevation, &lt;1-2km</t>
  </si>
  <si>
    <t>Load and haul 600 t fleet, 50m Elevation, 2-5km</t>
  </si>
  <si>
    <t>Load and haul 600 t fleet, 50m Elevation, &gt;5km</t>
  </si>
  <si>
    <t xml:space="preserve">400 t fleet - 50m Elevation </t>
  </si>
  <si>
    <t>Load and haul 400 t fleet, 50m Elevation, &lt;1km</t>
  </si>
  <si>
    <t>Load and haul 400 t fleet, 50m Elevation, &lt;1-2km</t>
  </si>
  <si>
    <t>Load and haul 400 t fleet, 50m Elevation, 2-5km</t>
  </si>
  <si>
    <t>Load and haul 400 t fleet, 50m Elevation, &gt;5km</t>
  </si>
  <si>
    <t xml:space="preserve">800 t fleet - 100m Elevation </t>
  </si>
  <si>
    <t>Load and haul 800 t fleet, 100m Elevation, &lt;1km</t>
  </si>
  <si>
    <t>Load and haul 800 t fleet, 100m Elevation, &lt;1-2km</t>
  </si>
  <si>
    <t>Load and haul 800 t fleet, 100m Elevation, 2-5km</t>
  </si>
  <si>
    <t>Load and haul 800 t fleet, 100m Elevation, &gt;5km</t>
  </si>
  <si>
    <t xml:space="preserve">600 t fleet - 100m Elevation </t>
  </si>
  <si>
    <t>Load and haul 600 t fleet, 100m Elevation, &lt;1km</t>
  </si>
  <si>
    <t>Load and haul 600 t fleet, 100m Elevation, &lt;1-2km</t>
  </si>
  <si>
    <t>Load and haul 600 t fleet, 100m Elevation, 2-5km</t>
  </si>
  <si>
    <t>Load and haul 600 t fleet, 100m Elevation, &gt;5km</t>
  </si>
  <si>
    <t xml:space="preserve">400 t fleet -100m Elevation </t>
  </si>
  <si>
    <t>Load and haul 400 t fleet, 100m Elevation, &lt;1km</t>
  </si>
  <si>
    <t>Load and haul 400 t fleet, 100m Elevation, &lt;1-2km</t>
  </si>
  <si>
    <t>Load and haul 400 t fleet, 100m Elevation, 2-5km</t>
  </si>
  <si>
    <t>Load and haul 400 t fleet, 100m Elevation, &gt;5km</t>
  </si>
  <si>
    <t xml:space="preserve"> Fleet Definitions</t>
  </si>
  <si>
    <t>Fleet Cost ($/bcm) derived on the following basis:
Nominal Dig Fleet Combinations: 800t Digger/300t Truck, 600t Digger/220t Truck, 400t Digger/190t Truck
Assumed 30% min Pass Match to optimise Full Bucket/Full Truck and define non-haul duration
Travel Time assumes 40 km/hr Equivalent Flat Haul Speed, EQF distance calculated from straight line distance and elevation change from WM reference site haul model.
Additional operating costs included in unit rates = Dozer @ 1.6hrs per dig hour, Grader/Water Truck @ 0.1 Hrs per Truck Hour, Supervision @ $0.15/bcm</t>
  </si>
  <si>
    <t>2024 YTD</t>
  </si>
  <si>
    <t>2024 Fcst</t>
  </si>
  <si>
    <t>Holding</t>
  </si>
  <si>
    <t>Execution 5 yr</t>
  </si>
  <si>
    <t>Post execution (15 yr)</t>
  </si>
  <si>
    <t>Total holding</t>
  </si>
  <si>
    <t>yr 1</t>
  </si>
  <si>
    <t>yr 2</t>
  </si>
  <si>
    <t>yr 3</t>
  </si>
  <si>
    <t>yr 4</t>
  </si>
  <si>
    <t>yr 5</t>
  </si>
  <si>
    <t>yr 6</t>
  </si>
  <si>
    <t>yr 7</t>
  </si>
  <si>
    <t>yr 8</t>
  </si>
  <si>
    <t>yr 9</t>
  </si>
  <si>
    <t>yr 10</t>
  </si>
  <si>
    <t>yr 11</t>
  </si>
  <si>
    <t>yr 12</t>
  </si>
  <si>
    <t>yr 13</t>
  </si>
  <si>
    <t>yr 14</t>
  </si>
  <si>
    <t>yr 15</t>
  </si>
  <si>
    <t>520110 | Technical Consulting Recharge</t>
  </si>
  <si>
    <t>540320 | Bank Charges</t>
  </si>
  <si>
    <t>540410 | Council Rates</t>
  </si>
  <si>
    <t>540450 | Land Tax</t>
  </si>
  <si>
    <t>Town maintenance</t>
  </si>
  <si>
    <t>540460 | Licences  / Permits / Registrations</t>
  </si>
  <si>
    <t>540470 | Mine Subsidence Levy</t>
  </si>
  <si>
    <t>540480 | Mines Rescue Levy</t>
  </si>
  <si>
    <t>540510 | Insurance</t>
  </si>
  <si>
    <t>540620 | Legal Expenses - Tax Deductible</t>
  </si>
  <si>
    <t>540760 | Shared Services Fee</t>
  </si>
  <si>
    <t>WM Mine Closure Rates</t>
  </si>
  <si>
    <t>#</t>
  </si>
  <si>
    <t>WM 2024 Rate</t>
  </si>
  <si>
    <t>Activity</t>
  </si>
  <si>
    <t>Demo</t>
  </si>
  <si>
    <t>Disconnect and terminate services at remote areas (admin buildings, workshops)</t>
  </si>
  <si>
    <t>Removal of power lines (this includes disconnection, rolling up the wires and removing the poles).  It does not include the removal of substations.</t>
  </si>
  <si>
    <t>Removal of &gt;66kV power lines (this includes disconnection, rolling up the wires and removing the poles).  It does not include the removal of substations.</t>
  </si>
  <si>
    <t>1.05a</t>
  </si>
  <si>
    <r>
      <t xml:space="preserve">Remove </t>
    </r>
    <r>
      <rPr>
        <b/>
        <sz val="8"/>
        <rFont val="Arial"/>
        <family val="2"/>
      </rPr>
      <t>small</t>
    </r>
    <r>
      <rPr>
        <sz val="8"/>
        <rFont val="Arial"/>
        <family val="2"/>
      </rPr>
      <t xml:space="preserve"> rail, road, water course overpass - smaller structure with minimal civil works</t>
    </r>
  </si>
  <si>
    <t>Item</t>
  </si>
  <si>
    <t>1.05b</t>
  </si>
  <si>
    <r>
      <t xml:space="preserve">Remove </t>
    </r>
    <r>
      <rPr>
        <b/>
        <sz val="8"/>
        <rFont val="Arial"/>
        <family val="2"/>
      </rPr>
      <t>medium</t>
    </r>
    <r>
      <rPr>
        <sz val="8"/>
        <rFont val="Arial"/>
        <family val="2"/>
      </rPr>
      <t xml:space="preserve"> rail, road, water course overpass - medium structure with minimal civil works</t>
    </r>
  </si>
  <si>
    <t>1.05c</t>
  </si>
  <si>
    <r>
      <t xml:space="preserve">Remove </t>
    </r>
    <r>
      <rPr>
        <b/>
        <sz val="8"/>
        <rFont val="Arial"/>
        <family val="2"/>
      </rPr>
      <t>large/significant</t>
    </r>
    <r>
      <rPr>
        <sz val="8"/>
        <rFont val="Arial"/>
        <family val="2"/>
      </rPr>
      <t xml:space="preserve"> rail, road, water course overpass - large structure with significant water management and civil works</t>
    </r>
  </si>
  <si>
    <t>Demolish and remove switchyard/gas flare plant</t>
  </si>
  <si>
    <t>1.08a</t>
  </si>
  <si>
    <t>Demolish and remove demountable structures on concrete stumps - assumes not being re-used - each</t>
  </si>
  <si>
    <t>Demolish and remove small buildings/tanks (admin buildings, single story accommodation etc.)</t>
  </si>
  <si>
    <t>Demolish and remove light industrial buildings</t>
  </si>
  <si>
    <t>m2/floor</t>
  </si>
  <si>
    <t>Demolish and remove industrial buildings (workshops tyre change and servicing area etc. - not CHPP)</t>
  </si>
  <si>
    <t>Demolish and remove crushers, hoppers, sizing stations, rotary breakers, etc. (include the area of each floor of the structure).</t>
  </si>
  <si>
    <t xml:space="preserve">Demolish and remove stacker or reclaimer (radial or luffing etc.) </t>
  </si>
  <si>
    <t>Remove stacker/reclaimer rails and ballast etc.</t>
  </si>
  <si>
    <t>Collapse, Cut and Remove 5000T coal silo</t>
  </si>
  <si>
    <t>Collapse, Cut and Remove 2000/3000 T coal silo</t>
  </si>
  <si>
    <t>Collapse, Cut and Remove 1250 T coal silo</t>
  </si>
  <si>
    <t>Collapse, Cut and Remove rail loading bins</t>
  </si>
  <si>
    <t>1.20a</t>
  </si>
  <si>
    <t>Demolish and Remove large concrete rail loading bin - and disposal on-site/locally</t>
  </si>
  <si>
    <t>Demolish and remove on-ground conveyors, transfer stations &amp; gantries (scrap only – does not include dismantling for reuse at another site)</t>
  </si>
  <si>
    <t>Demolish and remove elevated conveyors, transfer stations &amp; gantries (scrap only – does not include dismantling for reuse at another site)</t>
  </si>
  <si>
    <t>Demolish reclaim tunnel, cut reo and expose reclaim conveyor, then collapse into the reclaim tunnel void (Does not include excavation to expose reclaim tunnel, removal of conveyor or backfilling void)</t>
  </si>
  <si>
    <t>Remove and demolish conveyor from reclaim tunnel (Does not include excavation and demolition of reclaim tunnel roof)</t>
  </si>
  <si>
    <t>Demolition of reclaim tunnel concrete (Assumes complete removal and dumping in mine pit void)</t>
  </si>
  <si>
    <t>Demolish and remove small tank clean (Thickener etc. 3 - 9 m diameter)</t>
  </si>
  <si>
    <t>Demolish and remove medium tank clean (Thickener etc. 10 - 15 m diameter)</t>
  </si>
  <si>
    <t>Demolish and remove large tank clean (Thickener etc. 15 - 30 m diameter)</t>
  </si>
  <si>
    <t>Demolish and remove extra large tank clean (Thickener etc. &gt;30 m diameter)</t>
  </si>
  <si>
    <t>Demolish and remove tank clean (Thickener etc.) &gt;50 m diameter</t>
  </si>
  <si>
    <t xml:space="preserve">Removal of UG tank &lt;5000L - including pipes, bunds etc. </t>
  </si>
  <si>
    <t>Removal of UG tank 5000L - 15000L - including pipes, bunds etc.</t>
  </si>
  <si>
    <t>Remove small underground pipe (unless approved to be terminated and left in situ)</t>
  </si>
  <si>
    <t>Remove medium underground pipe (unless approved to be terminated and left in situ)</t>
  </si>
  <si>
    <t>Remove large underground pipe (unless approved to be terminated and left in situ)</t>
  </si>
  <si>
    <t>Remove surface pipelines - unsupported</t>
  </si>
  <si>
    <t>Remove pump and pontoon from a large lake or dam including pipes and electrical supply or diesel tank/s</t>
  </si>
  <si>
    <t>Remove pump and pontoon from a small lake or dam including pipes and electrical supply or diesel tank/s</t>
  </si>
  <si>
    <t>Remove bitumen (car park and access roads) for dumping in a void on the site</t>
  </si>
  <si>
    <t>Remove bitumen (airstrip) for dumping in a void on-site</t>
  </si>
  <si>
    <t>Remove concrete pads &amp; footings (&gt;300mm thickness)and dumping in void</t>
  </si>
  <si>
    <t>Crush concrete to make road aggregate - 75mm</t>
  </si>
  <si>
    <t>tonne</t>
  </si>
  <si>
    <t>Crush concrete to make road aggregate - 50mm</t>
  </si>
  <si>
    <t>Crush concrete to make road aggregate - 30mm</t>
  </si>
  <si>
    <t>Remove fence (cyclone/wire fence)</t>
  </si>
  <si>
    <t>Removal of small plastic tanks</t>
  </si>
  <si>
    <t>Demolish and remove communication towers</t>
  </si>
  <si>
    <t>Removal of UG services (power within main gate areas, etc.)</t>
  </si>
  <si>
    <t>Waste disposal to Council landfill - fees (general waste)</t>
  </si>
  <si>
    <t>Waste disposal to Council landfill - fees (industrial demolition / concrete / scrap metal)</t>
  </si>
  <si>
    <t>Rail Infrastructure</t>
  </si>
  <si>
    <t>Remove rail loop and spur, ballast etc.</t>
  </si>
  <si>
    <t>Remove train loading facilities</t>
  </si>
  <si>
    <t>Reshape rail spur and load out areas - does not include topsoil and revegetation</t>
  </si>
  <si>
    <t>Earthworks</t>
  </si>
  <si>
    <t>Unsealed roads / vehicle park-up areas – minor works including deep rip and trim</t>
  </si>
  <si>
    <t>Unsealed roads / access  tracks / vehicle park-up areas with windrows and/or small earthen bunds – minor earthworks and deep rip and trim</t>
  </si>
  <si>
    <t>Unsealed roads / vehicle park-up areas – Minor earthworks, final trim and deep rip, ameliorate and seed (native tree/shrub/grass)</t>
  </si>
  <si>
    <t>Unsealed roads / haul roads / vehicle park-up areas with windrows and/or small earthen bunds – Minor earthworks, final trim and deep rip, ameliorate and seed (pasture grass)</t>
  </si>
  <si>
    <t>Unsealed roads / haul roads / vehicle park-up areas with windrows and/or small earthen bunds – Minor earthworks, final trim and deep rip, ameliorate and seed (native tree/shrub/grass)</t>
  </si>
  <si>
    <t>Load and haul</t>
  </si>
  <si>
    <t>Remove stabilised material (blue metal, aggregate etc.) from roadways and dump in a void on-site (haul distance &lt; 1km)</t>
  </si>
  <si>
    <t>Remove stabilised material (blue metal, aggregate etc.) from roadways and dump in a void on-site (haul distance &gt;1 km but &lt;2 km)</t>
  </si>
  <si>
    <t>Remove stabilised material (blue metal, aggregate etc.) from roadways and dump in a void on-site (haul distance &gt;2 km but &lt;5 km)</t>
  </si>
  <si>
    <t>Remove stabilised material (blue metal, aggregate etc.) from roadways and dump in a void on-site (haul distance &gt;5 km)</t>
  </si>
  <si>
    <t>Contam</t>
  </si>
  <si>
    <t>Contaminated Materials</t>
  </si>
  <si>
    <t>Undertake Phase 1 contamination assessment - assumes potential contamination is localised.  If there are multiple work areas on site, additional studies should be included.</t>
  </si>
  <si>
    <t>4.01a</t>
  </si>
  <si>
    <t>Undertake an intrusive (or Phase 2) site investigation. This accounts for current and historical locations where areas of disturbance are clustered (i.e. located in close proximity and easily accessible such as same MIA, STP and nearby camp, or other areas within ~ 5km).  If there are multiple cluster areas on site, multiple intrusive investigations should be included.</t>
  </si>
  <si>
    <t>Cluster</t>
  </si>
  <si>
    <t>4.01b</t>
  </si>
  <si>
    <t xml:space="preserve">Develop a Remediation Action Plan on sites with large footprints based on outcomes of intrusive investigation including strategies to address contamination exceedances
</t>
  </si>
  <si>
    <t>Removal and disposal of oil contaminated water from bunded areas and sumps</t>
  </si>
  <si>
    <t>L</t>
  </si>
  <si>
    <t>Remove carbonaceous material (spillage or otherwise) from footprint of the CHPP, ROM, Product stockpiles &amp; Roadways (haul distance &lt; 1km)</t>
  </si>
  <si>
    <t>Remove carbonaceous material (spillage or otherwise) from footprint of the CHPP, ROM, Product stockpiles &amp; Roadway (haul distance &gt;2km but &lt;5km)</t>
  </si>
  <si>
    <t>Remove carbonaceous material (spillage or otherwise) from footprint of the CHPP, ROM, Product stockpiles &amp; Roadway (haul distance &gt;5km)</t>
  </si>
  <si>
    <t>Load, cart and disposal of Restricted classified contaminated material off site to a licensed landfill.  Add $50/m3 for cartage from regional areas</t>
  </si>
  <si>
    <t>4.07a</t>
  </si>
  <si>
    <t>Load, cart and dispose of Hazardous classified contaminated material off site to a licensed landfill.  Assumes cartage to a licensed landfill.</t>
  </si>
  <si>
    <t>Load, cart and disposal of Low Level contaminated material off site to a licensed landfill.  Add $50/m3 for cartage to regional landfill</t>
  </si>
  <si>
    <t>Onsite remediation of hydrocarbon contaminated soils (&lt;50m3) - manual land farming</t>
  </si>
  <si>
    <t>Onsite remediation of hydrocarbon contaminated soils (&gt;50m3 but &lt;100m3) - manual land farming</t>
  </si>
  <si>
    <t>Onsite remediation of hydrocarbon contaminated soils (&gt;100m3 but &lt;500m3) - manual land farming</t>
  </si>
  <si>
    <t>Onsite remediation of hydrocarbon contaminated soils (&gt;500m3) - manual land farming</t>
  </si>
  <si>
    <t>Mobilisation of mobile treatment unit for hydrocarbon contaminated soil treatment</t>
  </si>
  <si>
    <t>Onsite remediation of hydrocarbon contaminated soils - using a mobile treatment unit</t>
  </si>
  <si>
    <t xml:space="preserve">
Remove and dispose of asbestos (Single storey structure)
</t>
  </si>
  <si>
    <t xml:space="preserve">
Remove and dispose of asbestos (Double storey structure)
</t>
  </si>
  <si>
    <t>4.17a</t>
  </si>
  <si>
    <t>Waste disposal to Council landfill - fees (asbestos)</t>
  </si>
  <si>
    <t>Removal and disposal of plastic liner (i.e. dam, leach pad etc.)</t>
  </si>
  <si>
    <t>4.19a</t>
  </si>
  <si>
    <t>Removal and remediation of hydrocarbons</t>
  </si>
  <si>
    <r>
      <rPr>
        <b/>
        <u/>
        <sz val="8"/>
        <rFont val="Arial"/>
        <family val="2"/>
      </rPr>
      <t>Medium</t>
    </r>
    <r>
      <rPr>
        <sz val="8"/>
        <rFont val="Arial"/>
        <family val="2"/>
      </rPr>
      <t xml:space="preserve"> HAZMAT Clean-up - cleaning and decontaminating plant and equipment, chemical storage locations, oil and grease traps, tanks, vessels, and pipe work etc.</t>
    </r>
  </si>
  <si>
    <t>4.20a</t>
  </si>
  <si>
    <r>
      <rPr>
        <b/>
        <u/>
        <sz val="8"/>
        <rFont val="Arial"/>
        <family val="2"/>
      </rPr>
      <t>Large</t>
    </r>
    <r>
      <rPr>
        <sz val="8"/>
        <rFont val="Arial"/>
        <family val="2"/>
      </rPr>
      <t xml:space="preserve"> HAZMAT Clean-up - cleaning and decontaminating plant and equipment, chemical storage locations, oil and grease traps, tanks, vessels, and pipe work etc</t>
    </r>
  </si>
  <si>
    <t>Collection, destruction and certification of washery control panels containing Sulfur Hexafluoride ( SF6 )</t>
  </si>
  <si>
    <t xml:space="preserve">Disposal of Firebox AFFF 6% fire fighting foam at certified disposal site </t>
  </si>
  <si>
    <t>kg</t>
  </si>
  <si>
    <t>Mining/sealing</t>
  </si>
  <si>
    <t>5.03a</t>
  </si>
  <si>
    <t>Security fence around steep section of high wall</t>
  </si>
  <si>
    <t>Purchase and erect warning signs</t>
  </si>
  <si>
    <r>
      <t xml:space="preserve">Seal portals / adits (width &gt;3m) – backfill the adit for at least </t>
    </r>
    <r>
      <rPr>
        <b/>
        <sz val="8"/>
        <rFont val="Arial"/>
        <family val="2"/>
      </rPr>
      <t>50 m</t>
    </r>
    <r>
      <rPr>
        <sz val="8"/>
        <rFont val="Arial"/>
        <family val="2"/>
      </rPr>
      <t xml:space="preserve"> against a concrete bulk head with drainage slots.  The rate includes some reshaping of batters around the adit entrance.  If concrete bulk head not required, reduce rate by 25%</t>
    </r>
  </si>
  <si>
    <t>Seal small adits (width &lt;3m) – install concrete plug / plugs metres back from adit and backfill with appropriate material.  The rate includes some reshaping of the batter around the entrance of the adit</t>
  </si>
  <si>
    <t>Seal and rehabilitate ventilation fans shafts - allows for works in a remote location</t>
  </si>
  <si>
    <t>5.08a</t>
  </si>
  <si>
    <t>Shaft filling - includes filling of shafts with stockpiled materials</t>
  </si>
  <si>
    <t>5.08b</t>
  </si>
  <si>
    <t>Demolish ventilation fans</t>
  </si>
  <si>
    <t>Maintenance and monitoring of sealed adits/portals and shafts (5 years)</t>
  </si>
  <si>
    <t>Bore holes – backfill open bore holes with cuttings</t>
  </si>
  <si>
    <t>Bore holes – cap and seal open bore to depth of greater than 150m - &lt; 300m - exploration etc.</t>
  </si>
  <si>
    <t>Bore holes – cap and seal open bore to depth of greater than 300m - exploration etc.</t>
  </si>
  <si>
    <t>Bore holes – cap and seal service boreholes for UG operations</t>
  </si>
  <si>
    <t>Rehab</t>
  </si>
  <si>
    <t>Source, cart and spread topsoil haul distance &lt;1km</t>
  </si>
  <si>
    <t>Source, cart and spread topsoil haul distance &gt;1km but &lt;2km)</t>
  </si>
  <si>
    <t>Source, cart and spread topsoil haul distance &gt;2km but &lt;5km)</t>
  </si>
  <si>
    <t>Source, cart and spread topsoil haul distance &gt;5km</t>
  </si>
  <si>
    <t>Fill dams, voids etc. - Source local material, cart and spread to cap or backfill, cap thickness determined by approval / permit (haul distance &lt;1 km)</t>
  </si>
  <si>
    <t>Fill dams, voids etc. - Source local material, cart and spread to cap or backfill,  cap thickness determined by approval / permit ( haul distance &gt;2km but &lt;5km)</t>
  </si>
  <si>
    <t>Fill dams, voids etc. - Source local material, cart and spread to cap or backfill, cap thickness determined by approval / permit ( haul distance &gt;5km)</t>
  </si>
  <si>
    <t>Bulk push</t>
  </si>
  <si>
    <t>6.08a</t>
  </si>
  <si>
    <t xml:space="preserve">Material movement by dragline </t>
  </si>
  <si>
    <t>Shot-creting cuttings and steep slopes</t>
  </si>
  <si>
    <t>Final trim, rock rake &amp; deep rip (includes minor levelling and landscaping)</t>
  </si>
  <si>
    <t>Deep rip hard stand / lay down areas</t>
  </si>
  <si>
    <t>Planting mature trees (&gt;15cm)</t>
  </si>
  <si>
    <t>Planting tube stock (&lt;15cm)</t>
  </si>
  <si>
    <t>Hydro-seeding with straw mulching and bitumen tack</t>
  </si>
  <si>
    <t>6.16a</t>
  </si>
  <si>
    <t>Hydro-seeding with straw mulching and bitumen tack with pasture seed</t>
  </si>
  <si>
    <t>6.16b</t>
  </si>
  <si>
    <t>Hydromulch - base grade or standard for flat areas that can be irrigated by water cart</t>
  </si>
  <si>
    <t>6.16c</t>
  </si>
  <si>
    <t>Hydromulch - bonded fibre matrix grade for steep areas to stabilise up to 12 months</t>
  </si>
  <si>
    <t>Single application of fertiliser (pasture)</t>
  </si>
  <si>
    <t>Single application of fertiliser (trees)</t>
  </si>
  <si>
    <t>t</t>
  </si>
  <si>
    <t>Spoil amelioration (adding lime etc.)</t>
  </si>
  <si>
    <t>Amelioration with gypsum</t>
  </si>
  <si>
    <t>Amelioration with recycled gypsum</t>
  </si>
  <si>
    <t>Construct no-climb stock fence around rehabilitated areas</t>
  </si>
  <si>
    <t>Construct standard stock fence around rehabilitated areas</t>
  </si>
  <si>
    <t>Supply from external sources virgin excavated natural material (VENM) for filing voids and/or capping etc.</t>
  </si>
  <si>
    <t>Supply from external sources a combination of virgin excavated natural material (VENM) and spoil from large excavation for filing voids and/or capping etc.</t>
  </si>
  <si>
    <t>Clearing and grubbing of trees and vegetation</t>
  </si>
  <si>
    <t>Topsoil stripping</t>
  </si>
  <si>
    <t>Maintenance of Rehabilitated Areas</t>
  </si>
  <si>
    <t>Maintenance of areas that have been shaped and seeded and rehabilitation has been classified as "successful"</t>
  </si>
  <si>
    <t>Pest management on buffer lands, non-disturbed, and rehabilitated areas</t>
  </si>
  <si>
    <t>Land management of undisturbed areas (rehabilitation, weeds, feral animals, erosion and sediment control works)</t>
  </si>
  <si>
    <t>7.04a</t>
  </si>
  <si>
    <t>Crack filling to repair subsidence impacts</t>
  </si>
  <si>
    <t>Create cut-through to re-establish natural water courses/drainage channels following subsidence</t>
  </si>
  <si>
    <t>Existing rehabilitation repair - moderate</t>
  </si>
  <si>
    <t>Existing rehabilitation repair - total failure of landform</t>
  </si>
  <si>
    <t>Bulk Push D10</t>
  </si>
  <si>
    <r>
      <rPr>
        <b/>
        <sz val="8"/>
        <rFont val="Arial"/>
        <family val="2"/>
      </rPr>
      <t>D10</t>
    </r>
    <r>
      <rPr>
        <sz val="8"/>
        <rFont val="Arial"/>
        <family val="2"/>
      </rPr>
      <t xml:space="preserve"> - Major bulk pushing to achieve grades nominated in the approval/permit – 50m push length.  </t>
    </r>
  </si>
  <si>
    <r>
      <rPr>
        <b/>
        <sz val="8"/>
        <rFont val="Arial"/>
        <family val="2"/>
      </rPr>
      <t>D10</t>
    </r>
    <r>
      <rPr>
        <sz val="8"/>
        <rFont val="Arial"/>
        <family val="2"/>
      </rPr>
      <t xml:space="preserve"> -Major bulk pushing to achieve grades nominated in the approval/permit – 50m-100m push length</t>
    </r>
  </si>
  <si>
    <r>
      <rPr>
        <b/>
        <sz val="8"/>
        <rFont val="Arial"/>
        <family val="2"/>
      </rPr>
      <t>D10</t>
    </r>
    <r>
      <rPr>
        <sz val="8"/>
        <rFont val="Arial"/>
        <family val="2"/>
      </rPr>
      <t xml:space="preserve"> - Major bulk pushing to achieve grades nominated in the approval/permit – 100m-150m push length</t>
    </r>
  </si>
  <si>
    <r>
      <rPr>
        <b/>
        <sz val="8"/>
        <rFont val="Arial"/>
        <family val="2"/>
      </rPr>
      <t>D10</t>
    </r>
    <r>
      <rPr>
        <sz val="8"/>
        <rFont val="Arial"/>
        <family val="2"/>
      </rPr>
      <t xml:space="preserve"> - Major bulk pushing to achieve grades nominated in the approval/permit -150m - 200 m push length</t>
    </r>
  </si>
  <si>
    <r>
      <rPr>
        <b/>
        <sz val="8"/>
        <rFont val="Arial"/>
        <family val="2"/>
      </rPr>
      <t xml:space="preserve">D10 </t>
    </r>
    <r>
      <rPr>
        <sz val="8"/>
        <rFont val="Arial"/>
        <family val="2"/>
      </rPr>
      <t>-Major bulk pushing to achieve grades nominated in the approval/permit -200m - 400 m push length</t>
    </r>
  </si>
  <si>
    <r>
      <rPr>
        <b/>
        <sz val="8"/>
        <rFont val="Arial"/>
        <family val="2"/>
      </rPr>
      <t xml:space="preserve">D10 - </t>
    </r>
    <r>
      <rPr>
        <sz val="8"/>
        <rFont val="Arial"/>
        <family val="2"/>
      </rPr>
      <t>Major bulk pushing to achieve grades nominated in the approval/permit &gt;400 m push length</t>
    </r>
  </si>
  <si>
    <t>Bulk Push D11</t>
  </si>
  <si>
    <r>
      <rPr>
        <b/>
        <sz val="8"/>
        <rFont val="Arial"/>
        <family val="2"/>
      </rPr>
      <t>D11</t>
    </r>
    <r>
      <rPr>
        <sz val="8"/>
        <rFont val="Arial"/>
        <family val="2"/>
      </rPr>
      <t xml:space="preserve"> - Major bulk pushing to achieve grades nominated in the approval/permit – 50m push length.  </t>
    </r>
  </si>
  <si>
    <r>
      <rPr>
        <b/>
        <sz val="8"/>
        <rFont val="Arial"/>
        <family val="2"/>
      </rPr>
      <t>D11</t>
    </r>
    <r>
      <rPr>
        <sz val="8"/>
        <rFont val="Arial"/>
        <family val="2"/>
      </rPr>
      <t xml:space="preserve"> -Major bulk pushing to achieve grades nominated in the approval/permit – 50m-100m push length</t>
    </r>
  </si>
  <si>
    <r>
      <rPr>
        <b/>
        <sz val="8"/>
        <rFont val="Arial"/>
        <family val="2"/>
      </rPr>
      <t>D11</t>
    </r>
    <r>
      <rPr>
        <sz val="8"/>
        <rFont val="Arial"/>
        <family val="2"/>
      </rPr>
      <t xml:space="preserve"> - Major bulk pushing to achieve grades nominated in the approval/permit – 100m-150m push length</t>
    </r>
  </si>
  <si>
    <r>
      <rPr>
        <b/>
        <sz val="8"/>
        <rFont val="Arial"/>
        <family val="2"/>
      </rPr>
      <t>D11</t>
    </r>
    <r>
      <rPr>
        <sz val="8"/>
        <rFont val="Arial"/>
        <family val="2"/>
      </rPr>
      <t xml:space="preserve"> - Major bulk pushing to achieve grades nominated in the approval/permit -150m - 200 m push length</t>
    </r>
  </si>
  <si>
    <t>8.05a</t>
  </si>
  <si>
    <r>
      <rPr>
        <b/>
        <sz val="8"/>
        <rFont val="Arial"/>
        <family val="2"/>
      </rPr>
      <t xml:space="preserve">D11 </t>
    </r>
    <r>
      <rPr>
        <sz val="8"/>
        <rFont val="Arial"/>
        <family val="2"/>
      </rPr>
      <t>-Major bulk pushing to achieve grades nominated in the approval/permit -200m - 400 m push length</t>
    </r>
  </si>
  <si>
    <t>8.06a</t>
  </si>
  <si>
    <r>
      <rPr>
        <b/>
        <sz val="8"/>
        <rFont val="Arial"/>
        <family val="2"/>
      </rPr>
      <t xml:space="preserve">D11 - </t>
    </r>
    <r>
      <rPr>
        <sz val="8"/>
        <rFont val="Arial"/>
        <family val="2"/>
      </rPr>
      <t>Major bulk pushing to achieve grades nominated in the approval/permit &gt;400 m push length</t>
    </r>
  </si>
  <si>
    <t>Tailings Capping - TBC</t>
  </si>
  <si>
    <t>Tailings</t>
  </si>
  <si>
    <r>
      <rPr>
        <b/>
        <u/>
        <sz val="8"/>
        <rFont val="Arial"/>
        <family val="2"/>
      </rPr>
      <t>Ideal Tailings Capping (2m)</t>
    </r>
    <r>
      <rPr>
        <sz val="8"/>
        <rFont val="Arial"/>
        <family val="2"/>
      </rPr>
      <t xml:space="preserve">
Current Dam consolidation (ie. consolidated, partial, no consolidation) – 
consolidated - supports mining equipment
Geochemical Issues issues – No - Assumes no seepage issues require significant aftercare or maintenance. Little chemical reactivity (no to low risk Potential Acid Forming (PAF) / Neutral Mine Drainage (NMD) / Saline Mine Drainage (SMD) and/or low to moderate propensity for spontaneous combustion). Geochemistry adequately managed with cap.
Geotextile spread required? – No
Return haul distance – 1-2km (if longer haul is required see long haulage rates). 
Fleet used for capping - Assumes capping material hauled to tailings area and onto cap mining fleet and D11 shaping.
Capping Depth - Spoil depth approximately 2 m placed with larger earthmoving fleet.  Assumes compaction achieved via traffic.
Design costs – Allows 7% design costs, 12% construction supervision and geotechnical investigation, 30% for contractor indirects </t>
    </r>
  </si>
  <si>
    <t>8.07a</t>
  </si>
  <si>
    <r>
      <rPr>
        <b/>
        <sz val="8"/>
        <rFont val="Arial"/>
        <family val="2"/>
      </rPr>
      <t>Ideal Tailings Capping (3m)</t>
    </r>
    <r>
      <rPr>
        <sz val="8"/>
        <rFont val="Arial"/>
        <family val="2"/>
      </rPr>
      <t xml:space="preserve">
Current Dam consolidation (ie. consolidated, partial, no consolidation) – 
consolidated - supports mining equipment
Geochemical Issues issues – No - Assumes no seepage issues require significant aftercare or maintenance. Little chemical reactivity (no to low risk Potential Acid Forming (PAF) / Neutral Mine Drainage (NMD) / Saline Mine Drainage (SMD) and/or low to moderate propensity for spontaneous combustion). Geochemistry adequately managed with cap.
Geotextile spread required? – No
Return haul distance – 1-2km (if longer haul is required see long haulage rates). 
Fleet used for capping - Assumes capping material hauled to tailings area and onto cap mining fleet and D11 shaping.
Capping Depth - Spoil depth approximately 3 m placed with larger earthmoving fleet.  Assumes compaction achieved via traffic.
Design costs – Allows 7% design costs, 12% construction supervision and geotechnical investigation, 30% for contractor indirects </t>
    </r>
  </si>
  <si>
    <r>
      <rPr>
        <b/>
        <u/>
        <sz val="8"/>
        <color rgb="FFFF0000"/>
        <rFont val="Arial"/>
        <family val="2"/>
      </rPr>
      <t xml:space="preserve">Layered Tailings Capping </t>
    </r>
    <r>
      <rPr>
        <sz val="8"/>
        <rFont val="Arial"/>
        <family val="2"/>
      </rPr>
      <t xml:space="preserve">
Current Dam consolidation (ie. consolidated, partial, no consolidation) – 
tailings rested for between 3 and 5 years, wastes not significantly hydrophilic or holding water, well managed.  First layer to be spread by smaller gear
Geochemical Issues issues – Assumes no seepage issues require significant aftercare or maintenance. Little chemical reactivity (no to low risk Potential Acid Forming (PAF) / Neutral Mine Drainage (NMD) / Saline Mine Drainage (SMD) and/or low to moderate propensity for spontaneous combustion). Geochemistry adequately managed with cap.
Geotextile spread required? – No
Return haul distance – 1-2km (if longer haul is required see long haulage rates). 
Fleet used for capping - Assumes capping hauled to tailings area with larger fleet and onto cap with 30t ADT and D6 push for first layer used.  Second layer with larger civil fleet.
Capping Depth -  Spoil depth average cap thickness of 2 m thickness spread in 2 x 1m layers.  Assumes compaction achieved via traffic.  
Design costs – Allows 5% design costs, 10% construction supervision and geotechnical investigation, 30% for contractor indirects </t>
    </r>
  </si>
  <si>
    <t>8.07c</t>
  </si>
  <si>
    <r>
      <rPr>
        <b/>
        <u/>
        <sz val="8"/>
        <color rgb="FFFF0000"/>
        <rFont val="Arial"/>
        <family val="2"/>
      </rPr>
      <t xml:space="preserve">Multi layer Adverse Tailings Capping </t>
    </r>
    <r>
      <rPr>
        <sz val="8"/>
        <rFont val="Arial"/>
        <family val="2"/>
      </rPr>
      <t xml:space="preserve">
Current Dam consolidation (ie. consolidated, partial, no consolidation) – low shear strength that prohibits economically efficient construction methods. Tailings rested for between 3 and 5 years, wastes not significantly hydrophilic or holding water,
Geochemical Issues issues – moderate chemical reactivity (medium to high risk. Potential Acid Forming (PAF) / Neutral Mine Drainage (NMD) / Saline Mine Drainage (SMD) and/or moderate to high propensity for spontaneous combustion). 
Geotextile spread required? – Yes. 
Return haul distance – 1-2km (if longer haul is required see long haulage rates). 
Fleet used for capping - Assumes capping hauled to tailings area with larger fleet.  First layer with marooka and Dozer D6 LGP. 30t ADT and D6 push for second layer used.  Third layer with larger civil fleet.
Capping Depth -  Spoil depth average cap thickness ranging from  2 m thickness above cap for final landform with larger earthmoving fleet.  Assumes compaction achieved via traffic.
Design costs – Allows 7% design costs, 12% construction supervision and geotechnical investigation, 30% for contractor indirects 
Capping Depth -  Spoil depth 2m thickness above cap spread in layers for final landform with larger earthmoving fleet.  Assumes compaction achieved via traffic.</t>
    </r>
  </si>
  <si>
    <t>8.07d</t>
  </si>
  <si>
    <r>
      <rPr>
        <b/>
        <u/>
        <sz val="8"/>
        <color rgb="FFFF0000"/>
        <rFont val="Arial"/>
        <family val="2"/>
      </rPr>
      <t xml:space="preserve">Difficult Tailings Capping </t>
    </r>
    <r>
      <rPr>
        <b/>
        <u/>
        <sz val="8"/>
        <rFont val="Arial"/>
        <family val="2"/>
      </rPr>
      <t xml:space="preserve">
</t>
    </r>
    <r>
      <rPr>
        <sz val="8"/>
        <rFont val="Arial"/>
        <family val="2"/>
      </rPr>
      <t xml:space="preserve">
Difficult conditons or immediate capping required) - Could be unconsolidated, geochemical issues, 
Current Dam consolidation (ie. consolidated, partial, no consolidation) – weak or soft surfaced tailings facility with poor physical properties. This option can be driven by time constraints. 
Geochemical Issues (potentially)–   high risk Potential Acid Forming (PAF) / Neutral Mine Drainage (NMD) / Saline Mine Drainage (SMD) and/or moderate to high propensity for spontaneous combustion).
Geotextile spread required? – Artificial strengthening is likely required
Return haul distance – 1-2km (if longer haul is required see long haulage rates
Fleet used for capping - Assumes capping hauled to tailings area with larger fleet.  First layer with marooka and Dozer D6 LGP/tracked loader. 30t ADT and D6 push for second layer used.  Third layer with larger civil fleet.
Capping Depth -  Spoil depth greater than 4m thickness above cap for final landform with larger earthmoving fleet.  Assumes compaction achieved via traffic.
Design costs – Allows 10% design costs, 20% construction supervision and geotechnical investigation, 30% for contractor indirects </t>
    </r>
  </si>
  <si>
    <t>Civils</t>
  </si>
  <si>
    <t>Structural works, banks, waterways - contour banks, drainage channels and other soil conservation measures</t>
  </si>
  <si>
    <t>Construction of engineered landform stabilisation works including rock lined drop structures etc.</t>
  </si>
  <si>
    <t>8.10a</t>
  </si>
  <si>
    <t>Import of rock material for constuction of drains etc</t>
  </si>
  <si>
    <t>Construction of water course entry points</t>
  </si>
  <si>
    <t>600t fleet -: Flat</t>
  </si>
  <si>
    <t>Water</t>
  </si>
  <si>
    <t>On-site treatment of contaminated water due to high salt (includes removal of metals etc., brine disposal and cost of mobile water treatment unit)</t>
  </si>
  <si>
    <t>ML</t>
  </si>
  <si>
    <t>On-site treatment of contaminated water due to low pH (incudes removal of metals etc., neutralisation treatments and cost of mobile water treatment unit</t>
  </si>
  <si>
    <t>Small clean water dams (i.e. &lt; 2ha) to be retained after mine closure – make safe and minor earthworks</t>
  </si>
  <si>
    <t>Large clean water dams (i.e. &gt; 2 ha) to be retained after mine closure – make safe and minor earthworks</t>
  </si>
  <si>
    <t>Drain and remove sediments from the floor of the dam/pond prior to backfill or to enable it to be converted into clean water structure (haul distance &lt;1km)</t>
  </si>
  <si>
    <t>Drain and remove sediments from the floor of the dam/pond prior to backfill or to enable it to be converted into clean water structure (haul distance &gt;1km but &lt;2km)</t>
  </si>
  <si>
    <t>Drain and remove sediments from the floor of the dam/pond prior to backfill or to enable it to be converted into clean water structure (haul distance &gt;2km but &lt;5km)</t>
  </si>
  <si>
    <t>Drain and remove sediments from the floor of the dam/pond prior to backfill or to enable it to be converted into clean water structure (haul distance &gt;5km)</t>
  </si>
  <si>
    <t>Removal of evaporation fans and/or other water transfer and management infrastructure</t>
  </si>
  <si>
    <t>Repairs and/or stabilisation of new or compromised water course diversion</t>
  </si>
  <si>
    <t>Long term maintenance of water course diversion – Channel constructed through backfilled material</t>
  </si>
  <si>
    <t>Long term maintenance of water course diversion – Channel constructed through competent material</t>
  </si>
  <si>
    <t>Installation of rock armouring</t>
  </si>
  <si>
    <t>Sundry</t>
  </si>
  <si>
    <t>The restoration and care and maintenance of heritage buildings / items that have local significance</t>
  </si>
  <si>
    <r>
      <t>The restoration and care and maintenance of items that have historical significance -</t>
    </r>
    <r>
      <rPr>
        <b/>
        <u/>
        <sz val="8"/>
        <rFont val="Arial"/>
        <family val="2"/>
      </rPr>
      <t xml:space="preserve"> inspection and documentation of historical heritage items</t>
    </r>
    <r>
      <rPr>
        <sz val="8"/>
        <rFont val="Arial"/>
        <family val="2"/>
      </rPr>
      <t xml:space="preserve"> with no local significance i.e. per farming complex, cluster of historic mine openings, etc.</t>
    </r>
  </si>
  <si>
    <t xml:space="preserve">cluster </t>
  </si>
  <si>
    <r>
      <t xml:space="preserve">The restoration and care and maintenance of items that have historical significance - </t>
    </r>
    <r>
      <rPr>
        <b/>
        <u/>
        <sz val="8"/>
        <rFont val="Arial"/>
        <family val="2"/>
      </rPr>
      <t>artefact placement</t>
    </r>
  </si>
  <si>
    <t>Development of an 'Unplanned' Project Closure Plan for imminent closure - Medium site</t>
  </si>
  <si>
    <t>Development of an 'Planned' Project Closure Plan</t>
  </si>
  <si>
    <t>12.02b</t>
  </si>
  <si>
    <t>Development of an 'Unplanned' Project Closure Plan for imminent closure - Small site</t>
  </si>
  <si>
    <t>12.02c</t>
  </si>
  <si>
    <t>Development of an 'Unplanned' Project Closure Plan for imminent closure - Large site</t>
  </si>
  <si>
    <t>Permits required for mine closure activities</t>
  </si>
  <si>
    <t>Indirects</t>
  </si>
  <si>
    <t>Mobilisation &amp; Demobilisation (Distance to site &lt;150km)</t>
  </si>
  <si>
    <t>item</t>
  </si>
  <si>
    <t>Mobilisation &amp; Demobilisation (Distance to site &gt;150km but &lt;500km)</t>
  </si>
  <si>
    <t>Mobilisation &amp; Demobilisation (Distance to site &gt;500km but &lt;1000km)</t>
  </si>
  <si>
    <t>Mobilisation &amp; Demobilisation (Distance to site &gt;1000km)</t>
  </si>
  <si>
    <t>Post Closure Environmental Monitoring</t>
  </si>
  <si>
    <t>Owners' Project Management and Surveying</t>
  </si>
  <si>
    <t>Holding Costs (costs per year after completion of rehabilitation execution to relinquishment).  Refer holding costs tab</t>
  </si>
  <si>
    <t>Lease and licence Fees</t>
  </si>
  <si>
    <t>Yr.</t>
  </si>
  <si>
    <t>Council rates / property taxes</t>
  </si>
  <si>
    <t>Utilities (electricity, gas, potable water)</t>
  </si>
  <si>
    <t>Obligations relating to ongoing statutory instruments</t>
  </si>
  <si>
    <t>yr.</t>
  </si>
  <si>
    <t>Statutory reporting requirements  (EPL returns, NPI etc.)</t>
  </si>
  <si>
    <t>Town / accommodation camp operating costs</t>
  </si>
  <si>
    <t xml:space="preserve">Site security </t>
  </si>
  <si>
    <t>Legal, consulting and professional fees</t>
  </si>
  <si>
    <t>Access agreements</t>
  </si>
  <si>
    <t>Repairs and maintenance</t>
  </si>
  <si>
    <t xml:space="preserve">Waste management and disposal.  </t>
  </si>
  <si>
    <t>Labour</t>
  </si>
  <si>
    <t>WM recharge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</si>
</sst>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8" formatCode="&quot;$&quot;#,##0.00;[Red]\-&quot;$&quot;#,##0.00"/>
    <numFmt numFmtId="42" formatCode="_-&quot;$&quot;* #,##0_-;\-&quot;$&quot;* #,##0_-;_-&quot;$&quot;* &quot;-&quot;_-;_-@_-"/>
    <numFmt numFmtId="44" formatCode="_-&quot;$&quot;* #,##0.00_-;\-&quot;$&quot;* #,##0.00_-;_-&quot;$&quot;* &quot;-&quot;??_-;_-@_-"/>
    <numFmt numFmtId="43" formatCode="_-* #,##0.00_-;\-* #,##0.00_-;_-* &quot;-&quot;??_-;_-@_-"/>
    <numFmt numFmtId="164" formatCode="_(&quot;$&quot;* #,##0.00_);_(&quot;$&quot;* \(#,##0.00\);_(&quot;$&quot;* &quot;-&quot;??_);_(@_)"/>
    <numFmt numFmtId="165" formatCode="_(* #,##0.00_);_(* \(#,##0.00\);_(* &quot;-&quot;??_);_(@_)"/>
    <numFmt numFmtId="166" formatCode="_-&quot;$&quot;* #,##0_-;\-&quot;$&quot;* #,##0_-;_-&quot;$&quot;* &quot;-&quot;??_-;_-@_-"/>
    <numFmt numFmtId="167" formatCode="&quot;$&quot;#,##0.00"/>
    <numFmt numFmtId="168" formatCode="&quot;$&quot;#,##0"/>
    <numFmt numFmtId="169" formatCode="0.0"/>
    <numFmt numFmtId="170" formatCode="#,##0_);[Red]\(#,##0\);&quot;-  &quot;"/>
    <numFmt numFmtId="171" formatCode="#,##0_)\ \ ;[Red]\(#,##0\)\ \ "/>
    <numFmt numFmtId="172" formatCode="_-[$€-2]* #,##0.00_-;\-[$€-2]* #,##0.00_-;_-[$€-2]* &quot;-&quot;??_-"/>
    <numFmt numFmtId="173" formatCode="_(* #,##0_);_(* \(#,##0\);_(* &quot;-&quot;??_);_(@_)"/>
    <numFmt numFmtId="174" formatCode="_(* #,##0.00_);[Red]_(* \(#,##0.00\);_(* &quot;-&quot;_);_(@_)"/>
    <numFmt numFmtId="175" formatCode="_(* #,##0_);\(* #,##0\)"/>
    <numFmt numFmtId="176" formatCode="[$$-409]#,##0"/>
    <numFmt numFmtId="177" formatCode="_-* #,##0_-;\-* #,##0_-;_-* &quot;-&quot;??_-;_-@_-"/>
    <numFmt numFmtId="178" formatCode="[=0]0;[&lt;100]#,##0.00;#,##0"/>
    <numFmt numFmtId="179" formatCode="_-&quot;$&quot;* #,##0.0_-;\-&quot;$&quot;* #,##0.0_-;_-&quot;$&quot;* &quot;-&quot;?_-;_-@_-"/>
    <numFmt numFmtId="180" formatCode="[=0]0;[&lt;100]#,##0;#,##0"/>
    <numFmt numFmtId="181" formatCode="&quot;$&quot;#,##0.0000"/>
  </numFmts>
  <fonts count="96">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Trebuchet MS"/>
      <family val="2"/>
    </font>
    <font>
      <b/>
      <sz val="8"/>
      <name val="Arial"/>
      <family val="2"/>
    </font>
    <font>
      <sz val="8"/>
      <name val="Arial"/>
      <family val="2"/>
    </font>
    <font>
      <b/>
      <sz val="8"/>
      <color theme="0"/>
      <name val="Arial"/>
      <family val="2"/>
    </font>
    <font>
      <b/>
      <sz val="8"/>
      <name val="Trebuchet MS"/>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name val="Arial"/>
      <family val="2"/>
    </font>
    <font>
      <b/>
      <sz val="10"/>
      <name val="Arial"/>
      <family val="2"/>
    </font>
    <font>
      <b/>
      <sz val="8"/>
      <color indexed="10"/>
      <name val="Arial"/>
      <family val="2"/>
    </font>
    <font>
      <b/>
      <sz val="10"/>
      <color rgb="FFFF0000"/>
      <name val="Arial"/>
      <family val="2"/>
    </font>
    <font>
      <b/>
      <u/>
      <sz val="8"/>
      <name val="Arial"/>
      <family val="2"/>
    </font>
    <font>
      <sz val="11"/>
      <name val="Arial"/>
      <family val="2"/>
    </font>
    <font>
      <u/>
      <sz val="10"/>
      <color indexed="12"/>
      <name val="Arial"/>
      <family val="2"/>
    </font>
    <font>
      <sz val="10"/>
      <name val="Times New Roman"/>
      <family val="1"/>
    </font>
    <font>
      <sz val="12"/>
      <name val="Times New Roman"/>
      <family val="1"/>
    </font>
    <font>
      <sz val="8"/>
      <color indexed="8"/>
      <name val="Arial"/>
      <family val="2"/>
    </font>
    <font>
      <sz val="14"/>
      <name val="Helv"/>
    </font>
    <font>
      <sz val="8"/>
      <color indexed="12"/>
      <name val="Arial"/>
      <family val="2"/>
    </font>
    <font>
      <sz val="8"/>
      <color indexed="14"/>
      <name val="Arial"/>
      <family val="2"/>
    </font>
    <font>
      <sz val="9"/>
      <name val="DUTCH"/>
    </font>
    <font>
      <b/>
      <sz val="10"/>
      <color indexed="8"/>
      <name val="Helv"/>
    </font>
    <font>
      <sz val="10"/>
      <color indexed="8"/>
      <name val="Helv"/>
    </font>
    <font>
      <b/>
      <sz val="12"/>
      <color indexed="8"/>
      <name val="Helv"/>
    </font>
    <font>
      <b/>
      <sz val="14"/>
      <color indexed="8"/>
      <name val="Helv"/>
    </font>
    <font>
      <b/>
      <sz val="7"/>
      <color indexed="14"/>
      <name val="Helv"/>
    </font>
    <font>
      <sz val="8"/>
      <color theme="1"/>
      <name val="Arial"/>
      <family val="2"/>
    </font>
    <font>
      <sz val="10"/>
      <name val="Arial"/>
      <family val="2"/>
    </font>
    <font>
      <sz val="10"/>
      <name val="Arial"/>
      <family val="2"/>
    </font>
    <font>
      <sz val="1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color theme="1"/>
      <name val="Arial"/>
      <family val="2"/>
    </font>
    <font>
      <sz val="11"/>
      <name val="Arial"/>
      <family val="2"/>
    </font>
    <font>
      <b/>
      <sz val="10"/>
      <color theme="0"/>
      <name val="Arial"/>
      <family val="2"/>
    </font>
    <font>
      <b/>
      <sz val="16"/>
      <name val="Arial"/>
      <family val="2"/>
    </font>
    <font>
      <sz val="8"/>
      <name val="Calibri"/>
      <family val="2"/>
      <scheme val="minor"/>
    </font>
    <font>
      <sz val="10"/>
      <name val="Trebuchet MS"/>
      <family val="2"/>
    </font>
    <font>
      <b/>
      <sz val="10"/>
      <name val="Trebuchet MS"/>
      <family val="2"/>
    </font>
    <font>
      <b/>
      <sz val="9"/>
      <color theme="0"/>
      <name val="Arial"/>
      <family val="2"/>
    </font>
    <font>
      <b/>
      <u/>
      <sz val="8"/>
      <color rgb="FFFF0000"/>
      <name val="Arial"/>
      <family val="2"/>
    </font>
    <font>
      <sz val="10"/>
      <color theme="0"/>
      <name val="Arial"/>
      <family val="2"/>
    </font>
    <font>
      <b/>
      <u/>
      <sz val="14"/>
      <color theme="1"/>
      <name val="Calibri"/>
      <family val="2"/>
      <scheme val="minor"/>
    </font>
    <font>
      <b/>
      <sz val="12"/>
      <color theme="1"/>
      <name val="Calibri"/>
      <family val="2"/>
      <scheme val="minor"/>
    </font>
    <font>
      <b/>
      <sz val="12"/>
      <color rgb="FFFF0000"/>
      <name val="Calibri"/>
      <family val="2"/>
      <scheme val="minor"/>
    </font>
    <font>
      <b/>
      <sz val="8"/>
      <color rgb="FFFF0000"/>
      <name val="Arial"/>
      <family val="2"/>
    </font>
    <font>
      <b/>
      <sz val="11"/>
      <color rgb="FFFF0000"/>
      <name val="Calibri"/>
      <family val="2"/>
      <scheme val="minor"/>
    </font>
    <font>
      <b/>
      <i/>
      <sz val="12"/>
      <color theme="1"/>
      <name val="Calibri"/>
      <family val="2"/>
      <scheme val="minor"/>
    </font>
    <font>
      <sz val="14"/>
      <color theme="1"/>
      <name val="Calibri"/>
      <family val="2"/>
      <scheme val="minor"/>
    </font>
    <font>
      <b/>
      <u/>
      <sz val="12"/>
      <color theme="1"/>
      <name val="Calibri"/>
      <family val="2"/>
      <scheme val="minor"/>
    </font>
    <font>
      <b/>
      <sz val="8"/>
      <color theme="1"/>
      <name val="Arial"/>
      <family val="2"/>
    </font>
  </fonts>
  <fills count="76">
    <fill>
      <patternFill patternType="none"/>
    </fill>
    <fill>
      <patternFill patternType="gray125"/>
    </fill>
    <fill>
      <patternFill patternType="solid">
        <fgColor theme="1"/>
        <bgColor indexed="64"/>
      </patternFill>
    </fill>
    <fill>
      <patternFill patternType="solid">
        <fgColor theme="3"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8"/>
        <bgColor indexed="64"/>
      </patternFill>
    </fill>
    <fill>
      <patternFill patternType="solid">
        <fgColor rgb="FFC0C0C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1" tint="0.499984740745262"/>
        <bgColor indexed="64"/>
      </patternFill>
    </fill>
    <fill>
      <patternFill patternType="solid">
        <fgColor rgb="FFFFFF00"/>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0" tint="-0.34998626667073579"/>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bottom style="medium">
        <color indexed="64"/>
      </bottom>
      <diagonal/>
    </border>
    <border>
      <left style="thin">
        <color indexed="64"/>
      </left>
      <right/>
      <top/>
      <bottom style="medium">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right/>
      <top/>
      <bottom style="hair">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thin">
        <color indexed="64"/>
      </top>
      <bottom/>
      <diagonal/>
    </border>
    <border>
      <left style="thin">
        <color theme="4" tint="0.39997558519241921"/>
      </left>
      <right/>
      <top/>
      <bottom/>
      <diagonal/>
    </border>
    <border>
      <left/>
      <right style="thin">
        <color indexed="64"/>
      </right>
      <top style="thin">
        <color indexed="64"/>
      </top>
      <bottom/>
      <diagonal/>
    </border>
    <border>
      <left/>
      <right/>
      <top style="thin">
        <color indexed="64"/>
      </top>
      <bottom style="double">
        <color indexed="64"/>
      </bottom>
      <diagonal/>
    </border>
  </borders>
  <cellStyleXfs count="5320">
    <xf numFmtId="0" fontId="0" fillId="0" borderId="0"/>
    <xf numFmtId="44" fontId="13" fillId="0" borderId="0" applyFont="0" applyFill="0" applyBorder="0" applyAlignment="0" applyProtection="0"/>
    <xf numFmtId="0" fontId="13" fillId="0" borderId="0"/>
    <xf numFmtId="44" fontId="13" fillId="0" borderId="0" applyFont="0" applyFill="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1" fillId="5" borderId="0" applyNumberFormat="0" applyBorder="0" applyAlignment="0" applyProtection="0"/>
    <xf numFmtId="0" fontId="21" fillId="5" borderId="0" applyNumberFormat="0" applyBorder="0" applyAlignment="0" applyProtection="0"/>
    <xf numFmtId="0" fontId="21" fillId="5" borderId="0" applyNumberFormat="0" applyBorder="0" applyAlignment="0" applyProtection="0"/>
    <xf numFmtId="0" fontId="22" fillId="22" borderId="5" applyNumberFormat="0" applyAlignment="0" applyProtection="0"/>
    <xf numFmtId="0" fontId="22" fillId="22" borderId="5" applyNumberFormat="0" applyAlignment="0" applyProtection="0"/>
    <xf numFmtId="0" fontId="22" fillId="22" borderId="5" applyNumberFormat="0" applyAlignment="0" applyProtection="0"/>
    <xf numFmtId="0" fontId="23" fillId="23" borderId="6" applyNumberFormat="0" applyAlignment="0" applyProtection="0"/>
    <xf numFmtId="0" fontId="23" fillId="23" borderId="6" applyNumberFormat="0" applyAlignment="0" applyProtection="0"/>
    <xf numFmtId="0" fontId="23" fillId="23" borderId="6" applyNumberFormat="0" applyAlignment="0" applyProtection="0"/>
    <xf numFmtId="44" fontId="13" fillId="0" borderId="0" applyFont="0" applyFill="0" applyBorder="0" applyAlignment="0" applyProtection="0"/>
    <xf numFmtId="44" fontId="13"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6" fillId="0" borderId="7" applyNumberFormat="0" applyFill="0" applyAlignment="0" applyProtection="0"/>
    <xf numFmtId="0" fontId="26" fillId="0" borderId="7" applyNumberFormat="0" applyFill="0" applyAlignment="0" applyProtection="0"/>
    <xf numFmtId="0" fontId="26" fillId="0" borderId="7" applyNumberFormat="0" applyFill="0" applyAlignment="0" applyProtection="0"/>
    <xf numFmtId="0" fontId="27" fillId="0" borderId="8" applyNumberFormat="0" applyFill="0" applyAlignment="0" applyProtection="0"/>
    <xf numFmtId="0" fontId="27" fillId="0" borderId="8" applyNumberFormat="0" applyFill="0" applyAlignment="0" applyProtection="0"/>
    <xf numFmtId="0" fontId="27" fillId="0" borderId="8"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9" borderId="5" applyNumberFormat="0" applyAlignment="0" applyProtection="0"/>
    <xf numFmtId="0" fontId="29" fillId="9" borderId="5" applyNumberFormat="0" applyAlignment="0" applyProtection="0"/>
    <xf numFmtId="0" fontId="29" fillId="9" borderId="5" applyNumberFormat="0" applyAlignment="0" applyProtection="0"/>
    <xf numFmtId="0" fontId="30" fillId="0" borderId="10" applyNumberFormat="0" applyFill="0" applyAlignment="0" applyProtection="0"/>
    <xf numFmtId="0" fontId="30" fillId="0" borderId="10" applyNumberFormat="0" applyFill="0" applyAlignment="0" applyProtection="0"/>
    <xf numFmtId="0" fontId="30" fillId="0" borderId="10" applyNumberFormat="0" applyFill="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3"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25" borderId="11" applyNumberFormat="0" applyFont="0" applyAlignment="0" applyProtection="0"/>
    <xf numFmtId="0" fontId="13" fillId="25" borderId="11" applyNumberFormat="0" applyFont="0" applyAlignment="0" applyProtection="0"/>
    <xf numFmtId="0" fontId="13" fillId="25" borderId="11" applyNumberFormat="0" applyFont="0" applyAlignment="0" applyProtection="0"/>
    <xf numFmtId="0" fontId="13" fillId="25" borderId="11" applyNumberFormat="0" applyFont="0" applyAlignment="0" applyProtection="0"/>
    <xf numFmtId="0" fontId="13" fillId="25" borderId="11" applyNumberFormat="0" applyFont="0" applyAlignment="0" applyProtection="0"/>
    <xf numFmtId="0" fontId="13" fillId="25" borderId="11" applyNumberFormat="0" applyFont="0" applyAlignment="0" applyProtection="0"/>
    <xf numFmtId="0" fontId="13" fillId="25" borderId="11" applyNumberFormat="0" applyFont="0" applyAlignment="0" applyProtection="0"/>
    <xf numFmtId="0" fontId="13" fillId="25" borderId="11" applyNumberFormat="0" applyFont="0" applyAlignment="0" applyProtection="0"/>
    <xf numFmtId="0" fontId="13" fillId="25" borderId="11" applyNumberFormat="0" applyFont="0" applyAlignment="0" applyProtection="0"/>
    <xf numFmtId="0" fontId="33" fillId="22" borderId="12" applyNumberFormat="0" applyAlignment="0" applyProtection="0"/>
    <xf numFmtId="0" fontId="33" fillId="22" borderId="12" applyNumberFormat="0" applyAlignment="0" applyProtection="0"/>
    <xf numFmtId="0" fontId="33" fillId="22" borderId="12"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13" applyNumberFormat="0" applyFill="0" applyAlignment="0" applyProtection="0"/>
    <xf numFmtId="0" fontId="35" fillId="0" borderId="13" applyNumberFormat="0" applyFill="0" applyAlignment="0" applyProtection="0"/>
    <xf numFmtId="0" fontId="35" fillId="0" borderId="13"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13" fillId="0" borderId="0"/>
    <xf numFmtId="44" fontId="13" fillId="0" borderId="0" applyFont="0" applyFill="0" applyBorder="0" applyAlignment="0" applyProtection="0"/>
    <xf numFmtId="0" fontId="13" fillId="0" borderId="0"/>
    <xf numFmtId="9" fontId="13" fillId="0" borderId="0" applyFont="0" applyFill="0" applyBorder="0" applyAlignment="0" applyProtection="0"/>
    <xf numFmtId="0" fontId="42"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0" fontId="11"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 fontId="13" fillId="0" borderId="0"/>
    <xf numFmtId="43" fontId="11" fillId="0" borderId="0" applyFont="0" applyFill="0" applyBorder="0" applyAlignment="0" applyProtection="0"/>
    <xf numFmtId="3" fontId="13" fillId="0" borderId="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3" fillId="0" borderId="0"/>
    <xf numFmtId="0" fontId="13" fillId="0" borderId="0"/>
    <xf numFmtId="0" fontId="13" fillId="0" borderId="0"/>
    <xf numFmtId="0" fontId="13" fillId="0" borderId="0"/>
    <xf numFmtId="0" fontId="11"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 fontId="13" fillId="0" borderId="0"/>
    <xf numFmtId="43" fontId="11" fillId="0" borderId="0" applyFont="0" applyFill="0" applyBorder="0" applyAlignment="0" applyProtection="0"/>
    <xf numFmtId="3" fontId="13" fillId="0" borderId="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3" fillId="0" borderId="0"/>
    <xf numFmtId="0" fontId="13" fillId="0" borderId="0"/>
    <xf numFmtId="0" fontId="13" fillId="0" borderId="0"/>
    <xf numFmtId="0" fontId="13" fillId="0" borderId="0"/>
    <xf numFmtId="0" fontId="11"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11" fillId="0" borderId="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1" fillId="0" borderId="0" applyFont="0" applyFill="0" applyBorder="0" applyAlignment="0" applyProtection="0"/>
    <xf numFmtId="44" fontId="13" fillId="0" borderId="0" applyFont="0" applyFill="0" applyBorder="0" applyAlignment="0" applyProtection="0"/>
    <xf numFmtId="44" fontId="13" fillId="0" borderId="0"/>
    <xf numFmtId="44" fontId="1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2" fontId="13" fillId="0" borderId="0"/>
    <xf numFmtId="0" fontId="11" fillId="0" borderId="0"/>
    <xf numFmtId="9"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43" fontId="13" fillId="0" borderId="0" applyFont="0" applyFill="0" applyBorder="0" applyAlignment="0" applyProtection="0"/>
    <xf numFmtId="9" fontId="1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11" fillId="0" borderId="0"/>
    <xf numFmtId="9" fontId="11"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32" fillId="0" borderId="0"/>
    <xf numFmtId="0" fontId="32" fillId="0" borderId="0"/>
    <xf numFmtId="0" fontId="32"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32" fillId="0" borderId="0"/>
    <xf numFmtId="43" fontId="11" fillId="0" borderId="0" applyFont="0" applyFill="0" applyBorder="0" applyAlignment="0" applyProtection="0"/>
    <xf numFmtId="0" fontId="13" fillId="0" borderId="0"/>
    <xf numFmtId="170" fontId="44" fillId="0" borderId="0"/>
    <xf numFmtId="171" fontId="45" fillId="0" borderId="0"/>
    <xf numFmtId="39" fontId="46" fillId="0" borderId="23">
      <protection locked="0"/>
    </xf>
    <xf numFmtId="0" fontId="47" fillId="0" borderId="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0" fontId="39" fillId="0" borderId="15" applyNumberFormat="0" applyFill="0" applyBorder="0" applyAlignment="0" applyProtection="0">
      <alignment horizontal="left"/>
    </xf>
    <xf numFmtId="0" fontId="47" fillId="0" borderId="0"/>
    <xf numFmtId="0" fontId="47" fillId="0" borderId="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2" fontId="13" fillId="0" borderId="0" applyFont="0" applyFill="0" applyBorder="0" applyAlignment="0" applyProtection="0"/>
    <xf numFmtId="173" fontId="48" fillId="0" borderId="23" applyNumberFormat="0" applyFill="0" applyBorder="0" applyAlignment="0" applyProtection="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4" fontId="13" fillId="0" borderId="0"/>
    <xf numFmtId="173" fontId="49" fillId="0" borderId="23" applyNumberFormat="0" applyFill="0" applyBorder="0" applyAlignment="0" applyProtection="0"/>
    <xf numFmtId="0" fontId="47" fillId="0" borderId="0"/>
    <xf numFmtId="0" fontId="47"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0"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xf numFmtId="0" fontId="13" fillId="0" borderId="0"/>
    <xf numFmtId="0" fontId="50" fillId="0" borderId="0"/>
    <xf numFmtId="0" fontId="13" fillId="0" borderId="0"/>
    <xf numFmtId="175" fontId="51" fillId="0" borderId="40"/>
    <xf numFmtId="175" fontId="52" fillId="0" borderId="4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51" fillId="0" borderId="0"/>
    <xf numFmtId="0" fontId="53" fillId="0" borderId="0"/>
    <xf numFmtId="0" fontId="54" fillId="0" borderId="0"/>
    <xf numFmtId="0" fontId="52" fillId="0" borderId="0"/>
    <xf numFmtId="0" fontId="55" fillId="0" borderId="0"/>
    <xf numFmtId="0" fontId="13" fillId="0" borderId="0"/>
    <xf numFmtId="0" fontId="13" fillId="0" borderId="0"/>
    <xf numFmtId="0" fontId="10" fillId="0" borderId="0"/>
    <xf numFmtId="44" fontId="10" fillId="0" borderId="0" applyFont="0" applyFill="0" applyBorder="0" applyAlignment="0" applyProtection="0"/>
    <xf numFmtId="0" fontId="10" fillId="0" borderId="0"/>
    <xf numFmtId="0" fontId="10" fillId="0" borderId="0"/>
    <xf numFmtId="0" fontId="13" fillId="0" borderId="0"/>
    <xf numFmtId="0" fontId="10" fillId="0" borderId="0"/>
    <xf numFmtId="0" fontId="13" fillId="0" borderId="0"/>
    <xf numFmtId="44" fontId="13" fillId="0" borderId="0" applyFont="0" applyFill="0" applyBorder="0" applyAlignment="0" applyProtection="0"/>
    <xf numFmtId="0" fontId="13" fillId="0" borderId="0"/>
    <xf numFmtId="0" fontId="10" fillId="0" borderId="0"/>
    <xf numFmtId="0" fontId="10" fillId="0" borderId="0"/>
    <xf numFmtId="0" fontId="10" fillId="0" borderId="0"/>
    <xf numFmtId="0" fontId="13" fillId="0" borderId="0"/>
    <xf numFmtId="0" fontId="10" fillId="0" borderId="0"/>
    <xf numFmtId="44" fontId="13"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32" fillId="0" borderId="0"/>
    <xf numFmtId="0" fontId="3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xf numFmtId="4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8" fillId="0" borderId="0"/>
    <xf numFmtId="0" fontId="58" fillId="0" borderId="0"/>
    <xf numFmtId="0" fontId="58" fillId="0" borderId="0"/>
    <xf numFmtId="0" fontId="58" fillId="0" borderId="0"/>
    <xf numFmtId="0" fontId="58" fillId="0" borderId="0"/>
    <xf numFmtId="44" fontId="9" fillId="0" borderId="0" applyFont="0" applyFill="0" applyBorder="0" applyAlignment="0" applyProtection="0"/>
    <xf numFmtId="0" fontId="9" fillId="0" borderId="0"/>
    <xf numFmtId="9" fontId="9" fillId="0" borderId="0" applyFont="0" applyFill="0" applyBorder="0" applyAlignment="0" applyProtection="0"/>
    <xf numFmtId="44"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8" fillId="0" borderId="0"/>
    <xf numFmtId="0" fontId="9" fillId="0" borderId="0"/>
    <xf numFmtId="0" fontId="9" fillId="0" borderId="0"/>
    <xf numFmtId="0" fontId="9" fillId="0" borderId="0"/>
    <xf numFmtId="44" fontId="9" fillId="0" borderId="0" applyFont="0" applyFill="0" applyBorder="0" applyAlignment="0" applyProtection="0"/>
    <xf numFmtId="0" fontId="9" fillId="0" borderId="0"/>
    <xf numFmtId="9" fontId="9" fillId="0" borderId="0" applyFont="0" applyFill="0" applyBorder="0" applyAlignment="0" applyProtection="0"/>
    <xf numFmtId="0" fontId="32" fillId="0" borderId="0"/>
    <xf numFmtId="0" fontId="9" fillId="0" borderId="0"/>
    <xf numFmtId="0" fontId="32"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8" fillId="0" borderId="0"/>
    <xf numFmtId="0" fontId="58" fillId="0" borderId="0"/>
    <xf numFmtId="0" fontId="58" fillId="0" borderId="0"/>
    <xf numFmtId="0" fontId="58" fillId="0" borderId="0"/>
    <xf numFmtId="44" fontId="8" fillId="0" borderId="0" applyFont="0" applyFill="0" applyBorder="0" applyAlignment="0" applyProtection="0"/>
    <xf numFmtId="0" fontId="8" fillId="0" borderId="0"/>
    <xf numFmtId="9" fontId="8" fillId="0" borderId="0" applyFont="0" applyFill="0" applyBorder="0" applyAlignment="0" applyProtection="0"/>
    <xf numFmtId="44"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8" fillId="0" borderId="0"/>
    <xf numFmtId="0" fontId="58" fillId="0" borderId="0"/>
    <xf numFmtId="0" fontId="58" fillId="0" borderId="0"/>
    <xf numFmtId="0" fontId="58" fillId="0" borderId="0"/>
    <xf numFmtId="0" fontId="7" fillId="0" borderId="0"/>
    <xf numFmtId="0" fontId="58" fillId="0" borderId="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7" fillId="0" borderId="0"/>
    <xf numFmtId="0" fontId="13" fillId="0" borderId="0"/>
    <xf numFmtId="0" fontId="7" fillId="0" borderId="0"/>
    <xf numFmtId="0" fontId="58" fillId="0" borderId="0"/>
    <xf numFmtId="0" fontId="59" fillId="0" borderId="0"/>
    <xf numFmtId="9" fontId="7"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0" fontId="60" fillId="0" borderId="0" applyNumberFormat="0" applyFill="0" applyBorder="0" applyAlignment="0" applyProtection="0"/>
    <xf numFmtId="0" fontId="61" fillId="0" borderId="43" applyNumberFormat="0" applyFill="0" applyAlignment="0" applyProtection="0"/>
    <xf numFmtId="0" fontId="62" fillId="0" borderId="44" applyNumberFormat="0" applyFill="0" applyAlignment="0" applyProtection="0"/>
    <xf numFmtId="0" fontId="63" fillId="0" borderId="45" applyNumberFormat="0" applyFill="0" applyAlignment="0" applyProtection="0"/>
    <xf numFmtId="0" fontId="63" fillId="0" borderId="0" applyNumberFormat="0" applyFill="0" applyBorder="0" applyAlignment="0" applyProtection="0"/>
    <xf numFmtId="0" fontId="64" fillId="33" borderId="0" applyNumberFormat="0" applyBorder="0" applyAlignment="0" applyProtection="0"/>
    <xf numFmtId="0" fontId="65" fillId="34" borderId="0" applyNumberFormat="0" applyBorder="0" applyAlignment="0" applyProtection="0"/>
    <xf numFmtId="0" fontId="66" fillId="35" borderId="0" applyNumberFormat="0" applyBorder="0" applyAlignment="0" applyProtection="0"/>
    <xf numFmtId="0" fontId="67" fillId="36" borderId="46" applyNumberFormat="0" applyAlignment="0" applyProtection="0"/>
    <xf numFmtId="0" fontId="68" fillId="37" borderId="47" applyNumberFormat="0" applyAlignment="0" applyProtection="0"/>
    <xf numFmtId="0" fontId="69" fillId="37" borderId="46" applyNumberFormat="0" applyAlignment="0" applyProtection="0"/>
    <xf numFmtId="0" fontId="70" fillId="0" borderId="48" applyNumberFormat="0" applyFill="0" applyAlignment="0" applyProtection="0"/>
    <xf numFmtId="0" fontId="71" fillId="38" borderId="49" applyNumberFormat="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4" fillId="0" borderId="51" applyNumberFormat="0" applyFill="0" applyAlignment="0" applyProtection="0"/>
    <xf numFmtId="0" fontId="75" fillId="40"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75" fillId="43" borderId="0" applyNumberFormat="0" applyBorder="0" applyAlignment="0" applyProtection="0"/>
    <xf numFmtId="0" fontId="75" fillId="44" borderId="0" applyNumberFormat="0" applyBorder="0" applyAlignment="0" applyProtection="0"/>
    <xf numFmtId="0" fontId="6" fillId="45" borderId="0" applyNumberFormat="0" applyBorder="0" applyAlignment="0" applyProtection="0"/>
    <xf numFmtId="0" fontId="6" fillId="46" borderId="0" applyNumberFormat="0" applyBorder="0" applyAlignment="0" applyProtection="0"/>
    <xf numFmtId="0" fontId="75" fillId="47" borderId="0" applyNumberFormat="0" applyBorder="0" applyAlignment="0" applyProtection="0"/>
    <xf numFmtId="0" fontId="75" fillId="48" borderId="0" applyNumberFormat="0" applyBorder="0" applyAlignment="0" applyProtection="0"/>
    <xf numFmtId="0" fontId="6" fillId="49" borderId="0" applyNumberFormat="0" applyBorder="0" applyAlignment="0" applyProtection="0"/>
    <xf numFmtId="0" fontId="6" fillId="50" borderId="0" applyNumberFormat="0" applyBorder="0" applyAlignment="0" applyProtection="0"/>
    <xf numFmtId="0" fontId="75" fillId="51" borderId="0" applyNumberFormat="0" applyBorder="0" applyAlignment="0" applyProtection="0"/>
    <xf numFmtId="0" fontId="75"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5" fillId="55" borderId="0" applyNumberFormat="0" applyBorder="0" applyAlignment="0" applyProtection="0"/>
    <xf numFmtId="0" fontId="75" fillId="56" borderId="0" applyNumberFormat="0" applyBorder="0" applyAlignment="0" applyProtection="0"/>
    <xf numFmtId="0" fontId="6" fillId="57" borderId="0" applyNumberFormat="0" applyBorder="0" applyAlignment="0" applyProtection="0"/>
    <xf numFmtId="0" fontId="6" fillId="58" borderId="0" applyNumberFormat="0" applyBorder="0" applyAlignment="0" applyProtection="0"/>
    <xf numFmtId="0" fontId="75" fillId="59" borderId="0" applyNumberFormat="0" applyBorder="0" applyAlignment="0" applyProtection="0"/>
    <xf numFmtId="0" fontId="75" fillId="60"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75" fillId="63" borderId="0" applyNumberFormat="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39" borderId="50" applyNumberFormat="0" applyFont="0" applyAlignment="0" applyProtection="0"/>
    <xf numFmtId="0" fontId="6" fillId="0" borderId="0"/>
    <xf numFmtId="44"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6" fillId="0" borderId="0"/>
    <xf numFmtId="43" fontId="13" fillId="0" borderId="0" applyFont="0" applyFill="0" applyBorder="0" applyAlignment="0" applyProtection="0"/>
    <xf numFmtId="0" fontId="76" fillId="0" borderId="0"/>
    <xf numFmtId="0" fontId="5" fillId="0" borderId="0"/>
    <xf numFmtId="44" fontId="5" fillId="0" borderId="0" applyFont="0" applyFill="0" applyBorder="0" applyAlignment="0" applyProtection="0"/>
    <xf numFmtId="0" fontId="76" fillId="0" borderId="0"/>
    <xf numFmtId="43" fontId="5" fillId="0" borderId="0" applyFont="0" applyFill="0" applyBorder="0" applyAlignment="0" applyProtection="0"/>
    <xf numFmtId="0" fontId="5" fillId="0" borderId="0"/>
    <xf numFmtId="44" fontId="5" fillId="0" borderId="0" applyFont="0" applyFill="0" applyBorder="0" applyAlignment="0" applyProtection="0"/>
    <xf numFmtId="43" fontId="5" fillId="0" borderId="0" applyFont="0" applyFill="0" applyBorder="0" applyAlignment="0" applyProtection="0"/>
    <xf numFmtId="0" fontId="5" fillId="0" borderId="0"/>
    <xf numFmtId="44"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39" borderId="50" applyNumberFormat="0" applyFont="0" applyAlignment="0" applyProtection="0"/>
    <xf numFmtId="0" fontId="76" fillId="0" borderId="0"/>
    <xf numFmtId="0" fontId="5" fillId="41"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9" borderId="0" applyNumberFormat="0" applyBorder="0" applyAlignment="0" applyProtection="0"/>
    <xf numFmtId="0" fontId="5" fillId="50"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78" fillId="0" borderId="0"/>
    <xf numFmtId="0" fontId="4" fillId="0" borderId="0"/>
    <xf numFmtId="176" fontId="77" fillId="0" borderId="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4" fontId="13"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 fillId="0" borderId="0"/>
    <xf numFmtId="0" fontId="2" fillId="0" borderId="0"/>
    <xf numFmtId="0" fontId="1" fillId="0" borderId="0"/>
    <xf numFmtId="44" fontId="1" fillId="0" borderId="0" applyFont="0" applyFill="0" applyBorder="0" applyAlignment="0" applyProtection="0"/>
  </cellStyleXfs>
  <cellXfs count="332">
    <xf numFmtId="0" fontId="0" fillId="0" borderId="0" xfId="0"/>
    <xf numFmtId="0" fontId="14" fillId="0" borderId="0" xfId="0" applyFont="1" applyAlignment="1">
      <alignment vertical="center" wrapText="1"/>
    </xf>
    <xf numFmtId="0" fontId="14" fillId="0" borderId="0" xfId="0" applyFont="1" applyAlignment="1">
      <alignment vertical="center"/>
    </xf>
    <xf numFmtId="0" fontId="18" fillId="0" borderId="0" xfId="0" applyFont="1" applyAlignment="1">
      <alignment horizontal="center" vertical="center"/>
    </xf>
    <xf numFmtId="0" fontId="16" fillId="0" borderId="1" xfId="2" applyFont="1" applyBorder="1" applyAlignment="1" applyProtection="1">
      <alignment vertical="center" wrapText="1"/>
      <protection locked="0"/>
    </xf>
    <xf numFmtId="167" fontId="0" fillId="0" borderId="0" xfId="0" applyNumberFormat="1" applyAlignment="1">
      <alignment horizontal="center"/>
    </xf>
    <xf numFmtId="168" fontId="40" fillId="0" borderId="31" xfId="0" applyNumberFormat="1" applyFont="1" applyBorder="1" applyAlignment="1">
      <alignment horizontal="center"/>
    </xf>
    <xf numFmtId="0" fontId="18" fillId="0" borderId="21" xfId="0" applyFont="1" applyBorder="1" applyAlignment="1">
      <alignment horizontal="center" vertical="center"/>
    </xf>
    <xf numFmtId="0" fontId="14" fillId="0" borderId="34" xfId="0" applyFont="1" applyBorder="1" applyAlignment="1">
      <alignment vertical="center"/>
    </xf>
    <xf numFmtId="0" fontId="18" fillId="0" borderId="34" xfId="0" applyFont="1" applyBorder="1" applyAlignment="1">
      <alignment horizontal="center" vertical="center"/>
    </xf>
    <xf numFmtId="0" fontId="14" fillId="0" borderId="21" xfId="0" applyFont="1" applyBorder="1" applyAlignment="1">
      <alignment vertical="center"/>
    </xf>
    <xf numFmtId="0" fontId="14" fillId="0" borderId="4" xfId="0" applyFont="1" applyBorder="1" applyAlignment="1">
      <alignment vertical="center"/>
    </xf>
    <xf numFmtId="0" fontId="14" fillId="0" borderId="3" xfId="0" applyFont="1" applyBorder="1" applyAlignment="1">
      <alignment vertical="center"/>
    </xf>
    <xf numFmtId="0" fontId="16" fillId="0" borderId="1" xfId="0" applyFont="1" applyBorder="1" applyAlignment="1">
      <alignment horizontal="center" wrapText="1"/>
    </xf>
    <xf numFmtId="0" fontId="14" fillId="0" borderId="32" xfId="0" applyFont="1" applyBorder="1" applyAlignment="1">
      <alignment vertical="center"/>
    </xf>
    <xf numFmtId="0" fontId="14" fillId="0" borderId="35" xfId="0" applyFont="1" applyBorder="1" applyAlignment="1">
      <alignment vertical="center" wrapText="1"/>
    </xf>
    <xf numFmtId="0" fontId="14" fillId="0" borderId="33" xfId="0" applyFont="1" applyBorder="1" applyAlignment="1">
      <alignment vertical="center"/>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29" borderId="1" xfId="0" applyFont="1" applyFill="1" applyBorder="1" applyAlignment="1">
      <alignment horizontal="center" vertical="center" wrapText="1"/>
    </xf>
    <xf numFmtId="0" fontId="0" fillId="0" borderId="0" xfId="0" applyAlignment="1">
      <alignment vertical="center"/>
    </xf>
    <xf numFmtId="0" fontId="15" fillId="0" borderId="0" xfId="0" applyFont="1" applyAlignment="1">
      <alignment vertical="center"/>
    </xf>
    <xf numFmtId="0" fontId="16" fillId="29" borderId="1" xfId="0" applyFont="1" applyFill="1" applyBorder="1" applyAlignment="1">
      <alignment vertical="center" wrapText="1"/>
    </xf>
    <xf numFmtId="0" fontId="16" fillId="0" borderId="1" xfId="2" applyFont="1" applyBorder="1" applyAlignment="1">
      <alignment horizontal="center" vertical="center" wrapText="1"/>
    </xf>
    <xf numFmtId="0" fontId="0" fillId="0" borderId="0" xfId="0" applyAlignment="1">
      <alignment vertical="center" wrapText="1"/>
    </xf>
    <xf numFmtId="0" fontId="16" fillId="0" borderId="22" xfId="0" applyFont="1" applyBorder="1" applyAlignment="1">
      <alignment horizontal="center" vertical="center" wrapText="1"/>
    </xf>
    <xf numFmtId="168" fontId="16" fillId="0" borderId="1" xfId="0" applyNumberFormat="1" applyFont="1" applyBorder="1" applyAlignment="1">
      <alignment horizontal="center" vertical="center" wrapText="1"/>
    </xf>
    <xf numFmtId="168" fontId="15" fillId="30" borderId="1" xfId="0" applyNumberFormat="1" applyFont="1" applyFill="1" applyBorder="1" applyAlignment="1">
      <alignment horizontal="center" vertical="center" wrapText="1"/>
    </xf>
    <xf numFmtId="0" fontId="16" fillId="0" borderId="0" xfId="0" applyFont="1"/>
    <xf numFmtId="0" fontId="16" fillId="0" borderId="1" xfId="0" applyFont="1" applyBorder="1" applyAlignment="1">
      <alignment vertical="center" wrapText="1"/>
    </xf>
    <xf numFmtId="0" fontId="0" fillId="0" borderId="2" xfId="0" applyBorder="1" applyAlignment="1">
      <alignment vertical="center"/>
    </xf>
    <xf numFmtId="167" fontId="0" fillId="0" borderId="2" xfId="0" applyNumberFormat="1" applyBorder="1" applyAlignment="1">
      <alignment horizontal="center" vertical="center"/>
    </xf>
    <xf numFmtId="167" fontId="0" fillId="0" borderId="0" xfId="0" applyNumberFormat="1" applyAlignment="1">
      <alignment horizontal="center" vertical="center"/>
    </xf>
    <xf numFmtId="0" fontId="17" fillId="27" borderId="20" xfId="0" applyFont="1" applyFill="1" applyBorder="1" applyAlignment="1">
      <alignment horizontal="center" vertical="center" wrapText="1"/>
    </xf>
    <xf numFmtId="0" fontId="17" fillId="27" borderId="3" xfId="0" applyFont="1" applyFill="1" applyBorder="1" applyAlignment="1">
      <alignment horizontal="center" vertical="center" wrapText="1"/>
    </xf>
    <xf numFmtId="167" fontId="17" fillId="27" borderId="3"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167" fontId="15" fillId="30" borderId="24" xfId="0" applyNumberFormat="1" applyFont="1" applyFill="1" applyBorder="1" applyAlignment="1">
      <alignment vertical="center"/>
    </xf>
    <xf numFmtId="167" fontId="15" fillId="30" borderId="25" xfId="0" applyNumberFormat="1" applyFont="1" applyFill="1" applyBorder="1" applyAlignment="1">
      <alignment vertical="center"/>
    </xf>
    <xf numFmtId="167" fontId="15" fillId="64" borderId="25" xfId="0" applyNumberFormat="1" applyFont="1" applyFill="1" applyBorder="1" applyAlignment="1">
      <alignment vertical="center"/>
    </xf>
    <xf numFmtId="0" fontId="15" fillId="0" borderId="0" xfId="0" applyFont="1"/>
    <xf numFmtId="2" fontId="14" fillId="0" borderId="0" xfId="0" applyNumberFormat="1" applyFont="1" applyAlignment="1">
      <alignment horizontal="center" vertical="center"/>
    </xf>
    <xf numFmtId="2" fontId="14" fillId="0" borderId="2" xfId="0" applyNumberFormat="1" applyFont="1" applyBorder="1" applyAlignment="1">
      <alignment horizontal="center" vertical="center"/>
    </xf>
    <xf numFmtId="2" fontId="14" fillId="0" borderId="35" xfId="0" applyNumberFormat="1" applyFont="1" applyBorder="1" applyAlignment="1">
      <alignment horizontal="center" vertical="center"/>
    </xf>
    <xf numFmtId="167" fontId="15" fillId="64" borderId="25" xfId="0" applyNumberFormat="1" applyFont="1" applyFill="1" applyBorder="1" applyAlignment="1">
      <alignment horizontal="center" vertical="center" wrapText="1"/>
    </xf>
    <xf numFmtId="168" fontId="15" fillId="64" borderId="25" xfId="0" applyNumberFormat="1" applyFont="1" applyFill="1" applyBorder="1" applyAlignment="1">
      <alignment horizontal="center" vertical="center" wrapText="1"/>
    </xf>
    <xf numFmtId="9" fontId="15" fillId="64" borderId="25" xfId="151" applyFont="1" applyFill="1" applyBorder="1" applyAlignment="1">
      <alignment horizontal="center" vertical="center" wrapText="1"/>
    </xf>
    <xf numFmtId="167" fontId="15" fillId="64" borderId="18" xfId="0" applyNumberFormat="1" applyFont="1" applyFill="1" applyBorder="1" applyAlignment="1">
      <alignment horizontal="center" vertical="center" wrapText="1"/>
    </xf>
    <xf numFmtId="167" fontId="0" fillId="0" borderId="0" xfId="0" applyNumberFormat="1" applyAlignment="1">
      <alignment vertical="center"/>
    </xf>
    <xf numFmtId="168" fontId="0" fillId="0" borderId="0" xfId="0" applyNumberFormat="1"/>
    <xf numFmtId="168" fontId="15" fillId="30" borderId="22" xfId="0" applyNumberFormat="1" applyFont="1" applyFill="1" applyBorder="1" applyAlignment="1">
      <alignment horizontal="center" vertical="center" wrapText="1"/>
    </xf>
    <xf numFmtId="168" fontId="15" fillId="64" borderId="22" xfId="0" applyNumberFormat="1" applyFont="1" applyFill="1" applyBorder="1" applyAlignment="1">
      <alignment horizontal="center" vertical="center" wrapText="1"/>
    </xf>
    <xf numFmtId="0" fontId="38" fillId="31" borderId="25" xfId="0" applyFont="1" applyFill="1" applyBorder="1" applyAlignment="1">
      <alignment vertical="center"/>
    </xf>
    <xf numFmtId="168" fontId="38" fillId="31" borderId="1" xfId="0" applyNumberFormat="1" applyFont="1" applyFill="1" applyBorder="1" applyAlignment="1">
      <alignment horizontal="center" vertical="center" wrapText="1"/>
    </xf>
    <xf numFmtId="168" fontId="38" fillId="65" borderId="22" xfId="0" applyNumberFormat="1" applyFont="1" applyFill="1" applyBorder="1" applyAlignment="1">
      <alignment horizontal="center" vertical="center" wrapText="1"/>
    </xf>
    <xf numFmtId="0" fontId="79" fillId="2" borderId="25" xfId="0" applyFont="1" applyFill="1" applyBorder="1" applyAlignment="1">
      <alignment vertical="center"/>
    </xf>
    <xf numFmtId="168" fontId="79" fillId="2" borderId="1" xfId="0" applyNumberFormat="1" applyFont="1" applyFill="1" applyBorder="1" applyAlignment="1">
      <alignment horizontal="center" vertical="center" wrapText="1"/>
    </xf>
    <xf numFmtId="0" fontId="79" fillId="2" borderId="29" xfId="0" applyFont="1" applyFill="1" applyBorder="1" applyAlignment="1">
      <alignment vertical="center"/>
    </xf>
    <xf numFmtId="168" fontId="79" fillId="2" borderId="30" xfId="0" applyNumberFormat="1" applyFont="1" applyFill="1" applyBorder="1" applyAlignment="1">
      <alignment horizontal="center" vertical="center" wrapText="1"/>
    </xf>
    <xf numFmtId="167" fontId="15" fillId="64" borderId="24" xfId="0" applyNumberFormat="1" applyFont="1" applyFill="1" applyBorder="1" applyAlignment="1">
      <alignment vertical="center"/>
    </xf>
    <xf numFmtId="168" fontId="16" fillId="28" borderId="22" xfId="0" applyNumberFormat="1" applyFont="1" applyFill="1" applyBorder="1" applyAlignment="1">
      <alignment horizontal="center" vertical="center" wrapText="1"/>
    </xf>
    <xf numFmtId="0" fontId="16" fillId="0" borderId="1" xfId="5310" applyFont="1" applyBorder="1" applyAlignment="1">
      <alignment horizontal="center" vertical="center" wrapText="1"/>
    </xf>
    <xf numFmtId="168" fontId="38" fillId="31" borderId="22" xfId="0" applyNumberFormat="1" applyFont="1" applyFill="1" applyBorder="1" applyAlignment="1">
      <alignment horizontal="center" vertical="center" wrapText="1"/>
    </xf>
    <xf numFmtId="167" fontId="17" fillId="27" borderId="4" xfId="0" applyNumberFormat="1" applyFont="1" applyFill="1" applyBorder="1" applyAlignment="1">
      <alignment horizontal="center" vertical="center" wrapText="1"/>
    </xf>
    <xf numFmtId="168" fontId="15" fillId="64" borderId="1" xfId="0" applyNumberFormat="1" applyFont="1" applyFill="1" applyBorder="1" applyAlignment="1">
      <alignment horizontal="center" vertical="center" wrapText="1"/>
    </xf>
    <xf numFmtId="0" fontId="81" fillId="0" borderId="0" xfId="0" applyFont="1" applyAlignment="1">
      <alignment horizontal="center" vertical="center"/>
    </xf>
    <xf numFmtId="0" fontId="81" fillId="0" borderId="0" xfId="0" applyFont="1" applyAlignment="1">
      <alignment horizontal="center" vertical="center" wrapText="1"/>
    </xf>
    <xf numFmtId="0" fontId="15" fillId="0" borderId="2" xfId="0" applyFont="1" applyBorder="1" applyAlignment="1">
      <alignment vertical="center" wrapText="1"/>
    </xf>
    <xf numFmtId="0" fontId="82" fillId="0" borderId="2" xfId="0" applyFont="1" applyBorder="1" applyAlignment="1">
      <alignment horizontal="center" vertical="center"/>
    </xf>
    <xf numFmtId="0" fontId="83" fillId="0" borderId="2" xfId="0" applyFont="1" applyBorder="1" applyAlignment="1">
      <alignment horizontal="center" vertical="center"/>
    </xf>
    <xf numFmtId="0" fontId="82" fillId="0" borderId="0" xfId="0" applyFont="1" applyAlignment="1">
      <alignment horizontal="center" vertical="center"/>
    </xf>
    <xf numFmtId="0" fontId="83" fillId="0" borderId="0" xfId="0" applyFont="1" applyAlignment="1">
      <alignment horizontal="center" vertical="center"/>
    </xf>
    <xf numFmtId="44" fontId="82" fillId="0" borderId="0" xfId="1" applyFont="1" applyAlignment="1">
      <alignment horizontal="center" vertical="center"/>
    </xf>
    <xf numFmtId="0" fontId="83" fillId="0" borderId="35" xfId="0" applyFont="1" applyBorder="1" applyAlignment="1">
      <alignment horizontal="center" vertical="center"/>
    </xf>
    <xf numFmtId="0" fontId="16" fillId="0" borderId="0" xfId="0" applyFont="1" applyAlignment="1">
      <alignment vertical="center" wrapText="1"/>
    </xf>
    <xf numFmtId="0" fontId="15" fillId="3" borderId="27" xfId="0" applyFont="1" applyFill="1" applyBorder="1" applyAlignment="1" applyProtection="1">
      <alignment horizontal="center" vertical="center"/>
      <protection locked="0"/>
    </xf>
    <xf numFmtId="0" fontId="15" fillId="3" borderId="22" xfId="0" applyFont="1" applyFill="1" applyBorder="1" applyAlignment="1" applyProtection="1">
      <alignment vertical="center" wrapText="1"/>
      <protection locked="0"/>
    </xf>
    <xf numFmtId="0" fontId="15" fillId="3" borderId="17" xfId="0" applyFont="1" applyFill="1" applyBorder="1" applyAlignment="1" applyProtection="1">
      <alignment horizontal="center" vertical="center" wrapText="1"/>
      <protection locked="0"/>
    </xf>
    <xf numFmtId="0" fontId="15" fillId="3" borderId="19" xfId="0" applyFont="1" applyFill="1" applyBorder="1" applyAlignment="1" applyProtection="1">
      <alignment horizontal="center" vertical="center" wrapText="1"/>
      <protection locked="0"/>
    </xf>
    <xf numFmtId="2" fontId="16" fillId="0" borderId="28" xfId="0" applyNumberFormat="1" applyFont="1" applyBorder="1" applyAlignment="1" applyProtection="1">
      <alignment horizontal="center" vertical="center"/>
      <protection locked="0"/>
    </xf>
    <xf numFmtId="0" fontId="16" fillId="0" borderId="1" xfId="0" applyFont="1" applyBorder="1" applyAlignment="1" applyProtection="1">
      <alignment horizontal="left" vertical="center" wrapText="1"/>
      <protection locked="0"/>
    </xf>
    <xf numFmtId="0" fontId="16" fillId="0" borderId="24" xfId="0" applyFont="1" applyBorder="1" applyAlignment="1" applyProtection="1">
      <alignment horizontal="center" vertical="center" wrapText="1"/>
      <protection locked="0"/>
    </xf>
    <xf numFmtId="167" fontId="15" fillId="68" borderId="26" xfId="0" applyNumberFormat="1" applyFont="1" applyFill="1" applyBorder="1" applyAlignment="1" applyProtection="1">
      <alignment horizontal="center" vertical="center" wrapText="1"/>
      <protection locked="0"/>
    </xf>
    <xf numFmtId="0" fontId="16" fillId="0" borderId="24" xfId="2" applyFont="1" applyBorder="1" applyAlignment="1" applyProtection="1">
      <alignment horizontal="center" vertical="center" wrapText="1"/>
      <protection locked="0"/>
    </xf>
    <xf numFmtId="0" fontId="16" fillId="0" borderId="1" xfId="2" applyFont="1" applyBorder="1" applyAlignment="1" applyProtection="1">
      <alignment horizontal="left" vertical="center" wrapText="1"/>
      <protection locked="0"/>
    </xf>
    <xf numFmtId="0" fontId="16" fillId="0" borderId="24" xfId="0" quotePrefix="1" applyFont="1" applyBorder="1" applyAlignment="1" applyProtection="1">
      <alignment horizontal="center" vertical="center" wrapText="1"/>
      <protection locked="0"/>
    </xf>
    <xf numFmtId="0" fontId="15" fillId="3" borderId="28" xfId="0" applyFont="1" applyFill="1" applyBorder="1" applyAlignment="1" applyProtection="1">
      <alignment horizontal="center" vertical="center"/>
      <protection locked="0"/>
    </xf>
    <xf numFmtId="0" fontId="15" fillId="3" borderId="1" xfId="0" applyFont="1" applyFill="1" applyBorder="1" applyAlignment="1" applyProtection="1">
      <alignment vertical="center" wrapText="1"/>
      <protection locked="0"/>
    </xf>
    <xf numFmtId="0" fontId="15" fillId="3" borderId="24" xfId="0" applyFont="1" applyFill="1" applyBorder="1" applyAlignment="1" applyProtection="1">
      <alignment horizontal="center" vertical="center" wrapText="1"/>
      <protection locked="0"/>
    </xf>
    <xf numFmtId="0" fontId="16" fillId="0" borderId="24" xfId="2" applyFont="1" applyBorder="1" applyAlignment="1" applyProtection="1">
      <alignment horizontal="center" vertical="center"/>
      <protection locked="0"/>
    </xf>
    <xf numFmtId="167" fontId="15" fillId="3" borderId="1" xfId="1" applyNumberFormat="1" applyFont="1" applyFill="1" applyBorder="1" applyAlignment="1" applyProtection="1">
      <alignment horizontal="center" vertical="center" wrapText="1"/>
      <protection locked="0"/>
    </xf>
    <xf numFmtId="44" fontId="16" fillId="0" borderId="1" xfId="3" applyFont="1" applyFill="1" applyBorder="1" applyAlignment="1" applyProtection="1">
      <alignment horizontal="left" vertical="center" wrapText="1"/>
      <protection locked="0"/>
    </xf>
    <xf numFmtId="0" fontId="16" fillId="0" borderId="1" xfId="0" applyFont="1" applyBorder="1" applyAlignment="1" applyProtection="1">
      <alignment vertical="center" wrapText="1"/>
      <protection locked="0"/>
    </xf>
    <xf numFmtId="166" fontId="16" fillId="0" borderId="1" xfId="1" applyNumberFormat="1" applyFont="1" applyFill="1" applyBorder="1" applyAlignment="1" applyProtection="1">
      <alignment horizontal="left" vertical="center" wrapText="1"/>
      <protection locked="0"/>
    </xf>
    <xf numFmtId="44" fontId="16" fillId="0" borderId="24" xfId="3" applyFont="1" applyFill="1" applyBorder="1" applyAlignment="1" applyProtection="1">
      <alignment horizontal="center" vertical="center" wrapText="1"/>
      <protection locked="0"/>
    </xf>
    <xf numFmtId="0" fontId="16" fillId="0" borderId="24" xfId="0" applyFont="1" applyBorder="1" applyAlignment="1" applyProtection="1">
      <alignment horizontal="left" vertical="center" wrapText="1"/>
      <protection locked="0"/>
    </xf>
    <xf numFmtId="9" fontId="15" fillId="68" borderId="26" xfId="151" applyFont="1" applyFill="1" applyBorder="1" applyAlignment="1" applyProtection="1">
      <alignment horizontal="center" vertical="center" wrapText="1"/>
      <protection locked="0"/>
    </xf>
    <xf numFmtId="0" fontId="82" fillId="0" borderId="35" xfId="0" applyFont="1" applyBorder="1" applyAlignment="1">
      <alignment horizontal="center" vertical="center"/>
    </xf>
    <xf numFmtId="0" fontId="82" fillId="0" borderId="0" xfId="0" applyFont="1" applyAlignment="1">
      <alignment vertical="center"/>
    </xf>
    <xf numFmtId="0" fontId="83" fillId="0" borderId="0" xfId="0" applyFont="1" applyAlignment="1">
      <alignment vertical="center"/>
    </xf>
    <xf numFmtId="167" fontId="0" fillId="0" borderId="0" xfId="1" applyNumberFormat="1" applyFont="1" applyAlignment="1">
      <alignment vertical="center"/>
    </xf>
    <xf numFmtId="167" fontId="0" fillId="0" borderId="2" xfId="1" applyNumberFormat="1" applyFont="1" applyBorder="1" applyAlignment="1">
      <alignment vertical="center"/>
    </xf>
    <xf numFmtId="167" fontId="17" fillId="27" borderId="3" xfId="1" applyNumberFormat="1" applyFont="1" applyFill="1" applyBorder="1" applyAlignment="1">
      <alignment horizontal="center" vertical="center" wrapText="1"/>
    </xf>
    <xf numFmtId="167" fontId="38" fillId="31" borderId="25" xfId="1" applyNumberFormat="1" applyFont="1" applyFill="1" applyBorder="1" applyAlignment="1">
      <alignment vertical="center"/>
    </xf>
    <xf numFmtId="167" fontId="15" fillId="30" borderId="25" xfId="1" applyNumberFormat="1" applyFont="1" applyFill="1" applyBorder="1" applyAlignment="1">
      <alignment vertical="center"/>
    </xf>
    <xf numFmtId="167" fontId="15" fillId="64" borderId="25" xfId="1" applyNumberFormat="1" applyFont="1" applyFill="1" applyBorder="1" applyAlignment="1">
      <alignment horizontal="center" vertical="center" wrapText="1"/>
    </xf>
    <xf numFmtId="167" fontId="16" fillId="0" borderId="1" xfId="1" applyNumberFormat="1" applyFont="1" applyBorder="1" applyAlignment="1">
      <alignment horizontal="center" vertical="center" wrapText="1"/>
    </xf>
    <xf numFmtId="167" fontId="16" fillId="29" borderId="1" xfId="1" applyNumberFormat="1" applyFont="1" applyFill="1" applyBorder="1" applyAlignment="1">
      <alignment horizontal="center" vertical="center" wrapText="1"/>
    </xf>
    <xf numFmtId="167" fontId="16" fillId="0" borderId="22" xfId="1" applyNumberFormat="1" applyFont="1" applyBorder="1" applyAlignment="1">
      <alignment horizontal="center" vertical="center" wrapText="1"/>
    </xf>
    <xf numFmtId="167" fontId="15" fillId="64" borderId="25" xfId="1" applyNumberFormat="1" applyFont="1" applyFill="1" applyBorder="1" applyAlignment="1">
      <alignment vertical="center"/>
    </xf>
    <xf numFmtId="167" fontId="79" fillId="2" borderId="25" xfId="1" applyNumberFormat="1" applyFont="1" applyFill="1" applyBorder="1" applyAlignment="1">
      <alignment vertical="center"/>
    </xf>
    <xf numFmtId="167" fontId="16" fillId="0" borderId="1" xfId="1" applyNumberFormat="1" applyFont="1" applyFill="1" applyBorder="1" applyAlignment="1">
      <alignment horizontal="center" vertical="center" wrapText="1"/>
    </xf>
    <xf numFmtId="167" fontId="79" fillId="2" borderId="29" xfId="1" applyNumberFormat="1" applyFont="1" applyFill="1" applyBorder="1" applyAlignment="1">
      <alignment vertical="center"/>
    </xf>
    <xf numFmtId="167" fontId="0" fillId="0" borderId="0" xfId="1" applyNumberFormat="1" applyFont="1"/>
    <xf numFmtId="167" fontId="15" fillId="0" borderId="0" xfId="1" applyNumberFormat="1" applyFont="1"/>
    <xf numFmtId="167" fontId="15" fillId="64" borderId="22" xfId="0" applyNumberFormat="1" applyFont="1" applyFill="1" applyBorder="1" applyAlignment="1">
      <alignment horizontal="center" vertical="center" wrapText="1"/>
    </xf>
    <xf numFmtId="169" fontId="15" fillId="64" borderId="25" xfId="0" applyNumberFormat="1" applyFont="1" applyFill="1" applyBorder="1" applyAlignment="1">
      <alignment horizontal="center" vertical="center" wrapText="1"/>
    </xf>
    <xf numFmtId="2" fontId="16" fillId="0" borderId="1" xfId="0" applyNumberFormat="1" applyFont="1" applyBorder="1" applyAlignment="1">
      <alignment horizontal="center" vertical="center" wrapText="1"/>
    </xf>
    <xf numFmtId="0" fontId="16" fillId="0" borderId="1" xfId="5310" applyFont="1" applyBorder="1" applyAlignment="1">
      <alignment horizontal="left" vertical="center" wrapText="1"/>
    </xf>
    <xf numFmtId="2" fontId="16" fillId="29" borderId="1" xfId="0" applyNumberFormat="1" applyFont="1" applyFill="1" applyBorder="1" applyAlignment="1">
      <alignment horizontal="center" vertical="center" wrapText="1"/>
    </xf>
    <xf numFmtId="168" fontId="16" fillId="0" borderId="1" xfId="1" applyNumberFormat="1" applyFont="1" applyBorder="1" applyAlignment="1">
      <alignment horizontal="center" vertical="center" wrapText="1"/>
    </xf>
    <xf numFmtId="0" fontId="0" fillId="0" borderId="0" xfId="0" applyAlignment="1">
      <alignment wrapText="1"/>
    </xf>
    <xf numFmtId="0" fontId="87" fillId="0" borderId="18" xfId="0" applyFont="1" applyBorder="1" applyAlignment="1">
      <alignment vertical="center"/>
    </xf>
    <xf numFmtId="0" fontId="87" fillId="0" borderId="0" xfId="0" applyFont="1" applyAlignment="1">
      <alignment vertical="center"/>
    </xf>
    <xf numFmtId="0" fontId="74" fillId="30" borderId="1" xfId="0" applyFont="1" applyFill="1" applyBorder="1" applyAlignment="1">
      <alignment horizontal="center" vertical="center" wrapText="1"/>
    </xf>
    <xf numFmtId="0" fontId="88" fillId="30" borderId="1" xfId="0" applyFont="1" applyFill="1" applyBorder="1" applyAlignment="1">
      <alignment horizontal="left" vertical="center" wrapText="1"/>
    </xf>
    <xf numFmtId="0" fontId="74" fillId="30" borderId="1" xfId="0" applyFont="1" applyFill="1" applyBorder="1" applyAlignment="1">
      <alignment horizontal="center" vertical="center"/>
    </xf>
    <xf numFmtId="0" fontId="74" fillId="0" borderId="1" xfId="0" applyFont="1" applyBorder="1" applyAlignment="1">
      <alignment horizontal="center" vertical="center" wrapText="1"/>
    </xf>
    <xf numFmtId="0" fontId="74" fillId="0" borderId="1" xfId="0" applyFont="1" applyBorder="1" applyAlignment="1">
      <alignment horizontal="center" vertical="center"/>
    </xf>
    <xf numFmtId="3" fontId="16" fillId="66" borderId="1" xfId="5315" applyNumberFormat="1" applyFont="1" applyFill="1" applyBorder="1" applyAlignment="1">
      <alignment horizontal="center" vertical="center"/>
    </xf>
    <xf numFmtId="0" fontId="0" fillId="0" borderId="1" xfId="0" applyBorder="1" applyAlignment="1">
      <alignment wrapText="1"/>
    </xf>
    <xf numFmtId="0" fontId="90" fillId="0" borderId="1" xfId="0" applyFont="1" applyBorder="1" applyAlignment="1" applyProtection="1">
      <alignment horizontal="left" vertical="center" wrapText="1"/>
      <protection locked="0"/>
    </xf>
    <xf numFmtId="3" fontId="90" fillId="66" borderId="1" xfId="5315" applyNumberFormat="1" applyFont="1" applyFill="1" applyBorder="1" applyAlignment="1">
      <alignment horizontal="center" vertical="center"/>
    </xf>
    <xf numFmtId="0" fontId="91" fillId="0" borderId="0" xfId="0" applyFont="1"/>
    <xf numFmtId="0" fontId="0" fillId="0" borderId="0" xfId="0" applyAlignment="1">
      <alignment horizontal="center" vertical="center" wrapText="1"/>
    </xf>
    <xf numFmtId="0" fontId="16" fillId="0" borderId="0" xfId="0" applyFont="1" applyAlignment="1" applyProtection="1">
      <alignment horizontal="left" vertical="center" wrapText="1"/>
      <protection locked="0"/>
    </xf>
    <xf numFmtId="3" fontId="16" fillId="29" borderId="0" xfId="5315" applyNumberFormat="1" applyFont="1" applyFill="1" applyAlignment="1">
      <alignment horizontal="center" vertical="center"/>
    </xf>
    <xf numFmtId="0" fontId="88" fillId="30" borderId="54" xfId="0" applyFont="1" applyFill="1" applyBorder="1" applyAlignment="1">
      <alignment horizontal="left" vertical="center" wrapText="1"/>
    </xf>
    <xf numFmtId="0" fontId="74" fillId="30" borderId="1" xfId="0" applyFont="1" applyFill="1" applyBorder="1" applyAlignment="1">
      <alignment vertical="center" wrapText="1"/>
    </xf>
    <xf numFmtId="0" fontId="74" fillId="30" borderId="1" xfId="0" applyFont="1" applyFill="1" applyBorder="1" applyAlignment="1">
      <alignment vertical="center"/>
    </xf>
    <xf numFmtId="0" fontId="16" fillId="0" borderId="25" xfId="0" applyFont="1" applyBorder="1" applyAlignment="1" applyProtection="1">
      <alignment horizontal="left" vertical="center" wrapText="1"/>
      <protection locked="0"/>
    </xf>
    <xf numFmtId="0" fontId="16" fillId="0" borderId="26" xfId="0" applyFont="1" applyBorder="1" applyAlignment="1" applyProtection="1">
      <alignment horizontal="left" vertical="center" wrapText="1"/>
      <protection locked="0"/>
    </xf>
    <xf numFmtId="3" fontId="16" fillId="0" borderId="0" xfId="5315" applyNumberFormat="1" applyFont="1" applyAlignment="1">
      <alignment horizontal="center" vertical="center"/>
    </xf>
    <xf numFmtId="0" fontId="93" fillId="0" borderId="0" xfId="0" applyFont="1" applyAlignment="1">
      <alignment vertical="center" wrapText="1"/>
    </xf>
    <xf numFmtId="0" fontId="93" fillId="0" borderId="0" xfId="0" applyFont="1" applyAlignment="1">
      <alignment vertical="center"/>
    </xf>
    <xf numFmtId="0" fontId="91" fillId="0" borderId="1" xfId="0" applyFont="1" applyBorder="1" applyAlignment="1">
      <alignment wrapText="1"/>
    </xf>
    <xf numFmtId="0" fontId="88" fillId="30" borderId="0" xfId="0" applyFont="1" applyFill="1" applyAlignment="1">
      <alignment horizontal="left" vertical="center" wrapText="1"/>
    </xf>
    <xf numFmtId="0" fontId="74" fillId="30" borderId="0" xfId="0" applyFont="1" applyFill="1" applyAlignment="1">
      <alignment vertical="center" wrapText="1"/>
    </xf>
    <xf numFmtId="0" fontId="74" fillId="30" borderId="0" xfId="0" applyFont="1" applyFill="1" applyAlignment="1">
      <alignment vertical="center"/>
    </xf>
    <xf numFmtId="3" fontId="16" fillId="66" borderId="24" xfId="5315" applyNumberFormat="1" applyFont="1" applyFill="1" applyBorder="1" applyAlignment="1">
      <alignment horizontal="center" vertical="center"/>
    </xf>
    <xf numFmtId="178" fontId="37" fillId="0" borderId="0" xfId="2" applyNumberFormat="1" applyFont="1" applyAlignment="1">
      <alignment horizontal="center" vertical="center"/>
    </xf>
    <xf numFmtId="178" fontId="0" fillId="0" borderId="0" xfId="0" applyNumberFormat="1" applyAlignment="1">
      <alignment horizontal="center" vertical="center"/>
    </xf>
    <xf numFmtId="178" fontId="0" fillId="0" borderId="2" xfId="0" applyNumberFormat="1" applyBorder="1" applyAlignment="1">
      <alignment horizontal="center" vertical="center"/>
    </xf>
    <xf numFmtId="178" fontId="17" fillId="27" borderId="20" xfId="0" applyNumberFormat="1" applyFont="1" applyFill="1" applyBorder="1" applyAlignment="1">
      <alignment horizontal="center" vertical="center" wrapText="1"/>
    </xf>
    <xf numFmtId="178" fontId="38" fillId="31" borderId="25" xfId="0" applyNumberFormat="1" applyFont="1" applyFill="1" applyBorder="1" applyAlignment="1">
      <alignment horizontal="center" vertical="center"/>
    </xf>
    <xf numFmtId="178" fontId="15" fillId="30" borderId="25" xfId="0" applyNumberFormat="1" applyFont="1" applyFill="1" applyBorder="1" applyAlignment="1">
      <alignment horizontal="center" vertical="center"/>
    </xf>
    <xf numFmtId="178" fontId="15" fillId="64" borderId="18" xfId="0" applyNumberFormat="1" applyFont="1" applyFill="1" applyBorder="1" applyAlignment="1">
      <alignment horizontal="center" vertical="center" wrapText="1"/>
    </xf>
    <xf numFmtId="178" fontId="15" fillId="64" borderId="25" xfId="0" applyNumberFormat="1" applyFont="1" applyFill="1" applyBorder="1" applyAlignment="1">
      <alignment horizontal="center" vertical="center" wrapText="1"/>
    </xf>
    <xf numFmtId="178" fontId="16" fillId="0" borderId="1" xfId="0" applyNumberFormat="1" applyFont="1" applyBorder="1" applyAlignment="1">
      <alignment horizontal="center" vertical="center" wrapText="1"/>
    </xf>
    <xf numFmtId="178" fontId="16" fillId="29" borderId="1" xfId="0" applyNumberFormat="1" applyFont="1" applyFill="1" applyBorder="1" applyAlignment="1">
      <alignment horizontal="center" vertical="center"/>
    </xf>
    <xf numFmtId="178" fontId="16" fillId="29" borderId="1" xfId="0" applyNumberFormat="1" applyFont="1" applyFill="1" applyBorder="1" applyAlignment="1">
      <alignment horizontal="center" vertical="center" wrapText="1"/>
    </xf>
    <xf numFmtId="178" fontId="16" fillId="0" borderId="1" xfId="5242" applyNumberFormat="1" applyFont="1" applyFill="1" applyBorder="1" applyAlignment="1">
      <alignment horizontal="center" vertical="center"/>
    </xf>
    <xf numFmtId="178" fontId="16" fillId="0" borderId="1" xfId="5310" applyNumberFormat="1" applyFont="1" applyBorder="1" applyAlignment="1">
      <alignment horizontal="center" vertical="center" wrapText="1"/>
    </xf>
    <xf numFmtId="178" fontId="15" fillId="64" borderId="25" xfId="0" applyNumberFormat="1" applyFont="1" applyFill="1" applyBorder="1" applyAlignment="1">
      <alignment horizontal="center" vertical="center"/>
    </xf>
    <xf numFmtId="178" fontId="16" fillId="0" borderId="1" xfId="5242" applyNumberFormat="1" applyFont="1" applyBorder="1" applyAlignment="1">
      <alignment horizontal="center" vertical="center" wrapText="1"/>
    </xf>
    <xf numFmtId="178" fontId="79" fillId="2" borderId="25" xfId="0" applyNumberFormat="1" applyFont="1" applyFill="1" applyBorder="1" applyAlignment="1">
      <alignment horizontal="center" vertical="center"/>
    </xf>
    <xf numFmtId="178" fontId="79" fillId="2" borderId="29" xfId="0" applyNumberFormat="1" applyFont="1" applyFill="1" applyBorder="1" applyAlignment="1">
      <alignment horizontal="center" vertical="center"/>
    </xf>
    <xf numFmtId="178" fontId="0" fillId="0" borderId="0" xfId="0" applyNumberFormat="1" applyAlignment="1">
      <alignment horizontal="center"/>
    </xf>
    <xf numFmtId="0" fontId="88" fillId="0" borderId="0" xfId="0" applyFont="1"/>
    <xf numFmtId="0" fontId="74" fillId="30" borderId="1" xfId="0" applyFont="1" applyFill="1" applyBorder="1"/>
    <xf numFmtId="177" fontId="90" fillId="0" borderId="1" xfId="0" applyNumberFormat="1" applyFont="1" applyBorder="1" applyAlignment="1" applyProtection="1">
      <alignment vertical="center" wrapText="1"/>
      <protection locked="0"/>
    </xf>
    <xf numFmtId="177" fontId="90" fillId="69" borderId="1" xfId="0" applyNumberFormat="1" applyFont="1" applyFill="1" applyBorder="1" applyAlignment="1" applyProtection="1">
      <alignment vertical="center" wrapText="1"/>
      <protection locked="0"/>
    </xf>
    <xf numFmtId="0" fontId="90" fillId="0" borderId="1" xfId="0" applyFont="1" applyBorder="1" applyAlignment="1" applyProtection="1">
      <alignment vertical="center" wrapText="1"/>
      <protection locked="0"/>
    </xf>
    <xf numFmtId="177" fontId="90" fillId="0" borderId="1" xfId="5242" applyNumberFormat="1" applyFont="1" applyBorder="1" applyAlignment="1" applyProtection="1">
      <alignment vertical="center" wrapText="1"/>
      <protection locked="0"/>
    </xf>
    <xf numFmtId="177" fontId="90" fillId="69" borderId="1" xfId="5242" applyNumberFormat="1" applyFont="1" applyFill="1" applyBorder="1" applyAlignment="1" applyProtection="1">
      <alignment vertical="center" wrapText="1"/>
      <protection locked="0"/>
    </xf>
    <xf numFmtId="3" fontId="90" fillId="69" borderId="1" xfId="0" applyNumberFormat="1" applyFont="1" applyFill="1" applyBorder="1" applyAlignment="1" applyProtection="1">
      <alignment horizontal="left" vertical="center" wrapText="1"/>
      <protection locked="0"/>
    </xf>
    <xf numFmtId="0" fontId="15" fillId="0" borderId="0" xfId="0" applyFont="1" applyAlignment="1" applyProtection="1">
      <alignment horizontal="left" vertical="center" wrapText="1"/>
      <protection locked="0"/>
    </xf>
    <xf numFmtId="0" fontId="37" fillId="0" borderId="2" xfId="2" applyFont="1" applyBorder="1" applyAlignment="1">
      <alignment vertical="center"/>
    </xf>
    <xf numFmtId="0" fontId="15" fillId="0" borderId="25" xfId="0" applyFont="1" applyBorder="1" applyAlignment="1">
      <alignment horizontal="center" vertical="center" wrapText="1"/>
    </xf>
    <xf numFmtId="0" fontId="15" fillId="29" borderId="1" xfId="687" applyFont="1" applyFill="1" applyBorder="1" applyAlignment="1">
      <alignment horizontal="center" vertical="center" wrapText="1"/>
    </xf>
    <xf numFmtId="0" fontId="0" fillId="0" borderId="0" xfId="0" applyAlignment="1">
      <alignment horizontal="left" vertical="center"/>
    </xf>
    <xf numFmtId="0" fontId="0" fillId="0" borderId="2" xfId="0" applyBorder="1" applyAlignment="1">
      <alignment horizontal="left" vertical="center"/>
    </xf>
    <xf numFmtId="0" fontId="0" fillId="31" borderId="24" xfId="0" applyFill="1" applyBorder="1" applyAlignment="1">
      <alignment horizontal="left" vertical="center"/>
    </xf>
    <xf numFmtId="0" fontId="16" fillId="30" borderId="24" xfId="0" applyFont="1" applyFill="1" applyBorder="1" applyAlignment="1">
      <alignment horizontal="left" wrapText="1"/>
    </xf>
    <xf numFmtId="0" fontId="16" fillId="64" borderId="17" xfId="0" applyFont="1" applyFill="1" applyBorder="1" applyAlignment="1">
      <alignment horizontal="left" vertical="center" wrapText="1"/>
    </xf>
    <xf numFmtId="0" fontId="16" fillId="0" borderId="24" xfId="0" applyFont="1" applyBorder="1" applyAlignment="1">
      <alignment horizontal="left" vertical="center" wrapText="1"/>
    </xf>
    <xf numFmtId="0" fontId="16" fillId="64" borderId="17" xfId="0" applyFont="1" applyFill="1" applyBorder="1" applyAlignment="1">
      <alignment horizontal="left" vertical="center"/>
    </xf>
    <xf numFmtId="0" fontId="16" fillId="0" borderId="17" xfId="0" applyFont="1" applyBorder="1" applyAlignment="1">
      <alignment horizontal="left" vertical="center" wrapText="1"/>
    </xf>
    <xf numFmtId="0" fontId="16" fillId="30" borderId="24" xfId="0" applyFont="1" applyFill="1" applyBorder="1" applyAlignment="1">
      <alignment horizontal="left" vertical="center" wrapText="1"/>
    </xf>
    <xf numFmtId="0" fontId="56" fillId="0" borderId="24" xfId="0" applyFont="1" applyBorder="1" applyAlignment="1">
      <alignment horizontal="left" vertical="center" wrapText="1"/>
    </xf>
    <xf numFmtId="0" fontId="16" fillId="64" borderId="39" xfId="0" applyFont="1" applyFill="1" applyBorder="1" applyAlignment="1">
      <alignment horizontal="left" vertical="center"/>
    </xf>
    <xf numFmtId="8" fontId="0" fillId="31" borderId="24" xfId="0" applyNumberFormat="1" applyFill="1" applyBorder="1" applyAlignment="1">
      <alignment horizontal="left" vertical="center" wrapText="1"/>
    </xf>
    <xf numFmtId="0" fontId="16" fillId="64" borderId="24" xfId="0" applyFont="1" applyFill="1" applyBorder="1" applyAlignment="1">
      <alignment horizontal="left" vertical="center" wrapText="1"/>
    </xf>
    <xf numFmtId="168" fontId="16" fillId="30" borderId="1" xfId="0" applyNumberFormat="1" applyFont="1" applyFill="1" applyBorder="1" applyAlignment="1">
      <alignment horizontal="left" vertical="center" wrapText="1"/>
    </xf>
    <xf numFmtId="0" fontId="86" fillId="2" borderId="24" xfId="0" applyFont="1" applyFill="1" applyBorder="1" applyAlignment="1">
      <alignment horizontal="left" vertical="center" wrapText="1"/>
    </xf>
    <xf numFmtId="0" fontId="0" fillId="26" borderId="24" xfId="0" applyFill="1" applyBorder="1" applyAlignment="1">
      <alignment horizontal="left" vertical="center"/>
    </xf>
    <xf numFmtId="0" fontId="86" fillId="2" borderId="38" xfId="0" applyFont="1" applyFill="1" applyBorder="1" applyAlignment="1">
      <alignment horizontal="left" vertical="center" wrapText="1"/>
    </xf>
    <xf numFmtId="0" fontId="0" fillId="0" borderId="0" xfId="0" applyAlignment="1">
      <alignment horizontal="left"/>
    </xf>
    <xf numFmtId="168" fontId="15" fillId="0" borderId="0" xfId="0" applyNumberFormat="1" applyFont="1" applyAlignment="1">
      <alignment horizontal="center" vertical="center" wrapText="1"/>
    </xf>
    <xf numFmtId="8" fontId="15" fillId="0" borderId="0" xfId="0" applyNumberFormat="1" applyFont="1" applyAlignment="1">
      <alignment horizontal="center" vertical="center" wrapText="1"/>
    </xf>
    <xf numFmtId="17" fontId="38" fillId="32" borderId="1" xfId="2" applyNumberFormat="1" applyFont="1" applyFill="1" applyBorder="1" applyAlignment="1">
      <alignment horizontal="center" vertical="center" wrapText="1"/>
    </xf>
    <xf numFmtId="168" fontId="13" fillId="0" borderId="1" xfId="0" applyNumberFormat="1" applyFont="1" applyBorder="1" applyAlignment="1">
      <alignment vertical="center"/>
    </xf>
    <xf numFmtId="9" fontId="16" fillId="29" borderId="1" xfId="151" applyFont="1" applyFill="1" applyBorder="1" applyAlignment="1">
      <alignment horizontal="center" vertical="center"/>
    </xf>
    <xf numFmtId="0" fontId="1" fillId="0" borderId="54" xfId="5318" applyBorder="1"/>
    <xf numFmtId="0" fontId="74" fillId="0" borderId="54" xfId="5318" applyFont="1" applyBorder="1" applyAlignment="1">
      <alignment horizontal="center"/>
    </xf>
    <xf numFmtId="0" fontId="74" fillId="0" borderId="14" xfId="5318" applyFont="1" applyBorder="1" applyAlignment="1">
      <alignment horizontal="center"/>
    </xf>
    <xf numFmtId="0" fontId="74" fillId="0" borderId="56" xfId="5318" applyFont="1" applyBorder="1" applyAlignment="1">
      <alignment horizontal="center"/>
    </xf>
    <xf numFmtId="0" fontId="1" fillId="0" borderId="14" xfId="5318" applyBorder="1"/>
    <xf numFmtId="0" fontId="1" fillId="0" borderId="56" xfId="5318" applyBorder="1"/>
    <xf numFmtId="0" fontId="1" fillId="0" borderId="0" xfId="5318"/>
    <xf numFmtId="0" fontId="74" fillId="0" borderId="17" xfId="5318" applyFont="1" applyBorder="1"/>
    <xf numFmtId="0" fontId="1" fillId="0" borderId="17" xfId="5318" applyBorder="1" applyAlignment="1">
      <alignment horizontal="center"/>
    </xf>
    <xf numFmtId="0" fontId="1" fillId="0" borderId="18" xfId="5318" applyBorder="1" applyAlignment="1">
      <alignment horizontal="center"/>
    </xf>
    <xf numFmtId="0" fontId="1" fillId="0" borderId="19" xfId="5318" applyBorder="1" applyAlignment="1">
      <alignment horizontal="center"/>
    </xf>
    <xf numFmtId="0" fontId="74" fillId="71" borderId="15" xfId="5318" applyFont="1" applyFill="1" applyBorder="1" applyAlignment="1">
      <alignment horizontal="center"/>
    </xf>
    <xf numFmtId="0" fontId="74" fillId="71" borderId="0" xfId="5318" applyFont="1" applyFill="1"/>
    <xf numFmtId="0" fontId="74" fillId="71" borderId="16" xfId="5318" applyFont="1" applyFill="1" applyBorder="1" applyAlignment="1">
      <alignment horizontal="center"/>
    </xf>
    <xf numFmtId="0" fontId="1" fillId="0" borderId="0" xfId="5318" applyAlignment="1">
      <alignment horizontal="center"/>
    </xf>
    <xf numFmtId="0" fontId="1" fillId="0" borderId="15" xfId="5318" applyBorder="1"/>
    <xf numFmtId="166" fontId="0" fillId="0" borderId="15" xfId="5319" applyNumberFormat="1" applyFont="1" applyBorder="1" applyAlignment="1">
      <alignment horizontal="center"/>
    </xf>
    <xf numFmtId="166" fontId="1" fillId="71" borderId="15" xfId="5318" applyNumberFormat="1" applyFill="1" applyBorder="1"/>
    <xf numFmtId="166" fontId="1" fillId="71" borderId="0" xfId="5318" applyNumberFormat="1" applyFill="1"/>
    <xf numFmtId="166" fontId="1" fillId="71" borderId="16" xfId="5318" applyNumberFormat="1" applyFill="1" applyBorder="1"/>
    <xf numFmtId="166" fontId="0" fillId="0" borderId="0" xfId="5319" applyNumberFormat="1" applyFont="1" applyFill="1" applyBorder="1" applyAlignment="1">
      <alignment horizontal="center"/>
    </xf>
    <xf numFmtId="179" fontId="1" fillId="0" borderId="0" xfId="5318" applyNumberFormat="1"/>
    <xf numFmtId="44" fontId="1" fillId="0" borderId="0" xfId="5318" applyNumberFormat="1"/>
    <xf numFmtId="0" fontId="1" fillId="0" borderId="17" xfId="5318" applyBorder="1"/>
    <xf numFmtId="166" fontId="1" fillId="71" borderId="17" xfId="5318" applyNumberFormat="1" applyFill="1" applyBorder="1"/>
    <xf numFmtId="166" fontId="1" fillId="71" borderId="18" xfId="5318" applyNumberFormat="1" applyFill="1" applyBorder="1"/>
    <xf numFmtId="166" fontId="1" fillId="71" borderId="19" xfId="5318" applyNumberFormat="1" applyFill="1" applyBorder="1"/>
    <xf numFmtId="0" fontId="1" fillId="71" borderId="0" xfId="5318" applyFill="1"/>
    <xf numFmtId="166" fontId="1" fillId="0" borderId="57" xfId="5318" applyNumberFormat="1" applyBorder="1"/>
    <xf numFmtId="166" fontId="74" fillId="71" borderId="57" xfId="5318" applyNumberFormat="1" applyFont="1" applyFill="1" applyBorder="1"/>
    <xf numFmtId="0" fontId="16" fillId="66" borderId="1" xfId="151" applyNumberFormat="1" applyFont="1" applyFill="1" applyBorder="1" applyAlignment="1">
      <alignment horizontal="center" vertical="center"/>
    </xf>
    <xf numFmtId="180" fontId="16" fillId="0" borderId="1" xfId="0" applyNumberFormat="1" applyFont="1" applyBorder="1" applyAlignment="1">
      <alignment horizontal="center" vertical="center" wrapText="1"/>
    </xf>
    <xf numFmtId="178" fontId="16" fillId="72" borderId="1" xfId="0" applyNumberFormat="1" applyFont="1" applyFill="1" applyBorder="1" applyAlignment="1">
      <alignment horizontal="center" vertical="center"/>
    </xf>
    <xf numFmtId="178" fontId="16" fillId="72" borderId="1" xfId="0" applyNumberFormat="1" applyFont="1" applyFill="1" applyBorder="1" applyAlignment="1">
      <alignment horizontal="center" vertical="center" wrapText="1"/>
    </xf>
    <xf numFmtId="43" fontId="90" fillId="73" borderId="1" xfId="5242" applyFont="1" applyFill="1" applyBorder="1" applyAlignment="1" applyProtection="1">
      <alignment horizontal="left" vertical="center" wrapText="1"/>
      <protection locked="0"/>
    </xf>
    <xf numFmtId="177" fontId="90" fillId="73" borderId="1" xfId="5242" applyNumberFormat="1" applyFont="1" applyFill="1" applyBorder="1" applyAlignment="1" applyProtection="1">
      <alignment vertical="center" wrapText="1"/>
      <protection locked="0"/>
    </xf>
    <xf numFmtId="178" fontId="16" fillId="73" borderId="1" xfId="5242" applyNumberFormat="1" applyFont="1" applyFill="1" applyBorder="1" applyAlignment="1">
      <alignment horizontal="center" vertical="center" wrapText="1"/>
    </xf>
    <xf numFmtId="0" fontId="80" fillId="0" borderId="0" xfId="2" applyFont="1" applyAlignment="1">
      <alignment vertical="center" wrapText="1"/>
    </xf>
    <xf numFmtId="0" fontId="80" fillId="0" borderId="0" xfId="2" applyFont="1" applyAlignment="1">
      <alignment vertical="center"/>
    </xf>
    <xf numFmtId="43" fontId="0" fillId="0" borderId="0" xfId="5242" applyFont="1" applyAlignment="1">
      <alignment horizontal="left" vertical="center"/>
    </xf>
    <xf numFmtId="177" fontId="0" fillId="0" borderId="0" xfId="5242" applyNumberFormat="1" applyFont="1" applyAlignment="1">
      <alignment horizontal="left" vertical="center"/>
    </xf>
    <xf numFmtId="43" fontId="0" fillId="0" borderId="0" xfId="0" applyNumberFormat="1" applyAlignment="1">
      <alignment horizontal="left" vertical="center"/>
    </xf>
    <xf numFmtId="177" fontId="38" fillId="0" borderId="0" xfId="0" applyNumberFormat="1" applyFont="1" applyAlignment="1">
      <alignment horizontal="left" vertical="center"/>
    </xf>
    <xf numFmtId="0" fontId="16" fillId="29" borderId="1" xfId="2" applyFont="1" applyFill="1" applyBorder="1" applyAlignment="1">
      <alignment vertical="center" wrapText="1"/>
    </xf>
    <xf numFmtId="178" fontId="16" fillId="29" borderId="1" xfId="2" applyNumberFormat="1" applyFont="1" applyFill="1" applyBorder="1" applyAlignment="1">
      <alignment horizontal="center" vertical="center" wrapText="1"/>
    </xf>
    <xf numFmtId="178" fontId="16" fillId="29" borderId="1" xfId="5315" applyNumberFormat="1" applyFont="1" applyFill="1" applyBorder="1" applyAlignment="1">
      <alignment horizontal="center" vertical="center" wrapText="1"/>
    </xf>
    <xf numFmtId="0" fontId="16" fillId="29" borderId="1" xfId="5310" applyFont="1" applyFill="1" applyBorder="1" applyAlignment="1">
      <alignment horizontal="center" vertical="center" wrapText="1"/>
    </xf>
    <xf numFmtId="168" fontId="16" fillId="29" borderId="25" xfId="1" applyNumberFormat="1" applyFont="1" applyFill="1" applyBorder="1" applyAlignment="1">
      <alignment horizontal="center" vertical="center" wrapText="1"/>
    </xf>
    <xf numFmtId="168" fontId="16" fillId="29" borderId="26" xfId="1" applyNumberFormat="1" applyFont="1" applyFill="1" applyBorder="1" applyAlignment="1">
      <alignment horizontal="center" vertical="center" wrapText="1"/>
    </xf>
    <xf numFmtId="181" fontId="0" fillId="0" borderId="0" xfId="0" applyNumberFormat="1" applyAlignment="1">
      <alignment horizontal="center" vertical="center"/>
    </xf>
    <xf numFmtId="168" fontId="0" fillId="0" borderId="0" xfId="0" applyNumberFormat="1" applyAlignment="1">
      <alignment horizontal="left"/>
    </xf>
    <xf numFmtId="0" fontId="16" fillId="74" borderId="1" xfId="0" applyFont="1" applyFill="1" applyBorder="1" applyAlignment="1">
      <alignment vertical="center" wrapText="1"/>
    </xf>
    <xf numFmtId="180" fontId="16" fillId="74" borderId="1" xfId="0" applyNumberFormat="1" applyFont="1" applyFill="1" applyBorder="1" applyAlignment="1">
      <alignment horizontal="center" vertical="center" wrapText="1"/>
    </xf>
    <xf numFmtId="0" fontId="16" fillId="74" borderId="1" xfId="0" applyFont="1" applyFill="1" applyBorder="1" applyAlignment="1">
      <alignment horizontal="center" vertical="center" wrapText="1"/>
    </xf>
    <xf numFmtId="168" fontId="16" fillId="74" borderId="1" xfId="1" applyNumberFormat="1" applyFont="1" applyFill="1" applyBorder="1" applyAlignment="1">
      <alignment horizontal="center" vertical="center" wrapText="1"/>
    </xf>
    <xf numFmtId="168" fontId="15" fillId="74" borderId="22" xfId="0" applyNumberFormat="1" applyFont="1" applyFill="1" applyBorder="1" applyAlignment="1">
      <alignment horizontal="center" vertical="center" wrapText="1"/>
    </xf>
    <xf numFmtId="0" fontId="16" fillId="74" borderId="24" xfId="0" applyFont="1" applyFill="1" applyBorder="1" applyAlignment="1">
      <alignment horizontal="left" vertical="center" wrapText="1"/>
    </xf>
    <xf numFmtId="0" fontId="17" fillId="27" borderId="42" xfId="0" applyFont="1" applyFill="1" applyBorder="1" applyAlignment="1">
      <alignment horizontal="center" vertical="center" wrapText="1"/>
    </xf>
    <xf numFmtId="167" fontId="17" fillId="27" borderId="37" xfId="0" applyNumberFormat="1" applyFont="1" applyFill="1" applyBorder="1" applyAlignment="1">
      <alignment horizontal="center" vertical="center" wrapText="1"/>
    </xf>
    <xf numFmtId="0" fontId="38" fillId="31" borderId="24" xfId="0" applyFont="1" applyFill="1" applyBorder="1" applyAlignment="1">
      <alignment vertical="center"/>
    </xf>
    <xf numFmtId="168" fontId="38" fillId="29" borderId="22" xfId="0" applyNumberFormat="1" applyFont="1" applyFill="1" applyBorder="1" applyAlignment="1">
      <alignment horizontal="center" vertical="center" wrapText="1"/>
    </xf>
    <xf numFmtId="168" fontId="38" fillId="29" borderId="1" xfId="0" applyNumberFormat="1" applyFont="1" applyFill="1" applyBorder="1" applyAlignment="1">
      <alignment horizontal="center" vertical="center" wrapText="1"/>
    </xf>
    <xf numFmtId="0" fontId="38" fillId="75" borderId="15" xfId="0" applyFont="1" applyFill="1" applyBorder="1" applyAlignment="1">
      <alignment vertical="center"/>
    </xf>
    <xf numFmtId="168" fontId="38" fillId="75" borderId="1" xfId="0" applyNumberFormat="1" applyFont="1" applyFill="1" applyBorder="1" applyAlignment="1">
      <alignment horizontal="center" vertical="center" wrapText="1"/>
    </xf>
    <xf numFmtId="178" fontId="16" fillId="0" borderId="1" xfId="5308" applyNumberFormat="1" applyFont="1" applyBorder="1" applyAlignment="1">
      <alignment horizontal="center" vertical="center"/>
    </xf>
    <xf numFmtId="0" fontId="16" fillId="0" borderId="1" xfId="5313" applyFont="1" applyBorder="1" applyAlignment="1">
      <alignment vertical="center" wrapText="1"/>
    </xf>
    <xf numFmtId="178" fontId="16" fillId="0" borderId="1" xfId="5313" applyNumberFormat="1" applyFont="1" applyBorder="1" applyAlignment="1">
      <alignment horizontal="center" vertical="center" wrapText="1"/>
    </xf>
    <xf numFmtId="0" fontId="16" fillId="0" borderId="1" xfId="5313" applyFont="1" applyBorder="1" applyAlignment="1">
      <alignment horizontal="center" vertical="center" wrapText="1"/>
    </xf>
    <xf numFmtId="0" fontId="16" fillId="0" borderId="1" xfId="5315" applyFont="1" applyBorder="1" applyAlignment="1">
      <alignment vertical="center" wrapText="1"/>
    </xf>
    <xf numFmtId="178" fontId="16" fillId="72" borderId="1" xfId="5315" applyNumberFormat="1" applyFont="1" applyFill="1" applyBorder="1" applyAlignment="1">
      <alignment horizontal="center" vertical="center" wrapText="1"/>
    </xf>
    <xf numFmtId="0" fontId="16" fillId="0" borderId="1" xfId="5315" applyFont="1" applyBorder="1" applyAlignment="1">
      <alignment horizontal="center" vertical="center" wrapText="1"/>
    </xf>
    <xf numFmtId="178" fontId="16" fillId="72" borderId="1" xfId="5310" applyNumberFormat="1" applyFont="1" applyFill="1" applyBorder="1" applyAlignment="1">
      <alignment horizontal="center" vertical="center" wrapText="1"/>
    </xf>
    <xf numFmtId="0" fontId="16" fillId="29" borderId="1" xfId="5315" applyFont="1" applyFill="1" applyBorder="1" applyAlignment="1">
      <alignment vertical="center" wrapText="1"/>
    </xf>
    <xf numFmtId="0" fontId="16" fillId="29" borderId="1" xfId="5315" applyFont="1" applyFill="1" applyBorder="1" applyAlignment="1">
      <alignment horizontal="center" vertical="center" wrapText="1"/>
    </xf>
    <xf numFmtId="180" fontId="16" fillId="0" borderId="1" xfId="5315" applyNumberFormat="1" applyFont="1" applyBorder="1" applyAlignment="1">
      <alignment horizontal="center" vertical="center" wrapText="1"/>
    </xf>
    <xf numFmtId="178" fontId="16" fillId="0" borderId="1" xfId="5315" applyNumberFormat="1" applyFont="1" applyBorder="1" applyAlignment="1">
      <alignment horizontal="center" vertical="center" wrapText="1"/>
    </xf>
    <xf numFmtId="178" fontId="16" fillId="0" borderId="1" xfId="5315" applyNumberFormat="1" applyFont="1" applyBorder="1" applyAlignment="1">
      <alignment horizontal="center" vertical="center"/>
    </xf>
    <xf numFmtId="178" fontId="16" fillId="73" borderId="1" xfId="5315" applyNumberFormat="1" applyFont="1" applyFill="1" applyBorder="1" applyAlignment="1">
      <alignment horizontal="center" vertical="center"/>
    </xf>
    <xf numFmtId="0" fontId="16" fillId="0" borderId="1" xfId="5308" applyFont="1" applyBorder="1" applyAlignment="1">
      <alignment vertical="center" wrapText="1"/>
    </xf>
    <xf numFmtId="178" fontId="16" fillId="0" borderId="1" xfId="5308" applyNumberFormat="1" applyFont="1" applyBorder="1" applyAlignment="1">
      <alignment horizontal="center" vertical="center" wrapText="1"/>
    </xf>
    <xf numFmtId="0" fontId="16" fillId="0" borderId="1" xfId="5165" applyFont="1" applyBorder="1" applyAlignment="1">
      <alignment vertical="center" wrapText="1"/>
    </xf>
    <xf numFmtId="178" fontId="16" fillId="0" borderId="1" xfId="5165" applyNumberFormat="1" applyFont="1" applyBorder="1" applyAlignment="1">
      <alignment horizontal="center" vertical="center" wrapText="1"/>
    </xf>
    <xf numFmtId="0" fontId="16" fillId="0" borderId="1" xfId="5165" applyFont="1" applyBorder="1" applyAlignment="1">
      <alignment horizontal="center" vertical="center" wrapText="1"/>
    </xf>
    <xf numFmtId="178" fontId="16" fillId="73" borderId="1" xfId="5315" applyNumberFormat="1" applyFont="1" applyFill="1" applyBorder="1" applyAlignment="1">
      <alignment horizontal="center" vertical="center" wrapText="1"/>
    </xf>
    <xf numFmtId="178" fontId="16" fillId="73" borderId="1" xfId="5310" applyNumberFormat="1" applyFont="1" applyFill="1" applyBorder="1" applyAlignment="1">
      <alignment horizontal="center" vertical="center" wrapText="1"/>
    </xf>
    <xf numFmtId="180" fontId="16" fillId="0" borderId="1" xfId="5310" applyNumberFormat="1" applyFont="1" applyBorder="1" applyAlignment="1">
      <alignment horizontal="center" vertical="center" wrapText="1"/>
    </xf>
    <xf numFmtId="0" fontId="16" fillId="0" borderId="1" xfId="5311" applyFont="1" applyBorder="1" applyAlignment="1">
      <alignment horizontal="left" vertical="center" wrapText="1"/>
    </xf>
    <xf numFmtId="178" fontId="16" fillId="0" borderId="1" xfId="5311" applyNumberFormat="1" applyFont="1" applyBorder="1" applyAlignment="1">
      <alignment horizontal="center" vertical="center" wrapText="1"/>
    </xf>
    <xf numFmtId="0" fontId="16" fillId="0" borderId="1" xfId="5311" applyFont="1" applyBorder="1" applyAlignment="1">
      <alignment horizontal="center" vertical="center" wrapText="1"/>
    </xf>
    <xf numFmtId="180" fontId="16" fillId="0" borderId="1" xfId="5311" applyNumberFormat="1" applyFont="1" applyBorder="1" applyAlignment="1">
      <alignment horizontal="center" vertical="center"/>
    </xf>
    <xf numFmtId="0" fontId="16" fillId="0" borderId="1" xfId="5311" applyFont="1" applyBorder="1" applyAlignment="1">
      <alignment vertical="center" wrapText="1"/>
    </xf>
    <xf numFmtId="0" fontId="15" fillId="0" borderId="1" xfId="5165" applyFont="1" applyBorder="1" applyAlignment="1">
      <alignment horizontal="center" vertical="center" wrapText="1"/>
    </xf>
    <xf numFmtId="180" fontId="16" fillId="29" borderId="1" xfId="5165" applyNumberFormat="1" applyFont="1" applyFill="1" applyBorder="1" applyAlignment="1">
      <alignment horizontal="center" vertical="center" wrapText="1"/>
    </xf>
    <xf numFmtId="0" fontId="16" fillId="29" borderId="1" xfId="5165" applyFont="1" applyFill="1" applyBorder="1" applyAlignment="1">
      <alignment horizontal="center" vertical="center" wrapText="1"/>
    </xf>
    <xf numFmtId="180" fontId="16" fillId="0" borderId="1" xfId="5165" applyNumberFormat="1" applyFont="1" applyBorder="1" applyAlignment="1">
      <alignment horizontal="center" vertical="center" wrapText="1"/>
    </xf>
    <xf numFmtId="0" fontId="16" fillId="29" borderId="1" xfId="5165" applyFont="1" applyFill="1" applyBorder="1" applyAlignment="1">
      <alignment vertical="center" wrapText="1"/>
    </xf>
    <xf numFmtId="0" fontId="15" fillId="0" borderId="1" xfId="5175" applyFont="1" applyBorder="1" applyAlignment="1">
      <alignment horizontal="center" vertical="center" wrapText="1"/>
    </xf>
    <xf numFmtId="0" fontId="16" fillId="29" borderId="1" xfId="5175" applyFont="1" applyFill="1" applyBorder="1" applyAlignment="1">
      <alignment horizontal="left" vertical="center" wrapText="1"/>
    </xf>
    <xf numFmtId="167" fontId="16" fillId="29" borderId="1" xfId="5175" applyNumberFormat="1" applyFont="1" applyFill="1" applyBorder="1" applyAlignment="1">
      <alignment horizontal="center" vertical="center"/>
    </xf>
    <xf numFmtId="0" fontId="16" fillId="0" borderId="1" xfId="5175" applyFont="1" applyBorder="1" applyAlignment="1">
      <alignment horizontal="left" vertical="center" wrapText="1"/>
    </xf>
    <xf numFmtId="0" fontId="16" fillId="66" borderId="1" xfId="5175" applyFont="1" applyFill="1" applyBorder="1" applyAlignment="1">
      <alignment horizontal="left" vertical="center" wrapText="1"/>
    </xf>
    <xf numFmtId="0" fontId="84" fillId="67" borderId="53" xfId="1" applyNumberFormat="1" applyFont="1" applyFill="1" applyBorder="1" applyAlignment="1" applyProtection="1">
      <alignment horizontal="center" vertical="center" wrapText="1"/>
      <protection locked="0"/>
    </xf>
    <xf numFmtId="0" fontId="84" fillId="67" borderId="36" xfId="1" applyNumberFormat="1" applyFont="1" applyFill="1" applyBorder="1" applyAlignment="1" applyProtection="1">
      <alignment horizontal="center" vertical="center" wrapText="1"/>
      <protection locked="0"/>
    </xf>
    <xf numFmtId="0" fontId="80" fillId="0" borderId="0" xfId="0" applyFont="1" applyAlignment="1">
      <alignment horizontal="left" vertical="center" wrapText="1"/>
    </xf>
    <xf numFmtId="0" fontId="37" fillId="0" borderId="0" xfId="0" applyFont="1" applyAlignment="1">
      <alignment horizontal="left" vertical="center" wrapText="1"/>
    </xf>
    <xf numFmtId="0" fontId="84" fillId="67" borderId="41" xfId="0" applyFont="1" applyFill="1" applyBorder="1" applyAlignment="1" applyProtection="1">
      <alignment horizontal="center" vertical="center" wrapText="1"/>
      <protection locked="0"/>
    </xf>
    <xf numFmtId="0" fontId="84" fillId="67" borderId="52" xfId="0" applyFont="1" applyFill="1" applyBorder="1" applyAlignment="1" applyProtection="1">
      <alignment horizontal="center" vertical="center" wrapText="1"/>
      <protection locked="0"/>
    </xf>
    <xf numFmtId="0" fontId="84" fillId="67" borderId="53" xfId="0" applyFont="1" applyFill="1" applyBorder="1" applyAlignment="1" applyProtection="1">
      <alignment horizontal="center" vertical="center" wrapText="1"/>
      <protection locked="0"/>
    </xf>
    <xf numFmtId="167" fontId="38" fillId="0" borderId="41" xfId="2" applyNumberFormat="1" applyFont="1" applyBorder="1" applyAlignment="1">
      <alignment horizontal="center" vertical="center" wrapText="1"/>
    </xf>
    <xf numFmtId="167" fontId="38" fillId="0" borderId="27" xfId="2" applyNumberFormat="1" applyFont="1" applyBorder="1" applyAlignment="1">
      <alignment horizontal="center" vertical="center" wrapText="1"/>
    </xf>
    <xf numFmtId="0" fontId="0" fillId="0" borderId="1" xfId="0" applyBorder="1" applyAlignment="1">
      <alignment horizontal="center" vertical="center" wrapText="1"/>
    </xf>
    <xf numFmtId="0" fontId="16" fillId="0" borderId="24" xfId="0" applyFont="1" applyBorder="1" applyAlignment="1" applyProtection="1">
      <alignment horizontal="center" vertical="center" wrapText="1"/>
      <protection locked="0"/>
    </xf>
    <xf numFmtId="0" fontId="16" fillId="0" borderId="25" xfId="0" applyFont="1" applyBorder="1" applyAlignment="1" applyProtection="1">
      <alignment horizontal="center" vertical="center" wrapText="1"/>
      <protection locked="0"/>
    </xf>
    <xf numFmtId="0" fontId="16" fillId="0" borderId="26" xfId="0" applyFont="1" applyBorder="1" applyAlignment="1" applyProtection="1">
      <alignment horizontal="center" vertical="center" wrapText="1"/>
      <protection locked="0"/>
    </xf>
    <xf numFmtId="0" fontId="74" fillId="30" borderId="1" xfId="0" applyFont="1" applyFill="1" applyBorder="1" applyAlignment="1">
      <alignment horizontal="center" vertical="center" wrapText="1"/>
    </xf>
    <xf numFmtId="0" fontId="88" fillId="30" borderId="54" xfId="0" applyFont="1" applyFill="1" applyBorder="1" applyAlignment="1">
      <alignment horizontal="left" vertical="center" wrapText="1"/>
    </xf>
    <xf numFmtId="0" fontId="88" fillId="30" borderId="17" xfId="0" applyFont="1" applyFill="1" applyBorder="1" applyAlignment="1">
      <alignment horizontal="left" vertical="center" wrapText="1"/>
    </xf>
    <xf numFmtId="0" fontId="74" fillId="30" borderId="24" xfId="0" applyFont="1" applyFill="1" applyBorder="1" applyAlignment="1">
      <alignment horizontal="center" vertical="center"/>
    </xf>
    <xf numFmtId="0" fontId="74" fillId="30" borderId="25" xfId="0" applyFont="1" applyFill="1" applyBorder="1" applyAlignment="1">
      <alignment horizontal="center" vertical="center"/>
    </xf>
    <xf numFmtId="0" fontId="74" fillId="30" borderId="26" xfId="0" applyFont="1" applyFill="1" applyBorder="1" applyAlignment="1">
      <alignment horizontal="center" vertical="center"/>
    </xf>
    <xf numFmtId="0" fontId="88" fillId="30" borderId="1" xfId="0" applyFont="1" applyFill="1" applyBorder="1" applyAlignment="1">
      <alignment horizontal="left" vertical="center" wrapText="1"/>
    </xf>
    <xf numFmtId="0" fontId="88" fillId="30" borderId="24" xfId="0" applyFont="1" applyFill="1" applyBorder="1" applyAlignment="1">
      <alignment horizontal="center" vertical="center" wrapText="1"/>
    </xf>
    <xf numFmtId="0" fontId="88" fillId="30" borderId="25" xfId="0" applyFont="1" applyFill="1" applyBorder="1" applyAlignment="1">
      <alignment horizontal="center" vertical="center" wrapText="1"/>
    </xf>
    <xf numFmtId="0" fontId="88" fillId="30" borderId="26" xfId="0" applyFont="1" applyFill="1" applyBorder="1" applyAlignment="1">
      <alignment horizontal="center" vertical="center" wrapText="1"/>
    </xf>
    <xf numFmtId="0" fontId="95" fillId="70" borderId="55" xfId="0" applyFont="1" applyFill="1" applyBorder="1" applyAlignment="1">
      <alignment horizontal="left" vertical="center" wrapText="1"/>
    </xf>
    <xf numFmtId="0" fontId="95" fillId="70" borderId="0" xfId="0" applyFont="1" applyFill="1" applyAlignment="1">
      <alignment horizontal="left" vertical="center" wrapText="1"/>
    </xf>
    <xf numFmtId="0" fontId="15" fillId="3" borderId="24" xfId="0" applyFont="1" applyFill="1" applyBorder="1" applyAlignment="1" applyProtection="1">
      <alignment horizontal="left" vertical="center" wrapText="1"/>
      <protection locked="0"/>
    </xf>
    <xf numFmtId="0" fontId="15" fillId="3" borderId="25" xfId="0" applyFont="1" applyFill="1" applyBorder="1" applyAlignment="1" applyProtection="1">
      <alignment horizontal="left" vertical="center" wrapText="1"/>
      <protection locked="0"/>
    </xf>
    <xf numFmtId="0" fontId="15" fillId="3" borderId="26" xfId="0" applyFont="1" applyFill="1" applyBorder="1" applyAlignment="1" applyProtection="1">
      <alignment horizontal="left" vertical="center" wrapText="1"/>
      <protection locked="0"/>
    </xf>
  </cellXfs>
  <cellStyles count="5320">
    <cellStyle name="20% - Accent1" xfId="4774" builtinId="30" customBuiltin="1"/>
    <cellStyle name="20% - Accent1 2" xfId="4" xr:uid="{00000000-0005-0000-0000-000001000000}"/>
    <cellStyle name="20% - Accent1 3" xfId="5" xr:uid="{00000000-0005-0000-0000-000002000000}"/>
    <cellStyle name="20% - Accent1 4" xfId="6" xr:uid="{00000000-0005-0000-0000-000003000000}"/>
    <cellStyle name="20% - Accent1 5" xfId="5258" xr:uid="{00000000-0005-0000-0000-000004000000}"/>
    <cellStyle name="20% - Accent2" xfId="4778" builtinId="34" customBuiltin="1"/>
    <cellStyle name="20% - Accent2 2" xfId="7" xr:uid="{00000000-0005-0000-0000-000006000000}"/>
    <cellStyle name="20% - Accent2 3" xfId="8" xr:uid="{00000000-0005-0000-0000-000007000000}"/>
    <cellStyle name="20% - Accent2 4" xfId="9" xr:uid="{00000000-0005-0000-0000-000008000000}"/>
    <cellStyle name="20% - Accent2 5" xfId="5260" xr:uid="{00000000-0005-0000-0000-000009000000}"/>
    <cellStyle name="20% - Accent3" xfId="4782" builtinId="38" customBuiltin="1"/>
    <cellStyle name="20% - Accent3 2" xfId="10" xr:uid="{00000000-0005-0000-0000-00000B000000}"/>
    <cellStyle name="20% - Accent3 3" xfId="11" xr:uid="{00000000-0005-0000-0000-00000C000000}"/>
    <cellStyle name="20% - Accent3 4" xfId="12" xr:uid="{00000000-0005-0000-0000-00000D000000}"/>
    <cellStyle name="20% - Accent3 5" xfId="5262" xr:uid="{00000000-0005-0000-0000-00000E000000}"/>
    <cellStyle name="20% - Accent4" xfId="4786" builtinId="42" customBuiltin="1"/>
    <cellStyle name="20% - Accent4 2" xfId="13" xr:uid="{00000000-0005-0000-0000-000010000000}"/>
    <cellStyle name="20% - Accent4 3" xfId="14" xr:uid="{00000000-0005-0000-0000-000011000000}"/>
    <cellStyle name="20% - Accent4 4" xfId="15" xr:uid="{00000000-0005-0000-0000-000012000000}"/>
    <cellStyle name="20% - Accent4 5" xfId="5264" xr:uid="{00000000-0005-0000-0000-000013000000}"/>
    <cellStyle name="20% - Accent5" xfId="4790" builtinId="46" customBuiltin="1"/>
    <cellStyle name="20% - Accent5 2" xfId="16" xr:uid="{00000000-0005-0000-0000-000015000000}"/>
    <cellStyle name="20% - Accent5 3" xfId="17" xr:uid="{00000000-0005-0000-0000-000016000000}"/>
    <cellStyle name="20% - Accent5 4" xfId="18" xr:uid="{00000000-0005-0000-0000-000017000000}"/>
    <cellStyle name="20% - Accent5 5" xfId="5266" xr:uid="{00000000-0005-0000-0000-000018000000}"/>
    <cellStyle name="20% - Accent6" xfId="4794" builtinId="50" customBuiltin="1"/>
    <cellStyle name="20% - Accent6 2" xfId="19" xr:uid="{00000000-0005-0000-0000-00001A000000}"/>
    <cellStyle name="20% - Accent6 3" xfId="20" xr:uid="{00000000-0005-0000-0000-00001B000000}"/>
    <cellStyle name="20% - Accent6 4" xfId="21" xr:uid="{00000000-0005-0000-0000-00001C000000}"/>
    <cellStyle name="20% - Accent6 5" xfId="5268" xr:uid="{00000000-0005-0000-0000-00001D000000}"/>
    <cellStyle name="40% - Accent1" xfId="4775" builtinId="31" customBuiltin="1"/>
    <cellStyle name="40% - Accent1 2" xfId="22" xr:uid="{00000000-0005-0000-0000-00001F000000}"/>
    <cellStyle name="40% - Accent1 3" xfId="23" xr:uid="{00000000-0005-0000-0000-000020000000}"/>
    <cellStyle name="40% - Accent1 4" xfId="24" xr:uid="{00000000-0005-0000-0000-000021000000}"/>
    <cellStyle name="40% - Accent1 5" xfId="5259" xr:uid="{00000000-0005-0000-0000-000022000000}"/>
    <cellStyle name="40% - Accent2" xfId="4779" builtinId="35" customBuiltin="1"/>
    <cellStyle name="40% - Accent2 2" xfId="25" xr:uid="{00000000-0005-0000-0000-000024000000}"/>
    <cellStyle name="40% - Accent2 3" xfId="26" xr:uid="{00000000-0005-0000-0000-000025000000}"/>
    <cellStyle name="40% - Accent2 4" xfId="27" xr:uid="{00000000-0005-0000-0000-000026000000}"/>
    <cellStyle name="40% - Accent2 5" xfId="5261" xr:uid="{00000000-0005-0000-0000-000027000000}"/>
    <cellStyle name="40% - Accent3" xfId="4783" builtinId="39" customBuiltin="1"/>
    <cellStyle name="40% - Accent3 2" xfId="28" xr:uid="{00000000-0005-0000-0000-000029000000}"/>
    <cellStyle name="40% - Accent3 3" xfId="29" xr:uid="{00000000-0005-0000-0000-00002A000000}"/>
    <cellStyle name="40% - Accent3 4" xfId="30" xr:uid="{00000000-0005-0000-0000-00002B000000}"/>
    <cellStyle name="40% - Accent3 5" xfId="5263" xr:uid="{00000000-0005-0000-0000-00002C000000}"/>
    <cellStyle name="40% - Accent4" xfId="4787" builtinId="43" customBuiltin="1"/>
    <cellStyle name="40% - Accent4 2" xfId="31" xr:uid="{00000000-0005-0000-0000-00002E000000}"/>
    <cellStyle name="40% - Accent4 3" xfId="32" xr:uid="{00000000-0005-0000-0000-00002F000000}"/>
    <cellStyle name="40% - Accent4 4" xfId="33" xr:uid="{00000000-0005-0000-0000-000030000000}"/>
    <cellStyle name="40% - Accent4 5" xfId="5265" xr:uid="{00000000-0005-0000-0000-000031000000}"/>
    <cellStyle name="40% - Accent5" xfId="4791" builtinId="47" customBuiltin="1"/>
    <cellStyle name="40% - Accent5 2" xfId="34" xr:uid="{00000000-0005-0000-0000-000033000000}"/>
    <cellStyle name="40% - Accent5 3" xfId="35" xr:uid="{00000000-0005-0000-0000-000034000000}"/>
    <cellStyle name="40% - Accent5 4" xfId="36" xr:uid="{00000000-0005-0000-0000-000035000000}"/>
    <cellStyle name="40% - Accent5 5" xfId="5267" xr:uid="{00000000-0005-0000-0000-000036000000}"/>
    <cellStyle name="40% - Accent6" xfId="4795" builtinId="51" customBuiltin="1"/>
    <cellStyle name="40% - Accent6 2" xfId="37" xr:uid="{00000000-0005-0000-0000-000038000000}"/>
    <cellStyle name="40% - Accent6 3" xfId="38" xr:uid="{00000000-0005-0000-0000-000039000000}"/>
    <cellStyle name="40% - Accent6 4" xfId="39" xr:uid="{00000000-0005-0000-0000-00003A000000}"/>
    <cellStyle name="40% - Accent6 5" xfId="5269" xr:uid="{00000000-0005-0000-0000-00003B000000}"/>
    <cellStyle name="60% - Accent1" xfId="4776" builtinId="32" customBuiltin="1"/>
    <cellStyle name="60% - Accent1 2" xfId="40" xr:uid="{00000000-0005-0000-0000-00003D000000}"/>
    <cellStyle name="60% - Accent1 3" xfId="41" xr:uid="{00000000-0005-0000-0000-00003E000000}"/>
    <cellStyle name="60% - Accent1 4" xfId="42" xr:uid="{00000000-0005-0000-0000-00003F000000}"/>
    <cellStyle name="60% - Accent2" xfId="4780" builtinId="36" customBuiltin="1"/>
    <cellStyle name="60% - Accent2 2" xfId="43" xr:uid="{00000000-0005-0000-0000-000041000000}"/>
    <cellStyle name="60% - Accent2 3" xfId="44" xr:uid="{00000000-0005-0000-0000-000042000000}"/>
    <cellStyle name="60% - Accent2 4" xfId="45" xr:uid="{00000000-0005-0000-0000-000043000000}"/>
    <cellStyle name="60% - Accent3" xfId="4784" builtinId="40" customBuiltin="1"/>
    <cellStyle name="60% - Accent3 2" xfId="46" xr:uid="{00000000-0005-0000-0000-000045000000}"/>
    <cellStyle name="60% - Accent3 3" xfId="47" xr:uid="{00000000-0005-0000-0000-000046000000}"/>
    <cellStyle name="60% - Accent3 4" xfId="48" xr:uid="{00000000-0005-0000-0000-000047000000}"/>
    <cellStyle name="60% - Accent4" xfId="4788" builtinId="44" customBuiltin="1"/>
    <cellStyle name="60% - Accent4 2" xfId="49" xr:uid="{00000000-0005-0000-0000-000049000000}"/>
    <cellStyle name="60% - Accent4 3" xfId="50" xr:uid="{00000000-0005-0000-0000-00004A000000}"/>
    <cellStyle name="60% - Accent4 4" xfId="51" xr:uid="{00000000-0005-0000-0000-00004B000000}"/>
    <cellStyle name="60% - Accent5" xfId="4792" builtinId="48" customBuiltin="1"/>
    <cellStyle name="60% - Accent5 2" xfId="52" xr:uid="{00000000-0005-0000-0000-00004D000000}"/>
    <cellStyle name="60% - Accent5 3" xfId="53" xr:uid="{00000000-0005-0000-0000-00004E000000}"/>
    <cellStyle name="60% - Accent5 4" xfId="54" xr:uid="{00000000-0005-0000-0000-00004F000000}"/>
    <cellStyle name="60% - Accent6" xfId="4796" builtinId="52" customBuiltin="1"/>
    <cellStyle name="60% - Accent6 2" xfId="55" xr:uid="{00000000-0005-0000-0000-000051000000}"/>
    <cellStyle name="60% - Accent6 3" xfId="56" xr:uid="{00000000-0005-0000-0000-000052000000}"/>
    <cellStyle name="60% - Accent6 4" xfId="57" xr:uid="{00000000-0005-0000-0000-000053000000}"/>
    <cellStyle name="Accent1" xfId="4773" builtinId="29" customBuiltin="1"/>
    <cellStyle name="Accent1 2" xfId="58" xr:uid="{00000000-0005-0000-0000-000055000000}"/>
    <cellStyle name="Accent1 3" xfId="59" xr:uid="{00000000-0005-0000-0000-000056000000}"/>
    <cellStyle name="Accent1 4" xfId="60" xr:uid="{00000000-0005-0000-0000-000057000000}"/>
    <cellStyle name="Accent2" xfId="4777" builtinId="33" customBuiltin="1"/>
    <cellStyle name="Accent2 2" xfId="61" xr:uid="{00000000-0005-0000-0000-000059000000}"/>
    <cellStyle name="Accent2 3" xfId="62" xr:uid="{00000000-0005-0000-0000-00005A000000}"/>
    <cellStyle name="Accent2 4" xfId="63" xr:uid="{00000000-0005-0000-0000-00005B000000}"/>
    <cellStyle name="Accent3" xfId="4781" builtinId="37" customBuiltin="1"/>
    <cellStyle name="Accent3 2" xfId="64" xr:uid="{00000000-0005-0000-0000-00005D000000}"/>
    <cellStyle name="Accent3 3" xfId="65" xr:uid="{00000000-0005-0000-0000-00005E000000}"/>
    <cellStyle name="Accent3 4" xfId="66" xr:uid="{00000000-0005-0000-0000-00005F000000}"/>
    <cellStyle name="Accent4" xfId="4785" builtinId="41" customBuiltin="1"/>
    <cellStyle name="Accent4 2" xfId="67" xr:uid="{00000000-0005-0000-0000-000061000000}"/>
    <cellStyle name="Accent4 3" xfId="68" xr:uid="{00000000-0005-0000-0000-000062000000}"/>
    <cellStyle name="Accent4 4" xfId="69" xr:uid="{00000000-0005-0000-0000-000063000000}"/>
    <cellStyle name="Accent5" xfId="4789" builtinId="45" customBuiltin="1"/>
    <cellStyle name="Accent5 2" xfId="70" xr:uid="{00000000-0005-0000-0000-000065000000}"/>
    <cellStyle name="Accent5 3" xfId="71" xr:uid="{00000000-0005-0000-0000-000066000000}"/>
    <cellStyle name="Accent5 4" xfId="72" xr:uid="{00000000-0005-0000-0000-000067000000}"/>
    <cellStyle name="Accent6" xfId="4793" builtinId="49" customBuiltin="1"/>
    <cellStyle name="Accent6 2" xfId="73" xr:uid="{00000000-0005-0000-0000-000069000000}"/>
    <cellStyle name="Accent6 3" xfId="74" xr:uid="{00000000-0005-0000-0000-00006A000000}"/>
    <cellStyle name="Accent6 4" xfId="75" xr:uid="{00000000-0005-0000-0000-00006B000000}"/>
    <cellStyle name="AMN" xfId="688" xr:uid="{00000000-0005-0000-0000-00006C000000}"/>
    <cellStyle name="Bad" xfId="4763" builtinId="27" customBuiltin="1"/>
    <cellStyle name="Bad 2" xfId="76" xr:uid="{00000000-0005-0000-0000-00006E000000}"/>
    <cellStyle name="Bad 3" xfId="77" xr:uid="{00000000-0005-0000-0000-00006F000000}"/>
    <cellStyle name="Bad 4" xfId="78" xr:uid="{00000000-0005-0000-0000-000070000000}"/>
    <cellStyle name="Bridget" xfId="689" xr:uid="{00000000-0005-0000-0000-000071000000}"/>
    <cellStyle name="Calculation" xfId="4767" builtinId="22" customBuiltin="1"/>
    <cellStyle name="Calculation 2" xfId="79" xr:uid="{00000000-0005-0000-0000-000073000000}"/>
    <cellStyle name="Calculation 2 2" xfId="690" xr:uid="{00000000-0005-0000-0000-000074000000}"/>
    <cellStyle name="Calculation 3" xfId="80" xr:uid="{00000000-0005-0000-0000-000075000000}"/>
    <cellStyle name="Calculation 4" xfId="81" xr:uid="{00000000-0005-0000-0000-000076000000}"/>
    <cellStyle name="Check Cell" xfId="4769" builtinId="23" customBuiltin="1"/>
    <cellStyle name="Check Cell 2" xfId="82" xr:uid="{00000000-0005-0000-0000-000078000000}"/>
    <cellStyle name="Check Cell 3" xfId="83" xr:uid="{00000000-0005-0000-0000-000079000000}"/>
    <cellStyle name="Check Cell 4" xfId="84" xr:uid="{00000000-0005-0000-0000-00007A000000}"/>
    <cellStyle name="Comma" xfId="5242" builtinId="3"/>
    <cellStyle name="Comma  - Style1" xfId="691" xr:uid="{00000000-0005-0000-0000-00007C000000}"/>
    <cellStyle name="Comma 10" xfId="159" xr:uid="{00000000-0005-0000-0000-00007D000000}"/>
    <cellStyle name="Comma 10 10" xfId="693" xr:uid="{00000000-0005-0000-0000-00007E000000}"/>
    <cellStyle name="Comma 10 11" xfId="694" xr:uid="{00000000-0005-0000-0000-00007F000000}"/>
    <cellStyle name="Comma 10 12" xfId="695" xr:uid="{00000000-0005-0000-0000-000080000000}"/>
    <cellStyle name="Comma 10 13" xfId="696" xr:uid="{00000000-0005-0000-0000-000081000000}"/>
    <cellStyle name="Comma 10 14" xfId="697" xr:uid="{00000000-0005-0000-0000-000082000000}"/>
    <cellStyle name="Comma 10 15" xfId="698" xr:uid="{00000000-0005-0000-0000-000083000000}"/>
    <cellStyle name="Comma 10 16" xfId="699" xr:uid="{00000000-0005-0000-0000-000084000000}"/>
    <cellStyle name="Comma 10 17" xfId="700" xr:uid="{00000000-0005-0000-0000-000085000000}"/>
    <cellStyle name="Comma 10 18" xfId="701" xr:uid="{00000000-0005-0000-0000-000086000000}"/>
    <cellStyle name="Comma 10 19" xfId="702" xr:uid="{00000000-0005-0000-0000-000087000000}"/>
    <cellStyle name="Comma 10 2" xfId="160" xr:uid="{00000000-0005-0000-0000-000088000000}"/>
    <cellStyle name="Comma 10 2 10" xfId="704" xr:uid="{00000000-0005-0000-0000-000089000000}"/>
    <cellStyle name="Comma 10 2 11" xfId="705" xr:uid="{00000000-0005-0000-0000-00008A000000}"/>
    <cellStyle name="Comma 10 2 12" xfId="706" xr:uid="{00000000-0005-0000-0000-00008B000000}"/>
    <cellStyle name="Comma 10 2 13" xfId="707" xr:uid="{00000000-0005-0000-0000-00008C000000}"/>
    <cellStyle name="Comma 10 2 14" xfId="708" xr:uid="{00000000-0005-0000-0000-00008D000000}"/>
    <cellStyle name="Comma 10 2 15" xfId="709" xr:uid="{00000000-0005-0000-0000-00008E000000}"/>
    <cellStyle name="Comma 10 2 16" xfId="710" xr:uid="{00000000-0005-0000-0000-00008F000000}"/>
    <cellStyle name="Comma 10 2 17" xfId="711" xr:uid="{00000000-0005-0000-0000-000090000000}"/>
    <cellStyle name="Comma 10 2 18" xfId="712" xr:uid="{00000000-0005-0000-0000-000091000000}"/>
    <cellStyle name="Comma 10 2 19" xfId="703" xr:uid="{00000000-0005-0000-0000-000092000000}"/>
    <cellStyle name="Comma 10 2 2" xfId="218" xr:uid="{00000000-0005-0000-0000-000093000000}"/>
    <cellStyle name="Comma 10 2 2 2" xfId="366" xr:uid="{00000000-0005-0000-0000-000094000000}"/>
    <cellStyle name="Comma 10 2 2 2 2" xfId="604" xr:uid="{00000000-0005-0000-0000-000095000000}"/>
    <cellStyle name="Comma 10 2 2 3" xfId="474" xr:uid="{00000000-0005-0000-0000-000096000000}"/>
    <cellStyle name="Comma 10 2 2 4" xfId="713" xr:uid="{00000000-0005-0000-0000-000097000000}"/>
    <cellStyle name="Comma 10 2 3" xfId="267" xr:uid="{00000000-0005-0000-0000-000098000000}"/>
    <cellStyle name="Comma 10 2 3 2" xfId="397" xr:uid="{00000000-0005-0000-0000-000099000000}"/>
    <cellStyle name="Comma 10 2 3 2 2" xfId="635" xr:uid="{00000000-0005-0000-0000-00009A000000}"/>
    <cellStyle name="Comma 10 2 3 3" xfId="505" xr:uid="{00000000-0005-0000-0000-00009B000000}"/>
    <cellStyle name="Comma 10 2 3 4" xfId="714" xr:uid="{00000000-0005-0000-0000-00009C000000}"/>
    <cellStyle name="Comma 10 2 4" xfId="329" xr:uid="{00000000-0005-0000-0000-00009D000000}"/>
    <cellStyle name="Comma 10 2 4 2" xfId="567" xr:uid="{00000000-0005-0000-0000-00009E000000}"/>
    <cellStyle name="Comma 10 2 4 3" xfId="715" xr:uid="{00000000-0005-0000-0000-00009F000000}"/>
    <cellStyle name="Comma 10 2 5" xfId="437" xr:uid="{00000000-0005-0000-0000-0000A0000000}"/>
    <cellStyle name="Comma 10 2 5 2" xfId="716" xr:uid="{00000000-0005-0000-0000-0000A1000000}"/>
    <cellStyle name="Comma 10 2 6" xfId="717" xr:uid="{00000000-0005-0000-0000-0000A2000000}"/>
    <cellStyle name="Comma 10 2 7" xfId="718" xr:uid="{00000000-0005-0000-0000-0000A3000000}"/>
    <cellStyle name="Comma 10 2 8" xfId="719" xr:uid="{00000000-0005-0000-0000-0000A4000000}"/>
    <cellStyle name="Comma 10 2 9" xfId="720" xr:uid="{00000000-0005-0000-0000-0000A5000000}"/>
    <cellStyle name="Comma 10 20" xfId="721" xr:uid="{00000000-0005-0000-0000-0000A6000000}"/>
    <cellStyle name="Comma 10 21" xfId="722" xr:uid="{00000000-0005-0000-0000-0000A7000000}"/>
    <cellStyle name="Comma 10 22" xfId="723" xr:uid="{00000000-0005-0000-0000-0000A8000000}"/>
    <cellStyle name="Comma 10 23" xfId="724" xr:uid="{00000000-0005-0000-0000-0000A9000000}"/>
    <cellStyle name="Comma 10 24" xfId="725" xr:uid="{00000000-0005-0000-0000-0000AA000000}"/>
    <cellStyle name="Comma 10 25" xfId="726" xr:uid="{00000000-0005-0000-0000-0000AB000000}"/>
    <cellStyle name="Comma 10 26" xfId="727" xr:uid="{00000000-0005-0000-0000-0000AC000000}"/>
    <cellStyle name="Comma 10 27" xfId="728" xr:uid="{00000000-0005-0000-0000-0000AD000000}"/>
    <cellStyle name="Comma 10 28" xfId="729" xr:uid="{00000000-0005-0000-0000-0000AE000000}"/>
    <cellStyle name="Comma 10 29" xfId="730" xr:uid="{00000000-0005-0000-0000-0000AF000000}"/>
    <cellStyle name="Comma 10 3" xfId="217" xr:uid="{00000000-0005-0000-0000-0000B0000000}"/>
    <cellStyle name="Comma 10 3 2" xfId="365" xr:uid="{00000000-0005-0000-0000-0000B1000000}"/>
    <cellStyle name="Comma 10 3 2 2" xfId="603" xr:uid="{00000000-0005-0000-0000-0000B2000000}"/>
    <cellStyle name="Comma 10 3 3" xfId="473" xr:uid="{00000000-0005-0000-0000-0000B3000000}"/>
    <cellStyle name="Comma 10 3 4" xfId="731" xr:uid="{00000000-0005-0000-0000-0000B4000000}"/>
    <cellStyle name="Comma 10 30" xfId="732" xr:uid="{00000000-0005-0000-0000-0000B5000000}"/>
    <cellStyle name="Comma 10 31" xfId="733" xr:uid="{00000000-0005-0000-0000-0000B6000000}"/>
    <cellStyle name="Comma 10 32" xfId="734" xr:uid="{00000000-0005-0000-0000-0000B7000000}"/>
    <cellStyle name="Comma 10 33" xfId="735" xr:uid="{00000000-0005-0000-0000-0000B8000000}"/>
    <cellStyle name="Comma 10 34" xfId="736" xr:uid="{00000000-0005-0000-0000-0000B9000000}"/>
    <cellStyle name="Comma 10 35" xfId="737" xr:uid="{00000000-0005-0000-0000-0000BA000000}"/>
    <cellStyle name="Comma 10 36" xfId="738" xr:uid="{00000000-0005-0000-0000-0000BB000000}"/>
    <cellStyle name="Comma 10 37" xfId="739" xr:uid="{00000000-0005-0000-0000-0000BC000000}"/>
    <cellStyle name="Comma 10 38" xfId="740" xr:uid="{00000000-0005-0000-0000-0000BD000000}"/>
    <cellStyle name="Comma 10 39" xfId="741" xr:uid="{00000000-0005-0000-0000-0000BE000000}"/>
    <cellStyle name="Comma 10 4" xfId="266" xr:uid="{00000000-0005-0000-0000-0000BF000000}"/>
    <cellStyle name="Comma 10 4 2" xfId="396" xr:uid="{00000000-0005-0000-0000-0000C0000000}"/>
    <cellStyle name="Comma 10 4 2 2" xfId="634" xr:uid="{00000000-0005-0000-0000-0000C1000000}"/>
    <cellStyle name="Comma 10 4 3" xfId="504" xr:uid="{00000000-0005-0000-0000-0000C2000000}"/>
    <cellStyle name="Comma 10 4 4" xfId="742" xr:uid="{00000000-0005-0000-0000-0000C3000000}"/>
    <cellStyle name="Comma 10 40" xfId="743" xr:uid="{00000000-0005-0000-0000-0000C4000000}"/>
    <cellStyle name="Comma 10 41" xfId="744" xr:uid="{00000000-0005-0000-0000-0000C5000000}"/>
    <cellStyle name="Comma 10 42" xfId="745" xr:uid="{00000000-0005-0000-0000-0000C6000000}"/>
    <cellStyle name="Comma 10 43" xfId="746" xr:uid="{00000000-0005-0000-0000-0000C7000000}"/>
    <cellStyle name="Comma 10 44" xfId="747" xr:uid="{00000000-0005-0000-0000-0000C8000000}"/>
    <cellStyle name="Comma 10 45" xfId="748" xr:uid="{00000000-0005-0000-0000-0000C9000000}"/>
    <cellStyle name="Comma 10 46" xfId="749" xr:uid="{00000000-0005-0000-0000-0000CA000000}"/>
    <cellStyle name="Comma 10 47" xfId="750" xr:uid="{00000000-0005-0000-0000-0000CB000000}"/>
    <cellStyle name="Comma 10 48" xfId="751" xr:uid="{00000000-0005-0000-0000-0000CC000000}"/>
    <cellStyle name="Comma 10 49" xfId="752" xr:uid="{00000000-0005-0000-0000-0000CD000000}"/>
    <cellStyle name="Comma 10 5" xfId="328" xr:uid="{00000000-0005-0000-0000-0000CE000000}"/>
    <cellStyle name="Comma 10 5 2" xfId="566" xr:uid="{00000000-0005-0000-0000-0000CF000000}"/>
    <cellStyle name="Comma 10 5 3" xfId="753" xr:uid="{00000000-0005-0000-0000-0000D0000000}"/>
    <cellStyle name="Comma 10 50" xfId="754" xr:uid="{00000000-0005-0000-0000-0000D1000000}"/>
    <cellStyle name="Comma 10 51" xfId="755" xr:uid="{00000000-0005-0000-0000-0000D2000000}"/>
    <cellStyle name="Comma 10 52" xfId="756" xr:uid="{00000000-0005-0000-0000-0000D3000000}"/>
    <cellStyle name="Comma 10 53" xfId="757" xr:uid="{00000000-0005-0000-0000-0000D4000000}"/>
    <cellStyle name="Comma 10 54" xfId="692" xr:uid="{00000000-0005-0000-0000-0000D5000000}"/>
    <cellStyle name="Comma 10 6" xfId="436" xr:uid="{00000000-0005-0000-0000-0000D6000000}"/>
    <cellStyle name="Comma 10 6 2" xfId="758" xr:uid="{00000000-0005-0000-0000-0000D7000000}"/>
    <cellStyle name="Comma 10 7" xfId="759" xr:uid="{00000000-0005-0000-0000-0000D8000000}"/>
    <cellStyle name="Comma 10 8" xfId="760" xr:uid="{00000000-0005-0000-0000-0000D9000000}"/>
    <cellStyle name="Comma 10 9" xfId="761" xr:uid="{00000000-0005-0000-0000-0000DA000000}"/>
    <cellStyle name="Comma 11" xfId="161" xr:uid="{00000000-0005-0000-0000-0000DB000000}"/>
    <cellStyle name="Comma 11 10" xfId="763" xr:uid="{00000000-0005-0000-0000-0000DC000000}"/>
    <cellStyle name="Comma 11 11" xfId="764" xr:uid="{00000000-0005-0000-0000-0000DD000000}"/>
    <cellStyle name="Comma 11 12" xfId="765" xr:uid="{00000000-0005-0000-0000-0000DE000000}"/>
    <cellStyle name="Comma 11 13" xfId="766" xr:uid="{00000000-0005-0000-0000-0000DF000000}"/>
    <cellStyle name="Comma 11 14" xfId="767" xr:uid="{00000000-0005-0000-0000-0000E0000000}"/>
    <cellStyle name="Comma 11 15" xfId="768" xr:uid="{00000000-0005-0000-0000-0000E1000000}"/>
    <cellStyle name="Comma 11 16" xfId="769" xr:uid="{00000000-0005-0000-0000-0000E2000000}"/>
    <cellStyle name="Comma 11 17" xfId="770" xr:uid="{00000000-0005-0000-0000-0000E3000000}"/>
    <cellStyle name="Comma 11 18" xfId="771" xr:uid="{00000000-0005-0000-0000-0000E4000000}"/>
    <cellStyle name="Comma 11 19" xfId="772" xr:uid="{00000000-0005-0000-0000-0000E5000000}"/>
    <cellStyle name="Comma 11 2" xfId="162" xr:uid="{00000000-0005-0000-0000-0000E6000000}"/>
    <cellStyle name="Comma 11 2 10" xfId="774" xr:uid="{00000000-0005-0000-0000-0000E7000000}"/>
    <cellStyle name="Comma 11 2 11" xfId="775" xr:uid="{00000000-0005-0000-0000-0000E8000000}"/>
    <cellStyle name="Comma 11 2 12" xfId="776" xr:uid="{00000000-0005-0000-0000-0000E9000000}"/>
    <cellStyle name="Comma 11 2 13" xfId="777" xr:uid="{00000000-0005-0000-0000-0000EA000000}"/>
    <cellStyle name="Comma 11 2 14" xfId="778" xr:uid="{00000000-0005-0000-0000-0000EB000000}"/>
    <cellStyle name="Comma 11 2 15" xfId="779" xr:uid="{00000000-0005-0000-0000-0000EC000000}"/>
    <cellStyle name="Comma 11 2 16" xfId="780" xr:uid="{00000000-0005-0000-0000-0000ED000000}"/>
    <cellStyle name="Comma 11 2 17" xfId="781" xr:uid="{00000000-0005-0000-0000-0000EE000000}"/>
    <cellStyle name="Comma 11 2 18" xfId="782" xr:uid="{00000000-0005-0000-0000-0000EF000000}"/>
    <cellStyle name="Comma 11 2 19" xfId="773" xr:uid="{00000000-0005-0000-0000-0000F0000000}"/>
    <cellStyle name="Comma 11 2 2" xfId="220" xr:uid="{00000000-0005-0000-0000-0000F1000000}"/>
    <cellStyle name="Comma 11 2 2 2" xfId="368" xr:uid="{00000000-0005-0000-0000-0000F2000000}"/>
    <cellStyle name="Comma 11 2 2 2 2" xfId="606" xr:uid="{00000000-0005-0000-0000-0000F3000000}"/>
    <cellStyle name="Comma 11 2 2 3" xfId="476" xr:uid="{00000000-0005-0000-0000-0000F4000000}"/>
    <cellStyle name="Comma 11 2 2 4" xfId="783" xr:uid="{00000000-0005-0000-0000-0000F5000000}"/>
    <cellStyle name="Comma 11 2 3" xfId="269" xr:uid="{00000000-0005-0000-0000-0000F6000000}"/>
    <cellStyle name="Comma 11 2 3 2" xfId="399" xr:uid="{00000000-0005-0000-0000-0000F7000000}"/>
    <cellStyle name="Comma 11 2 3 2 2" xfId="637" xr:uid="{00000000-0005-0000-0000-0000F8000000}"/>
    <cellStyle name="Comma 11 2 3 3" xfId="507" xr:uid="{00000000-0005-0000-0000-0000F9000000}"/>
    <cellStyle name="Comma 11 2 3 4" xfId="784" xr:uid="{00000000-0005-0000-0000-0000FA000000}"/>
    <cellStyle name="Comma 11 2 4" xfId="331" xr:uid="{00000000-0005-0000-0000-0000FB000000}"/>
    <cellStyle name="Comma 11 2 4 2" xfId="569" xr:uid="{00000000-0005-0000-0000-0000FC000000}"/>
    <cellStyle name="Comma 11 2 4 3" xfId="785" xr:uid="{00000000-0005-0000-0000-0000FD000000}"/>
    <cellStyle name="Comma 11 2 5" xfId="439" xr:uid="{00000000-0005-0000-0000-0000FE000000}"/>
    <cellStyle name="Comma 11 2 5 2" xfId="786" xr:uid="{00000000-0005-0000-0000-0000FF000000}"/>
    <cellStyle name="Comma 11 2 6" xfId="787" xr:uid="{00000000-0005-0000-0000-000000010000}"/>
    <cellStyle name="Comma 11 2 7" xfId="788" xr:uid="{00000000-0005-0000-0000-000001010000}"/>
    <cellStyle name="Comma 11 2 8" xfId="789" xr:uid="{00000000-0005-0000-0000-000002010000}"/>
    <cellStyle name="Comma 11 2 9" xfId="790" xr:uid="{00000000-0005-0000-0000-000003010000}"/>
    <cellStyle name="Comma 11 20" xfId="791" xr:uid="{00000000-0005-0000-0000-000004010000}"/>
    <cellStyle name="Comma 11 21" xfId="792" xr:uid="{00000000-0005-0000-0000-000005010000}"/>
    <cellStyle name="Comma 11 22" xfId="793" xr:uid="{00000000-0005-0000-0000-000006010000}"/>
    <cellStyle name="Comma 11 23" xfId="794" xr:uid="{00000000-0005-0000-0000-000007010000}"/>
    <cellStyle name="Comma 11 24" xfId="795" xr:uid="{00000000-0005-0000-0000-000008010000}"/>
    <cellStyle name="Comma 11 25" xfId="796" xr:uid="{00000000-0005-0000-0000-000009010000}"/>
    <cellStyle name="Comma 11 26" xfId="797" xr:uid="{00000000-0005-0000-0000-00000A010000}"/>
    <cellStyle name="Comma 11 27" xfId="798" xr:uid="{00000000-0005-0000-0000-00000B010000}"/>
    <cellStyle name="Comma 11 28" xfId="799" xr:uid="{00000000-0005-0000-0000-00000C010000}"/>
    <cellStyle name="Comma 11 29" xfId="800" xr:uid="{00000000-0005-0000-0000-00000D010000}"/>
    <cellStyle name="Comma 11 3" xfId="201" xr:uid="{00000000-0005-0000-0000-00000E010000}"/>
    <cellStyle name="Comma 11 3 2" xfId="254" xr:uid="{00000000-0005-0000-0000-00000F010000}"/>
    <cellStyle name="Comma 11 3 2 2" xfId="388" xr:uid="{00000000-0005-0000-0000-000010010000}"/>
    <cellStyle name="Comma 11 3 2 2 2" xfId="626" xr:uid="{00000000-0005-0000-0000-000011010000}"/>
    <cellStyle name="Comma 11 3 2 3" xfId="496" xr:uid="{00000000-0005-0000-0000-000012010000}"/>
    <cellStyle name="Comma 11 3 3" xfId="293" xr:uid="{00000000-0005-0000-0000-000013010000}"/>
    <cellStyle name="Comma 11 3 3 2" xfId="423" xr:uid="{00000000-0005-0000-0000-000014010000}"/>
    <cellStyle name="Comma 11 3 3 2 2" xfId="661" xr:uid="{00000000-0005-0000-0000-000015010000}"/>
    <cellStyle name="Comma 11 3 3 3" xfId="531" xr:uid="{00000000-0005-0000-0000-000016010000}"/>
    <cellStyle name="Comma 11 3 4" xfId="355" xr:uid="{00000000-0005-0000-0000-000017010000}"/>
    <cellStyle name="Comma 11 3 4 2" xfId="593" xr:uid="{00000000-0005-0000-0000-000018010000}"/>
    <cellStyle name="Comma 11 3 5" xfId="463" xr:uid="{00000000-0005-0000-0000-000019010000}"/>
    <cellStyle name="Comma 11 3 6" xfId="801" xr:uid="{00000000-0005-0000-0000-00001A010000}"/>
    <cellStyle name="Comma 11 30" xfId="802" xr:uid="{00000000-0005-0000-0000-00001B010000}"/>
    <cellStyle name="Comma 11 31" xfId="803" xr:uid="{00000000-0005-0000-0000-00001C010000}"/>
    <cellStyle name="Comma 11 32" xfId="804" xr:uid="{00000000-0005-0000-0000-00001D010000}"/>
    <cellStyle name="Comma 11 33" xfId="805" xr:uid="{00000000-0005-0000-0000-00001E010000}"/>
    <cellStyle name="Comma 11 34" xfId="806" xr:uid="{00000000-0005-0000-0000-00001F010000}"/>
    <cellStyle name="Comma 11 35" xfId="807" xr:uid="{00000000-0005-0000-0000-000020010000}"/>
    <cellStyle name="Comma 11 36" xfId="808" xr:uid="{00000000-0005-0000-0000-000021010000}"/>
    <cellStyle name="Comma 11 37" xfId="809" xr:uid="{00000000-0005-0000-0000-000022010000}"/>
    <cellStyle name="Comma 11 38" xfId="810" xr:uid="{00000000-0005-0000-0000-000023010000}"/>
    <cellStyle name="Comma 11 39" xfId="811" xr:uid="{00000000-0005-0000-0000-000024010000}"/>
    <cellStyle name="Comma 11 4" xfId="219" xr:uid="{00000000-0005-0000-0000-000025010000}"/>
    <cellStyle name="Comma 11 4 2" xfId="367" xr:uid="{00000000-0005-0000-0000-000026010000}"/>
    <cellStyle name="Comma 11 4 2 2" xfId="605" xr:uid="{00000000-0005-0000-0000-000027010000}"/>
    <cellStyle name="Comma 11 4 3" xfId="475" xr:uid="{00000000-0005-0000-0000-000028010000}"/>
    <cellStyle name="Comma 11 4 4" xfId="812" xr:uid="{00000000-0005-0000-0000-000029010000}"/>
    <cellStyle name="Comma 11 40" xfId="813" xr:uid="{00000000-0005-0000-0000-00002A010000}"/>
    <cellStyle name="Comma 11 41" xfId="814" xr:uid="{00000000-0005-0000-0000-00002B010000}"/>
    <cellStyle name="Comma 11 42" xfId="815" xr:uid="{00000000-0005-0000-0000-00002C010000}"/>
    <cellStyle name="Comma 11 43" xfId="816" xr:uid="{00000000-0005-0000-0000-00002D010000}"/>
    <cellStyle name="Comma 11 44" xfId="817" xr:uid="{00000000-0005-0000-0000-00002E010000}"/>
    <cellStyle name="Comma 11 45" xfId="818" xr:uid="{00000000-0005-0000-0000-00002F010000}"/>
    <cellStyle name="Comma 11 46" xfId="819" xr:uid="{00000000-0005-0000-0000-000030010000}"/>
    <cellStyle name="Comma 11 47" xfId="820" xr:uid="{00000000-0005-0000-0000-000031010000}"/>
    <cellStyle name="Comma 11 48" xfId="821" xr:uid="{00000000-0005-0000-0000-000032010000}"/>
    <cellStyle name="Comma 11 49" xfId="822" xr:uid="{00000000-0005-0000-0000-000033010000}"/>
    <cellStyle name="Comma 11 5" xfId="268" xr:uid="{00000000-0005-0000-0000-000034010000}"/>
    <cellStyle name="Comma 11 5 2" xfId="398" xr:uid="{00000000-0005-0000-0000-000035010000}"/>
    <cellStyle name="Comma 11 5 2 2" xfId="636" xr:uid="{00000000-0005-0000-0000-000036010000}"/>
    <cellStyle name="Comma 11 5 3" xfId="506" xr:uid="{00000000-0005-0000-0000-000037010000}"/>
    <cellStyle name="Comma 11 5 4" xfId="823" xr:uid="{00000000-0005-0000-0000-000038010000}"/>
    <cellStyle name="Comma 11 50" xfId="824" xr:uid="{00000000-0005-0000-0000-000039010000}"/>
    <cellStyle name="Comma 11 51" xfId="825" xr:uid="{00000000-0005-0000-0000-00003A010000}"/>
    <cellStyle name="Comma 11 52" xfId="826" xr:uid="{00000000-0005-0000-0000-00003B010000}"/>
    <cellStyle name="Comma 11 53" xfId="827" xr:uid="{00000000-0005-0000-0000-00003C010000}"/>
    <cellStyle name="Comma 11 54" xfId="762" xr:uid="{00000000-0005-0000-0000-00003D010000}"/>
    <cellStyle name="Comma 11 6" xfId="330" xr:uid="{00000000-0005-0000-0000-00003E010000}"/>
    <cellStyle name="Comma 11 6 2" xfId="568" xr:uid="{00000000-0005-0000-0000-00003F010000}"/>
    <cellStyle name="Comma 11 6 3" xfId="828" xr:uid="{00000000-0005-0000-0000-000040010000}"/>
    <cellStyle name="Comma 11 7" xfId="438" xr:uid="{00000000-0005-0000-0000-000041010000}"/>
    <cellStyle name="Comma 11 7 2" xfId="829" xr:uid="{00000000-0005-0000-0000-000042010000}"/>
    <cellStyle name="Comma 11 8" xfId="830" xr:uid="{00000000-0005-0000-0000-000043010000}"/>
    <cellStyle name="Comma 11 9" xfId="831" xr:uid="{00000000-0005-0000-0000-000044010000}"/>
    <cellStyle name="Comma 12" xfId="163" xr:uid="{00000000-0005-0000-0000-000045010000}"/>
    <cellStyle name="Comma 12 10" xfId="833" xr:uid="{00000000-0005-0000-0000-000046010000}"/>
    <cellStyle name="Comma 12 11" xfId="834" xr:uid="{00000000-0005-0000-0000-000047010000}"/>
    <cellStyle name="Comma 12 12" xfId="835" xr:uid="{00000000-0005-0000-0000-000048010000}"/>
    <cellStyle name="Comma 12 13" xfId="836" xr:uid="{00000000-0005-0000-0000-000049010000}"/>
    <cellStyle name="Comma 12 14" xfId="837" xr:uid="{00000000-0005-0000-0000-00004A010000}"/>
    <cellStyle name="Comma 12 15" xfId="838" xr:uid="{00000000-0005-0000-0000-00004B010000}"/>
    <cellStyle name="Comma 12 16" xfId="839" xr:uid="{00000000-0005-0000-0000-00004C010000}"/>
    <cellStyle name="Comma 12 17" xfId="840" xr:uid="{00000000-0005-0000-0000-00004D010000}"/>
    <cellStyle name="Comma 12 18" xfId="841" xr:uid="{00000000-0005-0000-0000-00004E010000}"/>
    <cellStyle name="Comma 12 19" xfId="842" xr:uid="{00000000-0005-0000-0000-00004F010000}"/>
    <cellStyle name="Comma 12 2" xfId="202" xr:uid="{00000000-0005-0000-0000-000050010000}"/>
    <cellStyle name="Comma 12 2 10" xfId="844" xr:uid="{00000000-0005-0000-0000-000051010000}"/>
    <cellStyle name="Comma 12 2 11" xfId="845" xr:uid="{00000000-0005-0000-0000-000052010000}"/>
    <cellStyle name="Comma 12 2 12" xfId="846" xr:uid="{00000000-0005-0000-0000-000053010000}"/>
    <cellStyle name="Comma 12 2 13" xfId="847" xr:uid="{00000000-0005-0000-0000-000054010000}"/>
    <cellStyle name="Comma 12 2 14" xfId="848" xr:uid="{00000000-0005-0000-0000-000055010000}"/>
    <cellStyle name="Comma 12 2 15" xfId="849" xr:uid="{00000000-0005-0000-0000-000056010000}"/>
    <cellStyle name="Comma 12 2 16" xfId="850" xr:uid="{00000000-0005-0000-0000-000057010000}"/>
    <cellStyle name="Comma 12 2 17" xfId="851" xr:uid="{00000000-0005-0000-0000-000058010000}"/>
    <cellStyle name="Comma 12 2 18" xfId="852" xr:uid="{00000000-0005-0000-0000-000059010000}"/>
    <cellStyle name="Comma 12 2 19" xfId="843" xr:uid="{00000000-0005-0000-0000-00005A010000}"/>
    <cellStyle name="Comma 12 2 2" xfId="212" xr:uid="{00000000-0005-0000-0000-00005B010000}"/>
    <cellStyle name="Comma 12 2 2 2" xfId="260" xr:uid="{00000000-0005-0000-0000-00005C010000}"/>
    <cellStyle name="Comma 12 2 2 2 2" xfId="392" xr:uid="{00000000-0005-0000-0000-00005D010000}"/>
    <cellStyle name="Comma 12 2 2 2 2 2" xfId="630" xr:uid="{00000000-0005-0000-0000-00005E010000}"/>
    <cellStyle name="Comma 12 2 2 2 3" xfId="500" xr:uid="{00000000-0005-0000-0000-00005F010000}"/>
    <cellStyle name="Comma 12 2 2 3" xfId="300" xr:uid="{00000000-0005-0000-0000-000060010000}"/>
    <cellStyle name="Comma 12 2 2 3 2" xfId="430" xr:uid="{00000000-0005-0000-0000-000061010000}"/>
    <cellStyle name="Comma 12 2 2 3 2 2" xfId="668" xr:uid="{00000000-0005-0000-0000-000062010000}"/>
    <cellStyle name="Comma 12 2 2 3 3" xfId="538" xr:uid="{00000000-0005-0000-0000-000063010000}"/>
    <cellStyle name="Comma 12 2 2 4" xfId="362" xr:uid="{00000000-0005-0000-0000-000064010000}"/>
    <cellStyle name="Comma 12 2 2 4 2" xfId="600" xr:uid="{00000000-0005-0000-0000-000065010000}"/>
    <cellStyle name="Comma 12 2 2 5" xfId="470" xr:uid="{00000000-0005-0000-0000-000066010000}"/>
    <cellStyle name="Comma 12 2 2 6" xfId="853" xr:uid="{00000000-0005-0000-0000-000067010000}"/>
    <cellStyle name="Comma 12 2 3" xfId="294" xr:uid="{00000000-0005-0000-0000-000068010000}"/>
    <cellStyle name="Comma 12 2 3 2" xfId="424" xr:uid="{00000000-0005-0000-0000-000069010000}"/>
    <cellStyle name="Comma 12 2 3 2 2" xfId="662" xr:uid="{00000000-0005-0000-0000-00006A010000}"/>
    <cellStyle name="Comma 12 2 3 3" xfId="532" xr:uid="{00000000-0005-0000-0000-00006B010000}"/>
    <cellStyle name="Comma 12 2 3 4" xfId="854" xr:uid="{00000000-0005-0000-0000-00006C010000}"/>
    <cellStyle name="Comma 12 2 4" xfId="356" xr:uid="{00000000-0005-0000-0000-00006D010000}"/>
    <cellStyle name="Comma 12 2 4 2" xfId="594" xr:uid="{00000000-0005-0000-0000-00006E010000}"/>
    <cellStyle name="Comma 12 2 4 3" xfId="855" xr:uid="{00000000-0005-0000-0000-00006F010000}"/>
    <cellStyle name="Comma 12 2 5" xfId="464" xr:uid="{00000000-0005-0000-0000-000070010000}"/>
    <cellStyle name="Comma 12 2 5 2" xfId="856" xr:uid="{00000000-0005-0000-0000-000071010000}"/>
    <cellStyle name="Comma 12 2 6" xfId="857" xr:uid="{00000000-0005-0000-0000-000072010000}"/>
    <cellStyle name="Comma 12 2 7" xfId="858" xr:uid="{00000000-0005-0000-0000-000073010000}"/>
    <cellStyle name="Comma 12 2 8" xfId="859" xr:uid="{00000000-0005-0000-0000-000074010000}"/>
    <cellStyle name="Comma 12 2 9" xfId="860" xr:uid="{00000000-0005-0000-0000-000075010000}"/>
    <cellStyle name="Comma 12 20" xfId="861" xr:uid="{00000000-0005-0000-0000-000076010000}"/>
    <cellStyle name="Comma 12 21" xfId="862" xr:uid="{00000000-0005-0000-0000-000077010000}"/>
    <cellStyle name="Comma 12 22" xfId="863" xr:uid="{00000000-0005-0000-0000-000078010000}"/>
    <cellStyle name="Comma 12 23" xfId="864" xr:uid="{00000000-0005-0000-0000-000079010000}"/>
    <cellStyle name="Comma 12 24" xfId="865" xr:uid="{00000000-0005-0000-0000-00007A010000}"/>
    <cellStyle name="Comma 12 25" xfId="866" xr:uid="{00000000-0005-0000-0000-00007B010000}"/>
    <cellStyle name="Comma 12 26" xfId="867" xr:uid="{00000000-0005-0000-0000-00007C010000}"/>
    <cellStyle name="Comma 12 27" xfId="868" xr:uid="{00000000-0005-0000-0000-00007D010000}"/>
    <cellStyle name="Comma 12 28" xfId="869" xr:uid="{00000000-0005-0000-0000-00007E010000}"/>
    <cellStyle name="Comma 12 29" xfId="870" xr:uid="{00000000-0005-0000-0000-00007F010000}"/>
    <cellStyle name="Comma 12 3" xfId="198" xr:uid="{00000000-0005-0000-0000-000080010000}"/>
    <cellStyle name="Comma 12 3 2" xfId="252" xr:uid="{00000000-0005-0000-0000-000081010000}"/>
    <cellStyle name="Comma 12 3 2 2" xfId="386" xr:uid="{00000000-0005-0000-0000-000082010000}"/>
    <cellStyle name="Comma 12 3 2 2 2" xfId="624" xr:uid="{00000000-0005-0000-0000-000083010000}"/>
    <cellStyle name="Comma 12 3 2 3" xfId="494" xr:uid="{00000000-0005-0000-0000-000084010000}"/>
    <cellStyle name="Comma 12 3 3" xfId="290" xr:uid="{00000000-0005-0000-0000-000085010000}"/>
    <cellStyle name="Comma 12 3 3 2" xfId="420" xr:uid="{00000000-0005-0000-0000-000086010000}"/>
    <cellStyle name="Comma 12 3 3 2 2" xfId="658" xr:uid="{00000000-0005-0000-0000-000087010000}"/>
    <cellStyle name="Comma 12 3 3 3" xfId="528" xr:uid="{00000000-0005-0000-0000-000088010000}"/>
    <cellStyle name="Comma 12 3 4" xfId="352" xr:uid="{00000000-0005-0000-0000-000089010000}"/>
    <cellStyle name="Comma 12 3 4 2" xfId="590" xr:uid="{00000000-0005-0000-0000-00008A010000}"/>
    <cellStyle name="Comma 12 3 5" xfId="460" xr:uid="{00000000-0005-0000-0000-00008B010000}"/>
    <cellStyle name="Comma 12 3 6" xfId="871" xr:uid="{00000000-0005-0000-0000-00008C010000}"/>
    <cellStyle name="Comma 12 30" xfId="872" xr:uid="{00000000-0005-0000-0000-00008D010000}"/>
    <cellStyle name="Comma 12 31" xfId="873" xr:uid="{00000000-0005-0000-0000-00008E010000}"/>
    <cellStyle name="Comma 12 32" xfId="874" xr:uid="{00000000-0005-0000-0000-00008F010000}"/>
    <cellStyle name="Comma 12 33" xfId="875" xr:uid="{00000000-0005-0000-0000-000090010000}"/>
    <cellStyle name="Comma 12 34" xfId="876" xr:uid="{00000000-0005-0000-0000-000091010000}"/>
    <cellStyle name="Comma 12 35" xfId="877" xr:uid="{00000000-0005-0000-0000-000092010000}"/>
    <cellStyle name="Comma 12 36" xfId="878" xr:uid="{00000000-0005-0000-0000-000093010000}"/>
    <cellStyle name="Comma 12 37" xfId="879" xr:uid="{00000000-0005-0000-0000-000094010000}"/>
    <cellStyle name="Comma 12 38" xfId="880" xr:uid="{00000000-0005-0000-0000-000095010000}"/>
    <cellStyle name="Comma 12 39" xfId="881" xr:uid="{00000000-0005-0000-0000-000096010000}"/>
    <cellStyle name="Comma 12 4" xfId="270" xr:uid="{00000000-0005-0000-0000-000097010000}"/>
    <cellStyle name="Comma 12 4 2" xfId="400" xr:uid="{00000000-0005-0000-0000-000098010000}"/>
    <cellStyle name="Comma 12 4 2 2" xfId="638" xr:uid="{00000000-0005-0000-0000-000099010000}"/>
    <cellStyle name="Comma 12 4 3" xfId="508" xr:uid="{00000000-0005-0000-0000-00009A010000}"/>
    <cellStyle name="Comma 12 4 4" xfId="882" xr:uid="{00000000-0005-0000-0000-00009B010000}"/>
    <cellStyle name="Comma 12 40" xfId="883" xr:uid="{00000000-0005-0000-0000-00009C010000}"/>
    <cellStyle name="Comma 12 41" xfId="884" xr:uid="{00000000-0005-0000-0000-00009D010000}"/>
    <cellStyle name="Comma 12 42" xfId="885" xr:uid="{00000000-0005-0000-0000-00009E010000}"/>
    <cellStyle name="Comma 12 43" xfId="886" xr:uid="{00000000-0005-0000-0000-00009F010000}"/>
    <cellStyle name="Comma 12 44" xfId="887" xr:uid="{00000000-0005-0000-0000-0000A0010000}"/>
    <cellStyle name="Comma 12 45" xfId="888" xr:uid="{00000000-0005-0000-0000-0000A1010000}"/>
    <cellStyle name="Comma 12 46" xfId="889" xr:uid="{00000000-0005-0000-0000-0000A2010000}"/>
    <cellStyle name="Comma 12 47" xfId="890" xr:uid="{00000000-0005-0000-0000-0000A3010000}"/>
    <cellStyle name="Comma 12 48" xfId="891" xr:uid="{00000000-0005-0000-0000-0000A4010000}"/>
    <cellStyle name="Comma 12 49" xfId="892" xr:uid="{00000000-0005-0000-0000-0000A5010000}"/>
    <cellStyle name="Comma 12 5" xfId="332" xr:uid="{00000000-0005-0000-0000-0000A6010000}"/>
    <cellStyle name="Comma 12 5 2" xfId="570" xr:uid="{00000000-0005-0000-0000-0000A7010000}"/>
    <cellStyle name="Comma 12 5 3" xfId="893" xr:uid="{00000000-0005-0000-0000-0000A8010000}"/>
    <cellStyle name="Comma 12 50" xfId="894" xr:uid="{00000000-0005-0000-0000-0000A9010000}"/>
    <cellStyle name="Comma 12 51" xfId="895" xr:uid="{00000000-0005-0000-0000-0000AA010000}"/>
    <cellStyle name="Comma 12 52" xfId="896" xr:uid="{00000000-0005-0000-0000-0000AB010000}"/>
    <cellStyle name="Comma 12 53" xfId="897" xr:uid="{00000000-0005-0000-0000-0000AC010000}"/>
    <cellStyle name="Comma 12 54" xfId="832" xr:uid="{00000000-0005-0000-0000-0000AD010000}"/>
    <cellStyle name="Comma 12 6" xfId="440" xr:uid="{00000000-0005-0000-0000-0000AE010000}"/>
    <cellStyle name="Comma 12 6 2" xfId="898" xr:uid="{00000000-0005-0000-0000-0000AF010000}"/>
    <cellStyle name="Comma 12 7" xfId="899" xr:uid="{00000000-0005-0000-0000-0000B0010000}"/>
    <cellStyle name="Comma 12 8" xfId="900" xr:uid="{00000000-0005-0000-0000-0000B1010000}"/>
    <cellStyle name="Comma 12 9" xfId="901" xr:uid="{00000000-0005-0000-0000-0000B2010000}"/>
    <cellStyle name="Comma 13" xfId="200" xr:uid="{00000000-0005-0000-0000-0000B3010000}"/>
    <cellStyle name="Comma 13 10" xfId="903" xr:uid="{00000000-0005-0000-0000-0000B4010000}"/>
    <cellStyle name="Comma 13 11" xfId="904" xr:uid="{00000000-0005-0000-0000-0000B5010000}"/>
    <cellStyle name="Comma 13 12" xfId="905" xr:uid="{00000000-0005-0000-0000-0000B6010000}"/>
    <cellStyle name="Comma 13 13" xfId="906" xr:uid="{00000000-0005-0000-0000-0000B7010000}"/>
    <cellStyle name="Comma 13 14" xfId="907" xr:uid="{00000000-0005-0000-0000-0000B8010000}"/>
    <cellStyle name="Comma 13 15" xfId="908" xr:uid="{00000000-0005-0000-0000-0000B9010000}"/>
    <cellStyle name="Comma 13 16" xfId="909" xr:uid="{00000000-0005-0000-0000-0000BA010000}"/>
    <cellStyle name="Comma 13 17" xfId="910" xr:uid="{00000000-0005-0000-0000-0000BB010000}"/>
    <cellStyle name="Comma 13 18" xfId="911" xr:uid="{00000000-0005-0000-0000-0000BC010000}"/>
    <cellStyle name="Comma 13 19" xfId="912" xr:uid="{00000000-0005-0000-0000-0000BD010000}"/>
    <cellStyle name="Comma 13 2" xfId="211" xr:uid="{00000000-0005-0000-0000-0000BE010000}"/>
    <cellStyle name="Comma 13 2 10" xfId="914" xr:uid="{00000000-0005-0000-0000-0000BF010000}"/>
    <cellStyle name="Comma 13 2 11" xfId="915" xr:uid="{00000000-0005-0000-0000-0000C0010000}"/>
    <cellStyle name="Comma 13 2 12" xfId="916" xr:uid="{00000000-0005-0000-0000-0000C1010000}"/>
    <cellStyle name="Comma 13 2 13" xfId="917" xr:uid="{00000000-0005-0000-0000-0000C2010000}"/>
    <cellStyle name="Comma 13 2 14" xfId="918" xr:uid="{00000000-0005-0000-0000-0000C3010000}"/>
    <cellStyle name="Comma 13 2 15" xfId="919" xr:uid="{00000000-0005-0000-0000-0000C4010000}"/>
    <cellStyle name="Comma 13 2 16" xfId="920" xr:uid="{00000000-0005-0000-0000-0000C5010000}"/>
    <cellStyle name="Comma 13 2 17" xfId="921" xr:uid="{00000000-0005-0000-0000-0000C6010000}"/>
    <cellStyle name="Comma 13 2 18" xfId="922" xr:uid="{00000000-0005-0000-0000-0000C7010000}"/>
    <cellStyle name="Comma 13 2 19" xfId="913" xr:uid="{00000000-0005-0000-0000-0000C8010000}"/>
    <cellStyle name="Comma 13 2 2" xfId="259" xr:uid="{00000000-0005-0000-0000-0000C9010000}"/>
    <cellStyle name="Comma 13 2 2 2" xfId="391" xr:uid="{00000000-0005-0000-0000-0000CA010000}"/>
    <cellStyle name="Comma 13 2 2 2 2" xfId="629" xr:uid="{00000000-0005-0000-0000-0000CB010000}"/>
    <cellStyle name="Comma 13 2 2 3" xfId="499" xr:uid="{00000000-0005-0000-0000-0000CC010000}"/>
    <cellStyle name="Comma 13 2 2 4" xfId="923" xr:uid="{00000000-0005-0000-0000-0000CD010000}"/>
    <cellStyle name="Comma 13 2 3" xfId="299" xr:uid="{00000000-0005-0000-0000-0000CE010000}"/>
    <cellStyle name="Comma 13 2 3 2" xfId="429" xr:uid="{00000000-0005-0000-0000-0000CF010000}"/>
    <cellStyle name="Comma 13 2 3 2 2" xfId="667" xr:uid="{00000000-0005-0000-0000-0000D0010000}"/>
    <cellStyle name="Comma 13 2 3 3" xfId="537" xr:uid="{00000000-0005-0000-0000-0000D1010000}"/>
    <cellStyle name="Comma 13 2 3 4" xfId="924" xr:uid="{00000000-0005-0000-0000-0000D2010000}"/>
    <cellStyle name="Comma 13 2 4" xfId="361" xr:uid="{00000000-0005-0000-0000-0000D3010000}"/>
    <cellStyle name="Comma 13 2 4 2" xfId="599" xr:uid="{00000000-0005-0000-0000-0000D4010000}"/>
    <cellStyle name="Comma 13 2 4 3" xfId="925" xr:uid="{00000000-0005-0000-0000-0000D5010000}"/>
    <cellStyle name="Comma 13 2 5" xfId="469" xr:uid="{00000000-0005-0000-0000-0000D6010000}"/>
    <cellStyle name="Comma 13 2 5 2" xfId="926" xr:uid="{00000000-0005-0000-0000-0000D7010000}"/>
    <cellStyle name="Comma 13 2 6" xfId="927" xr:uid="{00000000-0005-0000-0000-0000D8010000}"/>
    <cellStyle name="Comma 13 2 7" xfId="928" xr:uid="{00000000-0005-0000-0000-0000D9010000}"/>
    <cellStyle name="Comma 13 2 8" xfId="929" xr:uid="{00000000-0005-0000-0000-0000DA010000}"/>
    <cellStyle name="Comma 13 2 9" xfId="930" xr:uid="{00000000-0005-0000-0000-0000DB010000}"/>
    <cellStyle name="Comma 13 20" xfId="931" xr:uid="{00000000-0005-0000-0000-0000DC010000}"/>
    <cellStyle name="Comma 13 21" xfId="932" xr:uid="{00000000-0005-0000-0000-0000DD010000}"/>
    <cellStyle name="Comma 13 22" xfId="933" xr:uid="{00000000-0005-0000-0000-0000DE010000}"/>
    <cellStyle name="Comma 13 23" xfId="934" xr:uid="{00000000-0005-0000-0000-0000DF010000}"/>
    <cellStyle name="Comma 13 24" xfId="935" xr:uid="{00000000-0005-0000-0000-0000E0010000}"/>
    <cellStyle name="Comma 13 25" xfId="936" xr:uid="{00000000-0005-0000-0000-0000E1010000}"/>
    <cellStyle name="Comma 13 26" xfId="937" xr:uid="{00000000-0005-0000-0000-0000E2010000}"/>
    <cellStyle name="Comma 13 27" xfId="938" xr:uid="{00000000-0005-0000-0000-0000E3010000}"/>
    <cellStyle name="Comma 13 28" xfId="939" xr:uid="{00000000-0005-0000-0000-0000E4010000}"/>
    <cellStyle name="Comma 13 29" xfId="940" xr:uid="{00000000-0005-0000-0000-0000E5010000}"/>
    <cellStyle name="Comma 13 3" xfId="292" xr:uid="{00000000-0005-0000-0000-0000E6010000}"/>
    <cellStyle name="Comma 13 3 2" xfId="422" xr:uid="{00000000-0005-0000-0000-0000E7010000}"/>
    <cellStyle name="Comma 13 3 2 2" xfId="660" xr:uid="{00000000-0005-0000-0000-0000E8010000}"/>
    <cellStyle name="Comma 13 3 3" xfId="530" xr:uid="{00000000-0005-0000-0000-0000E9010000}"/>
    <cellStyle name="Comma 13 3 4" xfId="941" xr:uid="{00000000-0005-0000-0000-0000EA010000}"/>
    <cellStyle name="Comma 13 30" xfId="942" xr:uid="{00000000-0005-0000-0000-0000EB010000}"/>
    <cellStyle name="Comma 13 31" xfId="943" xr:uid="{00000000-0005-0000-0000-0000EC010000}"/>
    <cellStyle name="Comma 13 32" xfId="944" xr:uid="{00000000-0005-0000-0000-0000ED010000}"/>
    <cellStyle name="Comma 13 33" xfId="945" xr:uid="{00000000-0005-0000-0000-0000EE010000}"/>
    <cellStyle name="Comma 13 34" xfId="946" xr:uid="{00000000-0005-0000-0000-0000EF010000}"/>
    <cellStyle name="Comma 13 35" xfId="947" xr:uid="{00000000-0005-0000-0000-0000F0010000}"/>
    <cellStyle name="Comma 13 36" xfId="948" xr:uid="{00000000-0005-0000-0000-0000F1010000}"/>
    <cellStyle name="Comma 13 37" xfId="949" xr:uid="{00000000-0005-0000-0000-0000F2010000}"/>
    <cellStyle name="Comma 13 38" xfId="950" xr:uid="{00000000-0005-0000-0000-0000F3010000}"/>
    <cellStyle name="Comma 13 39" xfId="951" xr:uid="{00000000-0005-0000-0000-0000F4010000}"/>
    <cellStyle name="Comma 13 4" xfId="354" xr:uid="{00000000-0005-0000-0000-0000F5010000}"/>
    <cellStyle name="Comma 13 4 2" xfId="592" xr:uid="{00000000-0005-0000-0000-0000F6010000}"/>
    <cellStyle name="Comma 13 4 3" xfId="952" xr:uid="{00000000-0005-0000-0000-0000F7010000}"/>
    <cellStyle name="Comma 13 40" xfId="953" xr:uid="{00000000-0005-0000-0000-0000F8010000}"/>
    <cellStyle name="Comma 13 41" xfId="954" xr:uid="{00000000-0005-0000-0000-0000F9010000}"/>
    <cellStyle name="Comma 13 42" xfId="955" xr:uid="{00000000-0005-0000-0000-0000FA010000}"/>
    <cellStyle name="Comma 13 43" xfId="956" xr:uid="{00000000-0005-0000-0000-0000FB010000}"/>
    <cellStyle name="Comma 13 44" xfId="957" xr:uid="{00000000-0005-0000-0000-0000FC010000}"/>
    <cellStyle name="Comma 13 45" xfId="958" xr:uid="{00000000-0005-0000-0000-0000FD010000}"/>
    <cellStyle name="Comma 13 46" xfId="959" xr:uid="{00000000-0005-0000-0000-0000FE010000}"/>
    <cellStyle name="Comma 13 47" xfId="960" xr:uid="{00000000-0005-0000-0000-0000FF010000}"/>
    <cellStyle name="Comma 13 48" xfId="961" xr:uid="{00000000-0005-0000-0000-000000020000}"/>
    <cellStyle name="Comma 13 49" xfId="962" xr:uid="{00000000-0005-0000-0000-000001020000}"/>
    <cellStyle name="Comma 13 5" xfId="462" xr:uid="{00000000-0005-0000-0000-000002020000}"/>
    <cellStyle name="Comma 13 5 2" xfId="963" xr:uid="{00000000-0005-0000-0000-000003020000}"/>
    <cellStyle name="Comma 13 50" xfId="964" xr:uid="{00000000-0005-0000-0000-000004020000}"/>
    <cellStyle name="Comma 13 51" xfId="965" xr:uid="{00000000-0005-0000-0000-000005020000}"/>
    <cellStyle name="Comma 13 52" xfId="966" xr:uid="{00000000-0005-0000-0000-000006020000}"/>
    <cellStyle name="Comma 13 53" xfId="967" xr:uid="{00000000-0005-0000-0000-000007020000}"/>
    <cellStyle name="Comma 13 54" xfId="902" xr:uid="{00000000-0005-0000-0000-000008020000}"/>
    <cellStyle name="Comma 13 6" xfId="968" xr:uid="{00000000-0005-0000-0000-000009020000}"/>
    <cellStyle name="Comma 13 7" xfId="969" xr:uid="{00000000-0005-0000-0000-00000A020000}"/>
    <cellStyle name="Comma 13 8" xfId="970" xr:uid="{00000000-0005-0000-0000-00000B020000}"/>
    <cellStyle name="Comma 13 9" xfId="971" xr:uid="{00000000-0005-0000-0000-00000C020000}"/>
    <cellStyle name="Comma 14" xfId="972" xr:uid="{00000000-0005-0000-0000-00000D020000}"/>
    <cellStyle name="Comma 14 10" xfId="973" xr:uid="{00000000-0005-0000-0000-00000E020000}"/>
    <cellStyle name="Comma 14 10 10" xfId="974" xr:uid="{00000000-0005-0000-0000-00000F020000}"/>
    <cellStyle name="Comma 14 10 11" xfId="975" xr:uid="{00000000-0005-0000-0000-000010020000}"/>
    <cellStyle name="Comma 14 10 12" xfId="976" xr:uid="{00000000-0005-0000-0000-000011020000}"/>
    <cellStyle name="Comma 14 10 13" xfId="977" xr:uid="{00000000-0005-0000-0000-000012020000}"/>
    <cellStyle name="Comma 14 10 14" xfId="978" xr:uid="{00000000-0005-0000-0000-000013020000}"/>
    <cellStyle name="Comma 14 10 15" xfId="979" xr:uid="{00000000-0005-0000-0000-000014020000}"/>
    <cellStyle name="Comma 14 10 16" xfId="980" xr:uid="{00000000-0005-0000-0000-000015020000}"/>
    <cellStyle name="Comma 14 10 17" xfId="981" xr:uid="{00000000-0005-0000-0000-000016020000}"/>
    <cellStyle name="Comma 14 10 18" xfId="982" xr:uid="{00000000-0005-0000-0000-000017020000}"/>
    <cellStyle name="Comma 14 10 19" xfId="983" xr:uid="{00000000-0005-0000-0000-000018020000}"/>
    <cellStyle name="Comma 14 10 2" xfId="984" xr:uid="{00000000-0005-0000-0000-000019020000}"/>
    <cellStyle name="Comma 14 10 2 2" xfId="985" xr:uid="{00000000-0005-0000-0000-00001A020000}"/>
    <cellStyle name="Comma 14 10 20" xfId="986" xr:uid="{00000000-0005-0000-0000-00001B020000}"/>
    <cellStyle name="Comma 14 10 21" xfId="987" xr:uid="{00000000-0005-0000-0000-00001C020000}"/>
    <cellStyle name="Comma 14 10 22" xfId="988" xr:uid="{00000000-0005-0000-0000-00001D020000}"/>
    <cellStyle name="Comma 14 10 23" xfId="989" xr:uid="{00000000-0005-0000-0000-00001E020000}"/>
    <cellStyle name="Comma 14 10 3" xfId="990" xr:uid="{00000000-0005-0000-0000-00001F020000}"/>
    <cellStyle name="Comma 14 10 3 10" xfId="991" xr:uid="{00000000-0005-0000-0000-000020020000}"/>
    <cellStyle name="Comma 14 10 3 11" xfId="992" xr:uid="{00000000-0005-0000-0000-000021020000}"/>
    <cellStyle name="Comma 14 10 3 12" xfId="993" xr:uid="{00000000-0005-0000-0000-000022020000}"/>
    <cellStyle name="Comma 14 10 3 13" xfId="994" xr:uid="{00000000-0005-0000-0000-000023020000}"/>
    <cellStyle name="Comma 14 10 3 14" xfId="995" xr:uid="{00000000-0005-0000-0000-000024020000}"/>
    <cellStyle name="Comma 14 10 3 2" xfId="996" xr:uid="{00000000-0005-0000-0000-000025020000}"/>
    <cellStyle name="Comma 14 10 3 3" xfId="997" xr:uid="{00000000-0005-0000-0000-000026020000}"/>
    <cellStyle name="Comma 14 10 3 4" xfId="998" xr:uid="{00000000-0005-0000-0000-000027020000}"/>
    <cellStyle name="Comma 14 10 3 5" xfId="999" xr:uid="{00000000-0005-0000-0000-000028020000}"/>
    <cellStyle name="Comma 14 10 3 6" xfId="1000" xr:uid="{00000000-0005-0000-0000-000029020000}"/>
    <cellStyle name="Comma 14 10 3 7" xfId="1001" xr:uid="{00000000-0005-0000-0000-00002A020000}"/>
    <cellStyle name="Comma 14 10 3 8" xfId="1002" xr:uid="{00000000-0005-0000-0000-00002B020000}"/>
    <cellStyle name="Comma 14 10 3 9" xfId="1003" xr:uid="{00000000-0005-0000-0000-00002C020000}"/>
    <cellStyle name="Comma 14 10 4" xfId="1004" xr:uid="{00000000-0005-0000-0000-00002D020000}"/>
    <cellStyle name="Comma 14 10 5" xfId="1005" xr:uid="{00000000-0005-0000-0000-00002E020000}"/>
    <cellStyle name="Comma 14 10 6" xfId="1006" xr:uid="{00000000-0005-0000-0000-00002F020000}"/>
    <cellStyle name="Comma 14 10 7" xfId="1007" xr:uid="{00000000-0005-0000-0000-000030020000}"/>
    <cellStyle name="Comma 14 10 8" xfId="1008" xr:uid="{00000000-0005-0000-0000-000031020000}"/>
    <cellStyle name="Comma 14 10 9" xfId="1009" xr:uid="{00000000-0005-0000-0000-000032020000}"/>
    <cellStyle name="Comma 14 11" xfId="1010" xr:uid="{00000000-0005-0000-0000-000033020000}"/>
    <cellStyle name="Comma 14 11 10" xfId="1011" xr:uid="{00000000-0005-0000-0000-000034020000}"/>
    <cellStyle name="Comma 14 11 11" xfId="1012" xr:uid="{00000000-0005-0000-0000-000035020000}"/>
    <cellStyle name="Comma 14 11 12" xfId="1013" xr:uid="{00000000-0005-0000-0000-000036020000}"/>
    <cellStyle name="Comma 14 11 13" xfId="1014" xr:uid="{00000000-0005-0000-0000-000037020000}"/>
    <cellStyle name="Comma 14 11 14" xfId="1015" xr:uid="{00000000-0005-0000-0000-000038020000}"/>
    <cellStyle name="Comma 14 11 15" xfId="1016" xr:uid="{00000000-0005-0000-0000-000039020000}"/>
    <cellStyle name="Comma 14 11 16" xfId="1017" xr:uid="{00000000-0005-0000-0000-00003A020000}"/>
    <cellStyle name="Comma 14 11 17" xfId="1018" xr:uid="{00000000-0005-0000-0000-00003B020000}"/>
    <cellStyle name="Comma 14 11 18" xfId="1019" xr:uid="{00000000-0005-0000-0000-00003C020000}"/>
    <cellStyle name="Comma 14 11 19" xfId="1020" xr:uid="{00000000-0005-0000-0000-00003D020000}"/>
    <cellStyle name="Comma 14 11 2" xfId="1021" xr:uid="{00000000-0005-0000-0000-00003E020000}"/>
    <cellStyle name="Comma 14 11 2 2" xfId="1022" xr:uid="{00000000-0005-0000-0000-00003F020000}"/>
    <cellStyle name="Comma 14 11 20" xfId="1023" xr:uid="{00000000-0005-0000-0000-000040020000}"/>
    <cellStyle name="Comma 14 11 21" xfId="1024" xr:uid="{00000000-0005-0000-0000-000041020000}"/>
    <cellStyle name="Comma 14 11 22" xfId="1025" xr:uid="{00000000-0005-0000-0000-000042020000}"/>
    <cellStyle name="Comma 14 11 23" xfId="1026" xr:uid="{00000000-0005-0000-0000-000043020000}"/>
    <cellStyle name="Comma 14 11 3" xfId="1027" xr:uid="{00000000-0005-0000-0000-000044020000}"/>
    <cellStyle name="Comma 14 11 3 10" xfId="1028" xr:uid="{00000000-0005-0000-0000-000045020000}"/>
    <cellStyle name="Comma 14 11 3 11" xfId="1029" xr:uid="{00000000-0005-0000-0000-000046020000}"/>
    <cellStyle name="Comma 14 11 3 12" xfId="1030" xr:uid="{00000000-0005-0000-0000-000047020000}"/>
    <cellStyle name="Comma 14 11 3 13" xfId="1031" xr:uid="{00000000-0005-0000-0000-000048020000}"/>
    <cellStyle name="Comma 14 11 3 14" xfId="1032" xr:uid="{00000000-0005-0000-0000-000049020000}"/>
    <cellStyle name="Comma 14 11 3 2" xfId="1033" xr:uid="{00000000-0005-0000-0000-00004A020000}"/>
    <cellStyle name="Comma 14 11 3 3" xfId="1034" xr:uid="{00000000-0005-0000-0000-00004B020000}"/>
    <cellStyle name="Comma 14 11 3 4" xfId="1035" xr:uid="{00000000-0005-0000-0000-00004C020000}"/>
    <cellStyle name="Comma 14 11 3 5" xfId="1036" xr:uid="{00000000-0005-0000-0000-00004D020000}"/>
    <cellStyle name="Comma 14 11 3 6" xfId="1037" xr:uid="{00000000-0005-0000-0000-00004E020000}"/>
    <cellStyle name="Comma 14 11 3 7" xfId="1038" xr:uid="{00000000-0005-0000-0000-00004F020000}"/>
    <cellStyle name="Comma 14 11 3 8" xfId="1039" xr:uid="{00000000-0005-0000-0000-000050020000}"/>
    <cellStyle name="Comma 14 11 3 9" xfId="1040" xr:uid="{00000000-0005-0000-0000-000051020000}"/>
    <cellStyle name="Comma 14 11 4" xfId="1041" xr:uid="{00000000-0005-0000-0000-000052020000}"/>
    <cellStyle name="Comma 14 11 5" xfId="1042" xr:uid="{00000000-0005-0000-0000-000053020000}"/>
    <cellStyle name="Comma 14 11 6" xfId="1043" xr:uid="{00000000-0005-0000-0000-000054020000}"/>
    <cellStyle name="Comma 14 11 7" xfId="1044" xr:uid="{00000000-0005-0000-0000-000055020000}"/>
    <cellStyle name="Comma 14 11 8" xfId="1045" xr:uid="{00000000-0005-0000-0000-000056020000}"/>
    <cellStyle name="Comma 14 11 9" xfId="1046" xr:uid="{00000000-0005-0000-0000-000057020000}"/>
    <cellStyle name="Comma 14 12" xfId="1047" xr:uid="{00000000-0005-0000-0000-000058020000}"/>
    <cellStyle name="Comma 14 12 2" xfId="1048" xr:uid="{00000000-0005-0000-0000-000059020000}"/>
    <cellStyle name="Comma 14 12 3" xfId="1049" xr:uid="{00000000-0005-0000-0000-00005A020000}"/>
    <cellStyle name="Comma 14 13" xfId="1050" xr:uid="{00000000-0005-0000-0000-00005B020000}"/>
    <cellStyle name="Comma 14 13 2" xfId="1051" xr:uid="{00000000-0005-0000-0000-00005C020000}"/>
    <cellStyle name="Comma 14 14" xfId="1052" xr:uid="{00000000-0005-0000-0000-00005D020000}"/>
    <cellStyle name="Comma 14 15" xfId="1053" xr:uid="{00000000-0005-0000-0000-00005E020000}"/>
    <cellStyle name="Comma 14 16" xfId="1054" xr:uid="{00000000-0005-0000-0000-00005F020000}"/>
    <cellStyle name="Comma 14 17" xfId="1055" xr:uid="{00000000-0005-0000-0000-000060020000}"/>
    <cellStyle name="Comma 14 18" xfId="1056" xr:uid="{00000000-0005-0000-0000-000061020000}"/>
    <cellStyle name="Comma 14 19" xfId="1057" xr:uid="{00000000-0005-0000-0000-000062020000}"/>
    <cellStyle name="Comma 14 2" xfId="1058" xr:uid="{00000000-0005-0000-0000-000063020000}"/>
    <cellStyle name="Comma 14 2 10" xfId="1059" xr:uid="{00000000-0005-0000-0000-000064020000}"/>
    <cellStyle name="Comma 14 2 11" xfId="1060" xr:uid="{00000000-0005-0000-0000-000065020000}"/>
    <cellStyle name="Comma 14 2 12" xfId="1061" xr:uid="{00000000-0005-0000-0000-000066020000}"/>
    <cellStyle name="Comma 14 2 13" xfId="1062" xr:uid="{00000000-0005-0000-0000-000067020000}"/>
    <cellStyle name="Comma 14 2 14" xfId="1063" xr:uid="{00000000-0005-0000-0000-000068020000}"/>
    <cellStyle name="Comma 14 2 15" xfId="1064" xr:uid="{00000000-0005-0000-0000-000069020000}"/>
    <cellStyle name="Comma 14 2 16" xfId="1065" xr:uid="{00000000-0005-0000-0000-00006A020000}"/>
    <cellStyle name="Comma 14 2 17" xfId="1066" xr:uid="{00000000-0005-0000-0000-00006B020000}"/>
    <cellStyle name="Comma 14 2 18" xfId="1067" xr:uid="{00000000-0005-0000-0000-00006C020000}"/>
    <cellStyle name="Comma 14 2 19" xfId="1068" xr:uid="{00000000-0005-0000-0000-00006D020000}"/>
    <cellStyle name="Comma 14 2 2" xfId="1069" xr:uid="{00000000-0005-0000-0000-00006E020000}"/>
    <cellStyle name="Comma 14 2 2 2" xfId="1070" xr:uid="{00000000-0005-0000-0000-00006F020000}"/>
    <cellStyle name="Comma 14 2 20" xfId="1071" xr:uid="{00000000-0005-0000-0000-000070020000}"/>
    <cellStyle name="Comma 14 2 21" xfId="1072" xr:uid="{00000000-0005-0000-0000-000071020000}"/>
    <cellStyle name="Comma 14 2 22" xfId="1073" xr:uid="{00000000-0005-0000-0000-000072020000}"/>
    <cellStyle name="Comma 14 2 23" xfId="1074" xr:uid="{00000000-0005-0000-0000-000073020000}"/>
    <cellStyle name="Comma 14 2 3" xfId="1075" xr:uid="{00000000-0005-0000-0000-000074020000}"/>
    <cellStyle name="Comma 14 2 3 10" xfId="1076" xr:uid="{00000000-0005-0000-0000-000075020000}"/>
    <cellStyle name="Comma 14 2 3 11" xfId="1077" xr:uid="{00000000-0005-0000-0000-000076020000}"/>
    <cellStyle name="Comma 14 2 3 12" xfId="1078" xr:uid="{00000000-0005-0000-0000-000077020000}"/>
    <cellStyle name="Comma 14 2 3 13" xfId="1079" xr:uid="{00000000-0005-0000-0000-000078020000}"/>
    <cellStyle name="Comma 14 2 3 14" xfId="1080" xr:uid="{00000000-0005-0000-0000-000079020000}"/>
    <cellStyle name="Comma 14 2 3 2" xfId="1081" xr:uid="{00000000-0005-0000-0000-00007A020000}"/>
    <cellStyle name="Comma 14 2 3 3" xfId="1082" xr:uid="{00000000-0005-0000-0000-00007B020000}"/>
    <cellStyle name="Comma 14 2 3 4" xfId="1083" xr:uid="{00000000-0005-0000-0000-00007C020000}"/>
    <cellStyle name="Comma 14 2 3 5" xfId="1084" xr:uid="{00000000-0005-0000-0000-00007D020000}"/>
    <cellStyle name="Comma 14 2 3 6" xfId="1085" xr:uid="{00000000-0005-0000-0000-00007E020000}"/>
    <cellStyle name="Comma 14 2 3 7" xfId="1086" xr:uid="{00000000-0005-0000-0000-00007F020000}"/>
    <cellStyle name="Comma 14 2 3 8" xfId="1087" xr:uid="{00000000-0005-0000-0000-000080020000}"/>
    <cellStyle name="Comma 14 2 3 9" xfId="1088" xr:uid="{00000000-0005-0000-0000-000081020000}"/>
    <cellStyle name="Comma 14 2 4" xfId="1089" xr:uid="{00000000-0005-0000-0000-000082020000}"/>
    <cellStyle name="Comma 14 2 5" xfId="1090" xr:uid="{00000000-0005-0000-0000-000083020000}"/>
    <cellStyle name="Comma 14 2 6" xfId="1091" xr:uid="{00000000-0005-0000-0000-000084020000}"/>
    <cellStyle name="Comma 14 2 7" xfId="1092" xr:uid="{00000000-0005-0000-0000-000085020000}"/>
    <cellStyle name="Comma 14 2 8" xfId="1093" xr:uid="{00000000-0005-0000-0000-000086020000}"/>
    <cellStyle name="Comma 14 2 9" xfId="1094" xr:uid="{00000000-0005-0000-0000-000087020000}"/>
    <cellStyle name="Comma 14 20" xfId="1095" xr:uid="{00000000-0005-0000-0000-000088020000}"/>
    <cellStyle name="Comma 14 21" xfId="1096" xr:uid="{00000000-0005-0000-0000-000089020000}"/>
    <cellStyle name="Comma 14 22" xfId="1097" xr:uid="{00000000-0005-0000-0000-00008A020000}"/>
    <cellStyle name="Comma 14 23" xfId="1098" xr:uid="{00000000-0005-0000-0000-00008B020000}"/>
    <cellStyle name="Comma 14 24" xfId="1099" xr:uid="{00000000-0005-0000-0000-00008C020000}"/>
    <cellStyle name="Comma 14 25" xfId="1100" xr:uid="{00000000-0005-0000-0000-00008D020000}"/>
    <cellStyle name="Comma 14 26" xfId="1101" xr:uid="{00000000-0005-0000-0000-00008E020000}"/>
    <cellStyle name="Comma 14 27" xfId="1102" xr:uid="{00000000-0005-0000-0000-00008F020000}"/>
    <cellStyle name="Comma 14 28" xfId="1103" xr:uid="{00000000-0005-0000-0000-000090020000}"/>
    <cellStyle name="Comma 14 29" xfId="1104" xr:uid="{00000000-0005-0000-0000-000091020000}"/>
    <cellStyle name="Comma 14 3" xfId="1105" xr:uid="{00000000-0005-0000-0000-000092020000}"/>
    <cellStyle name="Comma 14 3 10" xfId="1106" xr:uid="{00000000-0005-0000-0000-000093020000}"/>
    <cellStyle name="Comma 14 3 11" xfId="1107" xr:uid="{00000000-0005-0000-0000-000094020000}"/>
    <cellStyle name="Comma 14 3 12" xfId="1108" xr:uid="{00000000-0005-0000-0000-000095020000}"/>
    <cellStyle name="Comma 14 3 13" xfId="1109" xr:uid="{00000000-0005-0000-0000-000096020000}"/>
    <cellStyle name="Comma 14 3 14" xfId="1110" xr:uid="{00000000-0005-0000-0000-000097020000}"/>
    <cellStyle name="Comma 14 3 15" xfId="1111" xr:uid="{00000000-0005-0000-0000-000098020000}"/>
    <cellStyle name="Comma 14 3 16" xfId="1112" xr:uid="{00000000-0005-0000-0000-000099020000}"/>
    <cellStyle name="Comma 14 3 17" xfId="1113" xr:uid="{00000000-0005-0000-0000-00009A020000}"/>
    <cellStyle name="Comma 14 3 18" xfId="1114" xr:uid="{00000000-0005-0000-0000-00009B020000}"/>
    <cellStyle name="Comma 14 3 19" xfId="1115" xr:uid="{00000000-0005-0000-0000-00009C020000}"/>
    <cellStyle name="Comma 14 3 2" xfId="1116" xr:uid="{00000000-0005-0000-0000-00009D020000}"/>
    <cellStyle name="Comma 14 3 2 2" xfId="1117" xr:uid="{00000000-0005-0000-0000-00009E020000}"/>
    <cellStyle name="Comma 14 3 20" xfId="1118" xr:uid="{00000000-0005-0000-0000-00009F020000}"/>
    <cellStyle name="Comma 14 3 21" xfId="1119" xr:uid="{00000000-0005-0000-0000-0000A0020000}"/>
    <cellStyle name="Comma 14 3 22" xfId="1120" xr:uid="{00000000-0005-0000-0000-0000A1020000}"/>
    <cellStyle name="Comma 14 3 23" xfId="1121" xr:uid="{00000000-0005-0000-0000-0000A2020000}"/>
    <cellStyle name="Comma 14 3 3" xfId="1122" xr:uid="{00000000-0005-0000-0000-0000A3020000}"/>
    <cellStyle name="Comma 14 3 3 10" xfId="1123" xr:uid="{00000000-0005-0000-0000-0000A4020000}"/>
    <cellStyle name="Comma 14 3 3 11" xfId="1124" xr:uid="{00000000-0005-0000-0000-0000A5020000}"/>
    <cellStyle name="Comma 14 3 3 12" xfId="1125" xr:uid="{00000000-0005-0000-0000-0000A6020000}"/>
    <cellStyle name="Comma 14 3 3 13" xfId="1126" xr:uid="{00000000-0005-0000-0000-0000A7020000}"/>
    <cellStyle name="Comma 14 3 3 14" xfId="1127" xr:uid="{00000000-0005-0000-0000-0000A8020000}"/>
    <cellStyle name="Comma 14 3 3 2" xfId="1128" xr:uid="{00000000-0005-0000-0000-0000A9020000}"/>
    <cellStyle name="Comma 14 3 3 3" xfId="1129" xr:uid="{00000000-0005-0000-0000-0000AA020000}"/>
    <cellStyle name="Comma 14 3 3 4" xfId="1130" xr:uid="{00000000-0005-0000-0000-0000AB020000}"/>
    <cellStyle name="Comma 14 3 3 5" xfId="1131" xr:uid="{00000000-0005-0000-0000-0000AC020000}"/>
    <cellStyle name="Comma 14 3 3 6" xfId="1132" xr:uid="{00000000-0005-0000-0000-0000AD020000}"/>
    <cellStyle name="Comma 14 3 3 7" xfId="1133" xr:uid="{00000000-0005-0000-0000-0000AE020000}"/>
    <cellStyle name="Comma 14 3 3 8" xfId="1134" xr:uid="{00000000-0005-0000-0000-0000AF020000}"/>
    <cellStyle name="Comma 14 3 3 9" xfId="1135" xr:uid="{00000000-0005-0000-0000-0000B0020000}"/>
    <cellStyle name="Comma 14 3 4" xfId="1136" xr:uid="{00000000-0005-0000-0000-0000B1020000}"/>
    <cellStyle name="Comma 14 3 5" xfId="1137" xr:uid="{00000000-0005-0000-0000-0000B2020000}"/>
    <cellStyle name="Comma 14 3 6" xfId="1138" xr:uid="{00000000-0005-0000-0000-0000B3020000}"/>
    <cellStyle name="Comma 14 3 7" xfId="1139" xr:uid="{00000000-0005-0000-0000-0000B4020000}"/>
    <cellStyle name="Comma 14 3 8" xfId="1140" xr:uid="{00000000-0005-0000-0000-0000B5020000}"/>
    <cellStyle name="Comma 14 3 9" xfId="1141" xr:uid="{00000000-0005-0000-0000-0000B6020000}"/>
    <cellStyle name="Comma 14 30" xfId="1142" xr:uid="{00000000-0005-0000-0000-0000B7020000}"/>
    <cellStyle name="Comma 14 31" xfId="1143" xr:uid="{00000000-0005-0000-0000-0000B8020000}"/>
    <cellStyle name="Comma 14 32" xfId="1144" xr:uid="{00000000-0005-0000-0000-0000B9020000}"/>
    <cellStyle name="Comma 14 33" xfId="1145" xr:uid="{00000000-0005-0000-0000-0000BA020000}"/>
    <cellStyle name="Comma 14 34" xfId="1146" xr:uid="{00000000-0005-0000-0000-0000BB020000}"/>
    <cellStyle name="Comma 14 35" xfId="1147" xr:uid="{00000000-0005-0000-0000-0000BC020000}"/>
    <cellStyle name="Comma 14 36" xfId="1148" xr:uid="{00000000-0005-0000-0000-0000BD020000}"/>
    <cellStyle name="Comma 14 37" xfId="1149" xr:uid="{00000000-0005-0000-0000-0000BE020000}"/>
    <cellStyle name="Comma 14 4" xfId="1150" xr:uid="{00000000-0005-0000-0000-0000BF020000}"/>
    <cellStyle name="Comma 14 4 10" xfId="1151" xr:uid="{00000000-0005-0000-0000-0000C0020000}"/>
    <cellStyle name="Comma 14 4 11" xfId="1152" xr:uid="{00000000-0005-0000-0000-0000C1020000}"/>
    <cellStyle name="Comma 14 4 12" xfId="1153" xr:uid="{00000000-0005-0000-0000-0000C2020000}"/>
    <cellStyle name="Comma 14 4 13" xfId="1154" xr:uid="{00000000-0005-0000-0000-0000C3020000}"/>
    <cellStyle name="Comma 14 4 14" xfId="1155" xr:uid="{00000000-0005-0000-0000-0000C4020000}"/>
    <cellStyle name="Comma 14 4 15" xfId="1156" xr:uid="{00000000-0005-0000-0000-0000C5020000}"/>
    <cellStyle name="Comma 14 4 16" xfId="1157" xr:uid="{00000000-0005-0000-0000-0000C6020000}"/>
    <cellStyle name="Comma 14 4 17" xfId="1158" xr:uid="{00000000-0005-0000-0000-0000C7020000}"/>
    <cellStyle name="Comma 14 4 18" xfId="1159" xr:uid="{00000000-0005-0000-0000-0000C8020000}"/>
    <cellStyle name="Comma 14 4 19" xfId="1160" xr:uid="{00000000-0005-0000-0000-0000C9020000}"/>
    <cellStyle name="Comma 14 4 2" xfId="1161" xr:uid="{00000000-0005-0000-0000-0000CA020000}"/>
    <cellStyle name="Comma 14 4 2 2" xfId="1162" xr:uid="{00000000-0005-0000-0000-0000CB020000}"/>
    <cellStyle name="Comma 14 4 20" xfId="1163" xr:uid="{00000000-0005-0000-0000-0000CC020000}"/>
    <cellStyle name="Comma 14 4 21" xfId="1164" xr:uid="{00000000-0005-0000-0000-0000CD020000}"/>
    <cellStyle name="Comma 14 4 22" xfId="1165" xr:uid="{00000000-0005-0000-0000-0000CE020000}"/>
    <cellStyle name="Comma 14 4 23" xfId="1166" xr:uid="{00000000-0005-0000-0000-0000CF020000}"/>
    <cellStyle name="Comma 14 4 3" xfId="1167" xr:uid="{00000000-0005-0000-0000-0000D0020000}"/>
    <cellStyle name="Comma 14 4 3 10" xfId="1168" xr:uid="{00000000-0005-0000-0000-0000D1020000}"/>
    <cellStyle name="Comma 14 4 3 11" xfId="1169" xr:uid="{00000000-0005-0000-0000-0000D2020000}"/>
    <cellStyle name="Comma 14 4 3 12" xfId="1170" xr:uid="{00000000-0005-0000-0000-0000D3020000}"/>
    <cellStyle name="Comma 14 4 3 13" xfId="1171" xr:uid="{00000000-0005-0000-0000-0000D4020000}"/>
    <cellStyle name="Comma 14 4 3 14" xfId="1172" xr:uid="{00000000-0005-0000-0000-0000D5020000}"/>
    <cellStyle name="Comma 14 4 3 2" xfId="1173" xr:uid="{00000000-0005-0000-0000-0000D6020000}"/>
    <cellStyle name="Comma 14 4 3 3" xfId="1174" xr:uid="{00000000-0005-0000-0000-0000D7020000}"/>
    <cellStyle name="Comma 14 4 3 4" xfId="1175" xr:uid="{00000000-0005-0000-0000-0000D8020000}"/>
    <cellStyle name="Comma 14 4 3 5" xfId="1176" xr:uid="{00000000-0005-0000-0000-0000D9020000}"/>
    <cellStyle name="Comma 14 4 3 6" xfId="1177" xr:uid="{00000000-0005-0000-0000-0000DA020000}"/>
    <cellStyle name="Comma 14 4 3 7" xfId="1178" xr:uid="{00000000-0005-0000-0000-0000DB020000}"/>
    <cellStyle name="Comma 14 4 3 8" xfId="1179" xr:uid="{00000000-0005-0000-0000-0000DC020000}"/>
    <cellStyle name="Comma 14 4 3 9" xfId="1180" xr:uid="{00000000-0005-0000-0000-0000DD020000}"/>
    <cellStyle name="Comma 14 4 4" xfId="1181" xr:uid="{00000000-0005-0000-0000-0000DE020000}"/>
    <cellStyle name="Comma 14 4 5" xfId="1182" xr:uid="{00000000-0005-0000-0000-0000DF020000}"/>
    <cellStyle name="Comma 14 4 6" xfId="1183" xr:uid="{00000000-0005-0000-0000-0000E0020000}"/>
    <cellStyle name="Comma 14 4 7" xfId="1184" xr:uid="{00000000-0005-0000-0000-0000E1020000}"/>
    <cellStyle name="Comma 14 4 8" xfId="1185" xr:uid="{00000000-0005-0000-0000-0000E2020000}"/>
    <cellStyle name="Comma 14 4 9" xfId="1186" xr:uid="{00000000-0005-0000-0000-0000E3020000}"/>
    <cellStyle name="Comma 14 5" xfId="1187" xr:uid="{00000000-0005-0000-0000-0000E4020000}"/>
    <cellStyle name="Comma 14 5 10" xfId="1188" xr:uid="{00000000-0005-0000-0000-0000E5020000}"/>
    <cellStyle name="Comma 14 5 11" xfId="1189" xr:uid="{00000000-0005-0000-0000-0000E6020000}"/>
    <cellStyle name="Comma 14 5 12" xfId="1190" xr:uid="{00000000-0005-0000-0000-0000E7020000}"/>
    <cellStyle name="Comma 14 5 13" xfId="1191" xr:uid="{00000000-0005-0000-0000-0000E8020000}"/>
    <cellStyle name="Comma 14 5 14" xfId="1192" xr:uid="{00000000-0005-0000-0000-0000E9020000}"/>
    <cellStyle name="Comma 14 5 15" xfId="1193" xr:uid="{00000000-0005-0000-0000-0000EA020000}"/>
    <cellStyle name="Comma 14 5 16" xfId="1194" xr:uid="{00000000-0005-0000-0000-0000EB020000}"/>
    <cellStyle name="Comma 14 5 17" xfId="1195" xr:uid="{00000000-0005-0000-0000-0000EC020000}"/>
    <cellStyle name="Comma 14 5 18" xfId="1196" xr:uid="{00000000-0005-0000-0000-0000ED020000}"/>
    <cellStyle name="Comma 14 5 19" xfId="1197" xr:uid="{00000000-0005-0000-0000-0000EE020000}"/>
    <cellStyle name="Comma 14 5 2" xfId="1198" xr:uid="{00000000-0005-0000-0000-0000EF020000}"/>
    <cellStyle name="Comma 14 5 2 2" xfId="1199" xr:uid="{00000000-0005-0000-0000-0000F0020000}"/>
    <cellStyle name="Comma 14 5 20" xfId="1200" xr:uid="{00000000-0005-0000-0000-0000F1020000}"/>
    <cellStyle name="Comma 14 5 21" xfId="1201" xr:uid="{00000000-0005-0000-0000-0000F2020000}"/>
    <cellStyle name="Comma 14 5 22" xfId="1202" xr:uid="{00000000-0005-0000-0000-0000F3020000}"/>
    <cellStyle name="Comma 14 5 23" xfId="1203" xr:uid="{00000000-0005-0000-0000-0000F4020000}"/>
    <cellStyle name="Comma 14 5 3" xfId="1204" xr:uid="{00000000-0005-0000-0000-0000F5020000}"/>
    <cellStyle name="Comma 14 5 3 10" xfId="1205" xr:uid="{00000000-0005-0000-0000-0000F6020000}"/>
    <cellStyle name="Comma 14 5 3 11" xfId="1206" xr:uid="{00000000-0005-0000-0000-0000F7020000}"/>
    <cellStyle name="Comma 14 5 3 12" xfId="1207" xr:uid="{00000000-0005-0000-0000-0000F8020000}"/>
    <cellStyle name="Comma 14 5 3 13" xfId="1208" xr:uid="{00000000-0005-0000-0000-0000F9020000}"/>
    <cellStyle name="Comma 14 5 3 14" xfId="1209" xr:uid="{00000000-0005-0000-0000-0000FA020000}"/>
    <cellStyle name="Comma 14 5 3 2" xfId="1210" xr:uid="{00000000-0005-0000-0000-0000FB020000}"/>
    <cellStyle name="Comma 14 5 3 3" xfId="1211" xr:uid="{00000000-0005-0000-0000-0000FC020000}"/>
    <cellStyle name="Comma 14 5 3 4" xfId="1212" xr:uid="{00000000-0005-0000-0000-0000FD020000}"/>
    <cellStyle name="Comma 14 5 3 5" xfId="1213" xr:uid="{00000000-0005-0000-0000-0000FE020000}"/>
    <cellStyle name="Comma 14 5 3 6" xfId="1214" xr:uid="{00000000-0005-0000-0000-0000FF020000}"/>
    <cellStyle name="Comma 14 5 3 7" xfId="1215" xr:uid="{00000000-0005-0000-0000-000000030000}"/>
    <cellStyle name="Comma 14 5 3 8" xfId="1216" xr:uid="{00000000-0005-0000-0000-000001030000}"/>
    <cellStyle name="Comma 14 5 3 9" xfId="1217" xr:uid="{00000000-0005-0000-0000-000002030000}"/>
    <cellStyle name="Comma 14 5 4" xfId="1218" xr:uid="{00000000-0005-0000-0000-000003030000}"/>
    <cellStyle name="Comma 14 5 5" xfId="1219" xr:uid="{00000000-0005-0000-0000-000004030000}"/>
    <cellStyle name="Comma 14 5 6" xfId="1220" xr:uid="{00000000-0005-0000-0000-000005030000}"/>
    <cellStyle name="Comma 14 5 7" xfId="1221" xr:uid="{00000000-0005-0000-0000-000006030000}"/>
    <cellStyle name="Comma 14 5 8" xfId="1222" xr:uid="{00000000-0005-0000-0000-000007030000}"/>
    <cellStyle name="Comma 14 5 9" xfId="1223" xr:uid="{00000000-0005-0000-0000-000008030000}"/>
    <cellStyle name="Comma 14 6" xfId="1224" xr:uid="{00000000-0005-0000-0000-000009030000}"/>
    <cellStyle name="Comma 14 6 10" xfId="1225" xr:uid="{00000000-0005-0000-0000-00000A030000}"/>
    <cellStyle name="Comma 14 6 11" xfId="1226" xr:uid="{00000000-0005-0000-0000-00000B030000}"/>
    <cellStyle name="Comma 14 6 12" xfId="1227" xr:uid="{00000000-0005-0000-0000-00000C030000}"/>
    <cellStyle name="Comma 14 6 13" xfId="1228" xr:uid="{00000000-0005-0000-0000-00000D030000}"/>
    <cellStyle name="Comma 14 6 14" xfId="1229" xr:uid="{00000000-0005-0000-0000-00000E030000}"/>
    <cellStyle name="Comma 14 6 15" xfId="1230" xr:uid="{00000000-0005-0000-0000-00000F030000}"/>
    <cellStyle name="Comma 14 6 16" xfId="1231" xr:uid="{00000000-0005-0000-0000-000010030000}"/>
    <cellStyle name="Comma 14 6 17" xfId="1232" xr:uid="{00000000-0005-0000-0000-000011030000}"/>
    <cellStyle name="Comma 14 6 18" xfId="1233" xr:uid="{00000000-0005-0000-0000-000012030000}"/>
    <cellStyle name="Comma 14 6 19" xfId="1234" xr:uid="{00000000-0005-0000-0000-000013030000}"/>
    <cellStyle name="Comma 14 6 2" xfId="1235" xr:uid="{00000000-0005-0000-0000-000014030000}"/>
    <cellStyle name="Comma 14 6 2 2" xfId="1236" xr:uid="{00000000-0005-0000-0000-000015030000}"/>
    <cellStyle name="Comma 14 6 20" xfId="1237" xr:uid="{00000000-0005-0000-0000-000016030000}"/>
    <cellStyle name="Comma 14 6 21" xfId="1238" xr:uid="{00000000-0005-0000-0000-000017030000}"/>
    <cellStyle name="Comma 14 6 22" xfId="1239" xr:uid="{00000000-0005-0000-0000-000018030000}"/>
    <cellStyle name="Comma 14 6 23" xfId="1240" xr:uid="{00000000-0005-0000-0000-000019030000}"/>
    <cellStyle name="Comma 14 6 3" xfId="1241" xr:uid="{00000000-0005-0000-0000-00001A030000}"/>
    <cellStyle name="Comma 14 6 3 10" xfId="1242" xr:uid="{00000000-0005-0000-0000-00001B030000}"/>
    <cellStyle name="Comma 14 6 3 11" xfId="1243" xr:uid="{00000000-0005-0000-0000-00001C030000}"/>
    <cellStyle name="Comma 14 6 3 12" xfId="1244" xr:uid="{00000000-0005-0000-0000-00001D030000}"/>
    <cellStyle name="Comma 14 6 3 13" xfId="1245" xr:uid="{00000000-0005-0000-0000-00001E030000}"/>
    <cellStyle name="Comma 14 6 3 14" xfId="1246" xr:uid="{00000000-0005-0000-0000-00001F030000}"/>
    <cellStyle name="Comma 14 6 3 2" xfId="1247" xr:uid="{00000000-0005-0000-0000-000020030000}"/>
    <cellStyle name="Comma 14 6 3 3" xfId="1248" xr:uid="{00000000-0005-0000-0000-000021030000}"/>
    <cellStyle name="Comma 14 6 3 4" xfId="1249" xr:uid="{00000000-0005-0000-0000-000022030000}"/>
    <cellStyle name="Comma 14 6 3 5" xfId="1250" xr:uid="{00000000-0005-0000-0000-000023030000}"/>
    <cellStyle name="Comma 14 6 3 6" xfId="1251" xr:uid="{00000000-0005-0000-0000-000024030000}"/>
    <cellStyle name="Comma 14 6 3 7" xfId="1252" xr:uid="{00000000-0005-0000-0000-000025030000}"/>
    <cellStyle name="Comma 14 6 3 8" xfId="1253" xr:uid="{00000000-0005-0000-0000-000026030000}"/>
    <cellStyle name="Comma 14 6 3 9" xfId="1254" xr:uid="{00000000-0005-0000-0000-000027030000}"/>
    <cellStyle name="Comma 14 6 4" xfId="1255" xr:uid="{00000000-0005-0000-0000-000028030000}"/>
    <cellStyle name="Comma 14 6 5" xfId="1256" xr:uid="{00000000-0005-0000-0000-000029030000}"/>
    <cellStyle name="Comma 14 6 6" xfId="1257" xr:uid="{00000000-0005-0000-0000-00002A030000}"/>
    <cellStyle name="Comma 14 6 7" xfId="1258" xr:uid="{00000000-0005-0000-0000-00002B030000}"/>
    <cellStyle name="Comma 14 6 8" xfId="1259" xr:uid="{00000000-0005-0000-0000-00002C030000}"/>
    <cellStyle name="Comma 14 6 9" xfId="1260" xr:uid="{00000000-0005-0000-0000-00002D030000}"/>
    <cellStyle name="Comma 14 7" xfId="1261" xr:uid="{00000000-0005-0000-0000-00002E030000}"/>
    <cellStyle name="Comma 14 7 10" xfId="1262" xr:uid="{00000000-0005-0000-0000-00002F030000}"/>
    <cellStyle name="Comma 14 7 11" xfId="1263" xr:uid="{00000000-0005-0000-0000-000030030000}"/>
    <cellStyle name="Comma 14 7 12" xfId="1264" xr:uid="{00000000-0005-0000-0000-000031030000}"/>
    <cellStyle name="Comma 14 7 13" xfId="1265" xr:uid="{00000000-0005-0000-0000-000032030000}"/>
    <cellStyle name="Comma 14 7 14" xfId="1266" xr:uid="{00000000-0005-0000-0000-000033030000}"/>
    <cellStyle name="Comma 14 7 15" xfId="1267" xr:uid="{00000000-0005-0000-0000-000034030000}"/>
    <cellStyle name="Comma 14 7 16" xfId="1268" xr:uid="{00000000-0005-0000-0000-000035030000}"/>
    <cellStyle name="Comma 14 7 17" xfId="1269" xr:uid="{00000000-0005-0000-0000-000036030000}"/>
    <cellStyle name="Comma 14 7 18" xfId="1270" xr:uid="{00000000-0005-0000-0000-000037030000}"/>
    <cellStyle name="Comma 14 7 19" xfId="1271" xr:uid="{00000000-0005-0000-0000-000038030000}"/>
    <cellStyle name="Comma 14 7 2" xfId="1272" xr:uid="{00000000-0005-0000-0000-000039030000}"/>
    <cellStyle name="Comma 14 7 2 2" xfId="1273" xr:uid="{00000000-0005-0000-0000-00003A030000}"/>
    <cellStyle name="Comma 14 7 20" xfId="1274" xr:uid="{00000000-0005-0000-0000-00003B030000}"/>
    <cellStyle name="Comma 14 7 21" xfId="1275" xr:uid="{00000000-0005-0000-0000-00003C030000}"/>
    <cellStyle name="Comma 14 7 22" xfId="1276" xr:uid="{00000000-0005-0000-0000-00003D030000}"/>
    <cellStyle name="Comma 14 7 23" xfId="1277" xr:uid="{00000000-0005-0000-0000-00003E030000}"/>
    <cellStyle name="Comma 14 7 3" xfId="1278" xr:uid="{00000000-0005-0000-0000-00003F030000}"/>
    <cellStyle name="Comma 14 7 3 10" xfId="1279" xr:uid="{00000000-0005-0000-0000-000040030000}"/>
    <cellStyle name="Comma 14 7 3 11" xfId="1280" xr:uid="{00000000-0005-0000-0000-000041030000}"/>
    <cellStyle name="Comma 14 7 3 12" xfId="1281" xr:uid="{00000000-0005-0000-0000-000042030000}"/>
    <cellStyle name="Comma 14 7 3 13" xfId="1282" xr:uid="{00000000-0005-0000-0000-000043030000}"/>
    <cellStyle name="Comma 14 7 3 14" xfId="1283" xr:uid="{00000000-0005-0000-0000-000044030000}"/>
    <cellStyle name="Comma 14 7 3 2" xfId="1284" xr:uid="{00000000-0005-0000-0000-000045030000}"/>
    <cellStyle name="Comma 14 7 3 3" xfId="1285" xr:uid="{00000000-0005-0000-0000-000046030000}"/>
    <cellStyle name="Comma 14 7 3 4" xfId="1286" xr:uid="{00000000-0005-0000-0000-000047030000}"/>
    <cellStyle name="Comma 14 7 3 5" xfId="1287" xr:uid="{00000000-0005-0000-0000-000048030000}"/>
    <cellStyle name="Comma 14 7 3 6" xfId="1288" xr:uid="{00000000-0005-0000-0000-000049030000}"/>
    <cellStyle name="Comma 14 7 3 7" xfId="1289" xr:uid="{00000000-0005-0000-0000-00004A030000}"/>
    <cellStyle name="Comma 14 7 3 8" xfId="1290" xr:uid="{00000000-0005-0000-0000-00004B030000}"/>
    <cellStyle name="Comma 14 7 3 9" xfId="1291" xr:uid="{00000000-0005-0000-0000-00004C030000}"/>
    <cellStyle name="Comma 14 7 4" xfId="1292" xr:uid="{00000000-0005-0000-0000-00004D030000}"/>
    <cellStyle name="Comma 14 7 5" xfId="1293" xr:uid="{00000000-0005-0000-0000-00004E030000}"/>
    <cellStyle name="Comma 14 7 6" xfId="1294" xr:uid="{00000000-0005-0000-0000-00004F030000}"/>
    <cellStyle name="Comma 14 7 7" xfId="1295" xr:uid="{00000000-0005-0000-0000-000050030000}"/>
    <cellStyle name="Comma 14 7 8" xfId="1296" xr:uid="{00000000-0005-0000-0000-000051030000}"/>
    <cellStyle name="Comma 14 7 9" xfId="1297" xr:uid="{00000000-0005-0000-0000-000052030000}"/>
    <cellStyle name="Comma 14 8" xfId="1298" xr:uid="{00000000-0005-0000-0000-000053030000}"/>
    <cellStyle name="Comma 14 8 10" xfId="1299" xr:uid="{00000000-0005-0000-0000-000054030000}"/>
    <cellStyle name="Comma 14 8 11" xfId="1300" xr:uid="{00000000-0005-0000-0000-000055030000}"/>
    <cellStyle name="Comma 14 8 12" xfId="1301" xr:uid="{00000000-0005-0000-0000-000056030000}"/>
    <cellStyle name="Comma 14 8 13" xfId="1302" xr:uid="{00000000-0005-0000-0000-000057030000}"/>
    <cellStyle name="Comma 14 8 14" xfId="1303" xr:uid="{00000000-0005-0000-0000-000058030000}"/>
    <cellStyle name="Comma 14 8 15" xfId="1304" xr:uid="{00000000-0005-0000-0000-000059030000}"/>
    <cellStyle name="Comma 14 8 16" xfId="1305" xr:uid="{00000000-0005-0000-0000-00005A030000}"/>
    <cellStyle name="Comma 14 8 17" xfId="1306" xr:uid="{00000000-0005-0000-0000-00005B030000}"/>
    <cellStyle name="Comma 14 8 18" xfId="1307" xr:uid="{00000000-0005-0000-0000-00005C030000}"/>
    <cellStyle name="Comma 14 8 19" xfId="1308" xr:uid="{00000000-0005-0000-0000-00005D030000}"/>
    <cellStyle name="Comma 14 8 2" xfId="1309" xr:uid="{00000000-0005-0000-0000-00005E030000}"/>
    <cellStyle name="Comma 14 8 2 2" xfId="1310" xr:uid="{00000000-0005-0000-0000-00005F030000}"/>
    <cellStyle name="Comma 14 8 20" xfId="1311" xr:uid="{00000000-0005-0000-0000-000060030000}"/>
    <cellStyle name="Comma 14 8 21" xfId="1312" xr:uid="{00000000-0005-0000-0000-000061030000}"/>
    <cellStyle name="Comma 14 8 22" xfId="1313" xr:uid="{00000000-0005-0000-0000-000062030000}"/>
    <cellStyle name="Comma 14 8 23" xfId="1314" xr:uid="{00000000-0005-0000-0000-000063030000}"/>
    <cellStyle name="Comma 14 8 3" xfId="1315" xr:uid="{00000000-0005-0000-0000-000064030000}"/>
    <cellStyle name="Comma 14 8 3 10" xfId="1316" xr:uid="{00000000-0005-0000-0000-000065030000}"/>
    <cellStyle name="Comma 14 8 3 11" xfId="1317" xr:uid="{00000000-0005-0000-0000-000066030000}"/>
    <cellStyle name="Comma 14 8 3 12" xfId="1318" xr:uid="{00000000-0005-0000-0000-000067030000}"/>
    <cellStyle name="Comma 14 8 3 13" xfId="1319" xr:uid="{00000000-0005-0000-0000-000068030000}"/>
    <cellStyle name="Comma 14 8 3 14" xfId="1320" xr:uid="{00000000-0005-0000-0000-000069030000}"/>
    <cellStyle name="Comma 14 8 3 2" xfId="1321" xr:uid="{00000000-0005-0000-0000-00006A030000}"/>
    <cellStyle name="Comma 14 8 3 3" xfId="1322" xr:uid="{00000000-0005-0000-0000-00006B030000}"/>
    <cellStyle name="Comma 14 8 3 4" xfId="1323" xr:uid="{00000000-0005-0000-0000-00006C030000}"/>
    <cellStyle name="Comma 14 8 3 5" xfId="1324" xr:uid="{00000000-0005-0000-0000-00006D030000}"/>
    <cellStyle name="Comma 14 8 3 6" xfId="1325" xr:uid="{00000000-0005-0000-0000-00006E030000}"/>
    <cellStyle name="Comma 14 8 3 7" xfId="1326" xr:uid="{00000000-0005-0000-0000-00006F030000}"/>
    <cellStyle name="Comma 14 8 3 8" xfId="1327" xr:uid="{00000000-0005-0000-0000-000070030000}"/>
    <cellStyle name="Comma 14 8 3 9" xfId="1328" xr:uid="{00000000-0005-0000-0000-000071030000}"/>
    <cellStyle name="Comma 14 8 4" xfId="1329" xr:uid="{00000000-0005-0000-0000-000072030000}"/>
    <cellStyle name="Comma 14 8 5" xfId="1330" xr:uid="{00000000-0005-0000-0000-000073030000}"/>
    <cellStyle name="Comma 14 8 6" xfId="1331" xr:uid="{00000000-0005-0000-0000-000074030000}"/>
    <cellStyle name="Comma 14 8 7" xfId="1332" xr:uid="{00000000-0005-0000-0000-000075030000}"/>
    <cellStyle name="Comma 14 8 8" xfId="1333" xr:uid="{00000000-0005-0000-0000-000076030000}"/>
    <cellStyle name="Comma 14 8 9" xfId="1334" xr:uid="{00000000-0005-0000-0000-000077030000}"/>
    <cellStyle name="Comma 14 9" xfId="1335" xr:uid="{00000000-0005-0000-0000-000078030000}"/>
    <cellStyle name="Comma 14 9 10" xfId="1336" xr:uid="{00000000-0005-0000-0000-000079030000}"/>
    <cellStyle name="Comma 14 9 11" xfId="1337" xr:uid="{00000000-0005-0000-0000-00007A030000}"/>
    <cellStyle name="Comma 14 9 12" xfId="1338" xr:uid="{00000000-0005-0000-0000-00007B030000}"/>
    <cellStyle name="Comma 14 9 13" xfId="1339" xr:uid="{00000000-0005-0000-0000-00007C030000}"/>
    <cellStyle name="Comma 14 9 14" xfId="1340" xr:uid="{00000000-0005-0000-0000-00007D030000}"/>
    <cellStyle name="Comma 14 9 15" xfId="1341" xr:uid="{00000000-0005-0000-0000-00007E030000}"/>
    <cellStyle name="Comma 14 9 16" xfId="1342" xr:uid="{00000000-0005-0000-0000-00007F030000}"/>
    <cellStyle name="Comma 14 9 17" xfId="1343" xr:uid="{00000000-0005-0000-0000-000080030000}"/>
    <cellStyle name="Comma 14 9 18" xfId="1344" xr:uid="{00000000-0005-0000-0000-000081030000}"/>
    <cellStyle name="Comma 14 9 19" xfId="1345" xr:uid="{00000000-0005-0000-0000-000082030000}"/>
    <cellStyle name="Comma 14 9 2" xfId="1346" xr:uid="{00000000-0005-0000-0000-000083030000}"/>
    <cellStyle name="Comma 14 9 2 2" xfId="1347" xr:uid="{00000000-0005-0000-0000-000084030000}"/>
    <cellStyle name="Comma 14 9 20" xfId="1348" xr:uid="{00000000-0005-0000-0000-000085030000}"/>
    <cellStyle name="Comma 14 9 21" xfId="1349" xr:uid="{00000000-0005-0000-0000-000086030000}"/>
    <cellStyle name="Comma 14 9 22" xfId="1350" xr:uid="{00000000-0005-0000-0000-000087030000}"/>
    <cellStyle name="Comma 14 9 23" xfId="1351" xr:uid="{00000000-0005-0000-0000-000088030000}"/>
    <cellStyle name="Comma 14 9 3" xfId="1352" xr:uid="{00000000-0005-0000-0000-000089030000}"/>
    <cellStyle name="Comma 14 9 3 10" xfId="1353" xr:uid="{00000000-0005-0000-0000-00008A030000}"/>
    <cellStyle name="Comma 14 9 3 11" xfId="1354" xr:uid="{00000000-0005-0000-0000-00008B030000}"/>
    <cellStyle name="Comma 14 9 3 12" xfId="1355" xr:uid="{00000000-0005-0000-0000-00008C030000}"/>
    <cellStyle name="Comma 14 9 3 13" xfId="1356" xr:uid="{00000000-0005-0000-0000-00008D030000}"/>
    <cellStyle name="Comma 14 9 3 14" xfId="1357" xr:uid="{00000000-0005-0000-0000-00008E030000}"/>
    <cellStyle name="Comma 14 9 3 2" xfId="1358" xr:uid="{00000000-0005-0000-0000-00008F030000}"/>
    <cellStyle name="Comma 14 9 3 3" xfId="1359" xr:uid="{00000000-0005-0000-0000-000090030000}"/>
    <cellStyle name="Comma 14 9 3 4" xfId="1360" xr:uid="{00000000-0005-0000-0000-000091030000}"/>
    <cellStyle name="Comma 14 9 3 5" xfId="1361" xr:uid="{00000000-0005-0000-0000-000092030000}"/>
    <cellStyle name="Comma 14 9 3 6" xfId="1362" xr:uid="{00000000-0005-0000-0000-000093030000}"/>
    <cellStyle name="Comma 14 9 3 7" xfId="1363" xr:uid="{00000000-0005-0000-0000-000094030000}"/>
    <cellStyle name="Comma 14 9 3 8" xfId="1364" xr:uid="{00000000-0005-0000-0000-000095030000}"/>
    <cellStyle name="Comma 14 9 3 9" xfId="1365" xr:uid="{00000000-0005-0000-0000-000096030000}"/>
    <cellStyle name="Comma 14 9 4" xfId="1366" xr:uid="{00000000-0005-0000-0000-000097030000}"/>
    <cellStyle name="Comma 14 9 5" xfId="1367" xr:uid="{00000000-0005-0000-0000-000098030000}"/>
    <cellStyle name="Comma 14 9 6" xfId="1368" xr:uid="{00000000-0005-0000-0000-000099030000}"/>
    <cellStyle name="Comma 14 9 7" xfId="1369" xr:uid="{00000000-0005-0000-0000-00009A030000}"/>
    <cellStyle name="Comma 14 9 8" xfId="1370" xr:uid="{00000000-0005-0000-0000-00009B030000}"/>
    <cellStyle name="Comma 14 9 9" xfId="1371" xr:uid="{00000000-0005-0000-0000-00009C030000}"/>
    <cellStyle name="Comma 15" xfId="1372" xr:uid="{00000000-0005-0000-0000-00009D030000}"/>
    <cellStyle name="Comma 15 10" xfId="1373" xr:uid="{00000000-0005-0000-0000-00009E030000}"/>
    <cellStyle name="Comma 15 11" xfId="1374" xr:uid="{00000000-0005-0000-0000-00009F030000}"/>
    <cellStyle name="Comma 15 12" xfId="1375" xr:uid="{00000000-0005-0000-0000-0000A0030000}"/>
    <cellStyle name="Comma 15 13" xfId="1376" xr:uid="{00000000-0005-0000-0000-0000A1030000}"/>
    <cellStyle name="Comma 15 14" xfId="1377" xr:uid="{00000000-0005-0000-0000-0000A2030000}"/>
    <cellStyle name="Comma 15 15" xfId="1378" xr:uid="{00000000-0005-0000-0000-0000A3030000}"/>
    <cellStyle name="Comma 15 16" xfId="1379" xr:uid="{00000000-0005-0000-0000-0000A4030000}"/>
    <cellStyle name="Comma 15 17" xfId="1380" xr:uid="{00000000-0005-0000-0000-0000A5030000}"/>
    <cellStyle name="Comma 15 18" xfId="1381" xr:uid="{00000000-0005-0000-0000-0000A6030000}"/>
    <cellStyle name="Comma 15 19" xfId="1382" xr:uid="{00000000-0005-0000-0000-0000A7030000}"/>
    <cellStyle name="Comma 15 2" xfId="1383" xr:uid="{00000000-0005-0000-0000-0000A8030000}"/>
    <cellStyle name="Comma 15 2 10" xfId="1384" xr:uid="{00000000-0005-0000-0000-0000A9030000}"/>
    <cellStyle name="Comma 15 2 11" xfId="1385" xr:uid="{00000000-0005-0000-0000-0000AA030000}"/>
    <cellStyle name="Comma 15 2 12" xfId="1386" xr:uid="{00000000-0005-0000-0000-0000AB030000}"/>
    <cellStyle name="Comma 15 2 13" xfId="1387" xr:uid="{00000000-0005-0000-0000-0000AC030000}"/>
    <cellStyle name="Comma 15 2 14" xfId="1388" xr:uid="{00000000-0005-0000-0000-0000AD030000}"/>
    <cellStyle name="Comma 15 2 15" xfId="1389" xr:uid="{00000000-0005-0000-0000-0000AE030000}"/>
    <cellStyle name="Comma 15 2 16" xfId="1390" xr:uid="{00000000-0005-0000-0000-0000AF030000}"/>
    <cellStyle name="Comma 15 2 17" xfId="1391" xr:uid="{00000000-0005-0000-0000-0000B0030000}"/>
    <cellStyle name="Comma 15 2 18" xfId="1392" xr:uid="{00000000-0005-0000-0000-0000B1030000}"/>
    <cellStyle name="Comma 15 2 19" xfId="1393" xr:uid="{00000000-0005-0000-0000-0000B2030000}"/>
    <cellStyle name="Comma 15 2 2" xfId="1394" xr:uid="{00000000-0005-0000-0000-0000B3030000}"/>
    <cellStyle name="Comma 15 2 3" xfId="1395" xr:uid="{00000000-0005-0000-0000-0000B4030000}"/>
    <cellStyle name="Comma 15 2 4" xfId="1396" xr:uid="{00000000-0005-0000-0000-0000B5030000}"/>
    <cellStyle name="Comma 15 2 5" xfId="1397" xr:uid="{00000000-0005-0000-0000-0000B6030000}"/>
    <cellStyle name="Comma 15 2 6" xfId="1398" xr:uid="{00000000-0005-0000-0000-0000B7030000}"/>
    <cellStyle name="Comma 15 2 7" xfId="1399" xr:uid="{00000000-0005-0000-0000-0000B8030000}"/>
    <cellStyle name="Comma 15 2 8" xfId="1400" xr:uid="{00000000-0005-0000-0000-0000B9030000}"/>
    <cellStyle name="Comma 15 2 9" xfId="1401" xr:uid="{00000000-0005-0000-0000-0000BA030000}"/>
    <cellStyle name="Comma 15 20" xfId="1402" xr:uid="{00000000-0005-0000-0000-0000BB030000}"/>
    <cellStyle name="Comma 15 21" xfId="1403" xr:uid="{00000000-0005-0000-0000-0000BC030000}"/>
    <cellStyle name="Comma 15 22" xfId="1404" xr:uid="{00000000-0005-0000-0000-0000BD030000}"/>
    <cellStyle name="Comma 15 23" xfId="1405" xr:uid="{00000000-0005-0000-0000-0000BE030000}"/>
    <cellStyle name="Comma 15 24" xfId="1406" xr:uid="{00000000-0005-0000-0000-0000BF030000}"/>
    <cellStyle name="Comma 15 25" xfId="1407" xr:uid="{00000000-0005-0000-0000-0000C0030000}"/>
    <cellStyle name="Comma 15 26" xfId="1408" xr:uid="{00000000-0005-0000-0000-0000C1030000}"/>
    <cellStyle name="Comma 15 27" xfId="1409" xr:uid="{00000000-0005-0000-0000-0000C2030000}"/>
    <cellStyle name="Comma 15 28" xfId="1410" xr:uid="{00000000-0005-0000-0000-0000C3030000}"/>
    <cellStyle name="Comma 15 29" xfId="1411" xr:uid="{00000000-0005-0000-0000-0000C4030000}"/>
    <cellStyle name="Comma 15 3" xfId="1412" xr:uid="{00000000-0005-0000-0000-0000C5030000}"/>
    <cellStyle name="Comma 15 3 2" xfId="1413" xr:uid="{00000000-0005-0000-0000-0000C6030000}"/>
    <cellStyle name="Comma 15 3 3" xfId="1414" xr:uid="{00000000-0005-0000-0000-0000C7030000}"/>
    <cellStyle name="Comma 15 30" xfId="1415" xr:uid="{00000000-0005-0000-0000-0000C8030000}"/>
    <cellStyle name="Comma 15 31" xfId="1416" xr:uid="{00000000-0005-0000-0000-0000C9030000}"/>
    <cellStyle name="Comma 15 32" xfId="1417" xr:uid="{00000000-0005-0000-0000-0000CA030000}"/>
    <cellStyle name="Comma 15 33" xfId="1418" xr:uid="{00000000-0005-0000-0000-0000CB030000}"/>
    <cellStyle name="Comma 15 34" xfId="1419" xr:uid="{00000000-0005-0000-0000-0000CC030000}"/>
    <cellStyle name="Comma 15 35" xfId="1420" xr:uid="{00000000-0005-0000-0000-0000CD030000}"/>
    <cellStyle name="Comma 15 36" xfId="1421" xr:uid="{00000000-0005-0000-0000-0000CE030000}"/>
    <cellStyle name="Comma 15 37" xfId="1422" xr:uid="{00000000-0005-0000-0000-0000CF030000}"/>
    <cellStyle name="Comma 15 38" xfId="1423" xr:uid="{00000000-0005-0000-0000-0000D0030000}"/>
    <cellStyle name="Comma 15 39" xfId="1424" xr:uid="{00000000-0005-0000-0000-0000D1030000}"/>
    <cellStyle name="Comma 15 4" xfId="1425" xr:uid="{00000000-0005-0000-0000-0000D2030000}"/>
    <cellStyle name="Comma 15 40" xfId="1426" xr:uid="{00000000-0005-0000-0000-0000D3030000}"/>
    <cellStyle name="Comma 15 41" xfId="1427" xr:uid="{00000000-0005-0000-0000-0000D4030000}"/>
    <cellStyle name="Comma 15 42" xfId="1428" xr:uid="{00000000-0005-0000-0000-0000D5030000}"/>
    <cellStyle name="Comma 15 43" xfId="1429" xr:uid="{00000000-0005-0000-0000-0000D6030000}"/>
    <cellStyle name="Comma 15 5" xfId="1430" xr:uid="{00000000-0005-0000-0000-0000D7030000}"/>
    <cellStyle name="Comma 15 6" xfId="1431" xr:uid="{00000000-0005-0000-0000-0000D8030000}"/>
    <cellStyle name="Comma 15 7" xfId="1432" xr:uid="{00000000-0005-0000-0000-0000D9030000}"/>
    <cellStyle name="Comma 15 8" xfId="1433" xr:uid="{00000000-0005-0000-0000-0000DA030000}"/>
    <cellStyle name="Comma 15 9" xfId="1434" xr:uid="{00000000-0005-0000-0000-0000DB030000}"/>
    <cellStyle name="Comma 16" xfId="1435" xr:uid="{00000000-0005-0000-0000-0000DC030000}"/>
    <cellStyle name="Comma 16 10" xfId="1436" xr:uid="{00000000-0005-0000-0000-0000DD030000}"/>
    <cellStyle name="Comma 16 11" xfId="1437" xr:uid="{00000000-0005-0000-0000-0000DE030000}"/>
    <cellStyle name="Comma 16 12" xfId="1438" xr:uid="{00000000-0005-0000-0000-0000DF030000}"/>
    <cellStyle name="Comma 16 13" xfId="1439" xr:uid="{00000000-0005-0000-0000-0000E0030000}"/>
    <cellStyle name="Comma 16 14" xfId="1440" xr:uid="{00000000-0005-0000-0000-0000E1030000}"/>
    <cellStyle name="Comma 16 15" xfId="1441" xr:uid="{00000000-0005-0000-0000-0000E2030000}"/>
    <cellStyle name="Comma 16 16" xfId="1442" xr:uid="{00000000-0005-0000-0000-0000E3030000}"/>
    <cellStyle name="Comma 16 17" xfId="1443" xr:uid="{00000000-0005-0000-0000-0000E4030000}"/>
    <cellStyle name="Comma 16 18" xfId="1444" xr:uid="{00000000-0005-0000-0000-0000E5030000}"/>
    <cellStyle name="Comma 16 19" xfId="1445" xr:uid="{00000000-0005-0000-0000-0000E6030000}"/>
    <cellStyle name="Comma 16 2" xfId="1446" xr:uid="{00000000-0005-0000-0000-0000E7030000}"/>
    <cellStyle name="Comma 16 20" xfId="1447" xr:uid="{00000000-0005-0000-0000-0000E8030000}"/>
    <cellStyle name="Comma 16 21" xfId="1448" xr:uid="{00000000-0005-0000-0000-0000E9030000}"/>
    <cellStyle name="Comma 16 22" xfId="1449" xr:uid="{00000000-0005-0000-0000-0000EA030000}"/>
    <cellStyle name="Comma 16 23" xfId="1450" xr:uid="{00000000-0005-0000-0000-0000EB030000}"/>
    <cellStyle name="Comma 16 24" xfId="1451" xr:uid="{00000000-0005-0000-0000-0000EC030000}"/>
    <cellStyle name="Comma 16 25" xfId="1452" xr:uid="{00000000-0005-0000-0000-0000ED030000}"/>
    <cellStyle name="Comma 16 26" xfId="1453" xr:uid="{00000000-0005-0000-0000-0000EE030000}"/>
    <cellStyle name="Comma 16 27" xfId="1454" xr:uid="{00000000-0005-0000-0000-0000EF030000}"/>
    <cellStyle name="Comma 16 28" xfId="1455" xr:uid="{00000000-0005-0000-0000-0000F0030000}"/>
    <cellStyle name="Comma 16 29" xfId="1456" xr:uid="{00000000-0005-0000-0000-0000F1030000}"/>
    <cellStyle name="Comma 16 3" xfId="1457" xr:uid="{00000000-0005-0000-0000-0000F2030000}"/>
    <cellStyle name="Comma 16 30" xfId="1458" xr:uid="{00000000-0005-0000-0000-0000F3030000}"/>
    <cellStyle name="Comma 16 31" xfId="1459" xr:uid="{00000000-0005-0000-0000-0000F4030000}"/>
    <cellStyle name="Comma 16 32" xfId="1460" xr:uid="{00000000-0005-0000-0000-0000F5030000}"/>
    <cellStyle name="Comma 16 33" xfId="1461" xr:uid="{00000000-0005-0000-0000-0000F6030000}"/>
    <cellStyle name="Comma 16 34" xfId="1462" xr:uid="{00000000-0005-0000-0000-0000F7030000}"/>
    <cellStyle name="Comma 16 35" xfId="1463" xr:uid="{00000000-0005-0000-0000-0000F8030000}"/>
    <cellStyle name="Comma 16 36" xfId="1464" xr:uid="{00000000-0005-0000-0000-0000F9030000}"/>
    <cellStyle name="Comma 16 37" xfId="1465" xr:uid="{00000000-0005-0000-0000-0000FA030000}"/>
    <cellStyle name="Comma 16 38" xfId="1466" xr:uid="{00000000-0005-0000-0000-0000FB030000}"/>
    <cellStyle name="Comma 16 39" xfId="1467" xr:uid="{00000000-0005-0000-0000-0000FC030000}"/>
    <cellStyle name="Comma 16 4" xfId="1468" xr:uid="{00000000-0005-0000-0000-0000FD030000}"/>
    <cellStyle name="Comma 16 40" xfId="1469" xr:uid="{00000000-0005-0000-0000-0000FE030000}"/>
    <cellStyle name="Comma 16 41" xfId="1470" xr:uid="{00000000-0005-0000-0000-0000FF030000}"/>
    <cellStyle name="Comma 16 42" xfId="1471" xr:uid="{00000000-0005-0000-0000-000000040000}"/>
    <cellStyle name="Comma 16 43" xfId="1472" xr:uid="{00000000-0005-0000-0000-000001040000}"/>
    <cellStyle name="Comma 16 5" xfId="1473" xr:uid="{00000000-0005-0000-0000-000002040000}"/>
    <cellStyle name="Comma 16 6" xfId="1474" xr:uid="{00000000-0005-0000-0000-000003040000}"/>
    <cellStyle name="Comma 16 7" xfId="1475" xr:uid="{00000000-0005-0000-0000-000004040000}"/>
    <cellStyle name="Comma 16 8" xfId="1476" xr:uid="{00000000-0005-0000-0000-000005040000}"/>
    <cellStyle name="Comma 16 9" xfId="1477" xr:uid="{00000000-0005-0000-0000-000006040000}"/>
    <cellStyle name="Comma 17" xfId="1478" xr:uid="{00000000-0005-0000-0000-000007040000}"/>
    <cellStyle name="Comma 17 10" xfId="1479" xr:uid="{00000000-0005-0000-0000-000008040000}"/>
    <cellStyle name="Comma 17 11" xfId="1480" xr:uid="{00000000-0005-0000-0000-000009040000}"/>
    <cellStyle name="Comma 17 12" xfId="1481" xr:uid="{00000000-0005-0000-0000-00000A040000}"/>
    <cellStyle name="Comma 17 13" xfId="1482" xr:uid="{00000000-0005-0000-0000-00000B040000}"/>
    <cellStyle name="Comma 17 14" xfId="1483" xr:uid="{00000000-0005-0000-0000-00000C040000}"/>
    <cellStyle name="Comma 17 15" xfId="1484" xr:uid="{00000000-0005-0000-0000-00000D040000}"/>
    <cellStyle name="Comma 17 16" xfId="1485" xr:uid="{00000000-0005-0000-0000-00000E040000}"/>
    <cellStyle name="Comma 17 17" xfId="1486" xr:uid="{00000000-0005-0000-0000-00000F040000}"/>
    <cellStyle name="Comma 17 18" xfId="1487" xr:uid="{00000000-0005-0000-0000-000010040000}"/>
    <cellStyle name="Comma 17 19" xfId="1488" xr:uid="{00000000-0005-0000-0000-000011040000}"/>
    <cellStyle name="Comma 17 2" xfId="1489" xr:uid="{00000000-0005-0000-0000-000012040000}"/>
    <cellStyle name="Comma 17 20" xfId="1490" xr:uid="{00000000-0005-0000-0000-000013040000}"/>
    <cellStyle name="Comma 17 21" xfId="1491" xr:uid="{00000000-0005-0000-0000-000014040000}"/>
    <cellStyle name="Comma 17 22" xfId="1492" xr:uid="{00000000-0005-0000-0000-000015040000}"/>
    <cellStyle name="Comma 17 23" xfId="1493" xr:uid="{00000000-0005-0000-0000-000016040000}"/>
    <cellStyle name="Comma 17 24" xfId="1494" xr:uid="{00000000-0005-0000-0000-000017040000}"/>
    <cellStyle name="Comma 17 25" xfId="1495" xr:uid="{00000000-0005-0000-0000-000018040000}"/>
    <cellStyle name="Comma 17 26" xfId="1496" xr:uid="{00000000-0005-0000-0000-000019040000}"/>
    <cellStyle name="Comma 17 27" xfId="1497" xr:uid="{00000000-0005-0000-0000-00001A040000}"/>
    <cellStyle name="Comma 17 28" xfId="1498" xr:uid="{00000000-0005-0000-0000-00001B040000}"/>
    <cellStyle name="Comma 17 29" xfId="1499" xr:uid="{00000000-0005-0000-0000-00001C040000}"/>
    <cellStyle name="Comma 17 3" xfId="1500" xr:uid="{00000000-0005-0000-0000-00001D040000}"/>
    <cellStyle name="Comma 17 30" xfId="1501" xr:uid="{00000000-0005-0000-0000-00001E040000}"/>
    <cellStyle name="Comma 17 31" xfId="1502" xr:uid="{00000000-0005-0000-0000-00001F040000}"/>
    <cellStyle name="Comma 17 32" xfId="1503" xr:uid="{00000000-0005-0000-0000-000020040000}"/>
    <cellStyle name="Comma 17 33" xfId="1504" xr:uid="{00000000-0005-0000-0000-000021040000}"/>
    <cellStyle name="Comma 17 34" xfId="1505" xr:uid="{00000000-0005-0000-0000-000022040000}"/>
    <cellStyle name="Comma 17 35" xfId="1506" xr:uid="{00000000-0005-0000-0000-000023040000}"/>
    <cellStyle name="Comma 17 36" xfId="1507" xr:uid="{00000000-0005-0000-0000-000024040000}"/>
    <cellStyle name="Comma 17 37" xfId="1508" xr:uid="{00000000-0005-0000-0000-000025040000}"/>
    <cellStyle name="Comma 17 38" xfId="1509" xr:uid="{00000000-0005-0000-0000-000026040000}"/>
    <cellStyle name="Comma 17 39" xfId="1510" xr:uid="{00000000-0005-0000-0000-000027040000}"/>
    <cellStyle name="Comma 17 4" xfId="1511" xr:uid="{00000000-0005-0000-0000-000028040000}"/>
    <cellStyle name="Comma 17 40" xfId="1512" xr:uid="{00000000-0005-0000-0000-000029040000}"/>
    <cellStyle name="Comma 17 41" xfId="1513" xr:uid="{00000000-0005-0000-0000-00002A040000}"/>
    <cellStyle name="Comma 17 42" xfId="1514" xr:uid="{00000000-0005-0000-0000-00002B040000}"/>
    <cellStyle name="Comma 17 43" xfId="1515" xr:uid="{00000000-0005-0000-0000-00002C040000}"/>
    <cellStyle name="Comma 17 5" xfId="1516" xr:uid="{00000000-0005-0000-0000-00002D040000}"/>
    <cellStyle name="Comma 17 6" xfId="1517" xr:uid="{00000000-0005-0000-0000-00002E040000}"/>
    <cellStyle name="Comma 17 7" xfId="1518" xr:uid="{00000000-0005-0000-0000-00002F040000}"/>
    <cellStyle name="Comma 17 8" xfId="1519" xr:uid="{00000000-0005-0000-0000-000030040000}"/>
    <cellStyle name="Comma 17 9" xfId="1520" xr:uid="{00000000-0005-0000-0000-000031040000}"/>
    <cellStyle name="Comma 18" xfId="1521" xr:uid="{00000000-0005-0000-0000-000032040000}"/>
    <cellStyle name="Comma 18 10" xfId="1522" xr:uid="{00000000-0005-0000-0000-000033040000}"/>
    <cellStyle name="Comma 18 11" xfId="1523" xr:uid="{00000000-0005-0000-0000-000034040000}"/>
    <cellStyle name="Comma 18 12" xfId="1524" xr:uid="{00000000-0005-0000-0000-000035040000}"/>
    <cellStyle name="Comma 18 13" xfId="1525" xr:uid="{00000000-0005-0000-0000-000036040000}"/>
    <cellStyle name="Comma 18 14" xfId="1526" xr:uid="{00000000-0005-0000-0000-000037040000}"/>
    <cellStyle name="Comma 18 15" xfId="1527" xr:uid="{00000000-0005-0000-0000-000038040000}"/>
    <cellStyle name="Comma 18 16" xfId="1528" xr:uid="{00000000-0005-0000-0000-000039040000}"/>
    <cellStyle name="Comma 18 17" xfId="1529" xr:uid="{00000000-0005-0000-0000-00003A040000}"/>
    <cellStyle name="Comma 18 18" xfId="1530" xr:uid="{00000000-0005-0000-0000-00003B040000}"/>
    <cellStyle name="Comma 18 19" xfId="1531" xr:uid="{00000000-0005-0000-0000-00003C040000}"/>
    <cellStyle name="Comma 18 2" xfId="1532" xr:uid="{00000000-0005-0000-0000-00003D040000}"/>
    <cellStyle name="Comma 18 20" xfId="1533" xr:uid="{00000000-0005-0000-0000-00003E040000}"/>
    <cellStyle name="Comma 18 21" xfId="1534" xr:uid="{00000000-0005-0000-0000-00003F040000}"/>
    <cellStyle name="Comma 18 22" xfId="1535" xr:uid="{00000000-0005-0000-0000-000040040000}"/>
    <cellStyle name="Comma 18 23" xfId="1536" xr:uid="{00000000-0005-0000-0000-000041040000}"/>
    <cellStyle name="Comma 18 24" xfId="1537" xr:uid="{00000000-0005-0000-0000-000042040000}"/>
    <cellStyle name="Comma 18 25" xfId="1538" xr:uid="{00000000-0005-0000-0000-000043040000}"/>
    <cellStyle name="Comma 18 26" xfId="1539" xr:uid="{00000000-0005-0000-0000-000044040000}"/>
    <cellStyle name="Comma 18 27" xfId="1540" xr:uid="{00000000-0005-0000-0000-000045040000}"/>
    <cellStyle name="Comma 18 28" xfId="1541" xr:uid="{00000000-0005-0000-0000-000046040000}"/>
    <cellStyle name="Comma 18 29" xfId="1542" xr:uid="{00000000-0005-0000-0000-000047040000}"/>
    <cellStyle name="Comma 18 3" xfId="1543" xr:uid="{00000000-0005-0000-0000-000048040000}"/>
    <cellStyle name="Comma 18 30" xfId="1544" xr:uid="{00000000-0005-0000-0000-000049040000}"/>
    <cellStyle name="Comma 18 31" xfId="1545" xr:uid="{00000000-0005-0000-0000-00004A040000}"/>
    <cellStyle name="Comma 18 32" xfId="1546" xr:uid="{00000000-0005-0000-0000-00004B040000}"/>
    <cellStyle name="Comma 18 33" xfId="1547" xr:uid="{00000000-0005-0000-0000-00004C040000}"/>
    <cellStyle name="Comma 18 34" xfId="1548" xr:uid="{00000000-0005-0000-0000-00004D040000}"/>
    <cellStyle name="Comma 18 35" xfId="1549" xr:uid="{00000000-0005-0000-0000-00004E040000}"/>
    <cellStyle name="Comma 18 36" xfId="1550" xr:uid="{00000000-0005-0000-0000-00004F040000}"/>
    <cellStyle name="Comma 18 37" xfId="1551" xr:uid="{00000000-0005-0000-0000-000050040000}"/>
    <cellStyle name="Comma 18 38" xfId="1552" xr:uid="{00000000-0005-0000-0000-000051040000}"/>
    <cellStyle name="Comma 18 39" xfId="1553" xr:uid="{00000000-0005-0000-0000-000052040000}"/>
    <cellStyle name="Comma 18 4" xfId="1554" xr:uid="{00000000-0005-0000-0000-000053040000}"/>
    <cellStyle name="Comma 18 40" xfId="1555" xr:uid="{00000000-0005-0000-0000-000054040000}"/>
    <cellStyle name="Comma 18 41" xfId="1556" xr:uid="{00000000-0005-0000-0000-000055040000}"/>
    <cellStyle name="Comma 18 42" xfId="1557" xr:uid="{00000000-0005-0000-0000-000056040000}"/>
    <cellStyle name="Comma 18 43" xfId="1558" xr:uid="{00000000-0005-0000-0000-000057040000}"/>
    <cellStyle name="Comma 18 5" xfId="1559" xr:uid="{00000000-0005-0000-0000-000058040000}"/>
    <cellStyle name="Comma 18 6" xfId="1560" xr:uid="{00000000-0005-0000-0000-000059040000}"/>
    <cellStyle name="Comma 18 7" xfId="1561" xr:uid="{00000000-0005-0000-0000-00005A040000}"/>
    <cellStyle name="Comma 18 8" xfId="1562" xr:uid="{00000000-0005-0000-0000-00005B040000}"/>
    <cellStyle name="Comma 18 9" xfId="1563" xr:uid="{00000000-0005-0000-0000-00005C040000}"/>
    <cellStyle name="Comma 19" xfId="1564" xr:uid="{00000000-0005-0000-0000-00005D040000}"/>
    <cellStyle name="Comma 19 10" xfId="1565" xr:uid="{00000000-0005-0000-0000-00005E040000}"/>
    <cellStyle name="Comma 19 11" xfId="1566" xr:uid="{00000000-0005-0000-0000-00005F040000}"/>
    <cellStyle name="Comma 19 12" xfId="1567" xr:uid="{00000000-0005-0000-0000-000060040000}"/>
    <cellStyle name="Comma 19 13" xfId="1568" xr:uid="{00000000-0005-0000-0000-000061040000}"/>
    <cellStyle name="Comma 19 14" xfId="1569" xr:uid="{00000000-0005-0000-0000-000062040000}"/>
    <cellStyle name="Comma 19 15" xfId="1570" xr:uid="{00000000-0005-0000-0000-000063040000}"/>
    <cellStyle name="Comma 19 16" xfId="1571" xr:uid="{00000000-0005-0000-0000-000064040000}"/>
    <cellStyle name="Comma 19 17" xfId="1572" xr:uid="{00000000-0005-0000-0000-000065040000}"/>
    <cellStyle name="Comma 19 18" xfId="1573" xr:uid="{00000000-0005-0000-0000-000066040000}"/>
    <cellStyle name="Comma 19 19" xfId="1574" xr:uid="{00000000-0005-0000-0000-000067040000}"/>
    <cellStyle name="Comma 19 2" xfId="1575" xr:uid="{00000000-0005-0000-0000-000068040000}"/>
    <cellStyle name="Comma 19 20" xfId="1576" xr:uid="{00000000-0005-0000-0000-000069040000}"/>
    <cellStyle name="Comma 19 21" xfId="1577" xr:uid="{00000000-0005-0000-0000-00006A040000}"/>
    <cellStyle name="Comma 19 22" xfId="1578" xr:uid="{00000000-0005-0000-0000-00006B040000}"/>
    <cellStyle name="Comma 19 23" xfId="1579" xr:uid="{00000000-0005-0000-0000-00006C040000}"/>
    <cellStyle name="Comma 19 24" xfId="1580" xr:uid="{00000000-0005-0000-0000-00006D040000}"/>
    <cellStyle name="Comma 19 25" xfId="1581" xr:uid="{00000000-0005-0000-0000-00006E040000}"/>
    <cellStyle name="Comma 19 26" xfId="1582" xr:uid="{00000000-0005-0000-0000-00006F040000}"/>
    <cellStyle name="Comma 19 27" xfId="1583" xr:uid="{00000000-0005-0000-0000-000070040000}"/>
    <cellStyle name="Comma 19 28" xfId="1584" xr:uid="{00000000-0005-0000-0000-000071040000}"/>
    <cellStyle name="Comma 19 29" xfId="1585" xr:uid="{00000000-0005-0000-0000-000072040000}"/>
    <cellStyle name="Comma 19 3" xfId="1586" xr:uid="{00000000-0005-0000-0000-000073040000}"/>
    <cellStyle name="Comma 19 30" xfId="1587" xr:uid="{00000000-0005-0000-0000-000074040000}"/>
    <cellStyle name="Comma 19 31" xfId="1588" xr:uid="{00000000-0005-0000-0000-000075040000}"/>
    <cellStyle name="Comma 19 32" xfId="1589" xr:uid="{00000000-0005-0000-0000-000076040000}"/>
    <cellStyle name="Comma 19 33" xfId="1590" xr:uid="{00000000-0005-0000-0000-000077040000}"/>
    <cellStyle name="Comma 19 34" xfId="1591" xr:uid="{00000000-0005-0000-0000-000078040000}"/>
    <cellStyle name="Comma 19 35" xfId="1592" xr:uid="{00000000-0005-0000-0000-000079040000}"/>
    <cellStyle name="Comma 19 36" xfId="1593" xr:uid="{00000000-0005-0000-0000-00007A040000}"/>
    <cellStyle name="Comma 19 37" xfId="1594" xr:uid="{00000000-0005-0000-0000-00007B040000}"/>
    <cellStyle name="Comma 19 38" xfId="1595" xr:uid="{00000000-0005-0000-0000-00007C040000}"/>
    <cellStyle name="Comma 19 39" xfId="1596" xr:uid="{00000000-0005-0000-0000-00007D040000}"/>
    <cellStyle name="Comma 19 4" xfId="1597" xr:uid="{00000000-0005-0000-0000-00007E040000}"/>
    <cellStyle name="Comma 19 40" xfId="1598" xr:uid="{00000000-0005-0000-0000-00007F040000}"/>
    <cellStyle name="Comma 19 41" xfId="1599" xr:uid="{00000000-0005-0000-0000-000080040000}"/>
    <cellStyle name="Comma 19 42" xfId="1600" xr:uid="{00000000-0005-0000-0000-000081040000}"/>
    <cellStyle name="Comma 19 43" xfId="1601" xr:uid="{00000000-0005-0000-0000-000082040000}"/>
    <cellStyle name="Comma 19 5" xfId="1602" xr:uid="{00000000-0005-0000-0000-000083040000}"/>
    <cellStyle name="Comma 19 6" xfId="1603" xr:uid="{00000000-0005-0000-0000-000084040000}"/>
    <cellStyle name="Comma 19 7" xfId="1604" xr:uid="{00000000-0005-0000-0000-000085040000}"/>
    <cellStyle name="Comma 19 8" xfId="1605" xr:uid="{00000000-0005-0000-0000-000086040000}"/>
    <cellStyle name="Comma 19 9" xfId="1606" xr:uid="{00000000-0005-0000-0000-000087040000}"/>
    <cellStyle name="Comma 2" xfId="265" xr:uid="{00000000-0005-0000-0000-000088040000}"/>
    <cellStyle name="Comma 2 10" xfId="1607" xr:uid="{00000000-0005-0000-0000-000089040000}"/>
    <cellStyle name="Comma 2 11" xfId="1608" xr:uid="{00000000-0005-0000-0000-00008A040000}"/>
    <cellStyle name="Comma 2 12" xfId="1609" xr:uid="{00000000-0005-0000-0000-00008B040000}"/>
    <cellStyle name="Comma 2 13" xfId="1610" xr:uid="{00000000-0005-0000-0000-00008C040000}"/>
    <cellStyle name="Comma 2 14" xfId="1611" xr:uid="{00000000-0005-0000-0000-00008D040000}"/>
    <cellStyle name="Comma 2 15" xfId="1612" xr:uid="{00000000-0005-0000-0000-00008E040000}"/>
    <cellStyle name="Comma 2 16" xfId="1613" xr:uid="{00000000-0005-0000-0000-00008F040000}"/>
    <cellStyle name="Comma 2 17" xfId="1614" xr:uid="{00000000-0005-0000-0000-000090040000}"/>
    <cellStyle name="Comma 2 18" xfId="1615" xr:uid="{00000000-0005-0000-0000-000091040000}"/>
    <cellStyle name="Comma 2 19" xfId="1616" xr:uid="{00000000-0005-0000-0000-000092040000}"/>
    <cellStyle name="Comma 2 2" xfId="164" xr:uid="{00000000-0005-0000-0000-000093040000}"/>
    <cellStyle name="Comma 2 2 10" xfId="1618" xr:uid="{00000000-0005-0000-0000-000094040000}"/>
    <cellStyle name="Comma 2 2 11" xfId="1619" xr:uid="{00000000-0005-0000-0000-000095040000}"/>
    <cellStyle name="Comma 2 2 12" xfId="1620" xr:uid="{00000000-0005-0000-0000-000096040000}"/>
    <cellStyle name="Comma 2 2 13" xfId="1621" xr:uid="{00000000-0005-0000-0000-000097040000}"/>
    <cellStyle name="Comma 2 2 14" xfId="1622" xr:uid="{00000000-0005-0000-0000-000098040000}"/>
    <cellStyle name="Comma 2 2 15" xfId="1623" xr:uid="{00000000-0005-0000-0000-000099040000}"/>
    <cellStyle name="Comma 2 2 16" xfId="1624" xr:uid="{00000000-0005-0000-0000-00009A040000}"/>
    <cellStyle name="Comma 2 2 17" xfId="1625" xr:uid="{00000000-0005-0000-0000-00009B040000}"/>
    <cellStyle name="Comma 2 2 18" xfId="1626" xr:uid="{00000000-0005-0000-0000-00009C040000}"/>
    <cellStyle name="Comma 2 2 19" xfId="1627" xr:uid="{00000000-0005-0000-0000-00009D040000}"/>
    <cellStyle name="Comma 2 2 2" xfId="221" xr:uid="{00000000-0005-0000-0000-00009E040000}"/>
    <cellStyle name="Comma 2 2 2 2" xfId="369" xr:uid="{00000000-0005-0000-0000-00009F040000}"/>
    <cellStyle name="Comma 2 2 2 2 2" xfId="607" xr:uid="{00000000-0005-0000-0000-0000A0040000}"/>
    <cellStyle name="Comma 2 2 2 3" xfId="477" xr:uid="{00000000-0005-0000-0000-0000A1040000}"/>
    <cellStyle name="Comma 2 2 2 4" xfId="1628" xr:uid="{00000000-0005-0000-0000-0000A2040000}"/>
    <cellStyle name="Comma 2 2 20" xfId="1629" xr:uid="{00000000-0005-0000-0000-0000A3040000}"/>
    <cellStyle name="Comma 2 2 21" xfId="1630" xr:uid="{00000000-0005-0000-0000-0000A4040000}"/>
    <cellStyle name="Comma 2 2 22" xfId="1631" xr:uid="{00000000-0005-0000-0000-0000A5040000}"/>
    <cellStyle name="Comma 2 2 23" xfId="1632" xr:uid="{00000000-0005-0000-0000-0000A6040000}"/>
    <cellStyle name="Comma 2 2 24" xfId="1633" xr:uid="{00000000-0005-0000-0000-0000A7040000}"/>
    <cellStyle name="Comma 2 2 25" xfId="1634" xr:uid="{00000000-0005-0000-0000-0000A8040000}"/>
    <cellStyle name="Comma 2 2 26" xfId="1635" xr:uid="{00000000-0005-0000-0000-0000A9040000}"/>
    <cellStyle name="Comma 2 2 27" xfId="1636" xr:uid="{00000000-0005-0000-0000-0000AA040000}"/>
    <cellStyle name="Comma 2 2 28" xfId="1637" xr:uid="{00000000-0005-0000-0000-0000AB040000}"/>
    <cellStyle name="Comma 2 2 29" xfId="1638" xr:uid="{00000000-0005-0000-0000-0000AC040000}"/>
    <cellStyle name="Comma 2 2 3" xfId="271" xr:uid="{00000000-0005-0000-0000-0000AD040000}"/>
    <cellStyle name="Comma 2 2 3 10" xfId="1640" xr:uid="{00000000-0005-0000-0000-0000AE040000}"/>
    <cellStyle name="Comma 2 2 3 11" xfId="1641" xr:uid="{00000000-0005-0000-0000-0000AF040000}"/>
    <cellStyle name="Comma 2 2 3 12" xfId="1642" xr:uid="{00000000-0005-0000-0000-0000B0040000}"/>
    <cellStyle name="Comma 2 2 3 13" xfId="1643" xr:uid="{00000000-0005-0000-0000-0000B1040000}"/>
    <cellStyle name="Comma 2 2 3 14" xfId="1644" xr:uid="{00000000-0005-0000-0000-0000B2040000}"/>
    <cellStyle name="Comma 2 2 3 15" xfId="1645" xr:uid="{00000000-0005-0000-0000-0000B3040000}"/>
    <cellStyle name="Comma 2 2 3 16" xfId="1646" xr:uid="{00000000-0005-0000-0000-0000B4040000}"/>
    <cellStyle name="Comma 2 2 3 17" xfId="1647" xr:uid="{00000000-0005-0000-0000-0000B5040000}"/>
    <cellStyle name="Comma 2 2 3 18" xfId="1648" xr:uid="{00000000-0005-0000-0000-0000B6040000}"/>
    <cellStyle name="Comma 2 2 3 19" xfId="1639" xr:uid="{00000000-0005-0000-0000-0000B7040000}"/>
    <cellStyle name="Comma 2 2 3 2" xfId="401" xr:uid="{00000000-0005-0000-0000-0000B8040000}"/>
    <cellStyle name="Comma 2 2 3 2 2" xfId="639" xr:uid="{00000000-0005-0000-0000-0000B9040000}"/>
    <cellStyle name="Comma 2 2 3 2 3" xfId="1649" xr:uid="{00000000-0005-0000-0000-0000BA040000}"/>
    <cellStyle name="Comma 2 2 3 3" xfId="509" xr:uid="{00000000-0005-0000-0000-0000BB040000}"/>
    <cellStyle name="Comma 2 2 3 3 2" xfId="1650" xr:uid="{00000000-0005-0000-0000-0000BC040000}"/>
    <cellStyle name="Comma 2 2 3 4" xfId="1651" xr:uid="{00000000-0005-0000-0000-0000BD040000}"/>
    <cellStyle name="Comma 2 2 3 5" xfId="1652" xr:uid="{00000000-0005-0000-0000-0000BE040000}"/>
    <cellStyle name="Comma 2 2 3 6" xfId="1653" xr:uid="{00000000-0005-0000-0000-0000BF040000}"/>
    <cellStyle name="Comma 2 2 3 7" xfId="1654" xr:uid="{00000000-0005-0000-0000-0000C0040000}"/>
    <cellStyle name="Comma 2 2 3 8" xfId="1655" xr:uid="{00000000-0005-0000-0000-0000C1040000}"/>
    <cellStyle name="Comma 2 2 3 9" xfId="1656" xr:uid="{00000000-0005-0000-0000-0000C2040000}"/>
    <cellStyle name="Comma 2 2 30" xfId="1657" xr:uid="{00000000-0005-0000-0000-0000C3040000}"/>
    <cellStyle name="Comma 2 2 31" xfId="1658" xr:uid="{00000000-0005-0000-0000-0000C4040000}"/>
    <cellStyle name="Comma 2 2 32" xfId="1659" xr:uid="{00000000-0005-0000-0000-0000C5040000}"/>
    <cellStyle name="Comma 2 2 33" xfId="1660" xr:uid="{00000000-0005-0000-0000-0000C6040000}"/>
    <cellStyle name="Comma 2 2 34" xfId="1661" xr:uid="{00000000-0005-0000-0000-0000C7040000}"/>
    <cellStyle name="Comma 2 2 35" xfId="1662" xr:uid="{00000000-0005-0000-0000-0000C8040000}"/>
    <cellStyle name="Comma 2 2 36" xfId="1663" xr:uid="{00000000-0005-0000-0000-0000C9040000}"/>
    <cellStyle name="Comma 2 2 37" xfId="1664" xr:uid="{00000000-0005-0000-0000-0000CA040000}"/>
    <cellStyle name="Comma 2 2 38" xfId="1665" xr:uid="{00000000-0005-0000-0000-0000CB040000}"/>
    <cellStyle name="Comma 2 2 39" xfId="1666" xr:uid="{00000000-0005-0000-0000-0000CC040000}"/>
    <cellStyle name="Comma 2 2 4" xfId="333" xr:uid="{00000000-0005-0000-0000-0000CD040000}"/>
    <cellStyle name="Comma 2 2 4 2" xfId="571" xr:uid="{00000000-0005-0000-0000-0000CE040000}"/>
    <cellStyle name="Comma 2 2 4 3" xfId="1667" xr:uid="{00000000-0005-0000-0000-0000CF040000}"/>
    <cellStyle name="Comma 2 2 40" xfId="1668" xr:uid="{00000000-0005-0000-0000-0000D0040000}"/>
    <cellStyle name="Comma 2 2 41" xfId="1669" xr:uid="{00000000-0005-0000-0000-0000D1040000}"/>
    <cellStyle name="Comma 2 2 42" xfId="1670" xr:uid="{00000000-0005-0000-0000-0000D2040000}"/>
    <cellStyle name="Comma 2 2 43" xfId="1671" xr:uid="{00000000-0005-0000-0000-0000D3040000}"/>
    <cellStyle name="Comma 2 2 44" xfId="1672" xr:uid="{00000000-0005-0000-0000-0000D4040000}"/>
    <cellStyle name="Comma 2 2 45" xfId="1673" xr:uid="{00000000-0005-0000-0000-0000D5040000}"/>
    <cellStyle name="Comma 2 2 46" xfId="1674" xr:uid="{00000000-0005-0000-0000-0000D6040000}"/>
    <cellStyle name="Comma 2 2 47" xfId="1675" xr:uid="{00000000-0005-0000-0000-0000D7040000}"/>
    <cellStyle name="Comma 2 2 48" xfId="1676" xr:uid="{00000000-0005-0000-0000-0000D8040000}"/>
    <cellStyle name="Comma 2 2 49" xfId="1677" xr:uid="{00000000-0005-0000-0000-0000D9040000}"/>
    <cellStyle name="Comma 2 2 5" xfId="441" xr:uid="{00000000-0005-0000-0000-0000DA040000}"/>
    <cellStyle name="Comma 2 2 5 2" xfId="1678" xr:uid="{00000000-0005-0000-0000-0000DB040000}"/>
    <cellStyle name="Comma 2 2 50" xfId="1679" xr:uid="{00000000-0005-0000-0000-0000DC040000}"/>
    <cellStyle name="Comma 2 2 51" xfId="1680" xr:uid="{00000000-0005-0000-0000-0000DD040000}"/>
    <cellStyle name="Comma 2 2 52" xfId="1681" xr:uid="{00000000-0005-0000-0000-0000DE040000}"/>
    <cellStyle name="Comma 2 2 53" xfId="1682" xr:uid="{00000000-0005-0000-0000-0000DF040000}"/>
    <cellStyle name="Comma 2 2 54" xfId="1617" xr:uid="{00000000-0005-0000-0000-0000E0040000}"/>
    <cellStyle name="Comma 2 2 55" xfId="4743" xr:uid="{00000000-0005-0000-0000-0000E1040000}"/>
    <cellStyle name="Comma 2 2 6" xfId="1683" xr:uid="{00000000-0005-0000-0000-0000E2040000}"/>
    <cellStyle name="Comma 2 2 7" xfId="1684" xr:uid="{00000000-0005-0000-0000-0000E3040000}"/>
    <cellStyle name="Comma 2 2 8" xfId="1685" xr:uid="{00000000-0005-0000-0000-0000E4040000}"/>
    <cellStyle name="Comma 2 2 9" xfId="1686" xr:uid="{00000000-0005-0000-0000-0000E5040000}"/>
    <cellStyle name="Comma 2 20" xfId="1687" xr:uid="{00000000-0005-0000-0000-0000E6040000}"/>
    <cellStyle name="Comma 2 21" xfId="1688" xr:uid="{00000000-0005-0000-0000-0000E7040000}"/>
    <cellStyle name="Comma 2 22" xfId="1689" xr:uid="{00000000-0005-0000-0000-0000E8040000}"/>
    <cellStyle name="Comma 2 23" xfId="4742" xr:uid="{00000000-0005-0000-0000-0000E9040000}"/>
    <cellStyle name="Comma 2 24" xfId="5247" xr:uid="{00000000-0005-0000-0000-0000EA040000}"/>
    <cellStyle name="Comma 2 3" xfId="395" xr:uid="{00000000-0005-0000-0000-0000EB040000}"/>
    <cellStyle name="Comma 2 3 2" xfId="633" xr:uid="{00000000-0005-0000-0000-0000EC040000}"/>
    <cellStyle name="Comma 2 3 3" xfId="1690" xr:uid="{00000000-0005-0000-0000-0000ED040000}"/>
    <cellStyle name="Comma 2 4" xfId="503" xr:uid="{00000000-0005-0000-0000-0000EE040000}"/>
    <cellStyle name="Comma 2 4 2" xfId="1691" xr:uid="{00000000-0005-0000-0000-0000EF040000}"/>
    <cellStyle name="Comma 2 5" xfId="674" xr:uid="{00000000-0005-0000-0000-0000F0040000}"/>
    <cellStyle name="Comma 2 6" xfId="1692" xr:uid="{00000000-0005-0000-0000-0000F1040000}"/>
    <cellStyle name="Comma 2 7" xfId="1693" xr:uid="{00000000-0005-0000-0000-0000F2040000}"/>
    <cellStyle name="Comma 2 8" xfId="1694" xr:uid="{00000000-0005-0000-0000-0000F3040000}"/>
    <cellStyle name="Comma 2 9" xfId="1695" xr:uid="{00000000-0005-0000-0000-0000F4040000}"/>
    <cellStyle name="Comma 20" xfId="1696" xr:uid="{00000000-0005-0000-0000-0000F5040000}"/>
    <cellStyle name="Comma 20 10" xfId="1697" xr:uid="{00000000-0005-0000-0000-0000F6040000}"/>
    <cellStyle name="Comma 20 11" xfId="1698" xr:uid="{00000000-0005-0000-0000-0000F7040000}"/>
    <cellStyle name="Comma 20 12" xfId="1699" xr:uid="{00000000-0005-0000-0000-0000F8040000}"/>
    <cellStyle name="Comma 20 13" xfId="1700" xr:uid="{00000000-0005-0000-0000-0000F9040000}"/>
    <cellStyle name="Comma 20 14" xfId="1701" xr:uid="{00000000-0005-0000-0000-0000FA040000}"/>
    <cellStyle name="Comma 20 15" xfId="1702" xr:uid="{00000000-0005-0000-0000-0000FB040000}"/>
    <cellStyle name="Comma 20 16" xfId="1703" xr:uid="{00000000-0005-0000-0000-0000FC040000}"/>
    <cellStyle name="Comma 20 17" xfId="1704" xr:uid="{00000000-0005-0000-0000-0000FD040000}"/>
    <cellStyle name="Comma 20 18" xfId="1705" xr:uid="{00000000-0005-0000-0000-0000FE040000}"/>
    <cellStyle name="Comma 20 19" xfId="1706" xr:uid="{00000000-0005-0000-0000-0000FF040000}"/>
    <cellStyle name="Comma 20 2" xfId="1707" xr:uid="{00000000-0005-0000-0000-000000050000}"/>
    <cellStyle name="Comma 20 20" xfId="1708" xr:uid="{00000000-0005-0000-0000-000001050000}"/>
    <cellStyle name="Comma 20 21" xfId="1709" xr:uid="{00000000-0005-0000-0000-000002050000}"/>
    <cellStyle name="Comma 20 22" xfId="1710" xr:uid="{00000000-0005-0000-0000-000003050000}"/>
    <cellStyle name="Comma 20 23" xfId="1711" xr:uid="{00000000-0005-0000-0000-000004050000}"/>
    <cellStyle name="Comma 20 24" xfId="1712" xr:uid="{00000000-0005-0000-0000-000005050000}"/>
    <cellStyle name="Comma 20 25" xfId="1713" xr:uid="{00000000-0005-0000-0000-000006050000}"/>
    <cellStyle name="Comma 20 26" xfId="1714" xr:uid="{00000000-0005-0000-0000-000007050000}"/>
    <cellStyle name="Comma 20 27" xfId="1715" xr:uid="{00000000-0005-0000-0000-000008050000}"/>
    <cellStyle name="Comma 20 28" xfId="1716" xr:uid="{00000000-0005-0000-0000-000009050000}"/>
    <cellStyle name="Comma 20 29" xfId="1717" xr:uid="{00000000-0005-0000-0000-00000A050000}"/>
    <cellStyle name="Comma 20 3" xfId="1718" xr:uid="{00000000-0005-0000-0000-00000B050000}"/>
    <cellStyle name="Comma 20 30" xfId="1719" xr:uid="{00000000-0005-0000-0000-00000C050000}"/>
    <cellStyle name="Comma 20 31" xfId="1720" xr:uid="{00000000-0005-0000-0000-00000D050000}"/>
    <cellStyle name="Comma 20 32" xfId="1721" xr:uid="{00000000-0005-0000-0000-00000E050000}"/>
    <cellStyle name="Comma 20 33" xfId="1722" xr:uid="{00000000-0005-0000-0000-00000F050000}"/>
    <cellStyle name="Comma 20 34" xfId="1723" xr:uid="{00000000-0005-0000-0000-000010050000}"/>
    <cellStyle name="Comma 20 35" xfId="1724" xr:uid="{00000000-0005-0000-0000-000011050000}"/>
    <cellStyle name="Comma 20 36" xfId="1725" xr:uid="{00000000-0005-0000-0000-000012050000}"/>
    <cellStyle name="Comma 20 37" xfId="1726" xr:uid="{00000000-0005-0000-0000-000013050000}"/>
    <cellStyle name="Comma 20 38" xfId="1727" xr:uid="{00000000-0005-0000-0000-000014050000}"/>
    <cellStyle name="Comma 20 39" xfId="1728" xr:uid="{00000000-0005-0000-0000-000015050000}"/>
    <cellStyle name="Comma 20 4" xfId="1729" xr:uid="{00000000-0005-0000-0000-000016050000}"/>
    <cellStyle name="Comma 20 40" xfId="1730" xr:uid="{00000000-0005-0000-0000-000017050000}"/>
    <cellStyle name="Comma 20 41" xfId="1731" xr:uid="{00000000-0005-0000-0000-000018050000}"/>
    <cellStyle name="Comma 20 42" xfId="1732" xr:uid="{00000000-0005-0000-0000-000019050000}"/>
    <cellStyle name="Comma 20 43" xfId="1733" xr:uid="{00000000-0005-0000-0000-00001A050000}"/>
    <cellStyle name="Comma 20 5" xfId="1734" xr:uid="{00000000-0005-0000-0000-00001B050000}"/>
    <cellStyle name="Comma 20 6" xfId="1735" xr:uid="{00000000-0005-0000-0000-00001C050000}"/>
    <cellStyle name="Comma 20 7" xfId="1736" xr:uid="{00000000-0005-0000-0000-00001D050000}"/>
    <cellStyle name="Comma 20 8" xfId="1737" xr:uid="{00000000-0005-0000-0000-00001E050000}"/>
    <cellStyle name="Comma 20 9" xfId="1738" xr:uid="{00000000-0005-0000-0000-00001F050000}"/>
    <cellStyle name="Comma 21" xfId="1739" xr:uid="{00000000-0005-0000-0000-000020050000}"/>
    <cellStyle name="Comma 21 10" xfId="1740" xr:uid="{00000000-0005-0000-0000-000021050000}"/>
    <cellStyle name="Comma 21 11" xfId="1741" xr:uid="{00000000-0005-0000-0000-000022050000}"/>
    <cellStyle name="Comma 21 12" xfId="1742" xr:uid="{00000000-0005-0000-0000-000023050000}"/>
    <cellStyle name="Comma 21 13" xfId="1743" xr:uid="{00000000-0005-0000-0000-000024050000}"/>
    <cellStyle name="Comma 21 14" xfId="1744" xr:uid="{00000000-0005-0000-0000-000025050000}"/>
    <cellStyle name="Comma 21 15" xfId="1745" xr:uid="{00000000-0005-0000-0000-000026050000}"/>
    <cellStyle name="Comma 21 16" xfId="1746" xr:uid="{00000000-0005-0000-0000-000027050000}"/>
    <cellStyle name="Comma 21 17" xfId="1747" xr:uid="{00000000-0005-0000-0000-000028050000}"/>
    <cellStyle name="Comma 21 18" xfId="1748" xr:uid="{00000000-0005-0000-0000-000029050000}"/>
    <cellStyle name="Comma 21 19" xfId="1749" xr:uid="{00000000-0005-0000-0000-00002A050000}"/>
    <cellStyle name="Comma 21 2" xfId="1750" xr:uid="{00000000-0005-0000-0000-00002B050000}"/>
    <cellStyle name="Comma 21 20" xfId="1751" xr:uid="{00000000-0005-0000-0000-00002C050000}"/>
    <cellStyle name="Comma 21 21" xfId="1752" xr:uid="{00000000-0005-0000-0000-00002D050000}"/>
    <cellStyle name="Comma 21 22" xfId="1753" xr:uid="{00000000-0005-0000-0000-00002E050000}"/>
    <cellStyle name="Comma 21 23" xfId="1754" xr:uid="{00000000-0005-0000-0000-00002F050000}"/>
    <cellStyle name="Comma 21 24" xfId="1755" xr:uid="{00000000-0005-0000-0000-000030050000}"/>
    <cellStyle name="Comma 21 25" xfId="1756" xr:uid="{00000000-0005-0000-0000-000031050000}"/>
    <cellStyle name="Comma 21 26" xfId="1757" xr:uid="{00000000-0005-0000-0000-000032050000}"/>
    <cellStyle name="Comma 21 27" xfId="1758" xr:uid="{00000000-0005-0000-0000-000033050000}"/>
    <cellStyle name="Comma 21 28" xfId="1759" xr:uid="{00000000-0005-0000-0000-000034050000}"/>
    <cellStyle name="Comma 21 29" xfId="1760" xr:uid="{00000000-0005-0000-0000-000035050000}"/>
    <cellStyle name="Comma 21 3" xfId="1761" xr:uid="{00000000-0005-0000-0000-000036050000}"/>
    <cellStyle name="Comma 21 30" xfId="1762" xr:uid="{00000000-0005-0000-0000-000037050000}"/>
    <cellStyle name="Comma 21 31" xfId="1763" xr:uid="{00000000-0005-0000-0000-000038050000}"/>
    <cellStyle name="Comma 21 32" xfId="1764" xr:uid="{00000000-0005-0000-0000-000039050000}"/>
    <cellStyle name="Comma 21 33" xfId="1765" xr:uid="{00000000-0005-0000-0000-00003A050000}"/>
    <cellStyle name="Comma 21 34" xfId="1766" xr:uid="{00000000-0005-0000-0000-00003B050000}"/>
    <cellStyle name="Comma 21 35" xfId="1767" xr:uid="{00000000-0005-0000-0000-00003C050000}"/>
    <cellStyle name="Comma 21 36" xfId="1768" xr:uid="{00000000-0005-0000-0000-00003D050000}"/>
    <cellStyle name="Comma 21 37" xfId="1769" xr:uid="{00000000-0005-0000-0000-00003E050000}"/>
    <cellStyle name="Comma 21 38" xfId="1770" xr:uid="{00000000-0005-0000-0000-00003F050000}"/>
    <cellStyle name="Comma 21 39" xfId="1771" xr:uid="{00000000-0005-0000-0000-000040050000}"/>
    <cellStyle name="Comma 21 4" xfId="1772" xr:uid="{00000000-0005-0000-0000-000041050000}"/>
    <cellStyle name="Comma 21 40" xfId="1773" xr:uid="{00000000-0005-0000-0000-000042050000}"/>
    <cellStyle name="Comma 21 41" xfId="1774" xr:uid="{00000000-0005-0000-0000-000043050000}"/>
    <cellStyle name="Comma 21 42" xfId="1775" xr:uid="{00000000-0005-0000-0000-000044050000}"/>
    <cellStyle name="Comma 21 43" xfId="1776" xr:uid="{00000000-0005-0000-0000-000045050000}"/>
    <cellStyle name="Comma 21 5" xfId="1777" xr:uid="{00000000-0005-0000-0000-000046050000}"/>
    <cellStyle name="Comma 21 6" xfId="1778" xr:uid="{00000000-0005-0000-0000-000047050000}"/>
    <cellStyle name="Comma 21 7" xfId="1779" xr:uid="{00000000-0005-0000-0000-000048050000}"/>
    <cellStyle name="Comma 21 8" xfId="1780" xr:uid="{00000000-0005-0000-0000-000049050000}"/>
    <cellStyle name="Comma 21 9" xfId="1781" xr:uid="{00000000-0005-0000-0000-00004A050000}"/>
    <cellStyle name="Comma 22" xfId="1782" xr:uid="{00000000-0005-0000-0000-00004B050000}"/>
    <cellStyle name="Comma 22 10" xfId="1783" xr:uid="{00000000-0005-0000-0000-00004C050000}"/>
    <cellStyle name="Comma 22 11" xfId="1784" xr:uid="{00000000-0005-0000-0000-00004D050000}"/>
    <cellStyle name="Comma 22 12" xfId="1785" xr:uid="{00000000-0005-0000-0000-00004E050000}"/>
    <cellStyle name="Comma 22 13" xfId="1786" xr:uid="{00000000-0005-0000-0000-00004F050000}"/>
    <cellStyle name="Comma 22 14" xfId="1787" xr:uid="{00000000-0005-0000-0000-000050050000}"/>
    <cellStyle name="Comma 22 15" xfId="1788" xr:uid="{00000000-0005-0000-0000-000051050000}"/>
    <cellStyle name="Comma 22 16" xfId="1789" xr:uid="{00000000-0005-0000-0000-000052050000}"/>
    <cellStyle name="Comma 22 17" xfId="1790" xr:uid="{00000000-0005-0000-0000-000053050000}"/>
    <cellStyle name="Comma 22 18" xfId="1791" xr:uid="{00000000-0005-0000-0000-000054050000}"/>
    <cellStyle name="Comma 22 19" xfId="1792" xr:uid="{00000000-0005-0000-0000-000055050000}"/>
    <cellStyle name="Comma 22 2" xfId="1793" xr:uid="{00000000-0005-0000-0000-000056050000}"/>
    <cellStyle name="Comma 22 20" xfId="1794" xr:uid="{00000000-0005-0000-0000-000057050000}"/>
    <cellStyle name="Comma 22 21" xfId="1795" xr:uid="{00000000-0005-0000-0000-000058050000}"/>
    <cellStyle name="Comma 22 22" xfId="1796" xr:uid="{00000000-0005-0000-0000-000059050000}"/>
    <cellStyle name="Comma 22 23" xfId="1797" xr:uid="{00000000-0005-0000-0000-00005A050000}"/>
    <cellStyle name="Comma 22 24" xfId="1798" xr:uid="{00000000-0005-0000-0000-00005B050000}"/>
    <cellStyle name="Comma 22 25" xfId="1799" xr:uid="{00000000-0005-0000-0000-00005C050000}"/>
    <cellStyle name="Comma 22 26" xfId="1800" xr:uid="{00000000-0005-0000-0000-00005D050000}"/>
    <cellStyle name="Comma 22 27" xfId="1801" xr:uid="{00000000-0005-0000-0000-00005E050000}"/>
    <cellStyle name="Comma 22 28" xfId="1802" xr:uid="{00000000-0005-0000-0000-00005F050000}"/>
    <cellStyle name="Comma 22 29" xfId="1803" xr:uid="{00000000-0005-0000-0000-000060050000}"/>
    <cellStyle name="Comma 22 3" xfId="1804" xr:uid="{00000000-0005-0000-0000-000061050000}"/>
    <cellStyle name="Comma 22 30" xfId="1805" xr:uid="{00000000-0005-0000-0000-000062050000}"/>
    <cellStyle name="Comma 22 31" xfId="1806" xr:uid="{00000000-0005-0000-0000-000063050000}"/>
    <cellStyle name="Comma 22 32" xfId="1807" xr:uid="{00000000-0005-0000-0000-000064050000}"/>
    <cellStyle name="Comma 22 33" xfId="1808" xr:uid="{00000000-0005-0000-0000-000065050000}"/>
    <cellStyle name="Comma 22 34" xfId="1809" xr:uid="{00000000-0005-0000-0000-000066050000}"/>
    <cellStyle name="Comma 22 35" xfId="1810" xr:uid="{00000000-0005-0000-0000-000067050000}"/>
    <cellStyle name="Comma 22 36" xfId="1811" xr:uid="{00000000-0005-0000-0000-000068050000}"/>
    <cellStyle name="Comma 22 37" xfId="1812" xr:uid="{00000000-0005-0000-0000-000069050000}"/>
    <cellStyle name="Comma 22 38" xfId="1813" xr:uid="{00000000-0005-0000-0000-00006A050000}"/>
    <cellStyle name="Comma 22 39" xfId="1814" xr:uid="{00000000-0005-0000-0000-00006B050000}"/>
    <cellStyle name="Comma 22 4" xfId="1815" xr:uid="{00000000-0005-0000-0000-00006C050000}"/>
    <cellStyle name="Comma 22 40" xfId="1816" xr:uid="{00000000-0005-0000-0000-00006D050000}"/>
    <cellStyle name="Comma 22 41" xfId="1817" xr:uid="{00000000-0005-0000-0000-00006E050000}"/>
    <cellStyle name="Comma 22 42" xfId="1818" xr:uid="{00000000-0005-0000-0000-00006F050000}"/>
    <cellStyle name="Comma 22 43" xfId="1819" xr:uid="{00000000-0005-0000-0000-000070050000}"/>
    <cellStyle name="Comma 22 5" xfId="1820" xr:uid="{00000000-0005-0000-0000-000071050000}"/>
    <cellStyle name="Comma 22 6" xfId="1821" xr:uid="{00000000-0005-0000-0000-000072050000}"/>
    <cellStyle name="Comma 22 7" xfId="1822" xr:uid="{00000000-0005-0000-0000-000073050000}"/>
    <cellStyle name="Comma 22 8" xfId="1823" xr:uid="{00000000-0005-0000-0000-000074050000}"/>
    <cellStyle name="Comma 22 9" xfId="1824" xr:uid="{00000000-0005-0000-0000-000075050000}"/>
    <cellStyle name="Comma 23" xfId="1825" xr:uid="{00000000-0005-0000-0000-000076050000}"/>
    <cellStyle name="Comma 24" xfId="1826" xr:uid="{00000000-0005-0000-0000-000077050000}"/>
    <cellStyle name="Comma 24 2" xfId="1827" xr:uid="{00000000-0005-0000-0000-000078050000}"/>
    <cellStyle name="Comma 24 2 10" xfId="1828" xr:uid="{00000000-0005-0000-0000-000079050000}"/>
    <cellStyle name="Comma 24 2 11" xfId="1829" xr:uid="{00000000-0005-0000-0000-00007A050000}"/>
    <cellStyle name="Comma 24 2 12" xfId="1830" xr:uid="{00000000-0005-0000-0000-00007B050000}"/>
    <cellStyle name="Comma 24 2 13" xfId="1831" xr:uid="{00000000-0005-0000-0000-00007C050000}"/>
    <cellStyle name="Comma 24 2 14" xfId="1832" xr:uid="{00000000-0005-0000-0000-00007D050000}"/>
    <cellStyle name="Comma 24 2 15" xfId="1833" xr:uid="{00000000-0005-0000-0000-00007E050000}"/>
    <cellStyle name="Comma 24 2 16" xfId="1834" xr:uid="{00000000-0005-0000-0000-00007F050000}"/>
    <cellStyle name="Comma 24 2 17" xfId="1835" xr:uid="{00000000-0005-0000-0000-000080050000}"/>
    <cellStyle name="Comma 24 2 18" xfId="1836" xr:uid="{00000000-0005-0000-0000-000081050000}"/>
    <cellStyle name="Comma 24 2 19" xfId="1837" xr:uid="{00000000-0005-0000-0000-000082050000}"/>
    <cellStyle name="Comma 24 2 2" xfId="1838" xr:uid="{00000000-0005-0000-0000-000083050000}"/>
    <cellStyle name="Comma 24 2 2 10" xfId="1839" xr:uid="{00000000-0005-0000-0000-000084050000}"/>
    <cellStyle name="Comma 24 2 2 11" xfId="1840" xr:uid="{00000000-0005-0000-0000-000085050000}"/>
    <cellStyle name="Comma 24 2 2 12" xfId="1841" xr:uid="{00000000-0005-0000-0000-000086050000}"/>
    <cellStyle name="Comma 24 2 2 13" xfId="1842" xr:uid="{00000000-0005-0000-0000-000087050000}"/>
    <cellStyle name="Comma 24 2 2 14" xfId="1843" xr:uid="{00000000-0005-0000-0000-000088050000}"/>
    <cellStyle name="Comma 24 2 2 2" xfId="1844" xr:uid="{00000000-0005-0000-0000-000089050000}"/>
    <cellStyle name="Comma 24 2 2 3" xfId="1845" xr:uid="{00000000-0005-0000-0000-00008A050000}"/>
    <cellStyle name="Comma 24 2 2 4" xfId="1846" xr:uid="{00000000-0005-0000-0000-00008B050000}"/>
    <cellStyle name="Comma 24 2 2 5" xfId="1847" xr:uid="{00000000-0005-0000-0000-00008C050000}"/>
    <cellStyle name="Comma 24 2 2 6" xfId="1848" xr:uid="{00000000-0005-0000-0000-00008D050000}"/>
    <cellStyle name="Comma 24 2 2 7" xfId="1849" xr:uid="{00000000-0005-0000-0000-00008E050000}"/>
    <cellStyle name="Comma 24 2 2 8" xfId="1850" xr:uid="{00000000-0005-0000-0000-00008F050000}"/>
    <cellStyle name="Comma 24 2 2 9" xfId="1851" xr:uid="{00000000-0005-0000-0000-000090050000}"/>
    <cellStyle name="Comma 24 2 20" xfId="1852" xr:uid="{00000000-0005-0000-0000-000091050000}"/>
    <cellStyle name="Comma 24 2 21" xfId="1853" xr:uid="{00000000-0005-0000-0000-000092050000}"/>
    <cellStyle name="Comma 24 2 22" xfId="1854" xr:uid="{00000000-0005-0000-0000-000093050000}"/>
    <cellStyle name="Comma 24 2 3" xfId="1855" xr:uid="{00000000-0005-0000-0000-000094050000}"/>
    <cellStyle name="Comma 24 2 4" xfId="1856" xr:uid="{00000000-0005-0000-0000-000095050000}"/>
    <cellStyle name="Comma 24 2 5" xfId="1857" xr:uid="{00000000-0005-0000-0000-000096050000}"/>
    <cellStyle name="Comma 24 2 6" xfId="1858" xr:uid="{00000000-0005-0000-0000-000097050000}"/>
    <cellStyle name="Comma 24 2 7" xfId="1859" xr:uid="{00000000-0005-0000-0000-000098050000}"/>
    <cellStyle name="Comma 24 2 8" xfId="1860" xr:uid="{00000000-0005-0000-0000-000099050000}"/>
    <cellStyle name="Comma 24 2 9" xfId="1861" xr:uid="{00000000-0005-0000-0000-00009A050000}"/>
    <cellStyle name="Comma 25" xfId="1862" xr:uid="{00000000-0005-0000-0000-00009B050000}"/>
    <cellStyle name="Comma 26" xfId="1863" xr:uid="{00000000-0005-0000-0000-00009C050000}"/>
    <cellStyle name="Comma 26 10" xfId="1864" xr:uid="{00000000-0005-0000-0000-00009D050000}"/>
    <cellStyle name="Comma 26 11" xfId="1865" xr:uid="{00000000-0005-0000-0000-00009E050000}"/>
    <cellStyle name="Comma 26 12" xfId="1866" xr:uid="{00000000-0005-0000-0000-00009F050000}"/>
    <cellStyle name="Comma 26 13" xfId="1867" xr:uid="{00000000-0005-0000-0000-0000A0050000}"/>
    <cellStyle name="Comma 26 14" xfId="1868" xr:uid="{00000000-0005-0000-0000-0000A1050000}"/>
    <cellStyle name="Comma 26 15" xfId="1869" xr:uid="{00000000-0005-0000-0000-0000A2050000}"/>
    <cellStyle name="Comma 26 16" xfId="1870" xr:uid="{00000000-0005-0000-0000-0000A3050000}"/>
    <cellStyle name="Comma 26 17" xfId="1871" xr:uid="{00000000-0005-0000-0000-0000A4050000}"/>
    <cellStyle name="Comma 26 18" xfId="1872" xr:uid="{00000000-0005-0000-0000-0000A5050000}"/>
    <cellStyle name="Comma 26 19" xfId="1873" xr:uid="{00000000-0005-0000-0000-0000A6050000}"/>
    <cellStyle name="Comma 26 2" xfId="1874" xr:uid="{00000000-0005-0000-0000-0000A7050000}"/>
    <cellStyle name="Comma 26 20" xfId="1875" xr:uid="{00000000-0005-0000-0000-0000A8050000}"/>
    <cellStyle name="Comma 26 21" xfId="1876" xr:uid="{00000000-0005-0000-0000-0000A9050000}"/>
    <cellStyle name="Comma 26 22" xfId="1877" xr:uid="{00000000-0005-0000-0000-0000AA050000}"/>
    <cellStyle name="Comma 26 23" xfId="1878" xr:uid="{00000000-0005-0000-0000-0000AB050000}"/>
    <cellStyle name="Comma 26 24" xfId="1879" xr:uid="{00000000-0005-0000-0000-0000AC050000}"/>
    <cellStyle name="Comma 26 25" xfId="1880" xr:uid="{00000000-0005-0000-0000-0000AD050000}"/>
    <cellStyle name="Comma 26 26" xfId="1881" xr:uid="{00000000-0005-0000-0000-0000AE050000}"/>
    <cellStyle name="Comma 26 27" xfId="1882" xr:uid="{00000000-0005-0000-0000-0000AF050000}"/>
    <cellStyle name="Comma 26 28" xfId="1883" xr:uid="{00000000-0005-0000-0000-0000B0050000}"/>
    <cellStyle name="Comma 26 29" xfId="1884" xr:uid="{00000000-0005-0000-0000-0000B1050000}"/>
    <cellStyle name="Comma 26 3" xfId="1885" xr:uid="{00000000-0005-0000-0000-0000B2050000}"/>
    <cellStyle name="Comma 26 30" xfId="1886" xr:uid="{00000000-0005-0000-0000-0000B3050000}"/>
    <cellStyle name="Comma 26 31" xfId="1887" xr:uid="{00000000-0005-0000-0000-0000B4050000}"/>
    <cellStyle name="Comma 26 32" xfId="1888" xr:uid="{00000000-0005-0000-0000-0000B5050000}"/>
    <cellStyle name="Comma 26 33" xfId="1889" xr:uid="{00000000-0005-0000-0000-0000B6050000}"/>
    <cellStyle name="Comma 26 34" xfId="1890" xr:uid="{00000000-0005-0000-0000-0000B7050000}"/>
    <cellStyle name="Comma 26 35" xfId="1891" xr:uid="{00000000-0005-0000-0000-0000B8050000}"/>
    <cellStyle name="Comma 26 36" xfId="1892" xr:uid="{00000000-0005-0000-0000-0000B9050000}"/>
    <cellStyle name="Comma 26 37" xfId="1893" xr:uid="{00000000-0005-0000-0000-0000BA050000}"/>
    <cellStyle name="Comma 26 38" xfId="1894" xr:uid="{00000000-0005-0000-0000-0000BB050000}"/>
    <cellStyle name="Comma 26 39" xfId="1895" xr:uid="{00000000-0005-0000-0000-0000BC050000}"/>
    <cellStyle name="Comma 26 4" xfId="1896" xr:uid="{00000000-0005-0000-0000-0000BD050000}"/>
    <cellStyle name="Comma 26 40" xfId="1897" xr:uid="{00000000-0005-0000-0000-0000BE050000}"/>
    <cellStyle name="Comma 26 41" xfId="1898" xr:uid="{00000000-0005-0000-0000-0000BF050000}"/>
    <cellStyle name="Comma 26 42" xfId="1899" xr:uid="{00000000-0005-0000-0000-0000C0050000}"/>
    <cellStyle name="Comma 26 43" xfId="1900" xr:uid="{00000000-0005-0000-0000-0000C1050000}"/>
    <cellStyle name="Comma 26 5" xfId="1901" xr:uid="{00000000-0005-0000-0000-0000C2050000}"/>
    <cellStyle name="Comma 26 6" xfId="1902" xr:uid="{00000000-0005-0000-0000-0000C3050000}"/>
    <cellStyle name="Comma 26 7" xfId="1903" xr:uid="{00000000-0005-0000-0000-0000C4050000}"/>
    <cellStyle name="Comma 26 8" xfId="1904" xr:uid="{00000000-0005-0000-0000-0000C5050000}"/>
    <cellStyle name="Comma 26 9" xfId="1905" xr:uid="{00000000-0005-0000-0000-0000C6050000}"/>
    <cellStyle name="Comma 27" xfId="1906" xr:uid="{00000000-0005-0000-0000-0000C7050000}"/>
    <cellStyle name="Comma 28" xfId="1907" xr:uid="{00000000-0005-0000-0000-0000C8050000}"/>
    <cellStyle name="Comma 28 2" xfId="1908" xr:uid="{00000000-0005-0000-0000-0000C9050000}"/>
    <cellStyle name="Comma 29" xfId="1909" xr:uid="{00000000-0005-0000-0000-0000CA050000}"/>
    <cellStyle name="Comma 29 2" xfId="1910" xr:uid="{00000000-0005-0000-0000-0000CB050000}"/>
    <cellStyle name="Comma 3" xfId="327" xr:uid="{00000000-0005-0000-0000-0000CC050000}"/>
    <cellStyle name="Comma 3 10" xfId="1912" xr:uid="{00000000-0005-0000-0000-0000CD050000}"/>
    <cellStyle name="Comma 3 11" xfId="1913" xr:uid="{00000000-0005-0000-0000-0000CE050000}"/>
    <cellStyle name="Comma 3 12" xfId="1914" xr:uid="{00000000-0005-0000-0000-0000CF050000}"/>
    <cellStyle name="Comma 3 13" xfId="1915" xr:uid="{00000000-0005-0000-0000-0000D0050000}"/>
    <cellStyle name="Comma 3 14" xfId="1916" xr:uid="{00000000-0005-0000-0000-0000D1050000}"/>
    <cellStyle name="Comma 3 15" xfId="1917" xr:uid="{00000000-0005-0000-0000-0000D2050000}"/>
    <cellStyle name="Comma 3 16" xfId="1918" xr:uid="{00000000-0005-0000-0000-0000D3050000}"/>
    <cellStyle name="Comma 3 17" xfId="1919" xr:uid="{00000000-0005-0000-0000-0000D4050000}"/>
    <cellStyle name="Comma 3 18" xfId="1920" xr:uid="{00000000-0005-0000-0000-0000D5050000}"/>
    <cellStyle name="Comma 3 19" xfId="1921" xr:uid="{00000000-0005-0000-0000-0000D6050000}"/>
    <cellStyle name="Comma 3 2" xfId="565" xr:uid="{00000000-0005-0000-0000-0000D7050000}"/>
    <cellStyle name="Comma 3 2 10" xfId="1923" xr:uid="{00000000-0005-0000-0000-0000D8050000}"/>
    <cellStyle name="Comma 3 2 11" xfId="1924" xr:uid="{00000000-0005-0000-0000-0000D9050000}"/>
    <cellStyle name="Comma 3 2 12" xfId="1925" xr:uid="{00000000-0005-0000-0000-0000DA050000}"/>
    <cellStyle name="Comma 3 2 13" xfId="1926" xr:uid="{00000000-0005-0000-0000-0000DB050000}"/>
    <cellStyle name="Comma 3 2 14" xfId="1927" xr:uid="{00000000-0005-0000-0000-0000DC050000}"/>
    <cellStyle name="Comma 3 2 15" xfId="1928" xr:uid="{00000000-0005-0000-0000-0000DD050000}"/>
    <cellStyle name="Comma 3 2 16" xfId="1929" xr:uid="{00000000-0005-0000-0000-0000DE050000}"/>
    <cellStyle name="Comma 3 2 17" xfId="1930" xr:uid="{00000000-0005-0000-0000-0000DF050000}"/>
    <cellStyle name="Comma 3 2 18" xfId="1931" xr:uid="{00000000-0005-0000-0000-0000E0050000}"/>
    <cellStyle name="Comma 3 2 19" xfId="1922" xr:uid="{00000000-0005-0000-0000-0000E1050000}"/>
    <cellStyle name="Comma 3 2 2" xfId="1932" xr:uid="{00000000-0005-0000-0000-0000E2050000}"/>
    <cellStyle name="Comma 3 2 3" xfId="1933" xr:uid="{00000000-0005-0000-0000-0000E3050000}"/>
    <cellStyle name="Comma 3 2 4" xfId="1934" xr:uid="{00000000-0005-0000-0000-0000E4050000}"/>
    <cellStyle name="Comma 3 2 5" xfId="1935" xr:uid="{00000000-0005-0000-0000-0000E5050000}"/>
    <cellStyle name="Comma 3 2 6" xfId="1936" xr:uid="{00000000-0005-0000-0000-0000E6050000}"/>
    <cellStyle name="Comma 3 2 7" xfId="1937" xr:uid="{00000000-0005-0000-0000-0000E7050000}"/>
    <cellStyle name="Comma 3 2 8" xfId="1938" xr:uid="{00000000-0005-0000-0000-0000E8050000}"/>
    <cellStyle name="Comma 3 2 9" xfId="1939" xr:uid="{00000000-0005-0000-0000-0000E9050000}"/>
    <cellStyle name="Comma 3 20" xfId="1940" xr:uid="{00000000-0005-0000-0000-0000EA050000}"/>
    <cellStyle name="Comma 3 21" xfId="1941" xr:uid="{00000000-0005-0000-0000-0000EB050000}"/>
    <cellStyle name="Comma 3 22" xfId="1942" xr:uid="{00000000-0005-0000-0000-0000EC050000}"/>
    <cellStyle name="Comma 3 23" xfId="1943" xr:uid="{00000000-0005-0000-0000-0000ED050000}"/>
    <cellStyle name="Comma 3 24" xfId="1944" xr:uid="{00000000-0005-0000-0000-0000EE050000}"/>
    <cellStyle name="Comma 3 25" xfId="1945" xr:uid="{00000000-0005-0000-0000-0000EF050000}"/>
    <cellStyle name="Comma 3 26" xfId="1946" xr:uid="{00000000-0005-0000-0000-0000F0050000}"/>
    <cellStyle name="Comma 3 27" xfId="1947" xr:uid="{00000000-0005-0000-0000-0000F1050000}"/>
    <cellStyle name="Comma 3 28" xfId="1948" xr:uid="{00000000-0005-0000-0000-0000F2050000}"/>
    <cellStyle name="Comma 3 29" xfId="1949" xr:uid="{00000000-0005-0000-0000-0000F3050000}"/>
    <cellStyle name="Comma 3 3" xfId="1950" xr:uid="{00000000-0005-0000-0000-0000F4050000}"/>
    <cellStyle name="Comma 3 30" xfId="1951" xr:uid="{00000000-0005-0000-0000-0000F5050000}"/>
    <cellStyle name="Comma 3 31" xfId="1952" xr:uid="{00000000-0005-0000-0000-0000F6050000}"/>
    <cellStyle name="Comma 3 32" xfId="1953" xr:uid="{00000000-0005-0000-0000-0000F7050000}"/>
    <cellStyle name="Comma 3 33" xfId="1954" xr:uid="{00000000-0005-0000-0000-0000F8050000}"/>
    <cellStyle name="Comma 3 34" xfId="1955" xr:uid="{00000000-0005-0000-0000-0000F9050000}"/>
    <cellStyle name="Comma 3 35" xfId="1956" xr:uid="{00000000-0005-0000-0000-0000FA050000}"/>
    <cellStyle name="Comma 3 36" xfId="1957" xr:uid="{00000000-0005-0000-0000-0000FB050000}"/>
    <cellStyle name="Comma 3 37" xfId="1958" xr:uid="{00000000-0005-0000-0000-0000FC050000}"/>
    <cellStyle name="Comma 3 38" xfId="1959" xr:uid="{00000000-0005-0000-0000-0000FD050000}"/>
    <cellStyle name="Comma 3 39" xfId="1960" xr:uid="{00000000-0005-0000-0000-0000FE050000}"/>
    <cellStyle name="Comma 3 4" xfId="1961" xr:uid="{00000000-0005-0000-0000-0000FF050000}"/>
    <cellStyle name="Comma 3 40" xfId="1962" xr:uid="{00000000-0005-0000-0000-000000060000}"/>
    <cellStyle name="Comma 3 41" xfId="1963" xr:uid="{00000000-0005-0000-0000-000001060000}"/>
    <cellStyle name="Comma 3 42" xfId="1964" xr:uid="{00000000-0005-0000-0000-000002060000}"/>
    <cellStyle name="Comma 3 43" xfId="1965" xr:uid="{00000000-0005-0000-0000-000003060000}"/>
    <cellStyle name="Comma 3 44" xfId="1966" xr:uid="{00000000-0005-0000-0000-000004060000}"/>
    <cellStyle name="Comma 3 45" xfId="1967" xr:uid="{00000000-0005-0000-0000-000005060000}"/>
    <cellStyle name="Comma 3 46" xfId="1968" xr:uid="{00000000-0005-0000-0000-000006060000}"/>
    <cellStyle name="Comma 3 47" xfId="1969" xr:uid="{00000000-0005-0000-0000-000007060000}"/>
    <cellStyle name="Comma 3 48" xfId="1970" xr:uid="{00000000-0005-0000-0000-000008060000}"/>
    <cellStyle name="Comma 3 49" xfId="1971" xr:uid="{00000000-0005-0000-0000-000009060000}"/>
    <cellStyle name="Comma 3 5" xfId="1972" xr:uid="{00000000-0005-0000-0000-00000A060000}"/>
    <cellStyle name="Comma 3 50" xfId="1973" xr:uid="{00000000-0005-0000-0000-00000B060000}"/>
    <cellStyle name="Comma 3 51" xfId="1974" xr:uid="{00000000-0005-0000-0000-00000C060000}"/>
    <cellStyle name="Comma 3 52" xfId="1975" xr:uid="{00000000-0005-0000-0000-00000D060000}"/>
    <cellStyle name="Comma 3 53" xfId="1976" xr:uid="{00000000-0005-0000-0000-00000E060000}"/>
    <cellStyle name="Comma 3 54" xfId="1911" xr:uid="{00000000-0005-0000-0000-00000F060000}"/>
    <cellStyle name="Comma 3 55" xfId="5250" xr:uid="{00000000-0005-0000-0000-000010060000}"/>
    <cellStyle name="Comma 3 6" xfId="1977" xr:uid="{00000000-0005-0000-0000-000011060000}"/>
    <cellStyle name="Comma 3 7" xfId="1978" xr:uid="{00000000-0005-0000-0000-000012060000}"/>
    <cellStyle name="Comma 3 8" xfId="1979" xr:uid="{00000000-0005-0000-0000-000013060000}"/>
    <cellStyle name="Comma 3 9" xfId="1980" xr:uid="{00000000-0005-0000-0000-000014060000}"/>
    <cellStyle name="Comma 30" xfId="1981" xr:uid="{00000000-0005-0000-0000-000015060000}"/>
    <cellStyle name="Comma 30 2" xfId="1982" xr:uid="{00000000-0005-0000-0000-000016060000}"/>
    <cellStyle name="Comma 31" xfId="1983" xr:uid="{00000000-0005-0000-0000-000017060000}"/>
    <cellStyle name="Comma 31 2" xfId="1984" xr:uid="{00000000-0005-0000-0000-000018060000}"/>
    <cellStyle name="Comma 32" xfId="1985" xr:uid="{00000000-0005-0000-0000-000019060000}"/>
    <cellStyle name="Comma 32 2" xfId="1986" xr:uid="{00000000-0005-0000-0000-00001A060000}"/>
    <cellStyle name="Comma 33" xfId="1987" xr:uid="{00000000-0005-0000-0000-00001B060000}"/>
    <cellStyle name="Comma 33 2" xfId="1988" xr:uid="{00000000-0005-0000-0000-00001C060000}"/>
    <cellStyle name="Comma 34" xfId="1989" xr:uid="{00000000-0005-0000-0000-00001D060000}"/>
    <cellStyle name="Comma 34 2" xfId="1990" xr:uid="{00000000-0005-0000-0000-00001E060000}"/>
    <cellStyle name="Comma 35" xfId="1991" xr:uid="{00000000-0005-0000-0000-00001F060000}"/>
    <cellStyle name="Comma 36" xfId="1992" xr:uid="{00000000-0005-0000-0000-000020060000}"/>
    <cellStyle name="Comma 37" xfId="1993" xr:uid="{00000000-0005-0000-0000-000021060000}"/>
    <cellStyle name="Comma 38" xfId="1994" xr:uid="{00000000-0005-0000-0000-000022060000}"/>
    <cellStyle name="Comma 39" xfId="1995" xr:uid="{00000000-0005-0000-0000-000023060000}"/>
    <cellStyle name="Comma 4" xfId="435" xr:uid="{00000000-0005-0000-0000-000024060000}"/>
    <cellStyle name="Comma 4 10" xfId="1997" xr:uid="{00000000-0005-0000-0000-000025060000}"/>
    <cellStyle name="Comma 4 11" xfId="1998" xr:uid="{00000000-0005-0000-0000-000026060000}"/>
    <cellStyle name="Comma 4 12" xfId="1999" xr:uid="{00000000-0005-0000-0000-000027060000}"/>
    <cellStyle name="Comma 4 13" xfId="2000" xr:uid="{00000000-0005-0000-0000-000028060000}"/>
    <cellStyle name="Comma 4 14" xfId="2001" xr:uid="{00000000-0005-0000-0000-000029060000}"/>
    <cellStyle name="Comma 4 15" xfId="2002" xr:uid="{00000000-0005-0000-0000-00002A060000}"/>
    <cellStyle name="Comma 4 16" xfId="2003" xr:uid="{00000000-0005-0000-0000-00002B060000}"/>
    <cellStyle name="Comma 4 17" xfId="2004" xr:uid="{00000000-0005-0000-0000-00002C060000}"/>
    <cellStyle name="Comma 4 18" xfId="2005" xr:uid="{00000000-0005-0000-0000-00002D060000}"/>
    <cellStyle name="Comma 4 19" xfId="2006" xr:uid="{00000000-0005-0000-0000-00002E060000}"/>
    <cellStyle name="Comma 4 2" xfId="2007" xr:uid="{00000000-0005-0000-0000-00002F060000}"/>
    <cellStyle name="Comma 4 2 10" xfId="2008" xr:uid="{00000000-0005-0000-0000-000030060000}"/>
    <cellStyle name="Comma 4 2 11" xfId="2009" xr:uid="{00000000-0005-0000-0000-000031060000}"/>
    <cellStyle name="Comma 4 2 12" xfId="2010" xr:uid="{00000000-0005-0000-0000-000032060000}"/>
    <cellStyle name="Comma 4 2 13" xfId="2011" xr:uid="{00000000-0005-0000-0000-000033060000}"/>
    <cellStyle name="Comma 4 2 14" xfId="2012" xr:uid="{00000000-0005-0000-0000-000034060000}"/>
    <cellStyle name="Comma 4 2 15" xfId="2013" xr:uid="{00000000-0005-0000-0000-000035060000}"/>
    <cellStyle name="Comma 4 2 16" xfId="2014" xr:uid="{00000000-0005-0000-0000-000036060000}"/>
    <cellStyle name="Comma 4 2 17" xfId="2015" xr:uid="{00000000-0005-0000-0000-000037060000}"/>
    <cellStyle name="Comma 4 2 18" xfId="2016" xr:uid="{00000000-0005-0000-0000-000038060000}"/>
    <cellStyle name="Comma 4 2 2" xfId="2017" xr:uid="{00000000-0005-0000-0000-000039060000}"/>
    <cellStyle name="Comma 4 2 3" xfId="2018" xr:uid="{00000000-0005-0000-0000-00003A060000}"/>
    <cellStyle name="Comma 4 2 4" xfId="2019" xr:uid="{00000000-0005-0000-0000-00003B060000}"/>
    <cellStyle name="Comma 4 2 5" xfId="2020" xr:uid="{00000000-0005-0000-0000-00003C060000}"/>
    <cellStyle name="Comma 4 2 6" xfId="2021" xr:uid="{00000000-0005-0000-0000-00003D060000}"/>
    <cellStyle name="Comma 4 2 7" xfId="2022" xr:uid="{00000000-0005-0000-0000-00003E060000}"/>
    <cellStyle name="Comma 4 2 8" xfId="2023" xr:uid="{00000000-0005-0000-0000-00003F060000}"/>
    <cellStyle name="Comma 4 2 9" xfId="2024" xr:uid="{00000000-0005-0000-0000-000040060000}"/>
    <cellStyle name="Comma 4 20" xfId="2025" xr:uid="{00000000-0005-0000-0000-000041060000}"/>
    <cellStyle name="Comma 4 21" xfId="2026" xr:uid="{00000000-0005-0000-0000-000042060000}"/>
    <cellStyle name="Comma 4 22" xfId="2027" xr:uid="{00000000-0005-0000-0000-000043060000}"/>
    <cellStyle name="Comma 4 23" xfId="2028" xr:uid="{00000000-0005-0000-0000-000044060000}"/>
    <cellStyle name="Comma 4 24" xfId="2029" xr:uid="{00000000-0005-0000-0000-000045060000}"/>
    <cellStyle name="Comma 4 25" xfId="2030" xr:uid="{00000000-0005-0000-0000-000046060000}"/>
    <cellStyle name="Comma 4 26" xfId="2031" xr:uid="{00000000-0005-0000-0000-000047060000}"/>
    <cellStyle name="Comma 4 27" xfId="2032" xr:uid="{00000000-0005-0000-0000-000048060000}"/>
    <cellStyle name="Comma 4 28" xfId="2033" xr:uid="{00000000-0005-0000-0000-000049060000}"/>
    <cellStyle name="Comma 4 29" xfId="2034" xr:uid="{00000000-0005-0000-0000-00004A060000}"/>
    <cellStyle name="Comma 4 3" xfId="2035" xr:uid="{00000000-0005-0000-0000-00004B060000}"/>
    <cellStyle name="Comma 4 30" xfId="2036" xr:uid="{00000000-0005-0000-0000-00004C060000}"/>
    <cellStyle name="Comma 4 31" xfId="2037" xr:uid="{00000000-0005-0000-0000-00004D060000}"/>
    <cellStyle name="Comma 4 32" xfId="2038" xr:uid="{00000000-0005-0000-0000-00004E060000}"/>
    <cellStyle name="Comma 4 33" xfId="2039" xr:uid="{00000000-0005-0000-0000-00004F060000}"/>
    <cellStyle name="Comma 4 34" xfId="2040" xr:uid="{00000000-0005-0000-0000-000050060000}"/>
    <cellStyle name="Comma 4 35" xfId="2041" xr:uid="{00000000-0005-0000-0000-000051060000}"/>
    <cellStyle name="Comma 4 36" xfId="2042" xr:uid="{00000000-0005-0000-0000-000052060000}"/>
    <cellStyle name="Comma 4 37" xfId="2043" xr:uid="{00000000-0005-0000-0000-000053060000}"/>
    <cellStyle name="Comma 4 38" xfId="2044" xr:uid="{00000000-0005-0000-0000-000054060000}"/>
    <cellStyle name="Comma 4 39" xfId="2045" xr:uid="{00000000-0005-0000-0000-000055060000}"/>
    <cellStyle name="Comma 4 4" xfId="2046" xr:uid="{00000000-0005-0000-0000-000056060000}"/>
    <cellStyle name="Comma 4 40" xfId="2047" xr:uid="{00000000-0005-0000-0000-000057060000}"/>
    <cellStyle name="Comma 4 41" xfId="2048" xr:uid="{00000000-0005-0000-0000-000058060000}"/>
    <cellStyle name="Comma 4 42" xfId="2049" xr:uid="{00000000-0005-0000-0000-000059060000}"/>
    <cellStyle name="Comma 4 43" xfId="2050" xr:uid="{00000000-0005-0000-0000-00005A060000}"/>
    <cellStyle name="Comma 4 44" xfId="2051" xr:uid="{00000000-0005-0000-0000-00005B060000}"/>
    <cellStyle name="Comma 4 45" xfId="2052" xr:uid="{00000000-0005-0000-0000-00005C060000}"/>
    <cellStyle name="Comma 4 46" xfId="2053" xr:uid="{00000000-0005-0000-0000-00005D060000}"/>
    <cellStyle name="Comma 4 47" xfId="2054" xr:uid="{00000000-0005-0000-0000-00005E060000}"/>
    <cellStyle name="Comma 4 48" xfId="2055" xr:uid="{00000000-0005-0000-0000-00005F060000}"/>
    <cellStyle name="Comma 4 49" xfId="2056" xr:uid="{00000000-0005-0000-0000-000060060000}"/>
    <cellStyle name="Comma 4 5" xfId="2057" xr:uid="{00000000-0005-0000-0000-000061060000}"/>
    <cellStyle name="Comma 4 50" xfId="2058" xr:uid="{00000000-0005-0000-0000-000062060000}"/>
    <cellStyle name="Comma 4 51" xfId="2059" xr:uid="{00000000-0005-0000-0000-000063060000}"/>
    <cellStyle name="Comma 4 52" xfId="2060" xr:uid="{00000000-0005-0000-0000-000064060000}"/>
    <cellStyle name="Comma 4 53" xfId="2061" xr:uid="{00000000-0005-0000-0000-000065060000}"/>
    <cellStyle name="Comma 4 54" xfId="1996" xr:uid="{00000000-0005-0000-0000-000066060000}"/>
    <cellStyle name="Comma 4 55" xfId="5253" xr:uid="{00000000-0005-0000-0000-000067060000}"/>
    <cellStyle name="Comma 4 6" xfId="2062" xr:uid="{00000000-0005-0000-0000-000068060000}"/>
    <cellStyle name="Comma 4 7" xfId="2063" xr:uid="{00000000-0005-0000-0000-000069060000}"/>
    <cellStyle name="Comma 4 8" xfId="2064" xr:uid="{00000000-0005-0000-0000-00006A060000}"/>
    <cellStyle name="Comma 4 9" xfId="2065" xr:uid="{00000000-0005-0000-0000-00006B060000}"/>
    <cellStyle name="Comma 40" xfId="2066" xr:uid="{00000000-0005-0000-0000-00006C060000}"/>
    <cellStyle name="Comma 41" xfId="2067" xr:uid="{00000000-0005-0000-0000-00006D060000}"/>
    <cellStyle name="Comma 41 10" xfId="2068" xr:uid="{00000000-0005-0000-0000-00006E060000}"/>
    <cellStyle name="Comma 41 11" xfId="2069" xr:uid="{00000000-0005-0000-0000-00006F060000}"/>
    <cellStyle name="Comma 41 12" xfId="2070" xr:uid="{00000000-0005-0000-0000-000070060000}"/>
    <cellStyle name="Comma 41 13" xfId="2071" xr:uid="{00000000-0005-0000-0000-000071060000}"/>
    <cellStyle name="Comma 41 14" xfId="2072" xr:uid="{00000000-0005-0000-0000-000072060000}"/>
    <cellStyle name="Comma 41 15" xfId="2073" xr:uid="{00000000-0005-0000-0000-000073060000}"/>
    <cellStyle name="Comma 41 16" xfId="2074" xr:uid="{00000000-0005-0000-0000-000074060000}"/>
    <cellStyle name="Comma 41 17" xfId="2075" xr:uid="{00000000-0005-0000-0000-000075060000}"/>
    <cellStyle name="Comma 41 18" xfId="2076" xr:uid="{00000000-0005-0000-0000-000076060000}"/>
    <cellStyle name="Comma 41 19" xfId="2077" xr:uid="{00000000-0005-0000-0000-000077060000}"/>
    <cellStyle name="Comma 41 2" xfId="2078" xr:uid="{00000000-0005-0000-0000-000078060000}"/>
    <cellStyle name="Comma 41 2 10" xfId="2079" xr:uid="{00000000-0005-0000-0000-000079060000}"/>
    <cellStyle name="Comma 41 2 11" xfId="2080" xr:uid="{00000000-0005-0000-0000-00007A060000}"/>
    <cellStyle name="Comma 41 2 12" xfId="2081" xr:uid="{00000000-0005-0000-0000-00007B060000}"/>
    <cellStyle name="Comma 41 2 13" xfId="2082" xr:uid="{00000000-0005-0000-0000-00007C060000}"/>
    <cellStyle name="Comma 41 2 14" xfId="2083" xr:uid="{00000000-0005-0000-0000-00007D060000}"/>
    <cellStyle name="Comma 41 2 2" xfId="2084" xr:uid="{00000000-0005-0000-0000-00007E060000}"/>
    <cellStyle name="Comma 41 2 3" xfId="2085" xr:uid="{00000000-0005-0000-0000-00007F060000}"/>
    <cellStyle name="Comma 41 2 4" xfId="2086" xr:uid="{00000000-0005-0000-0000-000080060000}"/>
    <cellStyle name="Comma 41 2 5" xfId="2087" xr:uid="{00000000-0005-0000-0000-000081060000}"/>
    <cellStyle name="Comma 41 2 6" xfId="2088" xr:uid="{00000000-0005-0000-0000-000082060000}"/>
    <cellStyle name="Comma 41 2 7" xfId="2089" xr:uid="{00000000-0005-0000-0000-000083060000}"/>
    <cellStyle name="Comma 41 2 8" xfId="2090" xr:uid="{00000000-0005-0000-0000-000084060000}"/>
    <cellStyle name="Comma 41 2 9" xfId="2091" xr:uid="{00000000-0005-0000-0000-000085060000}"/>
    <cellStyle name="Comma 41 20" xfId="2092" xr:uid="{00000000-0005-0000-0000-000086060000}"/>
    <cellStyle name="Comma 41 21" xfId="2093" xr:uid="{00000000-0005-0000-0000-000087060000}"/>
    <cellStyle name="Comma 41 22" xfId="2094" xr:uid="{00000000-0005-0000-0000-000088060000}"/>
    <cellStyle name="Comma 41 3" xfId="2095" xr:uid="{00000000-0005-0000-0000-000089060000}"/>
    <cellStyle name="Comma 41 4" xfId="2096" xr:uid="{00000000-0005-0000-0000-00008A060000}"/>
    <cellStyle name="Comma 41 5" xfId="2097" xr:uid="{00000000-0005-0000-0000-00008B060000}"/>
    <cellStyle name="Comma 41 6" xfId="2098" xr:uid="{00000000-0005-0000-0000-00008C060000}"/>
    <cellStyle name="Comma 41 7" xfId="2099" xr:uid="{00000000-0005-0000-0000-00008D060000}"/>
    <cellStyle name="Comma 41 8" xfId="2100" xr:uid="{00000000-0005-0000-0000-00008E060000}"/>
    <cellStyle name="Comma 41 9" xfId="2101" xr:uid="{00000000-0005-0000-0000-00008F060000}"/>
    <cellStyle name="Comma 42" xfId="2102" xr:uid="{00000000-0005-0000-0000-000090060000}"/>
    <cellStyle name="Comma 43" xfId="2103" xr:uid="{00000000-0005-0000-0000-000091060000}"/>
    <cellStyle name="Comma 44" xfId="2104" xr:uid="{00000000-0005-0000-0000-000092060000}"/>
    <cellStyle name="Comma 44 10" xfId="2105" xr:uid="{00000000-0005-0000-0000-000093060000}"/>
    <cellStyle name="Comma 44 11" xfId="2106" xr:uid="{00000000-0005-0000-0000-000094060000}"/>
    <cellStyle name="Comma 44 12" xfId="2107" xr:uid="{00000000-0005-0000-0000-000095060000}"/>
    <cellStyle name="Comma 44 13" xfId="2108" xr:uid="{00000000-0005-0000-0000-000096060000}"/>
    <cellStyle name="Comma 44 14" xfId="2109" xr:uid="{00000000-0005-0000-0000-000097060000}"/>
    <cellStyle name="Comma 44 15" xfId="2110" xr:uid="{00000000-0005-0000-0000-000098060000}"/>
    <cellStyle name="Comma 44 16" xfId="2111" xr:uid="{00000000-0005-0000-0000-000099060000}"/>
    <cellStyle name="Comma 44 17" xfId="2112" xr:uid="{00000000-0005-0000-0000-00009A060000}"/>
    <cellStyle name="Comma 44 18" xfId="2113" xr:uid="{00000000-0005-0000-0000-00009B060000}"/>
    <cellStyle name="Comma 44 19" xfId="2114" xr:uid="{00000000-0005-0000-0000-00009C060000}"/>
    <cellStyle name="Comma 44 2" xfId="2115" xr:uid="{00000000-0005-0000-0000-00009D060000}"/>
    <cellStyle name="Comma 44 20" xfId="2116" xr:uid="{00000000-0005-0000-0000-00009E060000}"/>
    <cellStyle name="Comma 44 21" xfId="2117" xr:uid="{00000000-0005-0000-0000-00009F060000}"/>
    <cellStyle name="Comma 44 22" xfId="2118" xr:uid="{00000000-0005-0000-0000-0000A0060000}"/>
    <cellStyle name="Comma 44 3" xfId="2119" xr:uid="{00000000-0005-0000-0000-0000A1060000}"/>
    <cellStyle name="Comma 44 4" xfId="2120" xr:uid="{00000000-0005-0000-0000-0000A2060000}"/>
    <cellStyle name="Comma 44 5" xfId="2121" xr:uid="{00000000-0005-0000-0000-0000A3060000}"/>
    <cellStyle name="Comma 44 6" xfId="2122" xr:uid="{00000000-0005-0000-0000-0000A4060000}"/>
    <cellStyle name="Comma 44 7" xfId="2123" xr:uid="{00000000-0005-0000-0000-0000A5060000}"/>
    <cellStyle name="Comma 44 8" xfId="2124" xr:uid="{00000000-0005-0000-0000-0000A6060000}"/>
    <cellStyle name="Comma 44 9" xfId="2125" xr:uid="{00000000-0005-0000-0000-0000A7060000}"/>
    <cellStyle name="Comma 45" xfId="2126" xr:uid="{00000000-0005-0000-0000-0000A8060000}"/>
    <cellStyle name="Comma 46" xfId="2127" xr:uid="{00000000-0005-0000-0000-0000A9060000}"/>
    <cellStyle name="Comma 47" xfId="2128" xr:uid="{00000000-0005-0000-0000-0000AA060000}"/>
    <cellStyle name="Comma 48" xfId="2129" xr:uid="{00000000-0005-0000-0000-0000AB060000}"/>
    <cellStyle name="Comma 49" xfId="2130" xr:uid="{00000000-0005-0000-0000-0000AC060000}"/>
    <cellStyle name="Comma 5" xfId="158" xr:uid="{00000000-0005-0000-0000-0000AD060000}"/>
    <cellStyle name="Comma 5 10" xfId="2132" xr:uid="{00000000-0005-0000-0000-0000AE060000}"/>
    <cellStyle name="Comma 5 11" xfId="2133" xr:uid="{00000000-0005-0000-0000-0000AF060000}"/>
    <cellStyle name="Comma 5 12" xfId="2134" xr:uid="{00000000-0005-0000-0000-0000B0060000}"/>
    <cellStyle name="Comma 5 13" xfId="2135" xr:uid="{00000000-0005-0000-0000-0000B1060000}"/>
    <cellStyle name="Comma 5 14" xfId="2136" xr:uid="{00000000-0005-0000-0000-0000B2060000}"/>
    <cellStyle name="Comma 5 15" xfId="2137" xr:uid="{00000000-0005-0000-0000-0000B3060000}"/>
    <cellStyle name="Comma 5 16" xfId="2138" xr:uid="{00000000-0005-0000-0000-0000B4060000}"/>
    <cellStyle name="Comma 5 17" xfId="2139" xr:uid="{00000000-0005-0000-0000-0000B5060000}"/>
    <cellStyle name="Comma 5 18" xfId="2140" xr:uid="{00000000-0005-0000-0000-0000B6060000}"/>
    <cellStyle name="Comma 5 19" xfId="2141" xr:uid="{00000000-0005-0000-0000-0000B7060000}"/>
    <cellStyle name="Comma 5 2" xfId="2142" xr:uid="{00000000-0005-0000-0000-0000B8060000}"/>
    <cellStyle name="Comma 5 20" xfId="2143" xr:uid="{00000000-0005-0000-0000-0000B9060000}"/>
    <cellStyle name="Comma 5 21" xfId="2144" xr:uid="{00000000-0005-0000-0000-0000BA060000}"/>
    <cellStyle name="Comma 5 22" xfId="2145" xr:uid="{00000000-0005-0000-0000-0000BB060000}"/>
    <cellStyle name="Comma 5 23" xfId="2146" xr:uid="{00000000-0005-0000-0000-0000BC060000}"/>
    <cellStyle name="Comma 5 24" xfId="2147" xr:uid="{00000000-0005-0000-0000-0000BD060000}"/>
    <cellStyle name="Comma 5 25" xfId="2148" xr:uid="{00000000-0005-0000-0000-0000BE060000}"/>
    <cellStyle name="Comma 5 26" xfId="2149" xr:uid="{00000000-0005-0000-0000-0000BF060000}"/>
    <cellStyle name="Comma 5 27" xfId="2150" xr:uid="{00000000-0005-0000-0000-0000C0060000}"/>
    <cellStyle name="Comma 5 28" xfId="2151" xr:uid="{00000000-0005-0000-0000-0000C1060000}"/>
    <cellStyle name="Comma 5 29" xfId="2152" xr:uid="{00000000-0005-0000-0000-0000C2060000}"/>
    <cellStyle name="Comma 5 3" xfId="2153" xr:uid="{00000000-0005-0000-0000-0000C3060000}"/>
    <cellStyle name="Comma 5 30" xfId="2154" xr:uid="{00000000-0005-0000-0000-0000C4060000}"/>
    <cellStyle name="Comma 5 31" xfId="2155" xr:uid="{00000000-0005-0000-0000-0000C5060000}"/>
    <cellStyle name="Comma 5 32" xfId="2156" xr:uid="{00000000-0005-0000-0000-0000C6060000}"/>
    <cellStyle name="Comma 5 33" xfId="2157" xr:uid="{00000000-0005-0000-0000-0000C7060000}"/>
    <cellStyle name="Comma 5 34" xfId="2158" xr:uid="{00000000-0005-0000-0000-0000C8060000}"/>
    <cellStyle name="Comma 5 35" xfId="2159" xr:uid="{00000000-0005-0000-0000-0000C9060000}"/>
    <cellStyle name="Comma 5 36" xfId="2160" xr:uid="{00000000-0005-0000-0000-0000CA060000}"/>
    <cellStyle name="Comma 5 37" xfId="2161" xr:uid="{00000000-0005-0000-0000-0000CB060000}"/>
    <cellStyle name="Comma 5 38" xfId="2131" xr:uid="{00000000-0005-0000-0000-0000CC060000}"/>
    <cellStyle name="Comma 5 4" xfId="2162" xr:uid="{00000000-0005-0000-0000-0000CD060000}"/>
    <cellStyle name="Comma 5 5" xfId="2163" xr:uid="{00000000-0005-0000-0000-0000CE060000}"/>
    <cellStyle name="Comma 5 6" xfId="2164" xr:uid="{00000000-0005-0000-0000-0000CF060000}"/>
    <cellStyle name="Comma 5 7" xfId="2165" xr:uid="{00000000-0005-0000-0000-0000D0060000}"/>
    <cellStyle name="Comma 5 8" xfId="2166" xr:uid="{00000000-0005-0000-0000-0000D1060000}"/>
    <cellStyle name="Comma 5 9" xfId="2167" xr:uid="{00000000-0005-0000-0000-0000D2060000}"/>
    <cellStyle name="Comma 50" xfId="2168" xr:uid="{00000000-0005-0000-0000-0000D3060000}"/>
    <cellStyle name="Comma 51" xfId="2169" xr:uid="{00000000-0005-0000-0000-0000D4060000}"/>
    <cellStyle name="Comma 52" xfId="2170" xr:uid="{00000000-0005-0000-0000-0000D5060000}"/>
    <cellStyle name="Comma 53" xfId="2171" xr:uid="{00000000-0005-0000-0000-0000D6060000}"/>
    <cellStyle name="Comma 54" xfId="2172" xr:uid="{00000000-0005-0000-0000-0000D7060000}"/>
    <cellStyle name="Comma 55" xfId="2173" xr:uid="{00000000-0005-0000-0000-0000D8060000}"/>
    <cellStyle name="Comma 56" xfId="2174" xr:uid="{00000000-0005-0000-0000-0000D9060000}"/>
    <cellStyle name="Comma 57" xfId="2175" xr:uid="{00000000-0005-0000-0000-0000DA060000}"/>
    <cellStyle name="Comma 58" xfId="2176" xr:uid="{00000000-0005-0000-0000-0000DB060000}"/>
    <cellStyle name="Comma 59" xfId="2177" xr:uid="{00000000-0005-0000-0000-0000DC060000}"/>
    <cellStyle name="Comma 6" xfId="686" xr:uid="{00000000-0005-0000-0000-0000DD060000}"/>
    <cellStyle name="Comma 6 10" xfId="2179" xr:uid="{00000000-0005-0000-0000-0000DE060000}"/>
    <cellStyle name="Comma 6 10 10" xfId="2180" xr:uid="{00000000-0005-0000-0000-0000DF060000}"/>
    <cellStyle name="Comma 6 10 11" xfId="2181" xr:uid="{00000000-0005-0000-0000-0000E0060000}"/>
    <cellStyle name="Comma 6 10 12" xfId="2182" xr:uid="{00000000-0005-0000-0000-0000E1060000}"/>
    <cellStyle name="Comma 6 10 13" xfId="2183" xr:uid="{00000000-0005-0000-0000-0000E2060000}"/>
    <cellStyle name="Comma 6 10 14" xfId="2184" xr:uid="{00000000-0005-0000-0000-0000E3060000}"/>
    <cellStyle name="Comma 6 10 15" xfId="2185" xr:uid="{00000000-0005-0000-0000-0000E4060000}"/>
    <cellStyle name="Comma 6 10 16" xfId="2186" xr:uid="{00000000-0005-0000-0000-0000E5060000}"/>
    <cellStyle name="Comma 6 10 17" xfId="2187" xr:uid="{00000000-0005-0000-0000-0000E6060000}"/>
    <cellStyle name="Comma 6 10 18" xfId="2188" xr:uid="{00000000-0005-0000-0000-0000E7060000}"/>
    <cellStyle name="Comma 6 10 19" xfId="2189" xr:uid="{00000000-0005-0000-0000-0000E8060000}"/>
    <cellStyle name="Comma 6 10 2" xfId="2190" xr:uid="{00000000-0005-0000-0000-0000E9060000}"/>
    <cellStyle name="Comma 6 10 2 2" xfId="2191" xr:uid="{00000000-0005-0000-0000-0000EA060000}"/>
    <cellStyle name="Comma 6 10 20" xfId="2192" xr:uid="{00000000-0005-0000-0000-0000EB060000}"/>
    <cellStyle name="Comma 6 10 21" xfId="2193" xr:uid="{00000000-0005-0000-0000-0000EC060000}"/>
    <cellStyle name="Comma 6 10 22" xfId="2194" xr:uid="{00000000-0005-0000-0000-0000ED060000}"/>
    <cellStyle name="Comma 6 10 23" xfId="2195" xr:uid="{00000000-0005-0000-0000-0000EE060000}"/>
    <cellStyle name="Comma 6 10 3" xfId="2196" xr:uid="{00000000-0005-0000-0000-0000EF060000}"/>
    <cellStyle name="Comma 6 10 3 10" xfId="2197" xr:uid="{00000000-0005-0000-0000-0000F0060000}"/>
    <cellStyle name="Comma 6 10 3 11" xfId="2198" xr:uid="{00000000-0005-0000-0000-0000F1060000}"/>
    <cellStyle name="Comma 6 10 3 12" xfId="2199" xr:uid="{00000000-0005-0000-0000-0000F2060000}"/>
    <cellStyle name="Comma 6 10 3 13" xfId="2200" xr:uid="{00000000-0005-0000-0000-0000F3060000}"/>
    <cellStyle name="Comma 6 10 3 14" xfId="2201" xr:uid="{00000000-0005-0000-0000-0000F4060000}"/>
    <cellStyle name="Comma 6 10 3 2" xfId="2202" xr:uid="{00000000-0005-0000-0000-0000F5060000}"/>
    <cellStyle name="Comma 6 10 3 3" xfId="2203" xr:uid="{00000000-0005-0000-0000-0000F6060000}"/>
    <cellStyle name="Comma 6 10 3 4" xfId="2204" xr:uid="{00000000-0005-0000-0000-0000F7060000}"/>
    <cellStyle name="Comma 6 10 3 5" xfId="2205" xr:uid="{00000000-0005-0000-0000-0000F8060000}"/>
    <cellStyle name="Comma 6 10 3 6" xfId="2206" xr:uid="{00000000-0005-0000-0000-0000F9060000}"/>
    <cellStyle name="Comma 6 10 3 7" xfId="2207" xr:uid="{00000000-0005-0000-0000-0000FA060000}"/>
    <cellStyle name="Comma 6 10 3 8" xfId="2208" xr:uid="{00000000-0005-0000-0000-0000FB060000}"/>
    <cellStyle name="Comma 6 10 3 9" xfId="2209" xr:uid="{00000000-0005-0000-0000-0000FC060000}"/>
    <cellStyle name="Comma 6 10 4" xfId="2210" xr:uid="{00000000-0005-0000-0000-0000FD060000}"/>
    <cellStyle name="Comma 6 10 5" xfId="2211" xr:uid="{00000000-0005-0000-0000-0000FE060000}"/>
    <cellStyle name="Comma 6 10 6" xfId="2212" xr:uid="{00000000-0005-0000-0000-0000FF060000}"/>
    <cellStyle name="Comma 6 10 7" xfId="2213" xr:uid="{00000000-0005-0000-0000-000000070000}"/>
    <cellStyle name="Comma 6 10 8" xfId="2214" xr:uid="{00000000-0005-0000-0000-000001070000}"/>
    <cellStyle name="Comma 6 10 9" xfId="2215" xr:uid="{00000000-0005-0000-0000-000002070000}"/>
    <cellStyle name="Comma 6 11" xfId="2216" xr:uid="{00000000-0005-0000-0000-000003070000}"/>
    <cellStyle name="Comma 6 11 10" xfId="2217" xr:uid="{00000000-0005-0000-0000-000004070000}"/>
    <cellStyle name="Comma 6 11 11" xfId="2218" xr:uid="{00000000-0005-0000-0000-000005070000}"/>
    <cellStyle name="Comma 6 11 12" xfId="2219" xr:uid="{00000000-0005-0000-0000-000006070000}"/>
    <cellStyle name="Comma 6 11 13" xfId="2220" xr:uid="{00000000-0005-0000-0000-000007070000}"/>
    <cellStyle name="Comma 6 11 14" xfId="2221" xr:uid="{00000000-0005-0000-0000-000008070000}"/>
    <cellStyle name="Comma 6 11 15" xfId="2222" xr:uid="{00000000-0005-0000-0000-000009070000}"/>
    <cellStyle name="Comma 6 11 16" xfId="2223" xr:uid="{00000000-0005-0000-0000-00000A070000}"/>
    <cellStyle name="Comma 6 11 17" xfId="2224" xr:uid="{00000000-0005-0000-0000-00000B070000}"/>
    <cellStyle name="Comma 6 11 18" xfId="2225" xr:uid="{00000000-0005-0000-0000-00000C070000}"/>
    <cellStyle name="Comma 6 11 19" xfId="2226" xr:uid="{00000000-0005-0000-0000-00000D070000}"/>
    <cellStyle name="Comma 6 11 2" xfId="2227" xr:uid="{00000000-0005-0000-0000-00000E070000}"/>
    <cellStyle name="Comma 6 11 2 2" xfId="2228" xr:uid="{00000000-0005-0000-0000-00000F070000}"/>
    <cellStyle name="Comma 6 11 20" xfId="2229" xr:uid="{00000000-0005-0000-0000-000010070000}"/>
    <cellStyle name="Comma 6 11 21" xfId="2230" xr:uid="{00000000-0005-0000-0000-000011070000}"/>
    <cellStyle name="Comma 6 11 22" xfId="2231" xr:uid="{00000000-0005-0000-0000-000012070000}"/>
    <cellStyle name="Comma 6 11 23" xfId="2232" xr:uid="{00000000-0005-0000-0000-000013070000}"/>
    <cellStyle name="Comma 6 11 3" xfId="2233" xr:uid="{00000000-0005-0000-0000-000014070000}"/>
    <cellStyle name="Comma 6 11 3 10" xfId="2234" xr:uid="{00000000-0005-0000-0000-000015070000}"/>
    <cellStyle name="Comma 6 11 3 11" xfId="2235" xr:uid="{00000000-0005-0000-0000-000016070000}"/>
    <cellStyle name="Comma 6 11 3 12" xfId="2236" xr:uid="{00000000-0005-0000-0000-000017070000}"/>
    <cellStyle name="Comma 6 11 3 13" xfId="2237" xr:uid="{00000000-0005-0000-0000-000018070000}"/>
    <cellStyle name="Comma 6 11 3 14" xfId="2238" xr:uid="{00000000-0005-0000-0000-000019070000}"/>
    <cellStyle name="Comma 6 11 3 2" xfId="2239" xr:uid="{00000000-0005-0000-0000-00001A070000}"/>
    <cellStyle name="Comma 6 11 3 3" xfId="2240" xr:uid="{00000000-0005-0000-0000-00001B070000}"/>
    <cellStyle name="Comma 6 11 3 4" xfId="2241" xr:uid="{00000000-0005-0000-0000-00001C070000}"/>
    <cellStyle name="Comma 6 11 3 5" xfId="2242" xr:uid="{00000000-0005-0000-0000-00001D070000}"/>
    <cellStyle name="Comma 6 11 3 6" xfId="2243" xr:uid="{00000000-0005-0000-0000-00001E070000}"/>
    <cellStyle name="Comma 6 11 3 7" xfId="2244" xr:uid="{00000000-0005-0000-0000-00001F070000}"/>
    <cellStyle name="Comma 6 11 3 8" xfId="2245" xr:uid="{00000000-0005-0000-0000-000020070000}"/>
    <cellStyle name="Comma 6 11 3 9" xfId="2246" xr:uid="{00000000-0005-0000-0000-000021070000}"/>
    <cellStyle name="Comma 6 11 4" xfId="2247" xr:uid="{00000000-0005-0000-0000-000022070000}"/>
    <cellStyle name="Comma 6 11 5" xfId="2248" xr:uid="{00000000-0005-0000-0000-000023070000}"/>
    <cellStyle name="Comma 6 11 6" xfId="2249" xr:uid="{00000000-0005-0000-0000-000024070000}"/>
    <cellStyle name="Comma 6 11 7" xfId="2250" xr:uid="{00000000-0005-0000-0000-000025070000}"/>
    <cellStyle name="Comma 6 11 8" xfId="2251" xr:uid="{00000000-0005-0000-0000-000026070000}"/>
    <cellStyle name="Comma 6 11 9" xfId="2252" xr:uid="{00000000-0005-0000-0000-000027070000}"/>
    <cellStyle name="Comma 6 12" xfId="2253" xr:uid="{00000000-0005-0000-0000-000028070000}"/>
    <cellStyle name="Comma 6 12 2" xfId="2254" xr:uid="{00000000-0005-0000-0000-000029070000}"/>
    <cellStyle name="Comma 6 12 3" xfId="2255" xr:uid="{00000000-0005-0000-0000-00002A070000}"/>
    <cellStyle name="Comma 6 13" xfId="2256" xr:uid="{00000000-0005-0000-0000-00002B070000}"/>
    <cellStyle name="Comma 6 13 2" xfId="2257" xr:uid="{00000000-0005-0000-0000-00002C070000}"/>
    <cellStyle name="Comma 6 14" xfId="2258" xr:uid="{00000000-0005-0000-0000-00002D070000}"/>
    <cellStyle name="Comma 6 15" xfId="2259" xr:uid="{00000000-0005-0000-0000-00002E070000}"/>
    <cellStyle name="Comma 6 16" xfId="2260" xr:uid="{00000000-0005-0000-0000-00002F070000}"/>
    <cellStyle name="Comma 6 17" xfId="2261" xr:uid="{00000000-0005-0000-0000-000030070000}"/>
    <cellStyle name="Comma 6 18" xfId="2262" xr:uid="{00000000-0005-0000-0000-000031070000}"/>
    <cellStyle name="Comma 6 19" xfId="2263" xr:uid="{00000000-0005-0000-0000-000032070000}"/>
    <cellStyle name="Comma 6 2" xfId="2264" xr:uid="{00000000-0005-0000-0000-000033070000}"/>
    <cellStyle name="Comma 6 2 10" xfId="2265" xr:uid="{00000000-0005-0000-0000-000034070000}"/>
    <cellStyle name="Comma 6 2 11" xfId="2266" xr:uid="{00000000-0005-0000-0000-000035070000}"/>
    <cellStyle name="Comma 6 2 12" xfId="2267" xr:uid="{00000000-0005-0000-0000-000036070000}"/>
    <cellStyle name="Comma 6 2 13" xfId="2268" xr:uid="{00000000-0005-0000-0000-000037070000}"/>
    <cellStyle name="Comma 6 2 14" xfId="2269" xr:uid="{00000000-0005-0000-0000-000038070000}"/>
    <cellStyle name="Comma 6 2 15" xfId="2270" xr:uid="{00000000-0005-0000-0000-000039070000}"/>
    <cellStyle name="Comma 6 2 16" xfId="2271" xr:uid="{00000000-0005-0000-0000-00003A070000}"/>
    <cellStyle name="Comma 6 2 17" xfId="2272" xr:uid="{00000000-0005-0000-0000-00003B070000}"/>
    <cellStyle name="Comma 6 2 18" xfId="2273" xr:uid="{00000000-0005-0000-0000-00003C070000}"/>
    <cellStyle name="Comma 6 2 19" xfId="2274" xr:uid="{00000000-0005-0000-0000-00003D070000}"/>
    <cellStyle name="Comma 6 2 2" xfId="2275" xr:uid="{00000000-0005-0000-0000-00003E070000}"/>
    <cellStyle name="Comma 6 2 2 2" xfId="2276" xr:uid="{00000000-0005-0000-0000-00003F070000}"/>
    <cellStyle name="Comma 6 2 20" xfId="2277" xr:uid="{00000000-0005-0000-0000-000040070000}"/>
    <cellStyle name="Comma 6 2 21" xfId="2278" xr:uid="{00000000-0005-0000-0000-000041070000}"/>
    <cellStyle name="Comma 6 2 22" xfId="2279" xr:uid="{00000000-0005-0000-0000-000042070000}"/>
    <cellStyle name="Comma 6 2 23" xfId="2280" xr:uid="{00000000-0005-0000-0000-000043070000}"/>
    <cellStyle name="Comma 6 2 3" xfId="2281" xr:uid="{00000000-0005-0000-0000-000044070000}"/>
    <cellStyle name="Comma 6 2 3 10" xfId="2282" xr:uid="{00000000-0005-0000-0000-000045070000}"/>
    <cellStyle name="Comma 6 2 3 11" xfId="2283" xr:uid="{00000000-0005-0000-0000-000046070000}"/>
    <cellStyle name="Comma 6 2 3 12" xfId="2284" xr:uid="{00000000-0005-0000-0000-000047070000}"/>
    <cellStyle name="Comma 6 2 3 13" xfId="2285" xr:uid="{00000000-0005-0000-0000-000048070000}"/>
    <cellStyle name="Comma 6 2 3 14" xfId="2286" xr:uid="{00000000-0005-0000-0000-000049070000}"/>
    <cellStyle name="Comma 6 2 3 2" xfId="2287" xr:uid="{00000000-0005-0000-0000-00004A070000}"/>
    <cellStyle name="Comma 6 2 3 3" xfId="2288" xr:uid="{00000000-0005-0000-0000-00004B070000}"/>
    <cellStyle name="Comma 6 2 3 4" xfId="2289" xr:uid="{00000000-0005-0000-0000-00004C070000}"/>
    <cellStyle name="Comma 6 2 3 5" xfId="2290" xr:uid="{00000000-0005-0000-0000-00004D070000}"/>
    <cellStyle name="Comma 6 2 3 6" xfId="2291" xr:uid="{00000000-0005-0000-0000-00004E070000}"/>
    <cellStyle name="Comma 6 2 3 7" xfId="2292" xr:uid="{00000000-0005-0000-0000-00004F070000}"/>
    <cellStyle name="Comma 6 2 3 8" xfId="2293" xr:uid="{00000000-0005-0000-0000-000050070000}"/>
    <cellStyle name="Comma 6 2 3 9" xfId="2294" xr:uid="{00000000-0005-0000-0000-000051070000}"/>
    <cellStyle name="Comma 6 2 4" xfId="2295" xr:uid="{00000000-0005-0000-0000-000052070000}"/>
    <cellStyle name="Comma 6 2 5" xfId="2296" xr:uid="{00000000-0005-0000-0000-000053070000}"/>
    <cellStyle name="Comma 6 2 6" xfId="2297" xr:uid="{00000000-0005-0000-0000-000054070000}"/>
    <cellStyle name="Comma 6 2 7" xfId="2298" xr:uid="{00000000-0005-0000-0000-000055070000}"/>
    <cellStyle name="Comma 6 2 8" xfId="2299" xr:uid="{00000000-0005-0000-0000-000056070000}"/>
    <cellStyle name="Comma 6 2 9" xfId="2300" xr:uid="{00000000-0005-0000-0000-000057070000}"/>
    <cellStyle name="Comma 6 20" xfId="2301" xr:uid="{00000000-0005-0000-0000-000058070000}"/>
    <cellStyle name="Comma 6 21" xfId="2302" xr:uid="{00000000-0005-0000-0000-000059070000}"/>
    <cellStyle name="Comma 6 22" xfId="2303" xr:uid="{00000000-0005-0000-0000-00005A070000}"/>
    <cellStyle name="Comma 6 23" xfId="2304" xr:uid="{00000000-0005-0000-0000-00005B070000}"/>
    <cellStyle name="Comma 6 24" xfId="2305" xr:uid="{00000000-0005-0000-0000-00005C070000}"/>
    <cellStyle name="Comma 6 25" xfId="2306" xr:uid="{00000000-0005-0000-0000-00005D070000}"/>
    <cellStyle name="Comma 6 26" xfId="2307" xr:uid="{00000000-0005-0000-0000-00005E070000}"/>
    <cellStyle name="Comma 6 27" xfId="2308" xr:uid="{00000000-0005-0000-0000-00005F070000}"/>
    <cellStyle name="Comma 6 28" xfId="2309" xr:uid="{00000000-0005-0000-0000-000060070000}"/>
    <cellStyle name="Comma 6 29" xfId="2310" xr:uid="{00000000-0005-0000-0000-000061070000}"/>
    <cellStyle name="Comma 6 3" xfId="2311" xr:uid="{00000000-0005-0000-0000-000062070000}"/>
    <cellStyle name="Comma 6 3 10" xfId="2312" xr:uid="{00000000-0005-0000-0000-000063070000}"/>
    <cellStyle name="Comma 6 3 11" xfId="2313" xr:uid="{00000000-0005-0000-0000-000064070000}"/>
    <cellStyle name="Comma 6 3 12" xfId="2314" xr:uid="{00000000-0005-0000-0000-000065070000}"/>
    <cellStyle name="Comma 6 3 13" xfId="2315" xr:uid="{00000000-0005-0000-0000-000066070000}"/>
    <cellStyle name="Comma 6 3 14" xfId="2316" xr:uid="{00000000-0005-0000-0000-000067070000}"/>
    <cellStyle name="Comma 6 3 15" xfId="2317" xr:uid="{00000000-0005-0000-0000-000068070000}"/>
    <cellStyle name="Comma 6 3 16" xfId="2318" xr:uid="{00000000-0005-0000-0000-000069070000}"/>
    <cellStyle name="Comma 6 3 17" xfId="2319" xr:uid="{00000000-0005-0000-0000-00006A070000}"/>
    <cellStyle name="Comma 6 3 18" xfId="2320" xr:uid="{00000000-0005-0000-0000-00006B070000}"/>
    <cellStyle name="Comma 6 3 19" xfId="2321" xr:uid="{00000000-0005-0000-0000-00006C070000}"/>
    <cellStyle name="Comma 6 3 2" xfId="2322" xr:uid="{00000000-0005-0000-0000-00006D070000}"/>
    <cellStyle name="Comma 6 3 2 2" xfId="2323" xr:uid="{00000000-0005-0000-0000-00006E070000}"/>
    <cellStyle name="Comma 6 3 20" xfId="2324" xr:uid="{00000000-0005-0000-0000-00006F070000}"/>
    <cellStyle name="Comma 6 3 21" xfId="2325" xr:uid="{00000000-0005-0000-0000-000070070000}"/>
    <cellStyle name="Comma 6 3 22" xfId="2326" xr:uid="{00000000-0005-0000-0000-000071070000}"/>
    <cellStyle name="Comma 6 3 23" xfId="2327" xr:uid="{00000000-0005-0000-0000-000072070000}"/>
    <cellStyle name="Comma 6 3 3" xfId="2328" xr:uid="{00000000-0005-0000-0000-000073070000}"/>
    <cellStyle name="Comma 6 3 3 10" xfId="2329" xr:uid="{00000000-0005-0000-0000-000074070000}"/>
    <cellStyle name="Comma 6 3 3 11" xfId="2330" xr:uid="{00000000-0005-0000-0000-000075070000}"/>
    <cellStyle name="Comma 6 3 3 12" xfId="2331" xr:uid="{00000000-0005-0000-0000-000076070000}"/>
    <cellStyle name="Comma 6 3 3 13" xfId="2332" xr:uid="{00000000-0005-0000-0000-000077070000}"/>
    <cellStyle name="Comma 6 3 3 14" xfId="2333" xr:uid="{00000000-0005-0000-0000-000078070000}"/>
    <cellStyle name="Comma 6 3 3 2" xfId="2334" xr:uid="{00000000-0005-0000-0000-000079070000}"/>
    <cellStyle name="Comma 6 3 3 3" xfId="2335" xr:uid="{00000000-0005-0000-0000-00007A070000}"/>
    <cellStyle name="Comma 6 3 3 4" xfId="2336" xr:uid="{00000000-0005-0000-0000-00007B070000}"/>
    <cellStyle name="Comma 6 3 3 5" xfId="2337" xr:uid="{00000000-0005-0000-0000-00007C070000}"/>
    <cellStyle name="Comma 6 3 3 6" xfId="2338" xr:uid="{00000000-0005-0000-0000-00007D070000}"/>
    <cellStyle name="Comma 6 3 3 7" xfId="2339" xr:uid="{00000000-0005-0000-0000-00007E070000}"/>
    <cellStyle name="Comma 6 3 3 8" xfId="2340" xr:uid="{00000000-0005-0000-0000-00007F070000}"/>
    <cellStyle name="Comma 6 3 3 9" xfId="2341" xr:uid="{00000000-0005-0000-0000-000080070000}"/>
    <cellStyle name="Comma 6 3 4" xfId="2342" xr:uid="{00000000-0005-0000-0000-000081070000}"/>
    <cellStyle name="Comma 6 3 5" xfId="2343" xr:uid="{00000000-0005-0000-0000-000082070000}"/>
    <cellStyle name="Comma 6 3 6" xfId="2344" xr:uid="{00000000-0005-0000-0000-000083070000}"/>
    <cellStyle name="Comma 6 3 7" xfId="2345" xr:uid="{00000000-0005-0000-0000-000084070000}"/>
    <cellStyle name="Comma 6 3 8" xfId="2346" xr:uid="{00000000-0005-0000-0000-000085070000}"/>
    <cellStyle name="Comma 6 3 9" xfId="2347" xr:uid="{00000000-0005-0000-0000-000086070000}"/>
    <cellStyle name="Comma 6 30" xfId="2348" xr:uid="{00000000-0005-0000-0000-000087070000}"/>
    <cellStyle name="Comma 6 31" xfId="2349" xr:uid="{00000000-0005-0000-0000-000088070000}"/>
    <cellStyle name="Comma 6 32" xfId="2350" xr:uid="{00000000-0005-0000-0000-000089070000}"/>
    <cellStyle name="Comma 6 33" xfId="2351" xr:uid="{00000000-0005-0000-0000-00008A070000}"/>
    <cellStyle name="Comma 6 34" xfId="2352" xr:uid="{00000000-0005-0000-0000-00008B070000}"/>
    <cellStyle name="Comma 6 35" xfId="2353" xr:uid="{00000000-0005-0000-0000-00008C070000}"/>
    <cellStyle name="Comma 6 36" xfId="2354" xr:uid="{00000000-0005-0000-0000-00008D070000}"/>
    <cellStyle name="Comma 6 37" xfId="2355" xr:uid="{00000000-0005-0000-0000-00008E070000}"/>
    <cellStyle name="Comma 6 38" xfId="2178" xr:uid="{00000000-0005-0000-0000-00008F070000}"/>
    <cellStyle name="Comma 6 39" xfId="4967" xr:uid="{00000000-0005-0000-0000-000090070000}"/>
    <cellStyle name="Comma 6 4" xfId="2356" xr:uid="{00000000-0005-0000-0000-000091070000}"/>
    <cellStyle name="Comma 6 4 10" xfId="2357" xr:uid="{00000000-0005-0000-0000-000092070000}"/>
    <cellStyle name="Comma 6 4 11" xfId="2358" xr:uid="{00000000-0005-0000-0000-000093070000}"/>
    <cellStyle name="Comma 6 4 12" xfId="2359" xr:uid="{00000000-0005-0000-0000-000094070000}"/>
    <cellStyle name="Comma 6 4 13" xfId="2360" xr:uid="{00000000-0005-0000-0000-000095070000}"/>
    <cellStyle name="Comma 6 4 14" xfId="2361" xr:uid="{00000000-0005-0000-0000-000096070000}"/>
    <cellStyle name="Comma 6 4 15" xfId="2362" xr:uid="{00000000-0005-0000-0000-000097070000}"/>
    <cellStyle name="Comma 6 4 16" xfId="2363" xr:uid="{00000000-0005-0000-0000-000098070000}"/>
    <cellStyle name="Comma 6 4 17" xfId="2364" xr:uid="{00000000-0005-0000-0000-000099070000}"/>
    <cellStyle name="Comma 6 4 18" xfId="2365" xr:uid="{00000000-0005-0000-0000-00009A070000}"/>
    <cellStyle name="Comma 6 4 19" xfId="2366" xr:uid="{00000000-0005-0000-0000-00009B070000}"/>
    <cellStyle name="Comma 6 4 2" xfId="2367" xr:uid="{00000000-0005-0000-0000-00009C070000}"/>
    <cellStyle name="Comma 6 4 2 2" xfId="2368" xr:uid="{00000000-0005-0000-0000-00009D070000}"/>
    <cellStyle name="Comma 6 4 20" xfId="2369" xr:uid="{00000000-0005-0000-0000-00009E070000}"/>
    <cellStyle name="Comma 6 4 21" xfId="2370" xr:uid="{00000000-0005-0000-0000-00009F070000}"/>
    <cellStyle name="Comma 6 4 22" xfId="2371" xr:uid="{00000000-0005-0000-0000-0000A0070000}"/>
    <cellStyle name="Comma 6 4 23" xfId="2372" xr:uid="{00000000-0005-0000-0000-0000A1070000}"/>
    <cellStyle name="Comma 6 4 3" xfId="2373" xr:uid="{00000000-0005-0000-0000-0000A2070000}"/>
    <cellStyle name="Comma 6 4 3 10" xfId="2374" xr:uid="{00000000-0005-0000-0000-0000A3070000}"/>
    <cellStyle name="Comma 6 4 3 11" xfId="2375" xr:uid="{00000000-0005-0000-0000-0000A4070000}"/>
    <cellStyle name="Comma 6 4 3 12" xfId="2376" xr:uid="{00000000-0005-0000-0000-0000A5070000}"/>
    <cellStyle name="Comma 6 4 3 13" xfId="2377" xr:uid="{00000000-0005-0000-0000-0000A6070000}"/>
    <cellStyle name="Comma 6 4 3 14" xfId="2378" xr:uid="{00000000-0005-0000-0000-0000A7070000}"/>
    <cellStyle name="Comma 6 4 3 2" xfId="2379" xr:uid="{00000000-0005-0000-0000-0000A8070000}"/>
    <cellStyle name="Comma 6 4 3 3" xfId="2380" xr:uid="{00000000-0005-0000-0000-0000A9070000}"/>
    <cellStyle name="Comma 6 4 3 4" xfId="2381" xr:uid="{00000000-0005-0000-0000-0000AA070000}"/>
    <cellStyle name="Comma 6 4 3 5" xfId="2382" xr:uid="{00000000-0005-0000-0000-0000AB070000}"/>
    <cellStyle name="Comma 6 4 3 6" xfId="2383" xr:uid="{00000000-0005-0000-0000-0000AC070000}"/>
    <cellStyle name="Comma 6 4 3 7" xfId="2384" xr:uid="{00000000-0005-0000-0000-0000AD070000}"/>
    <cellStyle name="Comma 6 4 3 8" xfId="2385" xr:uid="{00000000-0005-0000-0000-0000AE070000}"/>
    <cellStyle name="Comma 6 4 3 9" xfId="2386" xr:uid="{00000000-0005-0000-0000-0000AF070000}"/>
    <cellStyle name="Comma 6 4 4" xfId="2387" xr:uid="{00000000-0005-0000-0000-0000B0070000}"/>
    <cellStyle name="Comma 6 4 5" xfId="2388" xr:uid="{00000000-0005-0000-0000-0000B1070000}"/>
    <cellStyle name="Comma 6 4 6" xfId="2389" xr:uid="{00000000-0005-0000-0000-0000B2070000}"/>
    <cellStyle name="Comma 6 4 7" xfId="2390" xr:uid="{00000000-0005-0000-0000-0000B3070000}"/>
    <cellStyle name="Comma 6 4 8" xfId="2391" xr:uid="{00000000-0005-0000-0000-0000B4070000}"/>
    <cellStyle name="Comma 6 4 9" xfId="2392" xr:uid="{00000000-0005-0000-0000-0000B5070000}"/>
    <cellStyle name="Comma 6 40" xfId="4968" xr:uid="{00000000-0005-0000-0000-0000B6070000}"/>
    <cellStyle name="Comma 6 5" xfId="2393" xr:uid="{00000000-0005-0000-0000-0000B7070000}"/>
    <cellStyle name="Comma 6 5 10" xfId="2394" xr:uid="{00000000-0005-0000-0000-0000B8070000}"/>
    <cellStyle name="Comma 6 5 11" xfId="2395" xr:uid="{00000000-0005-0000-0000-0000B9070000}"/>
    <cellStyle name="Comma 6 5 12" xfId="2396" xr:uid="{00000000-0005-0000-0000-0000BA070000}"/>
    <cellStyle name="Comma 6 5 13" xfId="2397" xr:uid="{00000000-0005-0000-0000-0000BB070000}"/>
    <cellStyle name="Comma 6 5 14" xfId="2398" xr:uid="{00000000-0005-0000-0000-0000BC070000}"/>
    <cellStyle name="Comma 6 5 15" xfId="2399" xr:uid="{00000000-0005-0000-0000-0000BD070000}"/>
    <cellStyle name="Comma 6 5 16" xfId="2400" xr:uid="{00000000-0005-0000-0000-0000BE070000}"/>
    <cellStyle name="Comma 6 5 17" xfId="2401" xr:uid="{00000000-0005-0000-0000-0000BF070000}"/>
    <cellStyle name="Comma 6 5 18" xfId="2402" xr:uid="{00000000-0005-0000-0000-0000C0070000}"/>
    <cellStyle name="Comma 6 5 19" xfId="2403" xr:uid="{00000000-0005-0000-0000-0000C1070000}"/>
    <cellStyle name="Comma 6 5 2" xfId="2404" xr:uid="{00000000-0005-0000-0000-0000C2070000}"/>
    <cellStyle name="Comma 6 5 2 2" xfId="2405" xr:uid="{00000000-0005-0000-0000-0000C3070000}"/>
    <cellStyle name="Comma 6 5 20" xfId="2406" xr:uid="{00000000-0005-0000-0000-0000C4070000}"/>
    <cellStyle name="Comma 6 5 21" xfId="2407" xr:uid="{00000000-0005-0000-0000-0000C5070000}"/>
    <cellStyle name="Comma 6 5 22" xfId="2408" xr:uid="{00000000-0005-0000-0000-0000C6070000}"/>
    <cellStyle name="Comma 6 5 23" xfId="2409" xr:uid="{00000000-0005-0000-0000-0000C7070000}"/>
    <cellStyle name="Comma 6 5 3" xfId="2410" xr:uid="{00000000-0005-0000-0000-0000C8070000}"/>
    <cellStyle name="Comma 6 5 3 10" xfId="2411" xr:uid="{00000000-0005-0000-0000-0000C9070000}"/>
    <cellStyle name="Comma 6 5 3 11" xfId="2412" xr:uid="{00000000-0005-0000-0000-0000CA070000}"/>
    <cellStyle name="Comma 6 5 3 12" xfId="2413" xr:uid="{00000000-0005-0000-0000-0000CB070000}"/>
    <cellStyle name="Comma 6 5 3 13" xfId="2414" xr:uid="{00000000-0005-0000-0000-0000CC070000}"/>
    <cellStyle name="Comma 6 5 3 14" xfId="2415" xr:uid="{00000000-0005-0000-0000-0000CD070000}"/>
    <cellStyle name="Comma 6 5 3 2" xfId="2416" xr:uid="{00000000-0005-0000-0000-0000CE070000}"/>
    <cellStyle name="Comma 6 5 3 3" xfId="2417" xr:uid="{00000000-0005-0000-0000-0000CF070000}"/>
    <cellStyle name="Comma 6 5 3 4" xfId="2418" xr:uid="{00000000-0005-0000-0000-0000D0070000}"/>
    <cellStyle name="Comma 6 5 3 5" xfId="2419" xr:uid="{00000000-0005-0000-0000-0000D1070000}"/>
    <cellStyle name="Comma 6 5 3 6" xfId="2420" xr:uid="{00000000-0005-0000-0000-0000D2070000}"/>
    <cellStyle name="Comma 6 5 3 7" xfId="2421" xr:uid="{00000000-0005-0000-0000-0000D3070000}"/>
    <cellStyle name="Comma 6 5 3 8" xfId="2422" xr:uid="{00000000-0005-0000-0000-0000D4070000}"/>
    <cellStyle name="Comma 6 5 3 9" xfId="2423" xr:uid="{00000000-0005-0000-0000-0000D5070000}"/>
    <cellStyle name="Comma 6 5 4" xfId="2424" xr:uid="{00000000-0005-0000-0000-0000D6070000}"/>
    <cellStyle name="Comma 6 5 5" xfId="2425" xr:uid="{00000000-0005-0000-0000-0000D7070000}"/>
    <cellStyle name="Comma 6 5 6" xfId="2426" xr:uid="{00000000-0005-0000-0000-0000D8070000}"/>
    <cellStyle name="Comma 6 5 7" xfId="2427" xr:uid="{00000000-0005-0000-0000-0000D9070000}"/>
    <cellStyle name="Comma 6 5 8" xfId="2428" xr:uid="{00000000-0005-0000-0000-0000DA070000}"/>
    <cellStyle name="Comma 6 5 9" xfId="2429" xr:uid="{00000000-0005-0000-0000-0000DB070000}"/>
    <cellStyle name="Comma 6 6" xfId="2430" xr:uid="{00000000-0005-0000-0000-0000DC070000}"/>
    <cellStyle name="Comma 6 6 10" xfId="2431" xr:uid="{00000000-0005-0000-0000-0000DD070000}"/>
    <cellStyle name="Comma 6 6 11" xfId="2432" xr:uid="{00000000-0005-0000-0000-0000DE070000}"/>
    <cellStyle name="Comma 6 6 12" xfId="2433" xr:uid="{00000000-0005-0000-0000-0000DF070000}"/>
    <cellStyle name="Comma 6 6 13" xfId="2434" xr:uid="{00000000-0005-0000-0000-0000E0070000}"/>
    <cellStyle name="Comma 6 6 14" xfId="2435" xr:uid="{00000000-0005-0000-0000-0000E1070000}"/>
    <cellStyle name="Comma 6 6 15" xfId="2436" xr:uid="{00000000-0005-0000-0000-0000E2070000}"/>
    <cellStyle name="Comma 6 6 16" xfId="2437" xr:uid="{00000000-0005-0000-0000-0000E3070000}"/>
    <cellStyle name="Comma 6 6 17" xfId="2438" xr:uid="{00000000-0005-0000-0000-0000E4070000}"/>
    <cellStyle name="Comma 6 6 18" xfId="2439" xr:uid="{00000000-0005-0000-0000-0000E5070000}"/>
    <cellStyle name="Comma 6 6 19" xfId="2440" xr:uid="{00000000-0005-0000-0000-0000E6070000}"/>
    <cellStyle name="Comma 6 6 2" xfId="2441" xr:uid="{00000000-0005-0000-0000-0000E7070000}"/>
    <cellStyle name="Comma 6 6 2 2" xfId="2442" xr:uid="{00000000-0005-0000-0000-0000E8070000}"/>
    <cellStyle name="Comma 6 6 20" xfId="2443" xr:uid="{00000000-0005-0000-0000-0000E9070000}"/>
    <cellStyle name="Comma 6 6 21" xfId="2444" xr:uid="{00000000-0005-0000-0000-0000EA070000}"/>
    <cellStyle name="Comma 6 6 22" xfId="2445" xr:uid="{00000000-0005-0000-0000-0000EB070000}"/>
    <cellStyle name="Comma 6 6 23" xfId="2446" xr:uid="{00000000-0005-0000-0000-0000EC070000}"/>
    <cellStyle name="Comma 6 6 3" xfId="2447" xr:uid="{00000000-0005-0000-0000-0000ED070000}"/>
    <cellStyle name="Comma 6 6 3 10" xfId="2448" xr:uid="{00000000-0005-0000-0000-0000EE070000}"/>
    <cellStyle name="Comma 6 6 3 11" xfId="2449" xr:uid="{00000000-0005-0000-0000-0000EF070000}"/>
    <cellStyle name="Comma 6 6 3 12" xfId="2450" xr:uid="{00000000-0005-0000-0000-0000F0070000}"/>
    <cellStyle name="Comma 6 6 3 13" xfId="2451" xr:uid="{00000000-0005-0000-0000-0000F1070000}"/>
    <cellStyle name="Comma 6 6 3 14" xfId="2452" xr:uid="{00000000-0005-0000-0000-0000F2070000}"/>
    <cellStyle name="Comma 6 6 3 2" xfId="2453" xr:uid="{00000000-0005-0000-0000-0000F3070000}"/>
    <cellStyle name="Comma 6 6 3 3" xfId="2454" xr:uid="{00000000-0005-0000-0000-0000F4070000}"/>
    <cellStyle name="Comma 6 6 3 4" xfId="2455" xr:uid="{00000000-0005-0000-0000-0000F5070000}"/>
    <cellStyle name="Comma 6 6 3 5" xfId="2456" xr:uid="{00000000-0005-0000-0000-0000F6070000}"/>
    <cellStyle name="Comma 6 6 3 6" xfId="2457" xr:uid="{00000000-0005-0000-0000-0000F7070000}"/>
    <cellStyle name="Comma 6 6 3 7" xfId="2458" xr:uid="{00000000-0005-0000-0000-0000F8070000}"/>
    <cellStyle name="Comma 6 6 3 8" xfId="2459" xr:uid="{00000000-0005-0000-0000-0000F9070000}"/>
    <cellStyle name="Comma 6 6 3 9" xfId="2460" xr:uid="{00000000-0005-0000-0000-0000FA070000}"/>
    <cellStyle name="Comma 6 6 4" xfId="2461" xr:uid="{00000000-0005-0000-0000-0000FB070000}"/>
    <cellStyle name="Comma 6 6 5" xfId="2462" xr:uid="{00000000-0005-0000-0000-0000FC070000}"/>
    <cellStyle name="Comma 6 6 6" xfId="2463" xr:uid="{00000000-0005-0000-0000-0000FD070000}"/>
    <cellStyle name="Comma 6 6 7" xfId="2464" xr:uid="{00000000-0005-0000-0000-0000FE070000}"/>
    <cellStyle name="Comma 6 6 8" xfId="2465" xr:uid="{00000000-0005-0000-0000-0000FF070000}"/>
    <cellStyle name="Comma 6 6 9" xfId="2466" xr:uid="{00000000-0005-0000-0000-000000080000}"/>
    <cellStyle name="Comma 6 7" xfId="2467" xr:uid="{00000000-0005-0000-0000-000001080000}"/>
    <cellStyle name="Comma 6 7 10" xfId="2468" xr:uid="{00000000-0005-0000-0000-000002080000}"/>
    <cellStyle name="Comma 6 7 11" xfId="2469" xr:uid="{00000000-0005-0000-0000-000003080000}"/>
    <cellStyle name="Comma 6 7 12" xfId="2470" xr:uid="{00000000-0005-0000-0000-000004080000}"/>
    <cellStyle name="Comma 6 7 13" xfId="2471" xr:uid="{00000000-0005-0000-0000-000005080000}"/>
    <cellStyle name="Comma 6 7 14" xfId="2472" xr:uid="{00000000-0005-0000-0000-000006080000}"/>
    <cellStyle name="Comma 6 7 15" xfId="2473" xr:uid="{00000000-0005-0000-0000-000007080000}"/>
    <cellStyle name="Comma 6 7 16" xfId="2474" xr:uid="{00000000-0005-0000-0000-000008080000}"/>
    <cellStyle name="Comma 6 7 17" xfId="2475" xr:uid="{00000000-0005-0000-0000-000009080000}"/>
    <cellStyle name="Comma 6 7 18" xfId="2476" xr:uid="{00000000-0005-0000-0000-00000A080000}"/>
    <cellStyle name="Comma 6 7 19" xfId="2477" xr:uid="{00000000-0005-0000-0000-00000B080000}"/>
    <cellStyle name="Comma 6 7 2" xfId="2478" xr:uid="{00000000-0005-0000-0000-00000C080000}"/>
    <cellStyle name="Comma 6 7 2 2" xfId="2479" xr:uid="{00000000-0005-0000-0000-00000D080000}"/>
    <cellStyle name="Comma 6 7 20" xfId="2480" xr:uid="{00000000-0005-0000-0000-00000E080000}"/>
    <cellStyle name="Comma 6 7 21" xfId="2481" xr:uid="{00000000-0005-0000-0000-00000F080000}"/>
    <cellStyle name="Comma 6 7 22" xfId="2482" xr:uid="{00000000-0005-0000-0000-000010080000}"/>
    <cellStyle name="Comma 6 7 23" xfId="2483" xr:uid="{00000000-0005-0000-0000-000011080000}"/>
    <cellStyle name="Comma 6 7 3" xfId="2484" xr:uid="{00000000-0005-0000-0000-000012080000}"/>
    <cellStyle name="Comma 6 7 3 10" xfId="2485" xr:uid="{00000000-0005-0000-0000-000013080000}"/>
    <cellStyle name="Comma 6 7 3 11" xfId="2486" xr:uid="{00000000-0005-0000-0000-000014080000}"/>
    <cellStyle name="Comma 6 7 3 12" xfId="2487" xr:uid="{00000000-0005-0000-0000-000015080000}"/>
    <cellStyle name="Comma 6 7 3 13" xfId="2488" xr:uid="{00000000-0005-0000-0000-000016080000}"/>
    <cellStyle name="Comma 6 7 3 14" xfId="2489" xr:uid="{00000000-0005-0000-0000-000017080000}"/>
    <cellStyle name="Comma 6 7 3 2" xfId="2490" xr:uid="{00000000-0005-0000-0000-000018080000}"/>
    <cellStyle name="Comma 6 7 3 3" xfId="2491" xr:uid="{00000000-0005-0000-0000-000019080000}"/>
    <cellStyle name="Comma 6 7 3 4" xfId="2492" xr:uid="{00000000-0005-0000-0000-00001A080000}"/>
    <cellStyle name="Comma 6 7 3 5" xfId="2493" xr:uid="{00000000-0005-0000-0000-00001B080000}"/>
    <cellStyle name="Comma 6 7 3 6" xfId="2494" xr:uid="{00000000-0005-0000-0000-00001C080000}"/>
    <cellStyle name="Comma 6 7 3 7" xfId="2495" xr:uid="{00000000-0005-0000-0000-00001D080000}"/>
    <cellStyle name="Comma 6 7 3 8" xfId="2496" xr:uid="{00000000-0005-0000-0000-00001E080000}"/>
    <cellStyle name="Comma 6 7 3 9" xfId="2497" xr:uid="{00000000-0005-0000-0000-00001F080000}"/>
    <cellStyle name="Comma 6 7 4" xfId="2498" xr:uid="{00000000-0005-0000-0000-000020080000}"/>
    <cellStyle name="Comma 6 7 5" xfId="2499" xr:uid="{00000000-0005-0000-0000-000021080000}"/>
    <cellStyle name="Comma 6 7 6" xfId="2500" xr:uid="{00000000-0005-0000-0000-000022080000}"/>
    <cellStyle name="Comma 6 7 7" xfId="2501" xr:uid="{00000000-0005-0000-0000-000023080000}"/>
    <cellStyle name="Comma 6 7 8" xfId="2502" xr:uid="{00000000-0005-0000-0000-000024080000}"/>
    <cellStyle name="Comma 6 7 9" xfId="2503" xr:uid="{00000000-0005-0000-0000-000025080000}"/>
    <cellStyle name="Comma 6 8" xfId="2504" xr:uid="{00000000-0005-0000-0000-000026080000}"/>
    <cellStyle name="Comma 6 8 10" xfId="2505" xr:uid="{00000000-0005-0000-0000-000027080000}"/>
    <cellStyle name="Comma 6 8 11" xfId="2506" xr:uid="{00000000-0005-0000-0000-000028080000}"/>
    <cellStyle name="Comma 6 8 12" xfId="2507" xr:uid="{00000000-0005-0000-0000-000029080000}"/>
    <cellStyle name="Comma 6 8 13" xfId="2508" xr:uid="{00000000-0005-0000-0000-00002A080000}"/>
    <cellStyle name="Comma 6 8 14" xfId="2509" xr:uid="{00000000-0005-0000-0000-00002B080000}"/>
    <cellStyle name="Comma 6 8 15" xfId="2510" xr:uid="{00000000-0005-0000-0000-00002C080000}"/>
    <cellStyle name="Comma 6 8 16" xfId="2511" xr:uid="{00000000-0005-0000-0000-00002D080000}"/>
    <cellStyle name="Comma 6 8 17" xfId="2512" xr:uid="{00000000-0005-0000-0000-00002E080000}"/>
    <cellStyle name="Comma 6 8 18" xfId="2513" xr:uid="{00000000-0005-0000-0000-00002F080000}"/>
    <cellStyle name="Comma 6 8 19" xfId="2514" xr:uid="{00000000-0005-0000-0000-000030080000}"/>
    <cellStyle name="Comma 6 8 2" xfId="2515" xr:uid="{00000000-0005-0000-0000-000031080000}"/>
    <cellStyle name="Comma 6 8 2 2" xfId="2516" xr:uid="{00000000-0005-0000-0000-000032080000}"/>
    <cellStyle name="Comma 6 8 20" xfId="2517" xr:uid="{00000000-0005-0000-0000-000033080000}"/>
    <cellStyle name="Comma 6 8 21" xfId="2518" xr:uid="{00000000-0005-0000-0000-000034080000}"/>
    <cellStyle name="Comma 6 8 22" xfId="2519" xr:uid="{00000000-0005-0000-0000-000035080000}"/>
    <cellStyle name="Comma 6 8 23" xfId="2520" xr:uid="{00000000-0005-0000-0000-000036080000}"/>
    <cellStyle name="Comma 6 8 3" xfId="2521" xr:uid="{00000000-0005-0000-0000-000037080000}"/>
    <cellStyle name="Comma 6 8 3 10" xfId="2522" xr:uid="{00000000-0005-0000-0000-000038080000}"/>
    <cellStyle name="Comma 6 8 3 11" xfId="2523" xr:uid="{00000000-0005-0000-0000-000039080000}"/>
    <cellStyle name="Comma 6 8 3 12" xfId="2524" xr:uid="{00000000-0005-0000-0000-00003A080000}"/>
    <cellStyle name="Comma 6 8 3 13" xfId="2525" xr:uid="{00000000-0005-0000-0000-00003B080000}"/>
    <cellStyle name="Comma 6 8 3 14" xfId="2526" xr:uid="{00000000-0005-0000-0000-00003C080000}"/>
    <cellStyle name="Comma 6 8 3 2" xfId="2527" xr:uid="{00000000-0005-0000-0000-00003D080000}"/>
    <cellStyle name="Comma 6 8 3 3" xfId="2528" xr:uid="{00000000-0005-0000-0000-00003E080000}"/>
    <cellStyle name="Comma 6 8 3 4" xfId="2529" xr:uid="{00000000-0005-0000-0000-00003F080000}"/>
    <cellStyle name="Comma 6 8 3 5" xfId="2530" xr:uid="{00000000-0005-0000-0000-000040080000}"/>
    <cellStyle name="Comma 6 8 3 6" xfId="2531" xr:uid="{00000000-0005-0000-0000-000041080000}"/>
    <cellStyle name="Comma 6 8 3 7" xfId="2532" xr:uid="{00000000-0005-0000-0000-000042080000}"/>
    <cellStyle name="Comma 6 8 3 8" xfId="2533" xr:uid="{00000000-0005-0000-0000-000043080000}"/>
    <cellStyle name="Comma 6 8 3 9" xfId="2534" xr:uid="{00000000-0005-0000-0000-000044080000}"/>
    <cellStyle name="Comma 6 8 4" xfId="2535" xr:uid="{00000000-0005-0000-0000-000045080000}"/>
    <cellStyle name="Comma 6 8 5" xfId="2536" xr:uid="{00000000-0005-0000-0000-000046080000}"/>
    <cellStyle name="Comma 6 8 6" xfId="2537" xr:uid="{00000000-0005-0000-0000-000047080000}"/>
    <cellStyle name="Comma 6 8 7" xfId="2538" xr:uid="{00000000-0005-0000-0000-000048080000}"/>
    <cellStyle name="Comma 6 8 8" xfId="2539" xr:uid="{00000000-0005-0000-0000-000049080000}"/>
    <cellStyle name="Comma 6 8 9" xfId="2540" xr:uid="{00000000-0005-0000-0000-00004A080000}"/>
    <cellStyle name="Comma 6 9" xfId="2541" xr:uid="{00000000-0005-0000-0000-00004B080000}"/>
    <cellStyle name="Comma 6 9 10" xfId="2542" xr:uid="{00000000-0005-0000-0000-00004C080000}"/>
    <cellStyle name="Comma 6 9 11" xfId="2543" xr:uid="{00000000-0005-0000-0000-00004D080000}"/>
    <cellStyle name="Comma 6 9 12" xfId="2544" xr:uid="{00000000-0005-0000-0000-00004E080000}"/>
    <cellStyle name="Comma 6 9 13" xfId="2545" xr:uid="{00000000-0005-0000-0000-00004F080000}"/>
    <cellStyle name="Comma 6 9 14" xfId="2546" xr:uid="{00000000-0005-0000-0000-000050080000}"/>
    <cellStyle name="Comma 6 9 15" xfId="2547" xr:uid="{00000000-0005-0000-0000-000051080000}"/>
    <cellStyle name="Comma 6 9 16" xfId="2548" xr:uid="{00000000-0005-0000-0000-000052080000}"/>
    <cellStyle name="Comma 6 9 17" xfId="2549" xr:uid="{00000000-0005-0000-0000-000053080000}"/>
    <cellStyle name="Comma 6 9 18" xfId="2550" xr:uid="{00000000-0005-0000-0000-000054080000}"/>
    <cellStyle name="Comma 6 9 19" xfId="2551" xr:uid="{00000000-0005-0000-0000-000055080000}"/>
    <cellStyle name="Comma 6 9 2" xfId="2552" xr:uid="{00000000-0005-0000-0000-000056080000}"/>
    <cellStyle name="Comma 6 9 2 2" xfId="2553" xr:uid="{00000000-0005-0000-0000-000057080000}"/>
    <cellStyle name="Comma 6 9 20" xfId="2554" xr:uid="{00000000-0005-0000-0000-000058080000}"/>
    <cellStyle name="Comma 6 9 21" xfId="2555" xr:uid="{00000000-0005-0000-0000-000059080000}"/>
    <cellStyle name="Comma 6 9 22" xfId="2556" xr:uid="{00000000-0005-0000-0000-00005A080000}"/>
    <cellStyle name="Comma 6 9 23" xfId="2557" xr:uid="{00000000-0005-0000-0000-00005B080000}"/>
    <cellStyle name="Comma 6 9 3" xfId="2558" xr:uid="{00000000-0005-0000-0000-00005C080000}"/>
    <cellStyle name="Comma 6 9 3 10" xfId="2559" xr:uid="{00000000-0005-0000-0000-00005D080000}"/>
    <cellStyle name="Comma 6 9 3 11" xfId="2560" xr:uid="{00000000-0005-0000-0000-00005E080000}"/>
    <cellStyle name="Comma 6 9 3 12" xfId="2561" xr:uid="{00000000-0005-0000-0000-00005F080000}"/>
    <cellStyle name="Comma 6 9 3 13" xfId="2562" xr:uid="{00000000-0005-0000-0000-000060080000}"/>
    <cellStyle name="Comma 6 9 3 14" xfId="2563" xr:uid="{00000000-0005-0000-0000-000061080000}"/>
    <cellStyle name="Comma 6 9 3 2" xfId="2564" xr:uid="{00000000-0005-0000-0000-000062080000}"/>
    <cellStyle name="Comma 6 9 3 3" xfId="2565" xr:uid="{00000000-0005-0000-0000-000063080000}"/>
    <cellStyle name="Comma 6 9 3 4" xfId="2566" xr:uid="{00000000-0005-0000-0000-000064080000}"/>
    <cellStyle name="Comma 6 9 3 5" xfId="2567" xr:uid="{00000000-0005-0000-0000-000065080000}"/>
    <cellStyle name="Comma 6 9 3 6" xfId="2568" xr:uid="{00000000-0005-0000-0000-000066080000}"/>
    <cellStyle name="Comma 6 9 3 7" xfId="2569" xr:uid="{00000000-0005-0000-0000-000067080000}"/>
    <cellStyle name="Comma 6 9 3 8" xfId="2570" xr:uid="{00000000-0005-0000-0000-000068080000}"/>
    <cellStyle name="Comma 6 9 3 9" xfId="2571" xr:uid="{00000000-0005-0000-0000-000069080000}"/>
    <cellStyle name="Comma 6 9 4" xfId="2572" xr:uid="{00000000-0005-0000-0000-00006A080000}"/>
    <cellStyle name="Comma 6 9 5" xfId="2573" xr:uid="{00000000-0005-0000-0000-00006B080000}"/>
    <cellStyle name="Comma 6 9 6" xfId="2574" xr:uid="{00000000-0005-0000-0000-00006C080000}"/>
    <cellStyle name="Comma 6 9 7" xfId="2575" xr:uid="{00000000-0005-0000-0000-00006D080000}"/>
    <cellStyle name="Comma 6 9 8" xfId="2576" xr:uid="{00000000-0005-0000-0000-00006E080000}"/>
    <cellStyle name="Comma 6 9 9" xfId="2577" xr:uid="{00000000-0005-0000-0000-00006F080000}"/>
    <cellStyle name="Comma 60" xfId="2578" xr:uid="{00000000-0005-0000-0000-000070080000}"/>
    <cellStyle name="Comma 61" xfId="2579" xr:uid="{00000000-0005-0000-0000-000071080000}"/>
    <cellStyle name="Comma 62" xfId="2580" xr:uid="{00000000-0005-0000-0000-000072080000}"/>
    <cellStyle name="Comma 63" xfId="2581" xr:uid="{00000000-0005-0000-0000-000073080000}"/>
    <cellStyle name="Comma 64" xfId="2582" xr:uid="{00000000-0005-0000-0000-000074080000}"/>
    <cellStyle name="Comma 65" xfId="2583" xr:uid="{00000000-0005-0000-0000-000075080000}"/>
    <cellStyle name="Comma 66" xfId="2584" xr:uid="{00000000-0005-0000-0000-000076080000}"/>
    <cellStyle name="Comma 67" xfId="2585" xr:uid="{00000000-0005-0000-0000-000077080000}"/>
    <cellStyle name="Comma 68" xfId="2586" xr:uid="{00000000-0005-0000-0000-000078080000}"/>
    <cellStyle name="Comma 69" xfId="2587" xr:uid="{00000000-0005-0000-0000-000079080000}"/>
    <cellStyle name="Comma 7" xfId="2588" xr:uid="{00000000-0005-0000-0000-00007A080000}"/>
    <cellStyle name="Comma 7 10" xfId="2589" xr:uid="{00000000-0005-0000-0000-00007B080000}"/>
    <cellStyle name="Comma 7 11" xfId="2590" xr:uid="{00000000-0005-0000-0000-00007C080000}"/>
    <cellStyle name="Comma 7 12" xfId="2591" xr:uid="{00000000-0005-0000-0000-00007D080000}"/>
    <cellStyle name="Comma 7 13" xfId="2592" xr:uid="{00000000-0005-0000-0000-00007E080000}"/>
    <cellStyle name="Comma 7 14" xfId="2593" xr:uid="{00000000-0005-0000-0000-00007F080000}"/>
    <cellStyle name="Comma 7 15" xfId="2594" xr:uid="{00000000-0005-0000-0000-000080080000}"/>
    <cellStyle name="Comma 7 16" xfId="2595" xr:uid="{00000000-0005-0000-0000-000081080000}"/>
    <cellStyle name="Comma 7 17" xfId="2596" xr:uid="{00000000-0005-0000-0000-000082080000}"/>
    <cellStyle name="Comma 7 18" xfId="2597" xr:uid="{00000000-0005-0000-0000-000083080000}"/>
    <cellStyle name="Comma 7 19" xfId="2598" xr:uid="{00000000-0005-0000-0000-000084080000}"/>
    <cellStyle name="Comma 7 2" xfId="2599" xr:uid="{00000000-0005-0000-0000-000085080000}"/>
    <cellStyle name="Comma 7 2 10" xfId="2600" xr:uid="{00000000-0005-0000-0000-000086080000}"/>
    <cellStyle name="Comma 7 2 11" xfId="2601" xr:uid="{00000000-0005-0000-0000-000087080000}"/>
    <cellStyle name="Comma 7 2 12" xfId="2602" xr:uid="{00000000-0005-0000-0000-000088080000}"/>
    <cellStyle name="Comma 7 2 13" xfId="2603" xr:uid="{00000000-0005-0000-0000-000089080000}"/>
    <cellStyle name="Comma 7 2 14" xfId="2604" xr:uid="{00000000-0005-0000-0000-00008A080000}"/>
    <cellStyle name="Comma 7 2 15" xfId="2605" xr:uid="{00000000-0005-0000-0000-00008B080000}"/>
    <cellStyle name="Comma 7 2 16" xfId="2606" xr:uid="{00000000-0005-0000-0000-00008C080000}"/>
    <cellStyle name="Comma 7 2 17" xfId="2607" xr:uid="{00000000-0005-0000-0000-00008D080000}"/>
    <cellStyle name="Comma 7 2 18" xfId="2608" xr:uid="{00000000-0005-0000-0000-00008E080000}"/>
    <cellStyle name="Comma 7 2 2" xfId="2609" xr:uid="{00000000-0005-0000-0000-00008F080000}"/>
    <cellStyle name="Comma 7 2 3" xfId="2610" xr:uid="{00000000-0005-0000-0000-000090080000}"/>
    <cellStyle name="Comma 7 2 4" xfId="2611" xr:uid="{00000000-0005-0000-0000-000091080000}"/>
    <cellStyle name="Comma 7 2 5" xfId="2612" xr:uid="{00000000-0005-0000-0000-000092080000}"/>
    <cellStyle name="Comma 7 2 6" xfId="2613" xr:uid="{00000000-0005-0000-0000-000093080000}"/>
    <cellStyle name="Comma 7 2 7" xfId="2614" xr:uid="{00000000-0005-0000-0000-000094080000}"/>
    <cellStyle name="Comma 7 2 8" xfId="2615" xr:uid="{00000000-0005-0000-0000-000095080000}"/>
    <cellStyle name="Comma 7 2 9" xfId="2616" xr:uid="{00000000-0005-0000-0000-000096080000}"/>
    <cellStyle name="Comma 7 20" xfId="2617" xr:uid="{00000000-0005-0000-0000-000097080000}"/>
    <cellStyle name="Comma 7 21" xfId="2618" xr:uid="{00000000-0005-0000-0000-000098080000}"/>
    <cellStyle name="Comma 7 22" xfId="2619" xr:uid="{00000000-0005-0000-0000-000099080000}"/>
    <cellStyle name="Comma 7 23" xfId="2620" xr:uid="{00000000-0005-0000-0000-00009A080000}"/>
    <cellStyle name="Comma 7 24" xfId="2621" xr:uid="{00000000-0005-0000-0000-00009B080000}"/>
    <cellStyle name="Comma 7 25" xfId="2622" xr:uid="{00000000-0005-0000-0000-00009C080000}"/>
    <cellStyle name="Comma 7 26" xfId="2623" xr:uid="{00000000-0005-0000-0000-00009D080000}"/>
    <cellStyle name="Comma 7 27" xfId="2624" xr:uid="{00000000-0005-0000-0000-00009E080000}"/>
    <cellStyle name="Comma 7 28" xfId="2625" xr:uid="{00000000-0005-0000-0000-00009F080000}"/>
    <cellStyle name="Comma 7 29" xfId="2626" xr:uid="{00000000-0005-0000-0000-0000A0080000}"/>
    <cellStyle name="Comma 7 3" xfId="2627" xr:uid="{00000000-0005-0000-0000-0000A1080000}"/>
    <cellStyle name="Comma 7 30" xfId="2628" xr:uid="{00000000-0005-0000-0000-0000A2080000}"/>
    <cellStyle name="Comma 7 31" xfId="2629" xr:uid="{00000000-0005-0000-0000-0000A3080000}"/>
    <cellStyle name="Comma 7 32" xfId="2630" xr:uid="{00000000-0005-0000-0000-0000A4080000}"/>
    <cellStyle name="Comma 7 33" xfId="2631" xr:uid="{00000000-0005-0000-0000-0000A5080000}"/>
    <cellStyle name="Comma 7 34" xfId="2632" xr:uid="{00000000-0005-0000-0000-0000A6080000}"/>
    <cellStyle name="Comma 7 35" xfId="2633" xr:uid="{00000000-0005-0000-0000-0000A7080000}"/>
    <cellStyle name="Comma 7 36" xfId="2634" xr:uid="{00000000-0005-0000-0000-0000A8080000}"/>
    <cellStyle name="Comma 7 37" xfId="2635" xr:uid="{00000000-0005-0000-0000-0000A9080000}"/>
    <cellStyle name="Comma 7 38" xfId="2636" xr:uid="{00000000-0005-0000-0000-0000AA080000}"/>
    <cellStyle name="Comma 7 39" xfId="2637" xr:uid="{00000000-0005-0000-0000-0000AB080000}"/>
    <cellStyle name="Comma 7 4" xfId="2638" xr:uid="{00000000-0005-0000-0000-0000AC080000}"/>
    <cellStyle name="Comma 7 40" xfId="2639" xr:uid="{00000000-0005-0000-0000-0000AD080000}"/>
    <cellStyle name="Comma 7 41" xfId="2640" xr:uid="{00000000-0005-0000-0000-0000AE080000}"/>
    <cellStyle name="Comma 7 42" xfId="2641" xr:uid="{00000000-0005-0000-0000-0000AF080000}"/>
    <cellStyle name="Comma 7 43" xfId="2642" xr:uid="{00000000-0005-0000-0000-0000B0080000}"/>
    <cellStyle name="Comma 7 44" xfId="2643" xr:uid="{00000000-0005-0000-0000-0000B1080000}"/>
    <cellStyle name="Comma 7 45" xfId="2644" xr:uid="{00000000-0005-0000-0000-0000B2080000}"/>
    <cellStyle name="Comma 7 46" xfId="2645" xr:uid="{00000000-0005-0000-0000-0000B3080000}"/>
    <cellStyle name="Comma 7 47" xfId="2646" xr:uid="{00000000-0005-0000-0000-0000B4080000}"/>
    <cellStyle name="Comma 7 48" xfId="2647" xr:uid="{00000000-0005-0000-0000-0000B5080000}"/>
    <cellStyle name="Comma 7 49" xfId="2648" xr:uid="{00000000-0005-0000-0000-0000B6080000}"/>
    <cellStyle name="Comma 7 5" xfId="2649" xr:uid="{00000000-0005-0000-0000-0000B7080000}"/>
    <cellStyle name="Comma 7 50" xfId="2650" xr:uid="{00000000-0005-0000-0000-0000B8080000}"/>
    <cellStyle name="Comma 7 51" xfId="2651" xr:uid="{00000000-0005-0000-0000-0000B9080000}"/>
    <cellStyle name="Comma 7 52" xfId="2652" xr:uid="{00000000-0005-0000-0000-0000BA080000}"/>
    <cellStyle name="Comma 7 53" xfId="2653" xr:uid="{00000000-0005-0000-0000-0000BB080000}"/>
    <cellStyle name="Comma 7 6" xfId="2654" xr:uid="{00000000-0005-0000-0000-0000BC080000}"/>
    <cellStyle name="Comma 7 7" xfId="2655" xr:uid="{00000000-0005-0000-0000-0000BD080000}"/>
    <cellStyle name="Comma 7 8" xfId="2656" xr:uid="{00000000-0005-0000-0000-0000BE080000}"/>
    <cellStyle name="Comma 7 9" xfId="2657" xr:uid="{00000000-0005-0000-0000-0000BF080000}"/>
    <cellStyle name="Comma 70" xfId="2658" xr:uid="{00000000-0005-0000-0000-0000C0080000}"/>
    <cellStyle name="Comma 71" xfId="2659" xr:uid="{00000000-0005-0000-0000-0000C1080000}"/>
    <cellStyle name="Comma 72" xfId="2660" xr:uid="{00000000-0005-0000-0000-0000C2080000}"/>
    <cellStyle name="Comma 73" xfId="2661" xr:uid="{00000000-0005-0000-0000-0000C3080000}"/>
    <cellStyle name="Comma 74" xfId="2662" xr:uid="{00000000-0005-0000-0000-0000C4080000}"/>
    <cellStyle name="Comma 75" xfId="2663" xr:uid="{00000000-0005-0000-0000-0000C5080000}"/>
    <cellStyle name="Comma 76" xfId="2664" xr:uid="{00000000-0005-0000-0000-0000C6080000}"/>
    <cellStyle name="Comma 77" xfId="2665" xr:uid="{00000000-0005-0000-0000-0000C7080000}"/>
    <cellStyle name="Comma 78" xfId="4753" xr:uid="{00000000-0005-0000-0000-0000C8080000}"/>
    <cellStyle name="Comma 79" xfId="4754" xr:uid="{00000000-0005-0000-0000-0000C9080000}"/>
    <cellStyle name="Comma 8" xfId="165" xr:uid="{00000000-0005-0000-0000-0000CA080000}"/>
    <cellStyle name="Comma 8 10" xfId="2667" xr:uid="{00000000-0005-0000-0000-0000CB080000}"/>
    <cellStyle name="Comma 8 11" xfId="2668" xr:uid="{00000000-0005-0000-0000-0000CC080000}"/>
    <cellStyle name="Comma 8 12" xfId="2669" xr:uid="{00000000-0005-0000-0000-0000CD080000}"/>
    <cellStyle name="Comma 8 13" xfId="2670" xr:uid="{00000000-0005-0000-0000-0000CE080000}"/>
    <cellStyle name="Comma 8 14" xfId="2671" xr:uid="{00000000-0005-0000-0000-0000CF080000}"/>
    <cellStyle name="Comma 8 15" xfId="2672" xr:uid="{00000000-0005-0000-0000-0000D0080000}"/>
    <cellStyle name="Comma 8 16" xfId="2673" xr:uid="{00000000-0005-0000-0000-0000D1080000}"/>
    <cellStyle name="Comma 8 17" xfId="2674" xr:uid="{00000000-0005-0000-0000-0000D2080000}"/>
    <cellStyle name="Comma 8 18" xfId="2675" xr:uid="{00000000-0005-0000-0000-0000D3080000}"/>
    <cellStyle name="Comma 8 19" xfId="2676" xr:uid="{00000000-0005-0000-0000-0000D4080000}"/>
    <cellStyle name="Comma 8 2" xfId="222" xr:uid="{00000000-0005-0000-0000-0000D5080000}"/>
    <cellStyle name="Comma 8 2 10" xfId="2678" xr:uid="{00000000-0005-0000-0000-0000D6080000}"/>
    <cellStyle name="Comma 8 2 11" xfId="2679" xr:uid="{00000000-0005-0000-0000-0000D7080000}"/>
    <cellStyle name="Comma 8 2 12" xfId="2680" xr:uid="{00000000-0005-0000-0000-0000D8080000}"/>
    <cellStyle name="Comma 8 2 13" xfId="2681" xr:uid="{00000000-0005-0000-0000-0000D9080000}"/>
    <cellStyle name="Comma 8 2 14" xfId="2682" xr:uid="{00000000-0005-0000-0000-0000DA080000}"/>
    <cellStyle name="Comma 8 2 15" xfId="2683" xr:uid="{00000000-0005-0000-0000-0000DB080000}"/>
    <cellStyle name="Comma 8 2 16" xfId="2684" xr:uid="{00000000-0005-0000-0000-0000DC080000}"/>
    <cellStyle name="Comma 8 2 17" xfId="2685" xr:uid="{00000000-0005-0000-0000-0000DD080000}"/>
    <cellStyle name="Comma 8 2 18" xfId="2686" xr:uid="{00000000-0005-0000-0000-0000DE080000}"/>
    <cellStyle name="Comma 8 2 19" xfId="2677" xr:uid="{00000000-0005-0000-0000-0000DF080000}"/>
    <cellStyle name="Comma 8 2 2" xfId="2687" xr:uid="{00000000-0005-0000-0000-0000E0080000}"/>
    <cellStyle name="Comma 8 2 3" xfId="2688" xr:uid="{00000000-0005-0000-0000-0000E1080000}"/>
    <cellStyle name="Comma 8 2 4" xfId="2689" xr:uid="{00000000-0005-0000-0000-0000E2080000}"/>
    <cellStyle name="Comma 8 2 5" xfId="2690" xr:uid="{00000000-0005-0000-0000-0000E3080000}"/>
    <cellStyle name="Comma 8 2 6" xfId="2691" xr:uid="{00000000-0005-0000-0000-0000E4080000}"/>
    <cellStyle name="Comma 8 2 7" xfId="2692" xr:uid="{00000000-0005-0000-0000-0000E5080000}"/>
    <cellStyle name="Comma 8 2 8" xfId="2693" xr:uid="{00000000-0005-0000-0000-0000E6080000}"/>
    <cellStyle name="Comma 8 2 9" xfId="2694" xr:uid="{00000000-0005-0000-0000-0000E7080000}"/>
    <cellStyle name="Comma 8 20" xfId="2695" xr:uid="{00000000-0005-0000-0000-0000E8080000}"/>
    <cellStyle name="Comma 8 21" xfId="2696" xr:uid="{00000000-0005-0000-0000-0000E9080000}"/>
    <cellStyle name="Comma 8 22" xfId="2697" xr:uid="{00000000-0005-0000-0000-0000EA080000}"/>
    <cellStyle name="Comma 8 23" xfId="2698" xr:uid="{00000000-0005-0000-0000-0000EB080000}"/>
    <cellStyle name="Comma 8 24" xfId="2699" xr:uid="{00000000-0005-0000-0000-0000EC080000}"/>
    <cellStyle name="Comma 8 25" xfId="2700" xr:uid="{00000000-0005-0000-0000-0000ED080000}"/>
    <cellStyle name="Comma 8 26" xfId="2701" xr:uid="{00000000-0005-0000-0000-0000EE080000}"/>
    <cellStyle name="Comma 8 27" xfId="2702" xr:uid="{00000000-0005-0000-0000-0000EF080000}"/>
    <cellStyle name="Comma 8 28" xfId="2703" xr:uid="{00000000-0005-0000-0000-0000F0080000}"/>
    <cellStyle name="Comma 8 29" xfId="2704" xr:uid="{00000000-0005-0000-0000-0000F1080000}"/>
    <cellStyle name="Comma 8 3" xfId="2705" xr:uid="{00000000-0005-0000-0000-0000F2080000}"/>
    <cellStyle name="Comma 8 30" xfId="2706" xr:uid="{00000000-0005-0000-0000-0000F3080000}"/>
    <cellStyle name="Comma 8 31" xfId="2707" xr:uid="{00000000-0005-0000-0000-0000F4080000}"/>
    <cellStyle name="Comma 8 32" xfId="2708" xr:uid="{00000000-0005-0000-0000-0000F5080000}"/>
    <cellStyle name="Comma 8 33" xfId="2709" xr:uid="{00000000-0005-0000-0000-0000F6080000}"/>
    <cellStyle name="Comma 8 34" xfId="2710" xr:uid="{00000000-0005-0000-0000-0000F7080000}"/>
    <cellStyle name="Comma 8 35" xfId="2711" xr:uid="{00000000-0005-0000-0000-0000F8080000}"/>
    <cellStyle name="Comma 8 36" xfId="2712" xr:uid="{00000000-0005-0000-0000-0000F9080000}"/>
    <cellStyle name="Comma 8 37" xfId="2713" xr:uid="{00000000-0005-0000-0000-0000FA080000}"/>
    <cellStyle name="Comma 8 38" xfId="2714" xr:uid="{00000000-0005-0000-0000-0000FB080000}"/>
    <cellStyle name="Comma 8 39" xfId="2715" xr:uid="{00000000-0005-0000-0000-0000FC080000}"/>
    <cellStyle name="Comma 8 4" xfId="2716" xr:uid="{00000000-0005-0000-0000-0000FD080000}"/>
    <cellStyle name="Comma 8 40" xfId="2717" xr:uid="{00000000-0005-0000-0000-0000FE080000}"/>
    <cellStyle name="Comma 8 41" xfId="2718" xr:uid="{00000000-0005-0000-0000-0000FF080000}"/>
    <cellStyle name="Comma 8 42" xfId="2719" xr:uid="{00000000-0005-0000-0000-000000090000}"/>
    <cellStyle name="Comma 8 43" xfId="2720" xr:uid="{00000000-0005-0000-0000-000001090000}"/>
    <cellStyle name="Comma 8 44" xfId="2721" xr:uid="{00000000-0005-0000-0000-000002090000}"/>
    <cellStyle name="Comma 8 45" xfId="2722" xr:uid="{00000000-0005-0000-0000-000003090000}"/>
    <cellStyle name="Comma 8 46" xfId="2723" xr:uid="{00000000-0005-0000-0000-000004090000}"/>
    <cellStyle name="Comma 8 47" xfId="2724" xr:uid="{00000000-0005-0000-0000-000005090000}"/>
    <cellStyle name="Comma 8 48" xfId="2725" xr:uid="{00000000-0005-0000-0000-000006090000}"/>
    <cellStyle name="Comma 8 49" xfId="2726" xr:uid="{00000000-0005-0000-0000-000007090000}"/>
    <cellStyle name="Comma 8 5" xfId="2727" xr:uid="{00000000-0005-0000-0000-000008090000}"/>
    <cellStyle name="Comma 8 50" xfId="2728" xr:uid="{00000000-0005-0000-0000-000009090000}"/>
    <cellStyle name="Comma 8 51" xfId="2729" xr:uid="{00000000-0005-0000-0000-00000A090000}"/>
    <cellStyle name="Comma 8 52" xfId="2730" xr:uid="{00000000-0005-0000-0000-00000B090000}"/>
    <cellStyle name="Comma 8 53" xfId="2731" xr:uid="{00000000-0005-0000-0000-00000C090000}"/>
    <cellStyle name="Comma 8 54" xfId="2666" xr:uid="{00000000-0005-0000-0000-00000D090000}"/>
    <cellStyle name="Comma 8 6" xfId="2732" xr:uid="{00000000-0005-0000-0000-00000E090000}"/>
    <cellStyle name="Comma 8 7" xfId="2733" xr:uid="{00000000-0005-0000-0000-00000F090000}"/>
    <cellStyle name="Comma 8 8" xfId="2734" xr:uid="{00000000-0005-0000-0000-000010090000}"/>
    <cellStyle name="Comma 8 9" xfId="2735" xr:uid="{00000000-0005-0000-0000-000011090000}"/>
    <cellStyle name="Comma 80" xfId="4755" xr:uid="{00000000-0005-0000-0000-000012090000}"/>
    <cellStyle name="Comma 81" xfId="4756" xr:uid="{00000000-0005-0000-0000-000013090000}"/>
    <cellStyle name="Comma 82" xfId="5099" xr:uid="{00000000-0005-0000-0000-000014090000}"/>
    <cellStyle name="Comma 83" xfId="5110" xr:uid="{00000000-0005-0000-0000-000015090000}"/>
    <cellStyle name="Comma 84" xfId="5270" xr:uid="{00000000-0005-0000-0000-000016090000}"/>
    <cellStyle name="Comma 85" xfId="5271" xr:uid="{00000000-0005-0000-0000-000017090000}"/>
    <cellStyle name="Comma 86" xfId="5277" xr:uid="{211E4554-6B7B-42AB-AD05-33F72955AC9C}"/>
    <cellStyle name="Comma 87" xfId="5281" xr:uid="{9E861B73-384C-4F08-B1D3-782BD7CABBFA}"/>
    <cellStyle name="Comma 88" xfId="5282" xr:uid="{56639C38-1102-49D3-B0F9-BF784EF126F9}"/>
    <cellStyle name="Comma 89" xfId="5286" xr:uid="{FC420C76-187C-4CD9-81CE-B39EFF96BEC6}"/>
    <cellStyle name="Comma 9" xfId="166" xr:uid="{00000000-0005-0000-0000-000018090000}"/>
    <cellStyle name="Comma 9 10" xfId="2737" xr:uid="{00000000-0005-0000-0000-000019090000}"/>
    <cellStyle name="Comma 9 11" xfId="2738" xr:uid="{00000000-0005-0000-0000-00001A090000}"/>
    <cellStyle name="Comma 9 12" xfId="2739" xr:uid="{00000000-0005-0000-0000-00001B090000}"/>
    <cellStyle name="Comma 9 13" xfId="2740" xr:uid="{00000000-0005-0000-0000-00001C090000}"/>
    <cellStyle name="Comma 9 14" xfId="2741" xr:uid="{00000000-0005-0000-0000-00001D090000}"/>
    <cellStyle name="Comma 9 15" xfId="2742" xr:uid="{00000000-0005-0000-0000-00001E090000}"/>
    <cellStyle name="Comma 9 16" xfId="2743" xr:uid="{00000000-0005-0000-0000-00001F090000}"/>
    <cellStyle name="Comma 9 17" xfId="2744" xr:uid="{00000000-0005-0000-0000-000020090000}"/>
    <cellStyle name="Comma 9 18" xfId="2745" xr:uid="{00000000-0005-0000-0000-000021090000}"/>
    <cellStyle name="Comma 9 19" xfId="2746" xr:uid="{00000000-0005-0000-0000-000022090000}"/>
    <cellStyle name="Comma 9 2" xfId="195" xr:uid="{00000000-0005-0000-0000-000023090000}"/>
    <cellStyle name="Comma 9 2 10" xfId="2748" xr:uid="{00000000-0005-0000-0000-000024090000}"/>
    <cellStyle name="Comma 9 2 11" xfId="2749" xr:uid="{00000000-0005-0000-0000-000025090000}"/>
    <cellStyle name="Comma 9 2 12" xfId="2750" xr:uid="{00000000-0005-0000-0000-000026090000}"/>
    <cellStyle name="Comma 9 2 13" xfId="2751" xr:uid="{00000000-0005-0000-0000-000027090000}"/>
    <cellStyle name="Comma 9 2 14" xfId="2752" xr:uid="{00000000-0005-0000-0000-000028090000}"/>
    <cellStyle name="Comma 9 2 15" xfId="2753" xr:uid="{00000000-0005-0000-0000-000029090000}"/>
    <cellStyle name="Comma 9 2 16" xfId="2754" xr:uid="{00000000-0005-0000-0000-00002A090000}"/>
    <cellStyle name="Comma 9 2 17" xfId="2755" xr:uid="{00000000-0005-0000-0000-00002B090000}"/>
    <cellStyle name="Comma 9 2 18" xfId="2756" xr:uid="{00000000-0005-0000-0000-00002C090000}"/>
    <cellStyle name="Comma 9 2 19" xfId="2747" xr:uid="{00000000-0005-0000-0000-00002D090000}"/>
    <cellStyle name="Comma 9 2 2" xfId="249" xr:uid="{00000000-0005-0000-0000-00002E090000}"/>
    <cellStyle name="Comma 9 2 2 2" xfId="315" xr:uid="{00000000-0005-0000-0000-00002F090000}"/>
    <cellStyle name="Comma 9 2 2 2 2" xfId="553" xr:uid="{00000000-0005-0000-0000-000030090000}"/>
    <cellStyle name="Comma 9 2 2 2 2 2" xfId="4929" xr:uid="{00000000-0005-0000-0000-000031090000}"/>
    <cellStyle name="Comma 9 2 2 2 2 3" xfId="5006" xr:uid="{00000000-0005-0000-0000-000032090000}"/>
    <cellStyle name="Comma 9 2 2 2 3" xfId="4855" xr:uid="{00000000-0005-0000-0000-000033090000}"/>
    <cellStyle name="Comma 9 2 2 2 4" xfId="5074" xr:uid="{00000000-0005-0000-0000-000034090000}"/>
    <cellStyle name="Comma 9 2 2 3" xfId="383" xr:uid="{00000000-0005-0000-0000-000035090000}"/>
    <cellStyle name="Comma 9 2 2 3 2" xfId="621" xr:uid="{00000000-0005-0000-0000-000036090000}"/>
    <cellStyle name="Comma 9 2 2 3 2 2" xfId="4953" xr:uid="{00000000-0005-0000-0000-000037090000}"/>
    <cellStyle name="Comma 9 2 2 3 2 3" xfId="4982" xr:uid="{00000000-0005-0000-0000-000038090000}"/>
    <cellStyle name="Comma 9 2 2 3 3" xfId="4879" xr:uid="{00000000-0005-0000-0000-000039090000}"/>
    <cellStyle name="Comma 9 2 2 3 4" xfId="5050" xr:uid="{00000000-0005-0000-0000-00003A090000}"/>
    <cellStyle name="Comma 9 2 2 4" xfId="491" xr:uid="{00000000-0005-0000-0000-00003B090000}"/>
    <cellStyle name="Comma 9 2 2 4 2" xfId="4905" xr:uid="{00000000-0005-0000-0000-00003C090000}"/>
    <cellStyle name="Comma 9 2 2 4 3" xfId="5030" xr:uid="{00000000-0005-0000-0000-00003D090000}"/>
    <cellStyle name="Comma 9 2 2 5" xfId="2757" xr:uid="{00000000-0005-0000-0000-00003E090000}"/>
    <cellStyle name="Comma 9 2 2 6" xfId="4831" xr:uid="{00000000-0005-0000-0000-00003F090000}"/>
    <cellStyle name="Comma 9 2 2 7" xfId="5163" xr:uid="{00000000-0005-0000-0000-000040090000}"/>
    <cellStyle name="Comma 9 2 20" xfId="4821" xr:uid="{00000000-0005-0000-0000-000041090000}"/>
    <cellStyle name="Comma 9 2 21" xfId="5102" xr:uid="{00000000-0005-0000-0000-000042090000}"/>
    <cellStyle name="Comma 9 2 3" xfId="287" xr:uid="{00000000-0005-0000-0000-000043090000}"/>
    <cellStyle name="Comma 9 2 3 2" xfId="323" xr:uid="{00000000-0005-0000-0000-000044090000}"/>
    <cellStyle name="Comma 9 2 3 2 2" xfId="561" xr:uid="{00000000-0005-0000-0000-000045090000}"/>
    <cellStyle name="Comma 9 2 3 2 2 2" xfId="4937" xr:uid="{00000000-0005-0000-0000-000046090000}"/>
    <cellStyle name="Comma 9 2 3 2 2 3" xfId="4998" xr:uid="{00000000-0005-0000-0000-000047090000}"/>
    <cellStyle name="Comma 9 2 3 2 3" xfId="4863" xr:uid="{00000000-0005-0000-0000-000048090000}"/>
    <cellStyle name="Comma 9 2 3 2 4" xfId="5066" xr:uid="{00000000-0005-0000-0000-000049090000}"/>
    <cellStyle name="Comma 9 2 3 3" xfId="417" xr:uid="{00000000-0005-0000-0000-00004A090000}"/>
    <cellStyle name="Comma 9 2 3 3 2" xfId="655" xr:uid="{00000000-0005-0000-0000-00004B090000}"/>
    <cellStyle name="Comma 9 2 3 3 2 2" xfId="4961" xr:uid="{00000000-0005-0000-0000-00004C090000}"/>
    <cellStyle name="Comma 9 2 3 3 2 3" xfId="4974" xr:uid="{00000000-0005-0000-0000-00004D090000}"/>
    <cellStyle name="Comma 9 2 3 3 3" xfId="4887" xr:uid="{00000000-0005-0000-0000-00004E090000}"/>
    <cellStyle name="Comma 9 2 3 3 4" xfId="4800" xr:uid="{00000000-0005-0000-0000-00004F090000}"/>
    <cellStyle name="Comma 9 2 3 4" xfId="525" xr:uid="{00000000-0005-0000-0000-000050090000}"/>
    <cellStyle name="Comma 9 2 3 4 2" xfId="4913" xr:uid="{00000000-0005-0000-0000-000051090000}"/>
    <cellStyle name="Comma 9 2 3 4 3" xfId="5022" xr:uid="{00000000-0005-0000-0000-000052090000}"/>
    <cellStyle name="Comma 9 2 3 5" xfId="2758" xr:uid="{00000000-0005-0000-0000-000053090000}"/>
    <cellStyle name="Comma 9 2 3 6" xfId="4839" xr:uid="{00000000-0005-0000-0000-000054090000}"/>
    <cellStyle name="Comma 9 2 3 7" xfId="5090" xr:uid="{00000000-0005-0000-0000-000055090000}"/>
    <cellStyle name="Comma 9 2 4" xfId="307" xr:uid="{00000000-0005-0000-0000-000056090000}"/>
    <cellStyle name="Comma 9 2 4 2" xfId="545" xr:uid="{00000000-0005-0000-0000-000057090000}"/>
    <cellStyle name="Comma 9 2 4 2 2" xfId="4921" xr:uid="{00000000-0005-0000-0000-000058090000}"/>
    <cellStyle name="Comma 9 2 4 2 3" xfId="5014" xr:uid="{00000000-0005-0000-0000-000059090000}"/>
    <cellStyle name="Comma 9 2 4 3" xfId="2759" xr:uid="{00000000-0005-0000-0000-00005A090000}"/>
    <cellStyle name="Comma 9 2 4 4" xfId="4847" xr:uid="{00000000-0005-0000-0000-00005B090000}"/>
    <cellStyle name="Comma 9 2 4 5" xfId="5082" xr:uid="{00000000-0005-0000-0000-00005C090000}"/>
    <cellStyle name="Comma 9 2 5" xfId="349" xr:uid="{00000000-0005-0000-0000-00005D090000}"/>
    <cellStyle name="Comma 9 2 5 2" xfId="587" xr:uid="{00000000-0005-0000-0000-00005E090000}"/>
    <cellStyle name="Comma 9 2 5 2 2" xfId="4945" xr:uid="{00000000-0005-0000-0000-00005F090000}"/>
    <cellStyle name="Comma 9 2 5 2 3" xfId="4990" xr:uid="{00000000-0005-0000-0000-000060090000}"/>
    <cellStyle name="Comma 9 2 5 3" xfId="2760" xr:uid="{00000000-0005-0000-0000-000061090000}"/>
    <cellStyle name="Comma 9 2 5 4" xfId="4871" xr:uid="{00000000-0005-0000-0000-000062090000}"/>
    <cellStyle name="Comma 9 2 5 5" xfId="5058" xr:uid="{00000000-0005-0000-0000-000063090000}"/>
    <cellStyle name="Comma 9 2 6" xfId="457" xr:uid="{00000000-0005-0000-0000-000064090000}"/>
    <cellStyle name="Comma 9 2 6 2" xfId="2761" xr:uid="{00000000-0005-0000-0000-000065090000}"/>
    <cellStyle name="Comma 9 2 6 3" xfId="4897" xr:uid="{00000000-0005-0000-0000-000066090000}"/>
    <cellStyle name="Comma 9 2 6 4" xfId="5038" xr:uid="{00000000-0005-0000-0000-000067090000}"/>
    <cellStyle name="Comma 9 2 7" xfId="2762" xr:uid="{00000000-0005-0000-0000-000068090000}"/>
    <cellStyle name="Comma 9 2 8" xfId="2763" xr:uid="{00000000-0005-0000-0000-000069090000}"/>
    <cellStyle name="Comma 9 2 9" xfId="2764" xr:uid="{00000000-0005-0000-0000-00006A090000}"/>
    <cellStyle name="Comma 9 20" xfId="2765" xr:uid="{00000000-0005-0000-0000-00006B090000}"/>
    <cellStyle name="Comma 9 21" xfId="2766" xr:uid="{00000000-0005-0000-0000-00006C090000}"/>
    <cellStyle name="Comma 9 22" xfId="2767" xr:uid="{00000000-0005-0000-0000-00006D090000}"/>
    <cellStyle name="Comma 9 23" xfId="2768" xr:uid="{00000000-0005-0000-0000-00006E090000}"/>
    <cellStyle name="Comma 9 24" xfId="2769" xr:uid="{00000000-0005-0000-0000-00006F090000}"/>
    <cellStyle name="Comma 9 25" xfId="2770" xr:uid="{00000000-0005-0000-0000-000070090000}"/>
    <cellStyle name="Comma 9 26" xfId="2771" xr:uid="{00000000-0005-0000-0000-000071090000}"/>
    <cellStyle name="Comma 9 27" xfId="2772" xr:uid="{00000000-0005-0000-0000-000072090000}"/>
    <cellStyle name="Comma 9 28" xfId="2773" xr:uid="{00000000-0005-0000-0000-000073090000}"/>
    <cellStyle name="Comma 9 29" xfId="2774" xr:uid="{00000000-0005-0000-0000-000074090000}"/>
    <cellStyle name="Comma 9 3" xfId="223" xr:uid="{00000000-0005-0000-0000-000075090000}"/>
    <cellStyle name="Comma 9 3 2" xfId="311" xr:uid="{00000000-0005-0000-0000-000076090000}"/>
    <cellStyle name="Comma 9 3 2 2" xfId="549" xr:uid="{00000000-0005-0000-0000-000077090000}"/>
    <cellStyle name="Comma 9 3 2 2 2" xfId="4925" xr:uid="{00000000-0005-0000-0000-000078090000}"/>
    <cellStyle name="Comma 9 3 2 2 3" xfId="5010" xr:uid="{00000000-0005-0000-0000-000079090000}"/>
    <cellStyle name="Comma 9 3 2 3" xfId="4851" xr:uid="{00000000-0005-0000-0000-00007A090000}"/>
    <cellStyle name="Comma 9 3 2 4" xfId="5078" xr:uid="{00000000-0005-0000-0000-00007B090000}"/>
    <cellStyle name="Comma 9 3 3" xfId="370" xr:uid="{00000000-0005-0000-0000-00007C090000}"/>
    <cellStyle name="Comma 9 3 3 2" xfId="608" xr:uid="{00000000-0005-0000-0000-00007D090000}"/>
    <cellStyle name="Comma 9 3 3 2 2" xfId="4949" xr:uid="{00000000-0005-0000-0000-00007E090000}"/>
    <cellStyle name="Comma 9 3 3 2 3" xfId="4986" xr:uid="{00000000-0005-0000-0000-00007F090000}"/>
    <cellStyle name="Comma 9 3 3 3" xfId="4875" xr:uid="{00000000-0005-0000-0000-000080090000}"/>
    <cellStyle name="Comma 9 3 3 4" xfId="5054" xr:uid="{00000000-0005-0000-0000-000081090000}"/>
    <cellStyle name="Comma 9 3 4" xfId="478" xr:uid="{00000000-0005-0000-0000-000082090000}"/>
    <cellStyle name="Comma 9 3 4 2" xfId="4901" xr:uid="{00000000-0005-0000-0000-000083090000}"/>
    <cellStyle name="Comma 9 3 4 3" xfId="5034" xr:uid="{00000000-0005-0000-0000-000084090000}"/>
    <cellStyle name="Comma 9 3 5" xfId="2775" xr:uid="{00000000-0005-0000-0000-000085090000}"/>
    <cellStyle name="Comma 9 3 6" xfId="4825" xr:uid="{00000000-0005-0000-0000-000086090000}"/>
    <cellStyle name="Comma 9 3 7" xfId="5098" xr:uid="{00000000-0005-0000-0000-000087090000}"/>
    <cellStyle name="Comma 9 30" xfId="2776" xr:uid="{00000000-0005-0000-0000-000088090000}"/>
    <cellStyle name="Comma 9 31" xfId="2777" xr:uid="{00000000-0005-0000-0000-000089090000}"/>
    <cellStyle name="Comma 9 32" xfId="2778" xr:uid="{00000000-0005-0000-0000-00008A090000}"/>
    <cellStyle name="Comma 9 33" xfId="2779" xr:uid="{00000000-0005-0000-0000-00008B090000}"/>
    <cellStyle name="Comma 9 34" xfId="2780" xr:uid="{00000000-0005-0000-0000-00008C090000}"/>
    <cellStyle name="Comma 9 35" xfId="2781" xr:uid="{00000000-0005-0000-0000-00008D090000}"/>
    <cellStyle name="Comma 9 36" xfId="2782" xr:uid="{00000000-0005-0000-0000-00008E090000}"/>
    <cellStyle name="Comma 9 37" xfId="2783" xr:uid="{00000000-0005-0000-0000-00008F090000}"/>
    <cellStyle name="Comma 9 38" xfId="2784" xr:uid="{00000000-0005-0000-0000-000090090000}"/>
    <cellStyle name="Comma 9 39" xfId="2785" xr:uid="{00000000-0005-0000-0000-000091090000}"/>
    <cellStyle name="Comma 9 4" xfId="272" xr:uid="{00000000-0005-0000-0000-000092090000}"/>
    <cellStyle name="Comma 9 4 2" xfId="319" xr:uid="{00000000-0005-0000-0000-000093090000}"/>
    <cellStyle name="Comma 9 4 2 2" xfId="557" xr:uid="{00000000-0005-0000-0000-000094090000}"/>
    <cellStyle name="Comma 9 4 2 2 2" xfId="4933" xr:uid="{00000000-0005-0000-0000-000095090000}"/>
    <cellStyle name="Comma 9 4 2 2 3" xfId="5002" xr:uid="{00000000-0005-0000-0000-000096090000}"/>
    <cellStyle name="Comma 9 4 2 3" xfId="4859" xr:uid="{00000000-0005-0000-0000-000097090000}"/>
    <cellStyle name="Comma 9 4 2 4" xfId="5070" xr:uid="{00000000-0005-0000-0000-000098090000}"/>
    <cellStyle name="Comma 9 4 3" xfId="402" xr:uid="{00000000-0005-0000-0000-000099090000}"/>
    <cellStyle name="Comma 9 4 3 2" xfId="640" xr:uid="{00000000-0005-0000-0000-00009A090000}"/>
    <cellStyle name="Comma 9 4 3 2 2" xfId="4957" xr:uid="{00000000-0005-0000-0000-00009B090000}"/>
    <cellStyle name="Comma 9 4 3 2 3" xfId="4978" xr:uid="{00000000-0005-0000-0000-00009C090000}"/>
    <cellStyle name="Comma 9 4 3 3" xfId="4883" xr:uid="{00000000-0005-0000-0000-00009D090000}"/>
    <cellStyle name="Comma 9 4 3 4" xfId="5046" xr:uid="{00000000-0005-0000-0000-00009E090000}"/>
    <cellStyle name="Comma 9 4 4" xfId="510" xr:uid="{00000000-0005-0000-0000-00009F090000}"/>
    <cellStyle name="Comma 9 4 4 2" xfId="4909" xr:uid="{00000000-0005-0000-0000-0000A0090000}"/>
    <cellStyle name="Comma 9 4 4 3" xfId="5026" xr:uid="{00000000-0005-0000-0000-0000A1090000}"/>
    <cellStyle name="Comma 9 4 5" xfId="2786" xr:uid="{00000000-0005-0000-0000-0000A2090000}"/>
    <cellStyle name="Comma 9 4 6" xfId="4835" xr:uid="{00000000-0005-0000-0000-0000A3090000}"/>
    <cellStyle name="Comma 9 4 7" xfId="5094" xr:uid="{00000000-0005-0000-0000-0000A4090000}"/>
    <cellStyle name="Comma 9 40" xfId="2787" xr:uid="{00000000-0005-0000-0000-0000A5090000}"/>
    <cellStyle name="Comma 9 41" xfId="2788" xr:uid="{00000000-0005-0000-0000-0000A6090000}"/>
    <cellStyle name="Comma 9 42" xfId="2789" xr:uid="{00000000-0005-0000-0000-0000A7090000}"/>
    <cellStyle name="Comma 9 43" xfId="2790" xr:uid="{00000000-0005-0000-0000-0000A8090000}"/>
    <cellStyle name="Comma 9 44" xfId="2791" xr:uid="{00000000-0005-0000-0000-0000A9090000}"/>
    <cellStyle name="Comma 9 45" xfId="2792" xr:uid="{00000000-0005-0000-0000-0000AA090000}"/>
    <cellStyle name="Comma 9 46" xfId="2793" xr:uid="{00000000-0005-0000-0000-0000AB090000}"/>
    <cellStyle name="Comma 9 47" xfId="2794" xr:uid="{00000000-0005-0000-0000-0000AC090000}"/>
    <cellStyle name="Comma 9 48" xfId="2795" xr:uid="{00000000-0005-0000-0000-0000AD090000}"/>
    <cellStyle name="Comma 9 49" xfId="2796" xr:uid="{00000000-0005-0000-0000-0000AE090000}"/>
    <cellStyle name="Comma 9 5" xfId="303" xr:uid="{00000000-0005-0000-0000-0000AF090000}"/>
    <cellStyle name="Comma 9 5 2" xfId="541" xr:uid="{00000000-0005-0000-0000-0000B0090000}"/>
    <cellStyle name="Comma 9 5 2 2" xfId="4917" xr:uid="{00000000-0005-0000-0000-0000B1090000}"/>
    <cellStyle name="Comma 9 5 2 3" xfId="5018" xr:uid="{00000000-0005-0000-0000-0000B2090000}"/>
    <cellStyle name="Comma 9 5 3" xfId="2797" xr:uid="{00000000-0005-0000-0000-0000B3090000}"/>
    <cellStyle name="Comma 9 5 4" xfId="4843" xr:uid="{00000000-0005-0000-0000-0000B4090000}"/>
    <cellStyle name="Comma 9 5 5" xfId="5086" xr:uid="{00000000-0005-0000-0000-0000B5090000}"/>
    <cellStyle name="Comma 9 50" xfId="2798" xr:uid="{00000000-0005-0000-0000-0000B6090000}"/>
    <cellStyle name="Comma 9 51" xfId="2799" xr:uid="{00000000-0005-0000-0000-0000B7090000}"/>
    <cellStyle name="Comma 9 52" xfId="2800" xr:uid="{00000000-0005-0000-0000-0000B8090000}"/>
    <cellStyle name="Comma 9 53" xfId="2801" xr:uid="{00000000-0005-0000-0000-0000B9090000}"/>
    <cellStyle name="Comma 9 54" xfId="2736" xr:uid="{00000000-0005-0000-0000-0000BA090000}"/>
    <cellStyle name="Comma 9 55" xfId="4814" xr:uid="{00000000-0005-0000-0000-0000BB090000}"/>
    <cellStyle name="Comma 9 56" xfId="5107" xr:uid="{00000000-0005-0000-0000-0000BC090000}"/>
    <cellStyle name="Comma 9 6" xfId="334" xr:uid="{00000000-0005-0000-0000-0000BD090000}"/>
    <cellStyle name="Comma 9 6 2" xfId="572" xr:uid="{00000000-0005-0000-0000-0000BE090000}"/>
    <cellStyle name="Comma 9 6 2 2" xfId="4941" xr:uid="{00000000-0005-0000-0000-0000BF090000}"/>
    <cellStyle name="Comma 9 6 2 3" xfId="4994" xr:uid="{00000000-0005-0000-0000-0000C0090000}"/>
    <cellStyle name="Comma 9 6 3" xfId="2802" xr:uid="{00000000-0005-0000-0000-0000C1090000}"/>
    <cellStyle name="Comma 9 6 4" xfId="4867" xr:uid="{00000000-0005-0000-0000-0000C2090000}"/>
    <cellStyle name="Comma 9 6 5" xfId="5062" xr:uid="{00000000-0005-0000-0000-0000C3090000}"/>
    <cellStyle name="Comma 9 7" xfId="442" xr:uid="{00000000-0005-0000-0000-0000C4090000}"/>
    <cellStyle name="Comma 9 7 2" xfId="2803" xr:uid="{00000000-0005-0000-0000-0000C5090000}"/>
    <cellStyle name="Comma 9 7 3" xfId="4893" xr:uid="{00000000-0005-0000-0000-0000C6090000}"/>
    <cellStyle name="Comma 9 7 4" xfId="5042" xr:uid="{00000000-0005-0000-0000-0000C7090000}"/>
    <cellStyle name="Comma 9 8" xfId="2804" xr:uid="{00000000-0005-0000-0000-0000C8090000}"/>
    <cellStyle name="Comma 9 9" xfId="2805" xr:uid="{00000000-0005-0000-0000-0000C9090000}"/>
    <cellStyle name="Comma 90" xfId="5285" xr:uid="{61C818F2-E21F-4F0D-B7BE-1BEF4B70802E}"/>
    <cellStyle name="Comma 91" xfId="5289" xr:uid="{41283B43-33C7-4B02-8E4E-BFCF472B3DFD}"/>
    <cellStyle name="Comma 92" xfId="5290" xr:uid="{91A85210-DDE0-4A19-A7B6-A9D81974CB14}"/>
    <cellStyle name="Comma 93" xfId="5292" xr:uid="{B7D17872-E9C6-4C59-BBEA-E4F60AE4C040}"/>
    <cellStyle name="Comma 94" xfId="5294" xr:uid="{55E72D5A-06E0-4138-AE55-BC00E979F1AD}"/>
    <cellStyle name="Comma 95" xfId="5296" xr:uid="{2D16ED26-E5A9-4A94-A5AB-26A6FC5B2BC9}"/>
    <cellStyle name="Comma 96" xfId="5298" xr:uid="{A3DF927E-05FB-401A-9A4F-F4FB5AED1191}"/>
    <cellStyle name="Comma0" xfId="167" xr:uid="{00000000-0005-0000-0000-0000CA090000}"/>
    <cellStyle name="Comma0 2" xfId="224" xr:uid="{00000000-0005-0000-0000-0000CB090000}"/>
    <cellStyle name="Control" xfId="2806" xr:uid="{00000000-0005-0000-0000-0000CC090000}"/>
    <cellStyle name="Curren - Style3" xfId="2807" xr:uid="{00000000-0005-0000-0000-0000CD090000}"/>
    <cellStyle name="Curren - Style4" xfId="2808" xr:uid="{00000000-0005-0000-0000-0000CE090000}"/>
    <cellStyle name="Currency" xfId="1" builtinId="4"/>
    <cellStyle name="Currency 10" xfId="273" xr:uid="{00000000-0005-0000-0000-0000D0090000}"/>
    <cellStyle name="Currency 10 2" xfId="403" xr:uid="{00000000-0005-0000-0000-0000D1090000}"/>
    <cellStyle name="Currency 10 2 2" xfId="641" xr:uid="{00000000-0005-0000-0000-0000D2090000}"/>
    <cellStyle name="Currency 10 3" xfId="511" xr:uid="{00000000-0005-0000-0000-0000D3090000}"/>
    <cellStyle name="Currency 11" xfId="335" xr:uid="{00000000-0005-0000-0000-0000D4090000}"/>
    <cellStyle name="Currency 11 2" xfId="573" xr:uid="{00000000-0005-0000-0000-0000D5090000}"/>
    <cellStyle name="Currency 12" xfId="443" xr:uid="{00000000-0005-0000-0000-0000D6090000}"/>
    <cellStyle name="Currency 13" xfId="154" xr:uid="{00000000-0005-0000-0000-0000D7090000}"/>
    <cellStyle name="Currency 13 2" xfId="4811" xr:uid="{00000000-0005-0000-0000-0000D8090000}"/>
    <cellStyle name="Currency 13 3" xfId="4809" xr:uid="{00000000-0005-0000-0000-0000D9090000}"/>
    <cellStyle name="Currency 14" xfId="5275" xr:uid="{E901D2A6-40A9-4338-829D-FB7EEB6ACA29}"/>
    <cellStyle name="Currency 15" xfId="5319" xr:uid="{0FD41B93-53AB-4A1A-84BC-C7871DD6E1D7}"/>
    <cellStyle name="Currency 18" xfId="5299" xr:uid="{69691D22-763C-4159-B8C2-B8F4D91F7F04}"/>
    <cellStyle name="Currency 2" xfId="3" xr:uid="{00000000-0005-0000-0000-0000DA090000}"/>
    <cellStyle name="Currency 2 2" xfId="85" xr:uid="{00000000-0005-0000-0000-0000DB090000}"/>
    <cellStyle name="Currency 2 2 2" xfId="371" xr:uid="{00000000-0005-0000-0000-0000DC090000}"/>
    <cellStyle name="Currency 2 2 2 2" xfId="609" xr:uid="{00000000-0005-0000-0000-0000DD090000}"/>
    <cellStyle name="Currency 2 2 2 2 2 2" xfId="5300" xr:uid="{DBCC4880-94A4-4CFE-9AC2-47CF78FBC568}"/>
    <cellStyle name="Currency 2 2 2 3" xfId="682" xr:uid="{00000000-0005-0000-0000-0000DE090000}"/>
    <cellStyle name="Currency 2 2 3" xfId="479" xr:uid="{00000000-0005-0000-0000-0000DF090000}"/>
    <cellStyle name="Currency 2 2 4" xfId="225" xr:uid="{00000000-0005-0000-0000-0000E0090000}"/>
    <cellStyle name="Currency 2 3" xfId="149" xr:uid="{00000000-0005-0000-0000-0000E1090000}"/>
    <cellStyle name="Currency 2 3 2" xfId="404" xr:uid="{00000000-0005-0000-0000-0000E2090000}"/>
    <cellStyle name="Currency 2 3 2 2" xfId="642" xr:uid="{00000000-0005-0000-0000-0000E3090000}"/>
    <cellStyle name="Currency 2 3 3" xfId="512" xr:uid="{00000000-0005-0000-0000-0000E4090000}"/>
    <cellStyle name="Currency 2 3 4" xfId="675" xr:uid="{00000000-0005-0000-0000-0000E5090000}"/>
    <cellStyle name="Currency 2 3 5" xfId="274" xr:uid="{00000000-0005-0000-0000-0000E6090000}"/>
    <cellStyle name="Currency 2 4" xfId="336" xr:uid="{00000000-0005-0000-0000-0000E7090000}"/>
    <cellStyle name="Currency 2 4 2" xfId="574" xr:uid="{00000000-0005-0000-0000-0000E8090000}"/>
    <cellStyle name="Currency 2 5" xfId="444" xr:uid="{00000000-0005-0000-0000-0000E9090000}"/>
    <cellStyle name="Currency 2 6" xfId="168" xr:uid="{00000000-0005-0000-0000-0000EA090000}"/>
    <cellStyle name="Currency 2 7" xfId="673" xr:uid="{00000000-0005-0000-0000-0000EB090000}"/>
    <cellStyle name="Currency 2 8" xfId="5278" xr:uid="{EB3274ED-56E9-4A34-A3E5-09986ABDE8B4}"/>
    <cellStyle name="Currency 23" xfId="5301" xr:uid="{E37D8561-EF1E-455D-980C-BF981ED3EF06}"/>
    <cellStyle name="Currency 24" xfId="5302" xr:uid="{288F7692-B270-4641-A4CE-F3CE4ABDF8C1}"/>
    <cellStyle name="Currency 25" xfId="5303" xr:uid="{3467CA9A-5A43-4943-97AA-6856F59C42D2}"/>
    <cellStyle name="Currency 3" xfId="86" xr:uid="{00000000-0005-0000-0000-0000EC090000}"/>
    <cellStyle name="Currency 3 10" xfId="4688" xr:uid="{00000000-0005-0000-0000-0000ED090000}"/>
    <cellStyle name="Currency 3 11" xfId="4744" xr:uid="{00000000-0005-0000-0000-0000EE090000}"/>
    <cellStyle name="Currency 3 12" xfId="5245" xr:uid="{00000000-0005-0000-0000-0000EF090000}"/>
    <cellStyle name="Currency 3 2" xfId="196" xr:uid="{00000000-0005-0000-0000-0000F0090000}"/>
    <cellStyle name="Currency 3 2 10" xfId="4713" xr:uid="{00000000-0005-0000-0000-0000F1090000}"/>
    <cellStyle name="Currency 3 2 11" xfId="4822" xr:uid="{00000000-0005-0000-0000-0000F2090000}"/>
    <cellStyle name="Currency 3 2 12" xfId="5101" xr:uid="{00000000-0005-0000-0000-0000F3090000}"/>
    <cellStyle name="Currency 3 2 2" xfId="250" xr:uid="{00000000-0005-0000-0000-0000F4090000}"/>
    <cellStyle name="Currency 3 2 2 2" xfId="316" xr:uid="{00000000-0005-0000-0000-0000F5090000}"/>
    <cellStyle name="Currency 3 2 2 2 2" xfId="554" xr:uid="{00000000-0005-0000-0000-0000F6090000}"/>
    <cellStyle name="Currency 3 2 2 2 2 2" xfId="4930" xr:uid="{00000000-0005-0000-0000-0000F7090000}"/>
    <cellStyle name="Currency 3 2 2 2 2 3" xfId="5005" xr:uid="{00000000-0005-0000-0000-0000F8090000}"/>
    <cellStyle name="Currency 3 2 2 2 3" xfId="4856" xr:uid="{00000000-0005-0000-0000-0000F9090000}"/>
    <cellStyle name="Currency 3 2 2 2 4" xfId="5073" xr:uid="{00000000-0005-0000-0000-0000FA090000}"/>
    <cellStyle name="Currency 3 2 2 3" xfId="384" xr:uid="{00000000-0005-0000-0000-0000FB090000}"/>
    <cellStyle name="Currency 3 2 2 3 2" xfId="622" xr:uid="{00000000-0005-0000-0000-0000FC090000}"/>
    <cellStyle name="Currency 3 2 2 3 2 2" xfId="4954" xr:uid="{00000000-0005-0000-0000-0000FD090000}"/>
    <cellStyle name="Currency 3 2 2 3 2 3" xfId="4981" xr:uid="{00000000-0005-0000-0000-0000FE090000}"/>
    <cellStyle name="Currency 3 2 2 3 3" xfId="4880" xr:uid="{00000000-0005-0000-0000-0000FF090000}"/>
    <cellStyle name="Currency 3 2 2 3 4" xfId="5049" xr:uid="{00000000-0005-0000-0000-0000000A0000}"/>
    <cellStyle name="Currency 3 2 2 4" xfId="492" xr:uid="{00000000-0005-0000-0000-0000010A0000}"/>
    <cellStyle name="Currency 3 2 2 4 2" xfId="4906" xr:uid="{00000000-0005-0000-0000-0000020A0000}"/>
    <cellStyle name="Currency 3 2 2 4 3" xfId="5029" xr:uid="{00000000-0005-0000-0000-0000030A0000}"/>
    <cellStyle name="Currency 3 2 2 5" xfId="4832" xr:uid="{00000000-0005-0000-0000-0000040A0000}"/>
    <cellStyle name="Currency 3 2 2 6" xfId="5136" xr:uid="{00000000-0005-0000-0000-0000050A0000}"/>
    <cellStyle name="Currency 3 2 3" xfId="288" xr:uid="{00000000-0005-0000-0000-0000060A0000}"/>
    <cellStyle name="Currency 3 2 3 2" xfId="324" xr:uid="{00000000-0005-0000-0000-0000070A0000}"/>
    <cellStyle name="Currency 3 2 3 2 2" xfId="562" xr:uid="{00000000-0005-0000-0000-0000080A0000}"/>
    <cellStyle name="Currency 3 2 3 2 2 2" xfId="4938" xr:uid="{00000000-0005-0000-0000-0000090A0000}"/>
    <cellStyle name="Currency 3 2 3 2 2 3" xfId="4997" xr:uid="{00000000-0005-0000-0000-00000A0A0000}"/>
    <cellStyle name="Currency 3 2 3 2 3" xfId="4864" xr:uid="{00000000-0005-0000-0000-00000B0A0000}"/>
    <cellStyle name="Currency 3 2 3 2 4" xfId="5065" xr:uid="{00000000-0005-0000-0000-00000C0A0000}"/>
    <cellStyle name="Currency 3 2 3 3" xfId="418" xr:uid="{00000000-0005-0000-0000-00000D0A0000}"/>
    <cellStyle name="Currency 3 2 3 3 2" xfId="656" xr:uid="{00000000-0005-0000-0000-00000E0A0000}"/>
    <cellStyle name="Currency 3 2 3 3 2 2" xfId="4962" xr:uid="{00000000-0005-0000-0000-00000F0A0000}"/>
    <cellStyle name="Currency 3 2 3 3 2 3" xfId="4973" xr:uid="{00000000-0005-0000-0000-0000100A0000}"/>
    <cellStyle name="Currency 3 2 3 3 3" xfId="4888" xr:uid="{00000000-0005-0000-0000-0000110A0000}"/>
    <cellStyle name="Currency 3 2 3 3 4" xfId="4799" xr:uid="{00000000-0005-0000-0000-0000120A0000}"/>
    <cellStyle name="Currency 3 2 3 4" xfId="526" xr:uid="{00000000-0005-0000-0000-0000130A0000}"/>
    <cellStyle name="Currency 3 2 3 4 2" xfId="4914" xr:uid="{00000000-0005-0000-0000-0000140A0000}"/>
    <cellStyle name="Currency 3 2 3 4 3" xfId="5021" xr:uid="{00000000-0005-0000-0000-0000150A0000}"/>
    <cellStyle name="Currency 3 2 3 5" xfId="4840" xr:uid="{00000000-0005-0000-0000-0000160A0000}"/>
    <cellStyle name="Currency 3 2 3 6" xfId="5089" xr:uid="{00000000-0005-0000-0000-0000170A0000}"/>
    <cellStyle name="Currency 3 2 4" xfId="308" xr:uid="{00000000-0005-0000-0000-0000180A0000}"/>
    <cellStyle name="Currency 3 2 4 2" xfId="546" xr:uid="{00000000-0005-0000-0000-0000190A0000}"/>
    <cellStyle name="Currency 3 2 4 2 2" xfId="4922" xr:uid="{00000000-0005-0000-0000-00001A0A0000}"/>
    <cellStyle name="Currency 3 2 4 2 3" xfId="5013" xr:uid="{00000000-0005-0000-0000-00001B0A0000}"/>
    <cellStyle name="Currency 3 2 4 3" xfId="4848" xr:uid="{00000000-0005-0000-0000-00001C0A0000}"/>
    <cellStyle name="Currency 3 2 4 4" xfId="5081" xr:uid="{00000000-0005-0000-0000-00001D0A0000}"/>
    <cellStyle name="Currency 3 2 5" xfId="350" xr:uid="{00000000-0005-0000-0000-00001E0A0000}"/>
    <cellStyle name="Currency 3 2 5 2" xfId="588" xr:uid="{00000000-0005-0000-0000-00001F0A0000}"/>
    <cellStyle name="Currency 3 2 5 2 2" xfId="4946" xr:uid="{00000000-0005-0000-0000-0000200A0000}"/>
    <cellStyle name="Currency 3 2 5 2 3" xfId="4989" xr:uid="{00000000-0005-0000-0000-0000210A0000}"/>
    <cellStyle name="Currency 3 2 5 3" xfId="4872" xr:uid="{00000000-0005-0000-0000-0000220A0000}"/>
    <cellStyle name="Currency 3 2 5 4" xfId="5057" xr:uid="{00000000-0005-0000-0000-0000230A0000}"/>
    <cellStyle name="Currency 3 2 6" xfId="458" xr:uid="{00000000-0005-0000-0000-0000240A0000}"/>
    <cellStyle name="Currency 3 2 6 2" xfId="4898" xr:uid="{00000000-0005-0000-0000-0000250A0000}"/>
    <cellStyle name="Currency 3 2 6 3" xfId="5037" xr:uid="{00000000-0005-0000-0000-0000260A0000}"/>
    <cellStyle name="Currency 3 2 7" xfId="683" xr:uid="{00000000-0005-0000-0000-0000270A0000}"/>
    <cellStyle name="Currency 3 2 8" xfId="4560" xr:uid="{00000000-0005-0000-0000-0000280A0000}"/>
    <cellStyle name="Currency 3 2 9" xfId="4658" xr:uid="{00000000-0005-0000-0000-0000290A0000}"/>
    <cellStyle name="Currency 3 3" xfId="226" xr:uid="{00000000-0005-0000-0000-00002A0A0000}"/>
    <cellStyle name="Currency 3 3 2" xfId="312" xr:uid="{00000000-0005-0000-0000-00002B0A0000}"/>
    <cellStyle name="Currency 3 3 2 2" xfId="550" xr:uid="{00000000-0005-0000-0000-00002C0A0000}"/>
    <cellStyle name="Currency 3 3 2 2 2" xfId="4926" xr:uid="{00000000-0005-0000-0000-00002D0A0000}"/>
    <cellStyle name="Currency 3 3 2 2 3" xfId="5009" xr:uid="{00000000-0005-0000-0000-00002E0A0000}"/>
    <cellStyle name="Currency 3 3 2 3" xfId="4852" xr:uid="{00000000-0005-0000-0000-00002F0A0000}"/>
    <cellStyle name="Currency 3 3 2 4" xfId="5077" xr:uid="{00000000-0005-0000-0000-0000300A0000}"/>
    <cellStyle name="Currency 3 3 3" xfId="372" xr:uid="{00000000-0005-0000-0000-0000310A0000}"/>
    <cellStyle name="Currency 3 3 3 2" xfId="610" xr:uid="{00000000-0005-0000-0000-0000320A0000}"/>
    <cellStyle name="Currency 3 3 3 2 2" xfId="4950" xr:uid="{00000000-0005-0000-0000-0000330A0000}"/>
    <cellStyle name="Currency 3 3 3 2 3" xfId="4985" xr:uid="{00000000-0005-0000-0000-0000340A0000}"/>
    <cellStyle name="Currency 3 3 3 3" xfId="4876" xr:uid="{00000000-0005-0000-0000-0000350A0000}"/>
    <cellStyle name="Currency 3 3 3 4" xfId="5053" xr:uid="{00000000-0005-0000-0000-0000360A0000}"/>
    <cellStyle name="Currency 3 3 4" xfId="480" xr:uid="{00000000-0005-0000-0000-0000370A0000}"/>
    <cellStyle name="Currency 3 3 4 2" xfId="4902" xr:uid="{00000000-0005-0000-0000-0000380A0000}"/>
    <cellStyle name="Currency 3 3 4 3" xfId="5033" xr:uid="{00000000-0005-0000-0000-0000390A0000}"/>
    <cellStyle name="Currency 3 3 5" xfId="4553" xr:uid="{00000000-0005-0000-0000-00003A0A0000}"/>
    <cellStyle name="Currency 3 3 6" xfId="4826" xr:uid="{00000000-0005-0000-0000-00003B0A0000}"/>
    <cellStyle name="Currency 3 3 7" xfId="5097" xr:uid="{00000000-0005-0000-0000-00003C0A0000}"/>
    <cellStyle name="Currency 3 4" xfId="275" xr:uid="{00000000-0005-0000-0000-00003D0A0000}"/>
    <cellStyle name="Currency 3 4 2" xfId="320" xr:uid="{00000000-0005-0000-0000-00003E0A0000}"/>
    <cellStyle name="Currency 3 4 2 2" xfId="558" xr:uid="{00000000-0005-0000-0000-00003F0A0000}"/>
    <cellStyle name="Currency 3 4 2 2 2" xfId="4934" xr:uid="{00000000-0005-0000-0000-0000400A0000}"/>
    <cellStyle name="Currency 3 4 2 2 3" xfId="5001" xr:uid="{00000000-0005-0000-0000-0000410A0000}"/>
    <cellStyle name="Currency 3 4 2 3" xfId="4860" xr:uid="{00000000-0005-0000-0000-0000420A0000}"/>
    <cellStyle name="Currency 3 4 2 4" xfId="5069" xr:uid="{00000000-0005-0000-0000-0000430A0000}"/>
    <cellStyle name="Currency 3 4 3" xfId="405" xr:uid="{00000000-0005-0000-0000-0000440A0000}"/>
    <cellStyle name="Currency 3 4 3 2" xfId="643" xr:uid="{00000000-0005-0000-0000-0000450A0000}"/>
    <cellStyle name="Currency 3 4 3 2 2" xfId="4958" xr:uid="{00000000-0005-0000-0000-0000460A0000}"/>
    <cellStyle name="Currency 3 4 3 2 3" xfId="4977" xr:uid="{00000000-0005-0000-0000-0000470A0000}"/>
    <cellStyle name="Currency 3 4 3 3" xfId="4884" xr:uid="{00000000-0005-0000-0000-0000480A0000}"/>
    <cellStyle name="Currency 3 4 3 4" xfId="5045" xr:uid="{00000000-0005-0000-0000-0000490A0000}"/>
    <cellStyle name="Currency 3 4 4" xfId="513" xr:uid="{00000000-0005-0000-0000-00004A0A0000}"/>
    <cellStyle name="Currency 3 4 4 2" xfId="4910" xr:uid="{00000000-0005-0000-0000-00004B0A0000}"/>
    <cellStyle name="Currency 3 4 4 3" xfId="5025" xr:uid="{00000000-0005-0000-0000-00004C0A0000}"/>
    <cellStyle name="Currency 3 4 5" xfId="4836" xr:uid="{00000000-0005-0000-0000-00004D0A0000}"/>
    <cellStyle name="Currency 3 4 6" xfId="5093" xr:uid="{00000000-0005-0000-0000-00004E0A0000}"/>
    <cellStyle name="Currency 3 5" xfId="304" xr:uid="{00000000-0005-0000-0000-00004F0A0000}"/>
    <cellStyle name="Currency 3 5 2" xfId="542" xr:uid="{00000000-0005-0000-0000-0000500A0000}"/>
    <cellStyle name="Currency 3 5 2 2" xfId="4918" xr:uid="{00000000-0005-0000-0000-0000510A0000}"/>
    <cellStyle name="Currency 3 5 2 3" xfId="5017" xr:uid="{00000000-0005-0000-0000-0000520A0000}"/>
    <cellStyle name="Currency 3 5 3" xfId="4844" xr:uid="{00000000-0005-0000-0000-0000530A0000}"/>
    <cellStyle name="Currency 3 5 4" xfId="5085" xr:uid="{00000000-0005-0000-0000-0000540A0000}"/>
    <cellStyle name="Currency 3 6" xfId="337" xr:uid="{00000000-0005-0000-0000-0000550A0000}"/>
    <cellStyle name="Currency 3 6 2" xfId="575" xr:uid="{00000000-0005-0000-0000-0000560A0000}"/>
    <cellStyle name="Currency 3 6 2 2" xfId="4942" xr:uid="{00000000-0005-0000-0000-0000570A0000}"/>
    <cellStyle name="Currency 3 6 2 3" xfId="4993" xr:uid="{00000000-0005-0000-0000-0000580A0000}"/>
    <cellStyle name="Currency 3 6 3" xfId="4868" xr:uid="{00000000-0005-0000-0000-0000590A0000}"/>
    <cellStyle name="Currency 3 6 4" xfId="5061" xr:uid="{00000000-0005-0000-0000-00005A0A0000}"/>
    <cellStyle name="Currency 3 7" xfId="445" xr:uid="{00000000-0005-0000-0000-00005B0A0000}"/>
    <cellStyle name="Currency 3 7 2" xfId="4894" xr:uid="{00000000-0005-0000-0000-00005C0A0000}"/>
    <cellStyle name="Currency 3 7 3" xfId="5041" xr:uid="{00000000-0005-0000-0000-00005D0A0000}"/>
    <cellStyle name="Currency 3 8" xfId="169" xr:uid="{00000000-0005-0000-0000-00005E0A0000}"/>
    <cellStyle name="Currency 3 8 2" xfId="4815" xr:uid="{00000000-0005-0000-0000-00005F0A0000}"/>
    <cellStyle name="Currency 3 8 3" xfId="5106" xr:uid="{00000000-0005-0000-0000-0000600A0000}"/>
    <cellStyle name="Currency 3 9" xfId="4632" xr:uid="{00000000-0005-0000-0000-0000610A0000}"/>
    <cellStyle name="Currency 32" xfId="5304" xr:uid="{4277C312-8C4A-461F-A2D6-DBFF42DB985F}"/>
    <cellStyle name="Currency 33" xfId="5305" xr:uid="{7889E236-C85C-4A88-8A84-73C1AE1C0CC5}"/>
    <cellStyle name="Currency 34" xfId="5306" xr:uid="{0698E6F7-AF18-4117-8E3A-7DD1B5270DA7}"/>
    <cellStyle name="Currency 4" xfId="170" xr:uid="{00000000-0005-0000-0000-0000620A0000}"/>
    <cellStyle name="Currency 4 2" xfId="171" xr:uid="{00000000-0005-0000-0000-0000630A0000}"/>
    <cellStyle name="Currency 4 2 2" xfId="228" xr:uid="{00000000-0005-0000-0000-0000640A0000}"/>
    <cellStyle name="Currency 4 2 2 2" xfId="374" xr:uid="{00000000-0005-0000-0000-0000650A0000}"/>
    <cellStyle name="Currency 4 2 2 2 2" xfId="612" xr:uid="{00000000-0005-0000-0000-0000660A0000}"/>
    <cellStyle name="Currency 4 2 2 3" xfId="482" xr:uid="{00000000-0005-0000-0000-0000670A0000}"/>
    <cellStyle name="Currency 4 2 3" xfId="277" xr:uid="{00000000-0005-0000-0000-0000680A0000}"/>
    <cellStyle name="Currency 4 2 3 2" xfId="407" xr:uid="{00000000-0005-0000-0000-0000690A0000}"/>
    <cellStyle name="Currency 4 2 3 2 2" xfId="645" xr:uid="{00000000-0005-0000-0000-00006A0A0000}"/>
    <cellStyle name="Currency 4 2 3 3" xfId="515" xr:uid="{00000000-0005-0000-0000-00006B0A0000}"/>
    <cellStyle name="Currency 4 2 4" xfId="339" xr:uid="{00000000-0005-0000-0000-00006C0A0000}"/>
    <cellStyle name="Currency 4 2 4 2" xfId="577" xr:uid="{00000000-0005-0000-0000-00006D0A0000}"/>
    <cellStyle name="Currency 4 2 5" xfId="447" xr:uid="{00000000-0005-0000-0000-00006E0A0000}"/>
    <cellStyle name="Currency 4 2 6" xfId="684" xr:uid="{00000000-0005-0000-0000-00006F0A0000}"/>
    <cellStyle name="Currency 4 3" xfId="227" xr:uid="{00000000-0005-0000-0000-0000700A0000}"/>
    <cellStyle name="Currency 4 3 2" xfId="373" xr:uid="{00000000-0005-0000-0000-0000710A0000}"/>
    <cellStyle name="Currency 4 3 2 2" xfId="611" xr:uid="{00000000-0005-0000-0000-0000720A0000}"/>
    <cellStyle name="Currency 4 3 3" xfId="481" xr:uid="{00000000-0005-0000-0000-0000730A0000}"/>
    <cellStyle name="Currency 4 4" xfId="276" xr:uid="{00000000-0005-0000-0000-0000740A0000}"/>
    <cellStyle name="Currency 4 4 2" xfId="406" xr:uid="{00000000-0005-0000-0000-0000750A0000}"/>
    <cellStyle name="Currency 4 4 2 2" xfId="644" xr:uid="{00000000-0005-0000-0000-0000760A0000}"/>
    <cellStyle name="Currency 4 4 3" xfId="514" xr:uid="{00000000-0005-0000-0000-0000770A0000}"/>
    <cellStyle name="Currency 4 5" xfId="338" xr:uid="{00000000-0005-0000-0000-0000780A0000}"/>
    <cellStyle name="Currency 4 5 2" xfId="576" xr:uid="{00000000-0005-0000-0000-0000790A0000}"/>
    <cellStyle name="Currency 4 6" xfId="446" xr:uid="{00000000-0005-0000-0000-00007A0A0000}"/>
    <cellStyle name="Currency 4 7" xfId="4635" xr:uid="{00000000-0005-0000-0000-00007B0A0000}"/>
    <cellStyle name="Currency 4 8" xfId="4691" xr:uid="{00000000-0005-0000-0000-00007C0A0000}"/>
    <cellStyle name="Currency 4 9" xfId="5249" xr:uid="{00000000-0005-0000-0000-00007D0A0000}"/>
    <cellStyle name="Currency 5" xfId="172" xr:uid="{00000000-0005-0000-0000-00007E0A0000}"/>
    <cellStyle name="Currency 5 2" xfId="229" xr:uid="{00000000-0005-0000-0000-00007F0A0000}"/>
    <cellStyle name="Currency 5 2 2" xfId="375" xr:uid="{00000000-0005-0000-0000-0000800A0000}"/>
    <cellStyle name="Currency 5 2 2 2" xfId="613" xr:uid="{00000000-0005-0000-0000-0000810A0000}"/>
    <cellStyle name="Currency 5 2 3" xfId="483" xr:uid="{00000000-0005-0000-0000-0000820A0000}"/>
    <cellStyle name="Currency 5 3" xfId="278" xr:uid="{00000000-0005-0000-0000-0000830A0000}"/>
    <cellStyle name="Currency 5 3 2" xfId="408" xr:uid="{00000000-0005-0000-0000-0000840A0000}"/>
    <cellStyle name="Currency 5 3 2 2" xfId="646" xr:uid="{00000000-0005-0000-0000-0000850A0000}"/>
    <cellStyle name="Currency 5 3 3" xfId="516" xr:uid="{00000000-0005-0000-0000-0000860A0000}"/>
    <cellStyle name="Currency 5 4" xfId="340" xr:uid="{00000000-0005-0000-0000-0000870A0000}"/>
    <cellStyle name="Currency 5 4 2" xfId="578" xr:uid="{00000000-0005-0000-0000-0000880A0000}"/>
    <cellStyle name="Currency 5 5" xfId="448" xr:uid="{00000000-0005-0000-0000-0000890A0000}"/>
    <cellStyle name="Currency 5 6" xfId="681" xr:uid="{00000000-0005-0000-0000-00008A0A0000}"/>
    <cellStyle name="Currency 5 7" xfId="5252" xr:uid="{00000000-0005-0000-0000-00008B0A0000}"/>
    <cellStyle name="Currency 6" xfId="173" xr:uid="{00000000-0005-0000-0000-00008C0A0000}"/>
    <cellStyle name="Currency 6 2" xfId="174" xr:uid="{00000000-0005-0000-0000-00008D0A0000}"/>
    <cellStyle name="Currency 6 2 2" xfId="231" xr:uid="{00000000-0005-0000-0000-00008E0A0000}"/>
    <cellStyle name="Currency 6 2 2 2" xfId="377" xr:uid="{00000000-0005-0000-0000-00008F0A0000}"/>
    <cellStyle name="Currency 6 2 2 2 2" xfId="615" xr:uid="{00000000-0005-0000-0000-0000900A0000}"/>
    <cellStyle name="Currency 6 2 2 3" xfId="485" xr:uid="{00000000-0005-0000-0000-0000910A0000}"/>
    <cellStyle name="Currency 6 2 3" xfId="280" xr:uid="{00000000-0005-0000-0000-0000920A0000}"/>
    <cellStyle name="Currency 6 2 3 2" xfId="410" xr:uid="{00000000-0005-0000-0000-0000930A0000}"/>
    <cellStyle name="Currency 6 2 3 2 2" xfId="648" xr:uid="{00000000-0005-0000-0000-0000940A0000}"/>
    <cellStyle name="Currency 6 2 3 3" xfId="518" xr:uid="{00000000-0005-0000-0000-0000950A0000}"/>
    <cellStyle name="Currency 6 2 4" xfId="342" xr:uid="{00000000-0005-0000-0000-0000960A0000}"/>
    <cellStyle name="Currency 6 2 4 2" xfId="580" xr:uid="{00000000-0005-0000-0000-0000970A0000}"/>
    <cellStyle name="Currency 6 2 5" xfId="450" xr:uid="{00000000-0005-0000-0000-0000980A0000}"/>
    <cellStyle name="Currency 6 2 6" xfId="4589" xr:uid="{00000000-0005-0000-0000-0000990A0000}"/>
    <cellStyle name="Currency 6 2 6 2" xfId="5142" xr:uid="{00000000-0005-0000-0000-00009A0A0000}"/>
    <cellStyle name="Currency 6 2 6 3" xfId="5204" xr:uid="{00000000-0005-0000-0000-00009B0A0000}"/>
    <cellStyle name="Currency 6 3" xfId="230" xr:uid="{00000000-0005-0000-0000-00009C0A0000}"/>
    <cellStyle name="Currency 6 3 2" xfId="376" xr:uid="{00000000-0005-0000-0000-00009D0A0000}"/>
    <cellStyle name="Currency 6 3 2 2" xfId="614" xr:uid="{00000000-0005-0000-0000-00009E0A0000}"/>
    <cellStyle name="Currency 6 3 3" xfId="484" xr:uid="{00000000-0005-0000-0000-00009F0A0000}"/>
    <cellStyle name="Currency 6 4" xfId="279" xr:uid="{00000000-0005-0000-0000-0000A00A0000}"/>
    <cellStyle name="Currency 6 4 2" xfId="409" xr:uid="{00000000-0005-0000-0000-0000A10A0000}"/>
    <cellStyle name="Currency 6 4 2 2" xfId="647" xr:uid="{00000000-0005-0000-0000-0000A20A0000}"/>
    <cellStyle name="Currency 6 4 3" xfId="517" xr:uid="{00000000-0005-0000-0000-0000A30A0000}"/>
    <cellStyle name="Currency 6 5" xfId="341" xr:uid="{00000000-0005-0000-0000-0000A40A0000}"/>
    <cellStyle name="Currency 6 5 2" xfId="579" xr:uid="{00000000-0005-0000-0000-0000A50A0000}"/>
    <cellStyle name="Currency 6 6" xfId="449" xr:uid="{00000000-0005-0000-0000-0000A60A0000}"/>
    <cellStyle name="Currency 6 7" xfId="4547" xr:uid="{00000000-0005-0000-0000-0000A70A0000}"/>
    <cellStyle name="Currency 6 7 2" xfId="5115" xr:uid="{00000000-0005-0000-0000-0000A80A0000}"/>
    <cellStyle name="Currency 6 7 3" xfId="5182" xr:uid="{00000000-0005-0000-0000-0000A90A0000}"/>
    <cellStyle name="Currency 7" xfId="175" xr:uid="{00000000-0005-0000-0000-0000AA0A0000}"/>
    <cellStyle name="Currency 7 2" xfId="176" xr:uid="{00000000-0005-0000-0000-0000AB0A0000}"/>
    <cellStyle name="Currency 7 2 2" xfId="233" xr:uid="{00000000-0005-0000-0000-0000AC0A0000}"/>
    <cellStyle name="Currency 7 2 2 2" xfId="379" xr:uid="{00000000-0005-0000-0000-0000AD0A0000}"/>
    <cellStyle name="Currency 7 2 2 2 2" xfId="617" xr:uid="{00000000-0005-0000-0000-0000AE0A0000}"/>
    <cellStyle name="Currency 7 2 2 3" xfId="487" xr:uid="{00000000-0005-0000-0000-0000AF0A0000}"/>
    <cellStyle name="Currency 7 2 3" xfId="282" xr:uid="{00000000-0005-0000-0000-0000B00A0000}"/>
    <cellStyle name="Currency 7 2 3 2" xfId="412" xr:uid="{00000000-0005-0000-0000-0000B10A0000}"/>
    <cellStyle name="Currency 7 2 3 2 2" xfId="650" xr:uid="{00000000-0005-0000-0000-0000B20A0000}"/>
    <cellStyle name="Currency 7 2 3 3" xfId="520" xr:uid="{00000000-0005-0000-0000-0000B30A0000}"/>
    <cellStyle name="Currency 7 2 4" xfId="344" xr:uid="{00000000-0005-0000-0000-0000B40A0000}"/>
    <cellStyle name="Currency 7 2 4 2" xfId="582" xr:uid="{00000000-0005-0000-0000-0000B50A0000}"/>
    <cellStyle name="Currency 7 2 5" xfId="452" xr:uid="{00000000-0005-0000-0000-0000B60A0000}"/>
    <cellStyle name="Currency 7 3" xfId="204" xr:uid="{00000000-0005-0000-0000-0000B70A0000}"/>
    <cellStyle name="Currency 7 3 2" xfId="255" xr:uid="{00000000-0005-0000-0000-0000B80A0000}"/>
    <cellStyle name="Currency 7 3 2 2" xfId="389" xr:uid="{00000000-0005-0000-0000-0000B90A0000}"/>
    <cellStyle name="Currency 7 3 2 2 2" xfId="627" xr:uid="{00000000-0005-0000-0000-0000BA0A0000}"/>
    <cellStyle name="Currency 7 3 2 3" xfId="497" xr:uid="{00000000-0005-0000-0000-0000BB0A0000}"/>
    <cellStyle name="Currency 7 3 3" xfId="296" xr:uid="{00000000-0005-0000-0000-0000BC0A0000}"/>
    <cellStyle name="Currency 7 3 3 2" xfId="426" xr:uid="{00000000-0005-0000-0000-0000BD0A0000}"/>
    <cellStyle name="Currency 7 3 3 2 2" xfId="664" xr:uid="{00000000-0005-0000-0000-0000BE0A0000}"/>
    <cellStyle name="Currency 7 3 3 3" xfId="534" xr:uid="{00000000-0005-0000-0000-0000BF0A0000}"/>
    <cellStyle name="Currency 7 3 4" xfId="358" xr:uid="{00000000-0005-0000-0000-0000C00A0000}"/>
    <cellStyle name="Currency 7 3 4 2" xfId="596" xr:uid="{00000000-0005-0000-0000-0000C10A0000}"/>
    <cellStyle name="Currency 7 3 5" xfId="466" xr:uid="{00000000-0005-0000-0000-0000C20A0000}"/>
    <cellStyle name="Currency 7 4" xfId="232" xr:uid="{00000000-0005-0000-0000-0000C30A0000}"/>
    <cellStyle name="Currency 7 4 2" xfId="378" xr:uid="{00000000-0005-0000-0000-0000C40A0000}"/>
    <cellStyle name="Currency 7 4 2 2" xfId="616" xr:uid="{00000000-0005-0000-0000-0000C50A0000}"/>
    <cellStyle name="Currency 7 4 3" xfId="486" xr:uid="{00000000-0005-0000-0000-0000C60A0000}"/>
    <cellStyle name="Currency 7 5" xfId="281" xr:uid="{00000000-0005-0000-0000-0000C70A0000}"/>
    <cellStyle name="Currency 7 5 2" xfId="411" xr:uid="{00000000-0005-0000-0000-0000C80A0000}"/>
    <cellStyle name="Currency 7 5 2 2" xfId="649" xr:uid="{00000000-0005-0000-0000-0000C90A0000}"/>
    <cellStyle name="Currency 7 5 3" xfId="519" xr:uid="{00000000-0005-0000-0000-0000CA0A0000}"/>
    <cellStyle name="Currency 7 6" xfId="343" xr:uid="{00000000-0005-0000-0000-0000CB0A0000}"/>
    <cellStyle name="Currency 7 6 2" xfId="581" xr:uid="{00000000-0005-0000-0000-0000CC0A0000}"/>
    <cellStyle name="Currency 7 7" xfId="451" xr:uid="{00000000-0005-0000-0000-0000CD0A0000}"/>
    <cellStyle name="Currency 8" xfId="177" xr:uid="{00000000-0005-0000-0000-0000CE0A0000}"/>
    <cellStyle name="Currency 8 2" xfId="205" xr:uid="{00000000-0005-0000-0000-0000CF0A0000}"/>
    <cellStyle name="Currency 8 2 2" xfId="214" xr:uid="{00000000-0005-0000-0000-0000D00A0000}"/>
    <cellStyle name="Currency 8 2 2 2" xfId="262" xr:uid="{00000000-0005-0000-0000-0000D10A0000}"/>
    <cellStyle name="Currency 8 2 2 2 2" xfId="394" xr:uid="{00000000-0005-0000-0000-0000D20A0000}"/>
    <cellStyle name="Currency 8 2 2 2 2 2" xfId="632" xr:uid="{00000000-0005-0000-0000-0000D30A0000}"/>
    <cellStyle name="Currency 8 2 2 2 3" xfId="502" xr:uid="{00000000-0005-0000-0000-0000D40A0000}"/>
    <cellStyle name="Currency 8 2 2 3" xfId="302" xr:uid="{00000000-0005-0000-0000-0000D50A0000}"/>
    <cellStyle name="Currency 8 2 2 3 2" xfId="432" xr:uid="{00000000-0005-0000-0000-0000D60A0000}"/>
    <cellStyle name="Currency 8 2 2 3 2 2" xfId="670" xr:uid="{00000000-0005-0000-0000-0000D70A0000}"/>
    <cellStyle name="Currency 8 2 2 3 3" xfId="540" xr:uid="{00000000-0005-0000-0000-0000D80A0000}"/>
    <cellStyle name="Currency 8 2 2 4" xfId="364" xr:uid="{00000000-0005-0000-0000-0000D90A0000}"/>
    <cellStyle name="Currency 8 2 2 4 2" xfId="602" xr:uid="{00000000-0005-0000-0000-0000DA0A0000}"/>
    <cellStyle name="Currency 8 2 2 5" xfId="472" xr:uid="{00000000-0005-0000-0000-0000DB0A0000}"/>
    <cellStyle name="Currency 8 2 3" xfId="297" xr:uid="{00000000-0005-0000-0000-0000DC0A0000}"/>
    <cellStyle name="Currency 8 2 3 2" xfId="427" xr:uid="{00000000-0005-0000-0000-0000DD0A0000}"/>
    <cellStyle name="Currency 8 2 3 2 2" xfId="665" xr:uid="{00000000-0005-0000-0000-0000DE0A0000}"/>
    <cellStyle name="Currency 8 2 3 3" xfId="535" xr:uid="{00000000-0005-0000-0000-0000DF0A0000}"/>
    <cellStyle name="Currency 8 2 4" xfId="359" xr:uid="{00000000-0005-0000-0000-0000E00A0000}"/>
    <cellStyle name="Currency 8 2 4 2" xfId="597" xr:uid="{00000000-0005-0000-0000-0000E10A0000}"/>
    <cellStyle name="Currency 8 2 5" xfId="467" xr:uid="{00000000-0005-0000-0000-0000E20A0000}"/>
    <cellStyle name="Currency 8 3" xfId="209" xr:uid="{00000000-0005-0000-0000-0000E30A0000}"/>
    <cellStyle name="Currency 8 3 2" xfId="257" xr:uid="{00000000-0005-0000-0000-0000E40A0000}"/>
    <cellStyle name="Currency 8 3 2 2" xfId="390" xr:uid="{00000000-0005-0000-0000-0000E50A0000}"/>
    <cellStyle name="Currency 8 3 2 2 2" xfId="628" xr:uid="{00000000-0005-0000-0000-0000E60A0000}"/>
    <cellStyle name="Currency 8 3 2 3" xfId="498" xr:uid="{00000000-0005-0000-0000-0000E70A0000}"/>
    <cellStyle name="Currency 8 3 3" xfId="298" xr:uid="{00000000-0005-0000-0000-0000E80A0000}"/>
    <cellStyle name="Currency 8 3 3 2" xfId="428" xr:uid="{00000000-0005-0000-0000-0000E90A0000}"/>
    <cellStyle name="Currency 8 3 3 2 2" xfId="666" xr:uid="{00000000-0005-0000-0000-0000EA0A0000}"/>
    <cellStyle name="Currency 8 3 3 3" xfId="536" xr:uid="{00000000-0005-0000-0000-0000EB0A0000}"/>
    <cellStyle name="Currency 8 3 4" xfId="360" xr:uid="{00000000-0005-0000-0000-0000EC0A0000}"/>
    <cellStyle name="Currency 8 3 4 2" xfId="598" xr:uid="{00000000-0005-0000-0000-0000ED0A0000}"/>
    <cellStyle name="Currency 8 3 5" xfId="468" xr:uid="{00000000-0005-0000-0000-0000EE0A0000}"/>
    <cellStyle name="Currency 8 4" xfId="283" xr:uid="{00000000-0005-0000-0000-0000EF0A0000}"/>
    <cellStyle name="Currency 8 4 2" xfId="413" xr:uid="{00000000-0005-0000-0000-0000F00A0000}"/>
    <cellStyle name="Currency 8 4 2 2" xfId="651" xr:uid="{00000000-0005-0000-0000-0000F10A0000}"/>
    <cellStyle name="Currency 8 4 3" xfId="521" xr:uid="{00000000-0005-0000-0000-0000F20A0000}"/>
    <cellStyle name="Currency 8 5" xfId="345" xr:uid="{00000000-0005-0000-0000-0000F30A0000}"/>
    <cellStyle name="Currency 8 5 2" xfId="583" xr:uid="{00000000-0005-0000-0000-0000F40A0000}"/>
    <cellStyle name="Currency 8 6" xfId="453" xr:uid="{00000000-0005-0000-0000-0000F50A0000}"/>
    <cellStyle name="Currency 9" xfId="203" xr:uid="{00000000-0005-0000-0000-0000F60A0000}"/>
    <cellStyle name="Currency 9 2" xfId="213" xr:uid="{00000000-0005-0000-0000-0000F70A0000}"/>
    <cellStyle name="Currency 9 2 2" xfId="261" xr:uid="{00000000-0005-0000-0000-0000F80A0000}"/>
    <cellStyle name="Currency 9 2 2 2" xfId="393" xr:uid="{00000000-0005-0000-0000-0000F90A0000}"/>
    <cellStyle name="Currency 9 2 2 2 2" xfId="631" xr:uid="{00000000-0005-0000-0000-0000FA0A0000}"/>
    <cellStyle name="Currency 9 2 2 3" xfId="501" xr:uid="{00000000-0005-0000-0000-0000FB0A0000}"/>
    <cellStyle name="Currency 9 2 3" xfId="301" xr:uid="{00000000-0005-0000-0000-0000FC0A0000}"/>
    <cellStyle name="Currency 9 2 3 2" xfId="431" xr:uid="{00000000-0005-0000-0000-0000FD0A0000}"/>
    <cellStyle name="Currency 9 2 3 2 2" xfId="669" xr:uid="{00000000-0005-0000-0000-0000FE0A0000}"/>
    <cellStyle name="Currency 9 2 3 3" xfId="539" xr:uid="{00000000-0005-0000-0000-0000FF0A0000}"/>
    <cellStyle name="Currency 9 2 4" xfId="363" xr:uid="{00000000-0005-0000-0000-0000000B0000}"/>
    <cellStyle name="Currency 9 2 4 2" xfId="601" xr:uid="{00000000-0005-0000-0000-0000010B0000}"/>
    <cellStyle name="Currency 9 2 5" xfId="471" xr:uid="{00000000-0005-0000-0000-0000020B0000}"/>
    <cellStyle name="Currency 9 3" xfId="295" xr:uid="{00000000-0005-0000-0000-0000030B0000}"/>
    <cellStyle name="Currency 9 3 2" xfId="425" xr:uid="{00000000-0005-0000-0000-0000040B0000}"/>
    <cellStyle name="Currency 9 3 2 2" xfId="663" xr:uid="{00000000-0005-0000-0000-0000050B0000}"/>
    <cellStyle name="Currency 9 3 3" xfId="533" xr:uid="{00000000-0005-0000-0000-0000060B0000}"/>
    <cellStyle name="Currency 9 4" xfId="357" xr:uid="{00000000-0005-0000-0000-0000070B0000}"/>
    <cellStyle name="Currency 9 4 2" xfId="595" xr:uid="{00000000-0005-0000-0000-0000080B0000}"/>
    <cellStyle name="Currency 9 5" xfId="465" xr:uid="{00000000-0005-0000-0000-0000090B0000}"/>
    <cellStyle name="Currency0" xfId="178" xr:uid="{00000000-0005-0000-0000-00000A0B0000}"/>
    <cellStyle name="Currency0 2" xfId="234" xr:uid="{00000000-0005-0000-0000-00000B0B0000}"/>
    <cellStyle name="Currency0 2 2" xfId="380" xr:uid="{00000000-0005-0000-0000-00000C0B0000}"/>
    <cellStyle name="Currency0 2 2 2" xfId="618" xr:uid="{00000000-0005-0000-0000-00000D0B0000}"/>
    <cellStyle name="Currency0 2 3" xfId="488" xr:uid="{00000000-0005-0000-0000-00000E0B0000}"/>
    <cellStyle name="Currency0 3" xfId="284" xr:uid="{00000000-0005-0000-0000-00000F0B0000}"/>
    <cellStyle name="Currency0 3 2" xfId="414" xr:uid="{00000000-0005-0000-0000-0000100B0000}"/>
    <cellStyle name="Currency0 3 2 2" xfId="652" xr:uid="{00000000-0005-0000-0000-0000110B0000}"/>
    <cellStyle name="Currency0 3 3" xfId="522" xr:uid="{00000000-0005-0000-0000-0000120B0000}"/>
    <cellStyle name="Currency0 4" xfId="346" xr:uid="{00000000-0005-0000-0000-0000130B0000}"/>
    <cellStyle name="Currency0 4 2" xfId="584" xr:uid="{00000000-0005-0000-0000-0000140B0000}"/>
    <cellStyle name="Currency0 5" xfId="454" xr:uid="{00000000-0005-0000-0000-0000150B0000}"/>
    <cellStyle name="Euro" xfId="2809" xr:uid="{00000000-0005-0000-0000-0000160B0000}"/>
    <cellStyle name="Euro 10" xfId="2810" xr:uid="{00000000-0005-0000-0000-0000170B0000}"/>
    <cellStyle name="Euro 10 10" xfId="2811" xr:uid="{00000000-0005-0000-0000-0000180B0000}"/>
    <cellStyle name="Euro 10 11" xfId="2812" xr:uid="{00000000-0005-0000-0000-0000190B0000}"/>
    <cellStyle name="Euro 10 12" xfId="2813" xr:uid="{00000000-0005-0000-0000-00001A0B0000}"/>
    <cellStyle name="Euro 10 13" xfId="2814" xr:uid="{00000000-0005-0000-0000-00001B0B0000}"/>
    <cellStyle name="Euro 10 14" xfId="2815" xr:uid="{00000000-0005-0000-0000-00001C0B0000}"/>
    <cellStyle name="Euro 10 15" xfId="2816" xr:uid="{00000000-0005-0000-0000-00001D0B0000}"/>
    <cellStyle name="Euro 10 16" xfId="2817" xr:uid="{00000000-0005-0000-0000-00001E0B0000}"/>
    <cellStyle name="Euro 10 17" xfId="2818" xr:uid="{00000000-0005-0000-0000-00001F0B0000}"/>
    <cellStyle name="Euro 10 18" xfId="2819" xr:uid="{00000000-0005-0000-0000-0000200B0000}"/>
    <cellStyle name="Euro 10 19" xfId="2820" xr:uid="{00000000-0005-0000-0000-0000210B0000}"/>
    <cellStyle name="Euro 10 2" xfId="2821" xr:uid="{00000000-0005-0000-0000-0000220B0000}"/>
    <cellStyle name="Euro 10 20" xfId="2822" xr:uid="{00000000-0005-0000-0000-0000230B0000}"/>
    <cellStyle name="Euro 10 21" xfId="2823" xr:uid="{00000000-0005-0000-0000-0000240B0000}"/>
    <cellStyle name="Euro 10 22" xfId="2824" xr:uid="{00000000-0005-0000-0000-0000250B0000}"/>
    <cellStyle name="Euro 10 23" xfId="2825" xr:uid="{00000000-0005-0000-0000-0000260B0000}"/>
    <cellStyle name="Euro 10 24" xfId="2826" xr:uid="{00000000-0005-0000-0000-0000270B0000}"/>
    <cellStyle name="Euro 10 25" xfId="2827" xr:uid="{00000000-0005-0000-0000-0000280B0000}"/>
    <cellStyle name="Euro 10 26" xfId="2828" xr:uid="{00000000-0005-0000-0000-0000290B0000}"/>
    <cellStyle name="Euro 10 27" xfId="2829" xr:uid="{00000000-0005-0000-0000-00002A0B0000}"/>
    <cellStyle name="Euro 10 28" xfId="2830" xr:uid="{00000000-0005-0000-0000-00002B0B0000}"/>
    <cellStyle name="Euro 10 29" xfId="2831" xr:uid="{00000000-0005-0000-0000-00002C0B0000}"/>
    <cellStyle name="Euro 10 3" xfId="2832" xr:uid="{00000000-0005-0000-0000-00002D0B0000}"/>
    <cellStyle name="Euro 10 30" xfId="2833" xr:uid="{00000000-0005-0000-0000-00002E0B0000}"/>
    <cellStyle name="Euro 10 31" xfId="2834" xr:uid="{00000000-0005-0000-0000-00002F0B0000}"/>
    <cellStyle name="Euro 10 32" xfId="2835" xr:uid="{00000000-0005-0000-0000-0000300B0000}"/>
    <cellStyle name="Euro 10 33" xfId="2836" xr:uid="{00000000-0005-0000-0000-0000310B0000}"/>
    <cellStyle name="Euro 10 34" xfId="2837" xr:uid="{00000000-0005-0000-0000-0000320B0000}"/>
    <cellStyle name="Euro 10 35" xfId="2838" xr:uid="{00000000-0005-0000-0000-0000330B0000}"/>
    <cellStyle name="Euro 10 36" xfId="2839" xr:uid="{00000000-0005-0000-0000-0000340B0000}"/>
    <cellStyle name="Euro 10 37" xfId="2840" xr:uid="{00000000-0005-0000-0000-0000350B0000}"/>
    <cellStyle name="Euro 10 38" xfId="2841" xr:uid="{00000000-0005-0000-0000-0000360B0000}"/>
    <cellStyle name="Euro 10 39" xfId="2842" xr:uid="{00000000-0005-0000-0000-0000370B0000}"/>
    <cellStyle name="Euro 10 4" xfId="2843" xr:uid="{00000000-0005-0000-0000-0000380B0000}"/>
    <cellStyle name="Euro 10 40" xfId="2844" xr:uid="{00000000-0005-0000-0000-0000390B0000}"/>
    <cellStyle name="Euro 10 41" xfId="2845" xr:uid="{00000000-0005-0000-0000-00003A0B0000}"/>
    <cellStyle name="Euro 10 42" xfId="2846" xr:uid="{00000000-0005-0000-0000-00003B0B0000}"/>
    <cellStyle name="Euro 10 43" xfId="2847" xr:uid="{00000000-0005-0000-0000-00003C0B0000}"/>
    <cellStyle name="Euro 10 5" xfId="2848" xr:uid="{00000000-0005-0000-0000-00003D0B0000}"/>
    <cellStyle name="Euro 10 6" xfId="2849" xr:uid="{00000000-0005-0000-0000-00003E0B0000}"/>
    <cellStyle name="Euro 10 7" xfId="2850" xr:uid="{00000000-0005-0000-0000-00003F0B0000}"/>
    <cellStyle name="Euro 10 8" xfId="2851" xr:uid="{00000000-0005-0000-0000-0000400B0000}"/>
    <cellStyle name="Euro 10 9" xfId="2852" xr:uid="{00000000-0005-0000-0000-0000410B0000}"/>
    <cellStyle name="Euro 11" xfId="2853" xr:uid="{00000000-0005-0000-0000-0000420B0000}"/>
    <cellStyle name="Euro 11 10" xfId="2854" xr:uid="{00000000-0005-0000-0000-0000430B0000}"/>
    <cellStyle name="Euro 11 11" xfId="2855" xr:uid="{00000000-0005-0000-0000-0000440B0000}"/>
    <cellStyle name="Euro 11 12" xfId="2856" xr:uid="{00000000-0005-0000-0000-0000450B0000}"/>
    <cellStyle name="Euro 11 13" xfId="2857" xr:uid="{00000000-0005-0000-0000-0000460B0000}"/>
    <cellStyle name="Euro 11 14" xfId="2858" xr:uid="{00000000-0005-0000-0000-0000470B0000}"/>
    <cellStyle name="Euro 11 15" xfId="2859" xr:uid="{00000000-0005-0000-0000-0000480B0000}"/>
    <cellStyle name="Euro 11 16" xfId="2860" xr:uid="{00000000-0005-0000-0000-0000490B0000}"/>
    <cellStyle name="Euro 11 17" xfId="2861" xr:uid="{00000000-0005-0000-0000-00004A0B0000}"/>
    <cellStyle name="Euro 11 18" xfId="2862" xr:uid="{00000000-0005-0000-0000-00004B0B0000}"/>
    <cellStyle name="Euro 11 19" xfId="2863" xr:uid="{00000000-0005-0000-0000-00004C0B0000}"/>
    <cellStyle name="Euro 11 2" xfId="2864" xr:uid="{00000000-0005-0000-0000-00004D0B0000}"/>
    <cellStyle name="Euro 11 20" xfId="2865" xr:uid="{00000000-0005-0000-0000-00004E0B0000}"/>
    <cellStyle name="Euro 11 21" xfId="2866" xr:uid="{00000000-0005-0000-0000-00004F0B0000}"/>
    <cellStyle name="Euro 11 22" xfId="2867" xr:uid="{00000000-0005-0000-0000-0000500B0000}"/>
    <cellStyle name="Euro 11 23" xfId="2868" xr:uid="{00000000-0005-0000-0000-0000510B0000}"/>
    <cellStyle name="Euro 11 24" xfId="2869" xr:uid="{00000000-0005-0000-0000-0000520B0000}"/>
    <cellStyle name="Euro 11 25" xfId="2870" xr:uid="{00000000-0005-0000-0000-0000530B0000}"/>
    <cellStyle name="Euro 11 26" xfId="2871" xr:uid="{00000000-0005-0000-0000-0000540B0000}"/>
    <cellStyle name="Euro 11 27" xfId="2872" xr:uid="{00000000-0005-0000-0000-0000550B0000}"/>
    <cellStyle name="Euro 11 28" xfId="2873" xr:uid="{00000000-0005-0000-0000-0000560B0000}"/>
    <cellStyle name="Euro 11 29" xfId="2874" xr:uid="{00000000-0005-0000-0000-0000570B0000}"/>
    <cellStyle name="Euro 11 3" xfId="2875" xr:uid="{00000000-0005-0000-0000-0000580B0000}"/>
    <cellStyle name="Euro 11 30" xfId="2876" xr:uid="{00000000-0005-0000-0000-0000590B0000}"/>
    <cellStyle name="Euro 11 31" xfId="2877" xr:uid="{00000000-0005-0000-0000-00005A0B0000}"/>
    <cellStyle name="Euro 11 32" xfId="2878" xr:uid="{00000000-0005-0000-0000-00005B0B0000}"/>
    <cellStyle name="Euro 11 33" xfId="2879" xr:uid="{00000000-0005-0000-0000-00005C0B0000}"/>
    <cellStyle name="Euro 11 34" xfId="2880" xr:uid="{00000000-0005-0000-0000-00005D0B0000}"/>
    <cellStyle name="Euro 11 35" xfId="2881" xr:uid="{00000000-0005-0000-0000-00005E0B0000}"/>
    <cellStyle name="Euro 11 36" xfId="2882" xr:uid="{00000000-0005-0000-0000-00005F0B0000}"/>
    <cellStyle name="Euro 11 37" xfId="2883" xr:uid="{00000000-0005-0000-0000-0000600B0000}"/>
    <cellStyle name="Euro 11 38" xfId="2884" xr:uid="{00000000-0005-0000-0000-0000610B0000}"/>
    <cellStyle name="Euro 11 39" xfId="2885" xr:uid="{00000000-0005-0000-0000-0000620B0000}"/>
    <cellStyle name="Euro 11 4" xfId="2886" xr:uid="{00000000-0005-0000-0000-0000630B0000}"/>
    <cellStyle name="Euro 11 40" xfId="2887" xr:uid="{00000000-0005-0000-0000-0000640B0000}"/>
    <cellStyle name="Euro 11 41" xfId="2888" xr:uid="{00000000-0005-0000-0000-0000650B0000}"/>
    <cellStyle name="Euro 11 42" xfId="2889" xr:uid="{00000000-0005-0000-0000-0000660B0000}"/>
    <cellStyle name="Euro 11 43" xfId="2890" xr:uid="{00000000-0005-0000-0000-0000670B0000}"/>
    <cellStyle name="Euro 11 5" xfId="2891" xr:uid="{00000000-0005-0000-0000-0000680B0000}"/>
    <cellStyle name="Euro 11 6" xfId="2892" xr:uid="{00000000-0005-0000-0000-0000690B0000}"/>
    <cellStyle name="Euro 11 7" xfId="2893" xr:uid="{00000000-0005-0000-0000-00006A0B0000}"/>
    <cellStyle name="Euro 11 8" xfId="2894" xr:uid="{00000000-0005-0000-0000-00006B0B0000}"/>
    <cellStyle name="Euro 11 9" xfId="2895" xr:uid="{00000000-0005-0000-0000-00006C0B0000}"/>
    <cellStyle name="Euro 12" xfId="2896" xr:uid="{00000000-0005-0000-0000-00006D0B0000}"/>
    <cellStyle name="Euro 12 10" xfId="2897" xr:uid="{00000000-0005-0000-0000-00006E0B0000}"/>
    <cellStyle name="Euro 12 11" xfId="2898" xr:uid="{00000000-0005-0000-0000-00006F0B0000}"/>
    <cellStyle name="Euro 12 12" xfId="2899" xr:uid="{00000000-0005-0000-0000-0000700B0000}"/>
    <cellStyle name="Euro 12 13" xfId="2900" xr:uid="{00000000-0005-0000-0000-0000710B0000}"/>
    <cellStyle name="Euro 12 14" xfId="2901" xr:uid="{00000000-0005-0000-0000-0000720B0000}"/>
    <cellStyle name="Euro 12 15" xfId="2902" xr:uid="{00000000-0005-0000-0000-0000730B0000}"/>
    <cellStyle name="Euro 12 16" xfId="2903" xr:uid="{00000000-0005-0000-0000-0000740B0000}"/>
    <cellStyle name="Euro 12 17" xfId="2904" xr:uid="{00000000-0005-0000-0000-0000750B0000}"/>
    <cellStyle name="Euro 12 18" xfId="2905" xr:uid="{00000000-0005-0000-0000-0000760B0000}"/>
    <cellStyle name="Euro 12 19" xfId="2906" xr:uid="{00000000-0005-0000-0000-0000770B0000}"/>
    <cellStyle name="Euro 12 2" xfId="2907" xr:uid="{00000000-0005-0000-0000-0000780B0000}"/>
    <cellStyle name="Euro 12 20" xfId="2908" xr:uid="{00000000-0005-0000-0000-0000790B0000}"/>
    <cellStyle name="Euro 12 21" xfId="2909" xr:uid="{00000000-0005-0000-0000-00007A0B0000}"/>
    <cellStyle name="Euro 12 22" xfId="2910" xr:uid="{00000000-0005-0000-0000-00007B0B0000}"/>
    <cellStyle name="Euro 12 23" xfId="2911" xr:uid="{00000000-0005-0000-0000-00007C0B0000}"/>
    <cellStyle name="Euro 12 24" xfId="2912" xr:uid="{00000000-0005-0000-0000-00007D0B0000}"/>
    <cellStyle name="Euro 12 25" xfId="2913" xr:uid="{00000000-0005-0000-0000-00007E0B0000}"/>
    <cellStyle name="Euro 12 26" xfId="2914" xr:uid="{00000000-0005-0000-0000-00007F0B0000}"/>
    <cellStyle name="Euro 12 27" xfId="2915" xr:uid="{00000000-0005-0000-0000-0000800B0000}"/>
    <cellStyle name="Euro 12 28" xfId="2916" xr:uid="{00000000-0005-0000-0000-0000810B0000}"/>
    <cellStyle name="Euro 12 29" xfId="2917" xr:uid="{00000000-0005-0000-0000-0000820B0000}"/>
    <cellStyle name="Euro 12 3" xfId="2918" xr:uid="{00000000-0005-0000-0000-0000830B0000}"/>
    <cellStyle name="Euro 12 30" xfId="2919" xr:uid="{00000000-0005-0000-0000-0000840B0000}"/>
    <cellStyle name="Euro 12 31" xfId="2920" xr:uid="{00000000-0005-0000-0000-0000850B0000}"/>
    <cellStyle name="Euro 12 32" xfId="2921" xr:uid="{00000000-0005-0000-0000-0000860B0000}"/>
    <cellStyle name="Euro 12 33" xfId="2922" xr:uid="{00000000-0005-0000-0000-0000870B0000}"/>
    <cellStyle name="Euro 12 34" xfId="2923" xr:uid="{00000000-0005-0000-0000-0000880B0000}"/>
    <cellStyle name="Euro 12 35" xfId="2924" xr:uid="{00000000-0005-0000-0000-0000890B0000}"/>
    <cellStyle name="Euro 12 36" xfId="2925" xr:uid="{00000000-0005-0000-0000-00008A0B0000}"/>
    <cellStyle name="Euro 12 37" xfId="2926" xr:uid="{00000000-0005-0000-0000-00008B0B0000}"/>
    <cellStyle name="Euro 12 38" xfId="2927" xr:uid="{00000000-0005-0000-0000-00008C0B0000}"/>
    <cellStyle name="Euro 12 39" xfId="2928" xr:uid="{00000000-0005-0000-0000-00008D0B0000}"/>
    <cellStyle name="Euro 12 4" xfId="2929" xr:uid="{00000000-0005-0000-0000-00008E0B0000}"/>
    <cellStyle name="Euro 12 40" xfId="2930" xr:uid="{00000000-0005-0000-0000-00008F0B0000}"/>
    <cellStyle name="Euro 12 41" xfId="2931" xr:uid="{00000000-0005-0000-0000-0000900B0000}"/>
    <cellStyle name="Euro 12 42" xfId="2932" xr:uid="{00000000-0005-0000-0000-0000910B0000}"/>
    <cellStyle name="Euro 12 43" xfId="2933" xr:uid="{00000000-0005-0000-0000-0000920B0000}"/>
    <cellStyle name="Euro 12 5" xfId="2934" xr:uid="{00000000-0005-0000-0000-0000930B0000}"/>
    <cellStyle name="Euro 12 6" xfId="2935" xr:uid="{00000000-0005-0000-0000-0000940B0000}"/>
    <cellStyle name="Euro 12 7" xfId="2936" xr:uid="{00000000-0005-0000-0000-0000950B0000}"/>
    <cellStyle name="Euro 12 8" xfId="2937" xr:uid="{00000000-0005-0000-0000-0000960B0000}"/>
    <cellStyle name="Euro 12 9" xfId="2938" xr:uid="{00000000-0005-0000-0000-0000970B0000}"/>
    <cellStyle name="Euro 13" xfId="2939" xr:uid="{00000000-0005-0000-0000-0000980B0000}"/>
    <cellStyle name="Euro 13 10" xfId="2940" xr:uid="{00000000-0005-0000-0000-0000990B0000}"/>
    <cellStyle name="Euro 13 11" xfId="2941" xr:uid="{00000000-0005-0000-0000-00009A0B0000}"/>
    <cellStyle name="Euro 13 12" xfId="2942" xr:uid="{00000000-0005-0000-0000-00009B0B0000}"/>
    <cellStyle name="Euro 13 13" xfId="2943" xr:uid="{00000000-0005-0000-0000-00009C0B0000}"/>
    <cellStyle name="Euro 13 14" xfId="2944" xr:uid="{00000000-0005-0000-0000-00009D0B0000}"/>
    <cellStyle name="Euro 13 15" xfId="2945" xr:uid="{00000000-0005-0000-0000-00009E0B0000}"/>
    <cellStyle name="Euro 13 16" xfId="2946" xr:uid="{00000000-0005-0000-0000-00009F0B0000}"/>
    <cellStyle name="Euro 13 17" xfId="2947" xr:uid="{00000000-0005-0000-0000-0000A00B0000}"/>
    <cellStyle name="Euro 13 18" xfId="2948" xr:uid="{00000000-0005-0000-0000-0000A10B0000}"/>
    <cellStyle name="Euro 13 19" xfId="2949" xr:uid="{00000000-0005-0000-0000-0000A20B0000}"/>
    <cellStyle name="Euro 13 2" xfId="2950" xr:uid="{00000000-0005-0000-0000-0000A30B0000}"/>
    <cellStyle name="Euro 13 20" xfId="2951" xr:uid="{00000000-0005-0000-0000-0000A40B0000}"/>
    <cellStyle name="Euro 13 21" xfId="2952" xr:uid="{00000000-0005-0000-0000-0000A50B0000}"/>
    <cellStyle name="Euro 13 22" xfId="2953" xr:uid="{00000000-0005-0000-0000-0000A60B0000}"/>
    <cellStyle name="Euro 13 23" xfId="2954" xr:uid="{00000000-0005-0000-0000-0000A70B0000}"/>
    <cellStyle name="Euro 13 24" xfId="2955" xr:uid="{00000000-0005-0000-0000-0000A80B0000}"/>
    <cellStyle name="Euro 13 25" xfId="2956" xr:uid="{00000000-0005-0000-0000-0000A90B0000}"/>
    <cellStyle name="Euro 13 26" xfId="2957" xr:uid="{00000000-0005-0000-0000-0000AA0B0000}"/>
    <cellStyle name="Euro 13 27" xfId="2958" xr:uid="{00000000-0005-0000-0000-0000AB0B0000}"/>
    <cellStyle name="Euro 13 28" xfId="2959" xr:uid="{00000000-0005-0000-0000-0000AC0B0000}"/>
    <cellStyle name="Euro 13 29" xfId="2960" xr:uid="{00000000-0005-0000-0000-0000AD0B0000}"/>
    <cellStyle name="Euro 13 3" xfId="2961" xr:uid="{00000000-0005-0000-0000-0000AE0B0000}"/>
    <cellStyle name="Euro 13 30" xfId="2962" xr:uid="{00000000-0005-0000-0000-0000AF0B0000}"/>
    <cellStyle name="Euro 13 31" xfId="2963" xr:uid="{00000000-0005-0000-0000-0000B00B0000}"/>
    <cellStyle name="Euro 13 32" xfId="2964" xr:uid="{00000000-0005-0000-0000-0000B10B0000}"/>
    <cellStyle name="Euro 13 33" xfId="2965" xr:uid="{00000000-0005-0000-0000-0000B20B0000}"/>
    <cellStyle name="Euro 13 34" xfId="2966" xr:uid="{00000000-0005-0000-0000-0000B30B0000}"/>
    <cellStyle name="Euro 13 35" xfId="2967" xr:uid="{00000000-0005-0000-0000-0000B40B0000}"/>
    <cellStyle name="Euro 13 36" xfId="2968" xr:uid="{00000000-0005-0000-0000-0000B50B0000}"/>
    <cellStyle name="Euro 13 37" xfId="2969" xr:uid="{00000000-0005-0000-0000-0000B60B0000}"/>
    <cellStyle name="Euro 13 38" xfId="2970" xr:uid="{00000000-0005-0000-0000-0000B70B0000}"/>
    <cellStyle name="Euro 13 39" xfId="2971" xr:uid="{00000000-0005-0000-0000-0000B80B0000}"/>
    <cellStyle name="Euro 13 4" xfId="2972" xr:uid="{00000000-0005-0000-0000-0000B90B0000}"/>
    <cellStyle name="Euro 13 40" xfId="2973" xr:uid="{00000000-0005-0000-0000-0000BA0B0000}"/>
    <cellStyle name="Euro 13 41" xfId="2974" xr:uid="{00000000-0005-0000-0000-0000BB0B0000}"/>
    <cellStyle name="Euro 13 42" xfId="2975" xr:uid="{00000000-0005-0000-0000-0000BC0B0000}"/>
    <cellStyle name="Euro 13 43" xfId="2976" xr:uid="{00000000-0005-0000-0000-0000BD0B0000}"/>
    <cellStyle name="Euro 13 5" xfId="2977" xr:uid="{00000000-0005-0000-0000-0000BE0B0000}"/>
    <cellStyle name="Euro 13 6" xfId="2978" xr:uid="{00000000-0005-0000-0000-0000BF0B0000}"/>
    <cellStyle name="Euro 13 7" xfId="2979" xr:uid="{00000000-0005-0000-0000-0000C00B0000}"/>
    <cellStyle name="Euro 13 8" xfId="2980" xr:uid="{00000000-0005-0000-0000-0000C10B0000}"/>
    <cellStyle name="Euro 13 9" xfId="2981" xr:uid="{00000000-0005-0000-0000-0000C20B0000}"/>
    <cellStyle name="Euro 14" xfId="2982" xr:uid="{00000000-0005-0000-0000-0000C30B0000}"/>
    <cellStyle name="Euro 14 10" xfId="2983" xr:uid="{00000000-0005-0000-0000-0000C40B0000}"/>
    <cellStyle name="Euro 14 11" xfId="2984" xr:uid="{00000000-0005-0000-0000-0000C50B0000}"/>
    <cellStyle name="Euro 14 12" xfId="2985" xr:uid="{00000000-0005-0000-0000-0000C60B0000}"/>
    <cellStyle name="Euro 14 13" xfId="2986" xr:uid="{00000000-0005-0000-0000-0000C70B0000}"/>
    <cellStyle name="Euro 14 14" xfId="2987" xr:uid="{00000000-0005-0000-0000-0000C80B0000}"/>
    <cellStyle name="Euro 14 15" xfId="2988" xr:uid="{00000000-0005-0000-0000-0000C90B0000}"/>
    <cellStyle name="Euro 14 16" xfId="2989" xr:uid="{00000000-0005-0000-0000-0000CA0B0000}"/>
    <cellStyle name="Euro 14 17" xfId="2990" xr:uid="{00000000-0005-0000-0000-0000CB0B0000}"/>
    <cellStyle name="Euro 14 18" xfId="2991" xr:uid="{00000000-0005-0000-0000-0000CC0B0000}"/>
    <cellStyle name="Euro 14 19" xfId="2992" xr:uid="{00000000-0005-0000-0000-0000CD0B0000}"/>
    <cellStyle name="Euro 14 2" xfId="2993" xr:uid="{00000000-0005-0000-0000-0000CE0B0000}"/>
    <cellStyle name="Euro 14 20" xfId="2994" xr:uid="{00000000-0005-0000-0000-0000CF0B0000}"/>
    <cellStyle name="Euro 14 21" xfId="2995" xr:uid="{00000000-0005-0000-0000-0000D00B0000}"/>
    <cellStyle name="Euro 14 22" xfId="2996" xr:uid="{00000000-0005-0000-0000-0000D10B0000}"/>
    <cellStyle name="Euro 14 23" xfId="2997" xr:uid="{00000000-0005-0000-0000-0000D20B0000}"/>
    <cellStyle name="Euro 14 24" xfId="2998" xr:uid="{00000000-0005-0000-0000-0000D30B0000}"/>
    <cellStyle name="Euro 14 25" xfId="2999" xr:uid="{00000000-0005-0000-0000-0000D40B0000}"/>
    <cellStyle name="Euro 14 26" xfId="3000" xr:uid="{00000000-0005-0000-0000-0000D50B0000}"/>
    <cellStyle name="Euro 14 27" xfId="3001" xr:uid="{00000000-0005-0000-0000-0000D60B0000}"/>
    <cellStyle name="Euro 14 28" xfId="3002" xr:uid="{00000000-0005-0000-0000-0000D70B0000}"/>
    <cellStyle name="Euro 14 29" xfId="3003" xr:uid="{00000000-0005-0000-0000-0000D80B0000}"/>
    <cellStyle name="Euro 14 3" xfId="3004" xr:uid="{00000000-0005-0000-0000-0000D90B0000}"/>
    <cellStyle name="Euro 14 30" xfId="3005" xr:uid="{00000000-0005-0000-0000-0000DA0B0000}"/>
    <cellStyle name="Euro 14 31" xfId="3006" xr:uid="{00000000-0005-0000-0000-0000DB0B0000}"/>
    <cellStyle name="Euro 14 32" xfId="3007" xr:uid="{00000000-0005-0000-0000-0000DC0B0000}"/>
    <cellStyle name="Euro 14 33" xfId="3008" xr:uid="{00000000-0005-0000-0000-0000DD0B0000}"/>
    <cellStyle name="Euro 14 34" xfId="3009" xr:uid="{00000000-0005-0000-0000-0000DE0B0000}"/>
    <cellStyle name="Euro 14 35" xfId="3010" xr:uid="{00000000-0005-0000-0000-0000DF0B0000}"/>
    <cellStyle name="Euro 14 36" xfId="3011" xr:uid="{00000000-0005-0000-0000-0000E00B0000}"/>
    <cellStyle name="Euro 14 37" xfId="3012" xr:uid="{00000000-0005-0000-0000-0000E10B0000}"/>
    <cellStyle name="Euro 14 38" xfId="3013" xr:uid="{00000000-0005-0000-0000-0000E20B0000}"/>
    <cellStyle name="Euro 14 39" xfId="3014" xr:uid="{00000000-0005-0000-0000-0000E30B0000}"/>
    <cellStyle name="Euro 14 4" xfId="3015" xr:uid="{00000000-0005-0000-0000-0000E40B0000}"/>
    <cellStyle name="Euro 14 40" xfId="3016" xr:uid="{00000000-0005-0000-0000-0000E50B0000}"/>
    <cellStyle name="Euro 14 41" xfId="3017" xr:uid="{00000000-0005-0000-0000-0000E60B0000}"/>
    <cellStyle name="Euro 14 42" xfId="3018" xr:uid="{00000000-0005-0000-0000-0000E70B0000}"/>
    <cellStyle name="Euro 14 43" xfId="3019" xr:uid="{00000000-0005-0000-0000-0000E80B0000}"/>
    <cellStyle name="Euro 14 5" xfId="3020" xr:uid="{00000000-0005-0000-0000-0000E90B0000}"/>
    <cellStyle name="Euro 14 6" xfId="3021" xr:uid="{00000000-0005-0000-0000-0000EA0B0000}"/>
    <cellStyle name="Euro 14 7" xfId="3022" xr:uid="{00000000-0005-0000-0000-0000EB0B0000}"/>
    <cellStyle name="Euro 14 8" xfId="3023" xr:uid="{00000000-0005-0000-0000-0000EC0B0000}"/>
    <cellStyle name="Euro 14 9" xfId="3024" xr:uid="{00000000-0005-0000-0000-0000ED0B0000}"/>
    <cellStyle name="Euro 15" xfId="3025" xr:uid="{00000000-0005-0000-0000-0000EE0B0000}"/>
    <cellStyle name="Euro 15 10" xfId="3026" xr:uid="{00000000-0005-0000-0000-0000EF0B0000}"/>
    <cellStyle name="Euro 15 11" xfId="3027" xr:uid="{00000000-0005-0000-0000-0000F00B0000}"/>
    <cellStyle name="Euro 15 12" xfId="3028" xr:uid="{00000000-0005-0000-0000-0000F10B0000}"/>
    <cellStyle name="Euro 15 13" xfId="3029" xr:uid="{00000000-0005-0000-0000-0000F20B0000}"/>
    <cellStyle name="Euro 15 14" xfId="3030" xr:uid="{00000000-0005-0000-0000-0000F30B0000}"/>
    <cellStyle name="Euro 15 15" xfId="3031" xr:uid="{00000000-0005-0000-0000-0000F40B0000}"/>
    <cellStyle name="Euro 15 16" xfId="3032" xr:uid="{00000000-0005-0000-0000-0000F50B0000}"/>
    <cellStyle name="Euro 15 17" xfId="3033" xr:uid="{00000000-0005-0000-0000-0000F60B0000}"/>
    <cellStyle name="Euro 15 18" xfId="3034" xr:uid="{00000000-0005-0000-0000-0000F70B0000}"/>
    <cellStyle name="Euro 15 19" xfId="3035" xr:uid="{00000000-0005-0000-0000-0000F80B0000}"/>
    <cellStyle name="Euro 15 2" xfId="3036" xr:uid="{00000000-0005-0000-0000-0000F90B0000}"/>
    <cellStyle name="Euro 15 20" xfId="3037" xr:uid="{00000000-0005-0000-0000-0000FA0B0000}"/>
    <cellStyle name="Euro 15 21" xfId="3038" xr:uid="{00000000-0005-0000-0000-0000FB0B0000}"/>
    <cellStyle name="Euro 15 22" xfId="3039" xr:uid="{00000000-0005-0000-0000-0000FC0B0000}"/>
    <cellStyle name="Euro 15 23" xfId="3040" xr:uid="{00000000-0005-0000-0000-0000FD0B0000}"/>
    <cellStyle name="Euro 15 24" xfId="3041" xr:uid="{00000000-0005-0000-0000-0000FE0B0000}"/>
    <cellStyle name="Euro 15 25" xfId="3042" xr:uid="{00000000-0005-0000-0000-0000FF0B0000}"/>
    <cellStyle name="Euro 15 26" xfId="3043" xr:uid="{00000000-0005-0000-0000-0000000C0000}"/>
    <cellStyle name="Euro 15 27" xfId="3044" xr:uid="{00000000-0005-0000-0000-0000010C0000}"/>
    <cellStyle name="Euro 15 28" xfId="3045" xr:uid="{00000000-0005-0000-0000-0000020C0000}"/>
    <cellStyle name="Euro 15 29" xfId="3046" xr:uid="{00000000-0005-0000-0000-0000030C0000}"/>
    <cellStyle name="Euro 15 3" xfId="3047" xr:uid="{00000000-0005-0000-0000-0000040C0000}"/>
    <cellStyle name="Euro 15 30" xfId="3048" xr:uid="{00000000-0005-0000-0000-0000050C0000}"/>
    <cellStyle name="Euro 15 31" xfId="3049" xr:uid="{00000000-0005-0000-0000-0000060C0000}"/>
    <cellStyle name="Euro 15 32" xfId="3050" xr:uid="{00000000-0005-0000-0000-0000070C0000}"/>
    <cellStyle name="Euro 15 33" xfId="3051" xr:uid="{00000000-0005-0000-0000-0000080C0000}"/>
    <cellStyle name="Euro 15 34" xfId="3052" xr:uid="{00000000-0005-0000-0000-0000090C0000}"/>
    <cellStyle name="Euro 15 35" xfId="3053" xr:uid="{00000000-0005-0000-0000-00000A0C0000}"/>
    <cellStyle name="Euro 15 36" xfId="3054" xr:uid="{00000000-0005-0000-0000-00000B0C0000}"/>
    <cellStyle name="Euro 15 37" xfId="3055" xr:uid="{00000000-0005-0000-0000-00000C0C0000}"/>
    <cellStyle name="Euro 15 38" xfId="3056" xr:uid="{00000000-0005-0000-0000-00000D0C0000}"/>
    <cellStyle name="Euro 15 39" xfId="3057" xr:uid="{00000000-0005-0000-0000-00000E0C0000}"/>
    <cellStyle name="Euro 15 4" xfId="3058" xr:uid="{00000000-0005-0000-0000-00000F0C0000}"/>
    <cellStyle name="Euro 15 40" xfId="3059" xr:uid="{00000000-0005-0000-0000-0000100C0000}"/>
    <cellStyle name="Euro 15 41" xfId="3060" xr:uid="{00000000-0005-0000-0000-0000110C0000}"/>
    <cellStyle name="Euro 15 42" xfId="3061" xr:uid="{00000000-0005-0000-0000-0000120C0000}"/>
    <cellStyle name="Euro 15 43" xfId="3062" xr:uid="{00000000-0005-0000-0000-0000130C0000}"/>
    <cellStyle name="Euro 15 44" xfId="3063" xr:uid="{00000000-0005-0000-0000-0000140C0000}"/>
    <cellStyle name="Euro 15 45" xfId="3064" xr:uid="{00000000-0005-0000-0000-0000150C0000}"/>
    <cellStyle name="Euro 15 46" xfId="3065" xr:uid="{00000000-0005-0000-0000-0000160C0000}"/>
    <cellStyle name="Euro 15 47" xfId="3066" xr:uid="{00000000-0005-0000-0000-0000170C0000}"/>
    <cellStyle name="Euro 15 48" xfId="3067" xr:uid="{00000000-0005-0000-0000-0000180C0000}"/>
    <cellStyle name="Euro 15 49" xfId="3068" xr:uid="{00000000-0005-0000-0000-0000190C0000}"/>
    <cellStyle name="Euro 15 5" xfId="3069" xr:uid="{00000000-0005-0000-0000-00001A0C0000}"/>
    <cellStyle name="Euro 15 50" xfId="3070" xr:uid="{00000000-0005-0000-0000-00001B0C0000}"/>
    <cellStyle name="Euro 15 51" xfId="3071" xr:uid="{00000000-0005-0000-0000-00001C0C0000}"/>
    <cellStyle name="Euro 15 52" xfId="3072" xr:uid="{00000000-0005-0000-0000-00001D0C0000}"/>
    <cellStyle name="Euro 15 53" xfId="3073" xr:uid="{00000000-0005-0000-0000-00001E0C0000}"/>
    <cellStyle name="Euro 15 6" xfId="3074" xr:uid="{00000000-0005-0000-0000-00001F0C0000}"/>
    <cellStyle name="Euro 15 7" xfId="3075" xr:uid="{00000000-0005-0000-0000-0000200C0000}"/>
    <cellStyle name="Euro 15 8" xfId="3076" xr:uid="{00000000-0005-0000-0000-0000210C0000}"/>
    <cellStyle name="Euro 15 9" xfId="3077" xr:uid="{00000000-0005-0000-0000-0000220C0000}"/>
    <cellStyle name="Euro 16" xfId="3078" xr:uid="{00000000-0005-0000-0000-0000230C0000}"/>
    <cellStyle name="Euro 16 10" xfId="3079" xr:uid="{00000000-0005-0000-0000-0000240C0000}"/>
    <cellStyle name="Euro 16 11" xfId="3080" xr:uid="{00000000-0005-0000-0000-0000250C0000}"/>
    <cellStyle name="Euro 16 12" xfId="3081" xr:uid="{00000000-0005-0000-0000-0000260C0000}"/>
    <cellStyle name="Euro 16 13" xfId="3082" xr:uid="{00000000-0005-0000-0000-0000270C0000}"/>
    <cellStyle name="Euro 16 14" xfId="3083" xr:uid="{00000000-0005-0000-0000-0000280C0000}"/>
    <cellStyle name="Euro 16 15" xfId="3084" xr:uid="{00000000-0005-0000-0000-0000290C0000}"/>
    <cellStyle name="Euro 16 16" xfId="3085" xr:uid="{00000000-0005-0000-0000-00002A0C0000}"/>
    <cellStyle name="Euro 16 17" xfId="3086" xr:uid="{00000000-0005-0000-0000-00002B0C0000}"/>
    <cellStyle name="Euro 16 18" xfId="3087" xr:uid="{00000000-0005-0000-0000-00002C0C0000}"/>
    <cellStyle name="Euro 16 19" xfId="3088" xr:uid="{00000000-0005-0000-0000-00002D0C0000}"/>
    <cellStyle name="Euro 16 2" xfId="3089" xr:uid="{00000000-0005-0000-0000-00002E0C0000}"/>
    <cellStyle name="Euro 16 20" xfId="3090" xr:uid="{00000000-0005-0000-0000-00002F0C0000}"/>
    <cellStyle name="Euro 16 21" xfId="3091" xr:uid="{00000000-0005-0000-0000-0000300C0000}"/>
    <cellStyle name="Euro 16 22" xfId="3092" xr:uid="{00000000-0005-0000-0000-0000310C0000}"/>
    <cellStyle name="Euro 16 23" xfId="3093" xr:uid="{00000000-0005-0000-0000-0000320C0000}"/>
    <cellStyle name="Euro 16 24" xfId="3094" xr:uid="{00000000-0005-0000-0000-0000330C0000}"/>
    <cellStyle name="Euro 16 25" xfId="3095" xr:uid="{00000000-0005-0000-0000-0000340C0000}"/>
    <cellStyle name="Euro 16 26" xfId="3096" xr:uid="{00000000-0005-0000-0000-0000350C0000}"/>
    <cellStyle name="Euro 16 27" xfId="3097" xr:uid="{00000000-0005-0000-0000-0000360C0000}"/>
    <cellStyle name="Euro 16 28" xfId="3098" xr:uid="{00000000-0005-0000-0000-0000370C0000}"/>
    <cellStyle name="Euro 16 29" xfId="3099" xr:uid="{00000000-0005-0000-0000-0000380C0000}"/>
    <cellStyle name="Euro 16 3" xfId="3100" xr:uid="{00000000-0005-0000-0000-0000390C0000}"/>
    <cellStyle name="Euro 16 30" xfId="3101" xr:uid="{00000000-0005-0000-0000-00003A0C0000}"/>
    <cellStyle name="Euro 16 31" xfId="3102" xr:uid="{00000000-0005-0000-0000-00003B0C0000}"/>
    <cellStyle name="Euro 16 32" xfId="3103" xr:uid="{00000000-0005-0000-0000-00003C0C0000}"/>
    <cellStyle name="Euro 16 33" xfId="3104" xr:uid="{00000000-0005-0000-0000-00003D0C0000}"/>
    <cellStyle name="Euro 16 34" xfId="3105" xr:uid="{00000000-0005-0000-0000-00003E0C0000}"/>
    <cellStyle name="Euro 16 35" xfId="3106" xr:uid="{00000000-0005-0000-0000-00003F0C0000}"/>
    <cellStyle name="Euro 16 36" xfId="3107" xr:uid="{00000000-0005-0000-0000-0000400C0000}"/>
    <cellStyle name="Euro 16 37" xfId="3108" xr:uid="{00000000-0005-0000-0000-0000410C0000}"/>
    <cellStyle name="Euro 16 38" xfId="3109" xr:uid="{00000000-0005-0000-0000-0000420C0000}"/>
    <cellStyle name="Euro 16 39" xfId="3110" xr:uid="{00000000-0005-0000-0000-0000430C0000}"/>
    <cellStyle name="Euro 16 4" xfId="3111" xr:uid="{00000000-0005-0000-0000-0000440C0000}"/>
    <cellStyle name="Euro 16 40" xfId="3112" xr:uid="{00000000-0005-0000-0000-0000450C0000}"/>
    <cellStyle name="Euro 16 41" xfId="3113" xr:uid="{00000000-0005-0000-0000-0000460C0000}"/>
    <cellStyle name="Euro 16 42" xfId="3114" xr:uid="{00000000-0005-0000-0000-0000470C0000}"/>
    <cellStyle name="Euro 16 43" xfId="3115" xr:uid="{00000000-0005-0000-0000-0000480C0000}"/>
    <cellStyle name="Euro 16 44" xfId="3116" xr:uid="{00000000-0005-0000-0000-0000490C0000}"/>
    <cellStyle name="Euro 16 45" xfId="3117" xr:uid="{00000000-0005-0000-0000-00004A0C0000}"/>
    <cellStyle name="Euro 16 46" xfId="3118" xr:uid="{00000000-0005-0000-0000-00004B0C0000}"/>
    <cellStyle name="Euro 16 47" xfId="3119" xr:uid="{00000000-0005-0000-0000-00004C0C0000}"/>
    <cellStyle name="Euro 16 48" xfId="3120" xr:uid="{00000000-0005-0000-0000-00004D0C0000}"/>
    <cellStyle name="Euro 16 49" xfId="3121" xr:uid="{00000000-0005-0000-0000-00004E0C0000}"/>
    <cellStyle name="Euro 16 5" xfId="3122" xr:uid="{00000000-0005-0000-0000-00004F0C0000}"/>
    <cellStyle name="Euro 16 50" xfId="3123" xr:uid="{00000000-0005-0000-0000-0000500C0000}"/>
    <cellStyle name="Euro 16 51" xfId="3124" xr:uid="{00000000-0005-0000-0000-0000510C0000}"/>
    <cellStyle name="Euro 16 52" xfId="3125" xr:uid="{00000000-0005-0000-0000-0000520C0000}"/>
    <cellStyle name="Euro 16 53" xfId="3126" xr:uid="{00000000-0005-0000-0000-0000530C0000}"/>
    <cellStyle name="Euro 16 6" xfId="3127" xr:uid="{00000000-0005-0000-0000-0000540C0000}"/>
    <cellStyle name="Euro 16 7" xfId="3128" xr:uid="{00000000-0005-0000-0000-0000550C0000}"/>
    <cellStyle name="Euro 16 8" xfId="3129" xr:uid="{00000000-0005-0000-0000-0000560C0000}"/>
    <cellStyle name="Euro 16 9" xfId="3130" xr:uid="{00000000-0005-0000-0000-0000570C0000}"/>
    <cellStyle name="Euro 17" xfId="3131" xr:uid="{00000000-0005-0000-0000-0000580C0000}"/>
    <cellStyle name="Euro 17 10" xfId="3132" xr:uid="{00000000-0005-0000-0000-0000590C0000}"/>
    <cellStyle name="Euro 17 11" xfId="3133" xr:uid="{00000000-0005-0000-0000-00005A0C0000}"/>
    <cellStyle name="Euro 17 12" xfId="3134" xr:uid="{00000000-0005-0000-0000-00005B0C0000}"/>
    <cellStyle name="Euro 17 13" xfId="3135" xr:uid="{00000000-0005-0000-0000-00005C0C0000}"/>
    <cellStyle name="Euro 17 14" xfId="3136" xr:uid="{00000000-0005-0000-0000-00005D0C0000}"/>
    <cellStyle name="Euro 17 15" xfId="3137" xr:uid="{00000000-0005-0000-0000-00005E0C0000}"/>
    <cellStyle name="Euro 17 16" xfId="3138" xr:uid="{00000000-0005-0000-0000-00005F0C0000}"/>
    <cellStyle name="Euro 17 17" xfId="3139" xr:uid="{00000000-0005-0000-0000-0000600C0000}"/>
    <cellStyle name="Euro 17 18" xfId="3140" xr:uid="{00000000-0005-0000-0000-0000610C0000}"/>
    <cellStyle name="Euro 17 19" xfId="3141" xr:uid="{00000000-0005-0000-0000-0000620C0000}"/>
    <cellStyle name="Euro 17 2" xfId="3142" xr:uid="{00000000-0005-0000-0000-0000630C0000}"/>
    <cellStyle name="Euro 17 20" xfId="3143" xr:uid="{00000000-0005-0000-0000-0000640C0000}"/>
    <cellStyle name="Euro 17 21" xfId="3144" xr:uid="{00000000-0005-0000-0000-0000650C0000}"/>
    <cellStyle name="Euro 17 22" xfId="3145" xr:uid="{00000000-0005-0000-0000-0000660C0000}"/>
    <cellStyle name="Euro 17 23" xfId="3146" xr:uid="{00000000-0005-0000-0000-0000670C0000}"/>
    <cellStyle name="Euro 17 24" xfId="3147" xr:uid="{00000000-0005-0000-0000-0000680C0000}"/>
    <cellStyle name="Euro 17 25" xfId="3148" xr:uid="{00000000-0005-0000-0000-0000690C0000}"/>
    <cellStyle name="Euro 17 26" xfId="3149" xr:uid="{00000000-0005-0000-0000-00006A0C0000}"/>
    <cellStyle name="Euro 17 27" xfId="3150" xr:uid="{00000000-0005-0000-0000-00006B0C0000}"/>
    <cellStyle name="Euro 17 28" xfId="3151" xr:uid="{00000000-0005-0000-0000-00006C0C0000}"/>
    <cellStyle name="Euro 17 29" xfId="3152" xr:uid="{00000000-0005-0000-0000-00006D0C0000}"/>
    <cellStyle name="Euro 17 3" xfId="3153" xr:uid="{00000000-0005-0000-0000-00006E0C0000}"/>
    <cellStyle name="Euro 17 30" xfId="3154" xr:uid="{00000000-0005-0000-0000-00006F0C0000}"/>
    <cellStyle name="Euro 17 31" xfId="3155" xr:uid="{00000000-0005-0000-0000-0000700C0000}"/>
    <cellStyle name="Euro 17 32" xfId="3156" xr:uid="{00000000-0005-0000-0000-0000710C0000}"/>
    <cellStyle name="Euro 17 33" xfId="3157" xr:uid="{00000000-0005-0000-0000-0000720C0000}"/>
    <cellStyle name="Euro 17 34" xfId="3158" xr:uid="{00000000-0005-0000-0000-0000730C0000}"/>
    <cellStyle name="Euro 17 35" xfId="3159" xr:uid="{00000000-0005-0000-0000-0000740C0000}"/>
    <cellStyle name="Euro 17 36" xfId="3160" xr:uid="{00000000-0005-0000-0000-0000750C0000}"/>
    <cellStyle name="Euro 17 37" xfId="3161" xr:uid="{00000000-0005-0000-0000-0000760C0000}"/>
    <cellStyle name="Euro 17 38" xfId="3162" xr:uid="{00000000-0005-0000-0000-0000770C0000}"/>
    <cellStyle name="Euro 17 39" xfId="3163" xr:uid="{00000000-0005-0000-0000-0000780C0000}"/>
    <cellStyle name="Euro 17 4" xfId="3164" xr:uid="{00000000-0005-0000-0000-0000790C0000}"/>
    <cellStyle name="Euro 17 40" xfId="3165" xr:uid="{00000000-0005-0000-0000-00007A0C0000}"/>
    <cellStyle name="Euro 17 41" xfId="3166" xr:uid="{00000000-0005-0000-0000-00007B0C0000}"/>
    <cellStyle name="Euro 17 42" xfId="3167" xr:uid="{00000000-0005-0000-0000-00007C0C0000}"/>
    <cellStyle name="Euro 17 43" xfId="3168" xr:uid="{00000000-0005-0000-0000-00007D0C0000}"/>
    <cellStyle name="Euro 17 5" xfId="3169" xr:uid="{00000000-0005-0000-0000-00007E0C0000}"/>
    <cellStyle name="Euro 17 6" xfId="3170" xr:uid="{00000000-0005-0000-0000-00007F0C0000}"/>
    <cellStyle name="Euro 17 7" xfId="3171" xr:uid="{00000000-0005-0000-0000-0000800C0000}"/>
    <cellStyle name="Euro 17 8" xfId="3172" xr:uid="{00000000-0005-0000-0000-0000810C0000}"/>
    <cellStyle name="Euro 17 9" xfId="3173" xr:uid="{00000000-0005-0000-0000-0000820C0000}"/>
    <cellStyle name="Euro 18" xfId="3174" xr:uid="{00000000-0005-0000-0000-0000830C0000}"/>
    <cellStyle name="Euro 18 10" xfId="3175" xr:uid="{00000000-0005-0000-0000-0000840C0000}"/>
    <cellStyle name="Euro 18 11" xfId="3176" xr:uid="{00000000-0005-0000-0000-0000850C0000}"/>
    <cellStyle name="Euro 18 12" xfId="3177" xr:uid="{00000000-0005-0000-0000-0000860C0000}"/>
    <cellStyle name="Euro 18 13" xfId="3178" xr:uid="{00000000-0005-0000-0000-0000870C0000}"/>
    <cellStyle name="Euro 18 14" xfId="3179" xr:uid="{00000000-0005-0000-0000-0000880C0000}"/>
    <cellStyle name="Euro 18 15" xfId="3180" xr:uid="{00000000-0005-0000-0000-0000890C0000}"/>
    <cellStyle name="Euro 18 16" xfId="3181" xr:uid="{00000000-0005-0000-0000-00008A0C0000}"/>
    <cellStyle name="Euro 18 17" xfId="3182" xr:uid="{00000000-0005-0000-0000-00008B0C0000}"/>
    <cellStyle name="Euro 18 18" xfId="3183" xr:uid="{00000000-0005-0000-0000-00008C0C0000}"/>
    <cellStyle name="Euro 18 19" xfId="3184" xr:uid="{00000000-0005-0000-0000-00008D0C0000}"/>
    <cellStyle name="Euro 18 2" xfId="3185" xr:uid="{00000000-0005-0000-0000-00008E0C0000}"/>
    <cellStyle name="Euro 18 20" xfId="3186" xr:uid="{00000000-0005-0000-0000-00008F0C0000}"/>
    <cellStyle name="Euro 18 21" xfId="3187" xr:uid="{00000000-0005-0000-0000-0000900C0000}"/>
    <cellStyle name="Euro 18 22" xfId="3188" xr:uid="{00000000-0005-0000-0000-0000910C0000}"/>
    <cellStyle name="Euro 18 23" xfId="3189" xr:uid="{00000000-0005-0000-0000-0000920C0000}"/>
    <cellStyle name="Euro 18 24" xfId="3190" xr:uid="{00000000-0005-0000-0000-0000930C0000}"/>
    <cellStyle name="Euro 18 25" xfId="3191" xr:uid="{00000000-0005-0000-0000-0000940C0000}"/>
    <cellStyle name="Euro 18 26" xfId="3192" xr:uid="{00000000-0005-0000-0000-0000950C0000}"/>
    <cellStyle name="Euro 18 27" xfId="3193" xr:uid="{00000000-0005-0000-0000-0000960C0000}"/>
    <cellStyle name="Euro 18 28" xfId="3194" xr:uid="{00000000-0005-0000-0000-0000970C0000}"/>
    <cellStyle name="Euro 18 29" xfId="3195" xr:uid="{00000000-0005-0000-0000-0000980C0000}"/>
    <cellStyle name="Euro 18 3" xfId="3196" xr:uid="{00000000-0005-0000-0000-0000990C0000}"/>
    <cellStyle name="Euro 18 30" xfId="3197" xr:uid="{00000000-0005-0000-0000-00009A0C0000}"/>
    <cellStyle name="Euro 18 31" xfId="3198" xr:uid="{00000000-0005-0000-0000-00009B0C0000}"/>
    <cellStyle name="Euro 18 32" xfId="3199" xr:uid="{00000000-0005-0000-0000-00009C0C0000}"/>
    <cellStyle name="Euro 18 33" xfId="3200" xr:uid="{00000000-0005-0000-0000-00009D0C0000}"/>
    <cellStyle name="Euro 18 34" xfId="3201" xr:uid="{00000000-0005-0000-0000-00009E0C0000}"/>
    <cellStyle name="Euro 18 35" xfId="3202" xr:uid="{00000000-0005-0000-0000-00009F0C0000}"/>
    <cellStyle name="Euro 18 36" xfId="3203" xr:uid="{00000000-0005-0000-0000-0000A00C0000}"/>
    <cellStyle name="Euro 18 37" xfId="3204" xr:uid="{00000000-0005-0000-0000-0000A10C0000}"/>
    <cellStyle name="Euro 18 38" xfId="3205" xr:uid="{00000000-0005-0000-0000-0000A20C0000}"/>
    <cellStyle name="Euro 18 39" xfId="3206" xr:uid="{00000000-0005-0000-0000-0000A30C0000}"/>
    <cellStyle name="Euro 18 4" xfId="3207" xr:uid="{00000000-0005-0000-0000-0000A40C0000}"/>
    <cellStyle name="Euro 18 40" xfId="3208" xr:uid="{00000000-0005-0000-0000-0000A50C0000}"/>
    <cellStyle name="Euro 18 41" xfId="3209" xr:uid="{00000000-0005-0000-0000-0000A60C0000}"/>
    <cellStyle name="Euro 18 42" xfId="3210" xr:uid="{00000000-0005-0000-0000-0000A70C0000}"/>
    <cellStyle name="Euro 18 43" xfId="3211" xr:uid="{00000000-0005-0000-0000-0000A80C0000}"/>
    <cellStyle name="Euro 18 5" xfId="3212" xr:uid="{00000000-0005-0000-0000-0000A90C0000}"/>
    <cellStyle name="Euro 18 6" xfId="3213" xr:uid="{00000000-0005-0000-0000-0000AA0C0000}"/>
    <cellStyle name="Euro 18 7" xfId="3214" xr:uid="{00000000-0005-0000-0000-0000AB0C0000}"/>
    <cellStyle name="Euro 18 8" xfId="3215" xr:uid="{00000000-0005-0000-0000-0000AC0C0000}"/>
    <cellStyle name="Euro 18 9" xfId="3216" xr:uid="{00000000-0005-0000-0000-0000AD0C0000}"/>
    <cellStyle name="Euro 19" xfId="3217" xr:uid="{00000000-0005-0000-0000-0000AE0C0000}"/>
    <cellStyle name="Euro 19 10" xfId="3218" xr:uid="{00000000-0005-0000-0000-0000AF0C0000}"/>
    <cellStyle name="Euro 19 11" xfId="3219" xr:uid="{00000000-0005-0000-0000-0000B00C0000}"/>
    <cellStyle name="Euro 19 12" xfId="3220" xr:uid="{00000000-0005-0000-0000-0000B10C0000}"/>
    <cellStyle name="Euro 19 13" xfId="3221" xr:uid="{00000000-0005-0000-0000-0000B20C0000}"/>
    <cellStyle name="Euro 19 14" xfId="3222" xr:uid="{00000000-0005-0000-0000-0000B30C0000}"/>
    <cellStyle name="Euro 19 15" xfId="3223" xr:uid="{00000000-0005-0000-0000-0000B40C0000}"/>
    <cellStyle name="Euro 19 16" xfId="3224" xr:uid="{00000000-0005-0000-0000-0000B50C0000}"/>
    <cellStyle name="Euro 19 17" xfId="3225" xr:uid="{00000000-0005-0000-0000-0000B60C0000}"/>
    <cellStyle name="Euro 19 18" xfId="3226" xr:uid="{00000000-0005-0000-0000-0000B70C0000}"/>
    <cellStyle name="Euro 19 19" xfId="3227" xr:uid="{00000000-0005-0000-0000-0000B80C0000}"/>
    <cellStyle name="Euro 19 2" xfId="3228" xr:uid="{00000000-0005-0000-0000-0000B90C0000}"/>
    <cellStyle name="Euro 19 20" xfId="3229" xr:uid="{00000000-0005-0000-0000-0000BA0C0000}"/>
    <cellStyle name="Euro 19 21" xfId="3230" xr:uid="{00000000-0005-0000-0000-0000BB0C0000}"/>
    <cellStyle name="Euro 19 22" xfId="3231" xr:uid="{00000000-0005-0000-0000-0000BC0C0000}"/>
    <cellStyle name="Euro 19 23" xfId="3232" xr:uid="{00000000-0005-0000-0000-0000BD0C0000}"/>
    <cellStyle name="Euro 19 24" xfId="3233" xr:uid="{00000000-0005-0000-0000-0000BE0C0000}"/>
    <cellStyle name="Euro 19 25" xfId="3234" xr:uid="{00000000-0005-0000-0000-0000BF0C0000}"/>
    <cellStyle name="Euro 19 26" xfId="3235" xr:uid="{00000000-0005-0000-0000-0000C00C0000}"/>
    <cellStyle name="Euro 19 27" xfId="3236" xr:uid="{00000000-0005-0000-0000-0000C10C0000}"/>
    <cellStyle name="Euro 19 28" xfId="3237" xr:uid="{00000000-0005-0000-0000-0000C20C0000}"/>
    <cellStyle name="Euro 19 29" xfId="3238" xr:uid="{00000000-0005-0000-0000-0000C30C0000}"/>
    <cellStyle name="Euro 19 3" xfId="3239" xr:uid="{00000000-0005-0000-0000-0000C40C0000}"/>
    <cellStyle name="Euro 19 30" xfId="3240" xr:uid="{00000000-0005-0000-0000-0000C50C0000}"/>
    <cellStyle name="Euro 19 31" xfId="3241" xr:uid="{00000000-0005-0000-0000-0000C60C0000}"/>
    <cellStyle name="Euro 19 32" xfId="3242" xr:uid="{00000000-0005-0000-0000-0000C70C0000}"/>
    <cellStyle name="Euro 19 33" xfId="3243" xr:uid="{00000000-0005-0000-0000-0000C80C0000}"/>
    <cellStyle name="Euro 19 34" xfId="3244" xr:uid="{00000000-0005-0000-0000-0000C90C0000}"/>
    <cellStyle name="Euro 19 35" xfId="3245" xr:uid="{00000000-0005-0000-0000-0000CA0C0000}"/>
    <cellStyle name="Euro 19 36" xfId="3246" xr:uid="{00000000-0005-0000-0000-0000CB0C0000}"/>
    <cellStyle name="Euro 19 37" xfId="3247" xr:uid="{00000000-0005-0000-0000-0000CC0C0000}"/>
    <cellStyle name="Euro 19 38" xfId="3248" xr:uid="{00000000-0005-0000-0000-0000CD0C0000}"/>
    <cellStyle name="Euro 19 39" xfId="3249" xr:uid="{00000000-0005-0000-0000-0000CE0C0000}"/>
    <cellStyle name="Euro 19 4" xfId="3250" xr:uid="{00000000-0005-0000-0000-0000CF0C0000}"/>
    <cellStyle name="Euro 19 40" xfId="3251" xr:uid="{00000000-0005-0000-0000-0000D00C0000}"/>
    <cellStyle name="Euro 19 41" xfId="3252" xr:uid="{00000000-0005-0000-0000-0000D10C0000}"/>
    <cellStyle name="Euro 19 42" xfId="3253" xr:uid="{00000000-0005-0000-0000-0000D20C0000}"/>
    <cellStyle name="Euro 19 43" xfId="3254" xr:uid="{00000000-0005-0000-0000-0000D30C0000}"/>
    <cellStyle name="Euro 19 5" xfId="3255" xr:uid="{00000000-0005-0000-0000-0000D40C0000}"/>
    <cellStyle name="Euro 19 6" xfId="3256" xr:uid="{00000000-0005-0000-0000-0000D50C0000}"/>
    <cellStyle name="Euro 19 7" xfId="3257" xr:uid="{00000000-0005-0000-0000-0000D60C0000}"/>
    <cellStyle name="Euro 19 8" xfId="3258" xr:uid="{00000000-0005-0000-0000-0000D70C0000}"/>
    <cellStyle name="Euro 19 9" xfId="3259" xr:uid="{00000000-0005-0000-0000-0000D80C0000}"/>
    <cellStyle name="Euro 2" xfId="3260" xr:uid="{00000000-0005-0000-0000-0000D90C0000}"/>
    <cellStyle name="Euro 2 10" xfId="3261" xr:uid="{00000000-0005-0000-0000-0000DA0C0000}"/>
    <cellStyle name="Euro 2 11" xfId="3262" xr:uid="{00000000-0005-0000-0000-0000DB0C0000}"/>
    <cellStyle name="Euro 2 12" xfId="3263" xr:uid="{00000000-0005-0000-0000-0000DC0C0000}"/>
    <cellStyle name="Euro 2 13" xfId="3264" xr:uid="{00000000-0005-0000-0000-0000DD0C0000}"/>
    <cellStyle name="Euro 2 14" xfId="3265" xr:uid="{00000000-0005-0000-0000-0000DE0C0000}"/>
    <cellStyle name="Euro 2 15" xfId="3266" xr:uid="{00000000-0005-0000-0000-0000DF0C0000}"/>
    <cellStyle name="Euro 2 16" xfId="3267" xr:uid="{00000000-0005-0000-0000-0000E00C0000}"/>
    <cellStyle name="Euro 2 17" xfId="3268" xr:uid="{00000000-0005-0000-0000-0000E10C0000}"/>
    <cellStyle name="Euro 2 18" xfId="3269" xr:uid="{00000000-0005-0000-0000-0000E20C0000}"/>
    <cellStyle name="Euro 2 19" xfId="3270" xr:uid="{00000000-0005-0000-0000-0000E30C0000}"/>
    <cellStyle name="Euro 2 2" xfId="3271" xr:uid="{00000000-0005-0000-0000-0000E40C0000}"/>
    <cellStyle name="Euro 2 2 10" xfId="3272" xr:uid="{00000000-0005-0000-0000-0000E50C0000}"/>
    <cellStyle name="Euro 2 2 11" xfId="3273" xr:uid="{00000000-0005-0000-0000-0000E60C0000}"/>
    <cellStyle name="Euro 2 2 12" xfId="3274" xr:uid="{00000000-0005-0000-0000-0000E70C0000}"/>
    <cellStyle name="Euro 2 2 13" xfId="3275" xr:uid="{00000000-0005-0000-0000-0000E80C0000}"/>
    <cellStyle name="Euro 2 2 14" xfId="3276" xr:uid="{00000000-0005-0000-0000-0000E90C0000}"/>
    <cellStyle name="Euro 2 2 15" xfId="3277" xr:uid="{00000000-0005-0000-0000-0000EA0C0000}"/>
    <cellStyle name="Euro 2 2 16" xfId="3278" xr:uid="{00000000-0005-0000-0000-0000EB0C0000}"/>
    <cellStyle name="Euro 2 2 17" xfId="3279" xr:uid="{00000000-0005-0000-0000-0000EC0C0000}"/>
    <cellStyle name="Euro 2 2 18" xfId="3280" xr:uid="{00000000-0005-0000-0000-0000ED0C0000}"/>
    <cellStyle name="Euro 2 2 19" xfId="3281" xr:uid="{00000000-0005-0000-0000-0000EE0C0000}"/>
    <cellStyle name="Euro 2 2 2" xfId="3282" xr:uid="{00000000-0005-0000-0000-0000EF0C0000}"/>
    <cellStyle name="Euro 2 2 20" xfId="3283" xr:uid="{00000000-0005-0000-0000-0000F00C0000}"/>
    <cellStyle name="Euro 2 2 21" xfId="3284" xr:uid="{00000000-0005-0000-0000-0000F10C0000}"/>
    <cellStyle name="Euro 2 2 22" xfId="3285" xr:uid="{00000000-0005-0000-0000-0000F20C0000}"/>
    <cellStyle name="Euro 2 2 23" xfId="3286" xr:uid="{00000000-0005-0000-0000-0000F30C0000}"/>
    <cellStyle name="Euro 2 2 24" xfId="3287" xr:uid="{00000000-0005-0000-0000-0000F40C0000}"/>
    <cellStyle name="Euro 2 2 25" xfId="3288" xr:uid="{00000000-0005-0000-0000-0000F50C0000}"/>
    <cellStyle name="Euro 2 2 26" xfId="3289" xr:uid="{00000000-0005-0000-0000-0000F60C0000}"/>
    <cellStyle name="Euro 2 2 27" xfId="3290" xr:uid="{00000000-0005-0000-0000-0000F70C0000}"/>
    <cellStyle name="Euro 2 2 28" xfId="3291" xr:uid="{00000000-0005-0000-0000-0000F80C0000}"/>
    <cellStyle name="Euro 2 2 29" xfId="3292" xr:uid="{00000000-0005-0000-0000-0000F90C0000}"/>
    <cellStyle name="Euro 2 2 3" xfId="3293" xr:uid="{00000000-0005-0000-0000-0000FA0C0000}"/>
    <cellStyle name="Euro 2 2 30" xfId="3294" xr:uid="{00000000-0005-0000-0000-0000FB0C0000}"/>
    <cellStyle name="Euro 2 2 31" xfId="3295" xr:uid="{00000000-0005-0000-0000-0000FC0C0000}"/>
    <cellStyle name="Euro 2 2 32" xfId="3296" xr:uid="{00000000-0005-0000-0000-0000FD0C0000}"/>
    <cellStyle name="Euro 2 2 33" xfId="3297" xr:uid="{00000000-0005-0000-0000-0000FE0C0000}"/>
    <cellStyle name="Euro 2 2 34" xfId="3298" xr:uid="{00000000-0005-0000-0000-0000FF0C0000}"/>
    <cellStyle name="Euro 2 2 35" xfId="3299" xr:uid="{00000000-0005-0000-0000-0000000D0000}"/>
    <cellStyle name="Euro 2 2 36" xfId="3300" xr:uid="{00000000-0005-0000-0000-0000010D0000}"/>
    <cellStyle name="Euro 2 2 37" xfId="3301" xr:uid="{00000000-0005-0000-0000-0000020D0000}"/>
    <cellStyle name="Euro 2 2 38" xfId="3302" xr:uid="{00000000-0005-0000-0000-0000030D0000}"/>
    <cellStyle name="Euro 2 2 39" xfId="3303" xr:uid="{00000000-0005-0000-0000-0000040D0000}"/>
    <cellStyle name="Euro 2 2 4" xfId="3304" xr:uid="{00000000-0005-0000-0000-0000050D0000}"/>
    <cellStyle name="Euro 2 2 40" xfId="3305" xr:uid="{00000000-0005-0000-0000-0000060D0000}"/>
    <cellStyle name="Euro 2 2 41" xfId="3306" xr:uid="{00000000-0005-0000-0000-0000070D0000}"/>
    <cellStyle name="Euro 2 2 42" xfId="3307" xr:uid="{00000000-0005-0000-0000-0000080D0000}"/>
    <cellStyle name="Euro 2 2 43" xfId="3308" xr:uid="{00000000-0005-0000-0000-0000090D0000}"/>
    <cellStyle name="Euro 2 2 5" xfId="3309" xr:uid="{00000000-0005-0000-0000-00000A0D0000}"/>
    <cellStyle name="Euro 2 2 6" xfId="3310" xr:uid="{00000000-0005-0000-0000-00000B0D0000}"/>
    <cellStyle name="Euro 2 2 7" xfId="3311" xr:uid="{00000000-0005-0000-0000-00000C0D0000}"/>
    <cellStyle name="Euro 2 2 8" xfId="3312" xr:uid="{00000000-0005-0000-0000-00000D0D0000}"/>
    <cellStyle name="Euro 2 2 9" xfId="3313" xr:uid="{00000000-0005-0000-0000-00000E0D0000}"/>
    <cellStyle name="Euro 2 20" xfId="3314" xr:uid="{00000000-0005-0000-0000-00000F0D0000}"/>
    <cellStyle name="Euro 2 21" xfId="3315" xr:uid="{00000000-0005-0000-0000-0000100D0000}"/>
    <cellStyle name="Euro 2 22" xfId="3316" xr:uid="{00000000-0005-0000-0000-0000110D0000}"/>
    <cellStyle name="Euro 2 23" xfId="3317" xr:uid="{00000000-0005-0000-0000-0000120D0000}"/>
    <cellStyle name="Euro 2 24" xfId="3318" xr:uid="{00000000-0005-0000-0000-0000130D0000}"/>
    <cellStyle name="Euro 2 25" xfId="3319" xr:uid="{00000000-0005-0000-0000-0000140D0000}"/>
    <cellStyle name="Euro 2 26" xfId="3320" xr:uid="{00000000-0005-0000-0000-0000150D0000}"/>
    <cellStyle name="Euro 2 27" xfId="3321" xr:uid="{00000000-0005-0000-0000-0000160D0000}"/>
    <cellStyle name="Euro 2 28" xfId="3322" xr:uid="{00000000-0005-0000-0000-0000170D0000}"/>
    <cellStyle name="Euro 2 29" xfId="3323" xr:uid="{00000000-0005-0000-0000-0000180D0000}"/>
    <cellStyle name="Euro 2 3" xfId="3324" xr:uid="{00000000-0005-0000-0000-0000190D0000}"/>
    <cellStyle name="Euro 2 30" xfId="3325" xr:uid="{00000000-0005-0000-0000-00001A0D0000}"/>
    <cellStyle name="Euro 2 31" xfId="3326" xr:uid="{00000000-0005-0000-0000-00001B0D0000}"/>
    <cellStyle name="Euro 2 32" xfId="3327" xr:uid="{00000000-0005-0000-0000-00001C0D0000}"/>
    <cellStyle name="Euro 2 33" xfId="3328" xr:uid="{00000000-0005-0000-0000-00001D0D0000}"/>
    <cellStyle name="Euro 2 34" xfId="3329" xr:uid="{00000000-0005-0000-0000-00001E0D0000}"/>
    <cellStyle name="Euro 2 35" xfId="3330" xr:uid="{00000000-0005-0000-0000-00001F0D0000}"/>
    <cellStyle name="Euro 2 36" xfId="3331" xr:uid="{00000000-0005-0000-0000-0000200D0000}"/>
    <cellStyle name="Euro 2 37" xfId="3332" xr:uid="{00000000-0005-0000-0000-0000210D0000}"/>
    <cellStyle name="Euro 2 38" xfId="3333" xr:uid="{00000000-0005-0000-0000-0000220D0000}"/>
    <cellStyle name="Euro 2 39" xfId="3334" xr:uid="{00000000-0005-0000-0000-0000230D0000}"/>
    <cellStyle name="Euro 2 4" xfId="3335" xr:uid="{00000000-0005-0000-0000-0000240D0000}"/>
    <cellStyle name="Euro 2 40" xfId="3336" xr:uid="{00000000-0005-0000-0000-0000250D0000}"/>
    <cellStyle name="Euro 2 41" xfId="3337" xr:uid="{00000000-0005-0000-0000-0000260D0000}"/>
    <cellStyle name="Euro 2 42" xfId="3338" xr:uid="{00000000-0005-0000-0000-0000270D0000}"/>
    <cellStyle name="Euro 2 43" xfId="3339" xr:uid="{00000000-0005-0000-0000-0000280D0000}"/>
    <cellStyle name="Euro 2 44" xfId="3340" xr:uid="{00000000-0005-0000-0000-0000290D0000}"/>
    <cellStyle name="Euro 2 45" xfId="3341" xr:uid="{00000000-0005-0000-0000-00002A0D0000}"/>
    <cellStyle name="Euro 2 46" xfId="3342" xr:uid="{00000000-0005-0000-0000-00002B0D0000}"/>
    <cellStyle name="Euro 2 47" xfId="3343" xr:uid="{00000000-0005-0000-0000-00002C0D0000}"/>
    <cellStyle name="Euro 2 48" xfId="3344" xr:uid="{00000000-0005-0000-0000-00002D0D0000}"/>
    <cellStyle name="Euro 2 49" xfId="3345" xr:uid="{00000000-0005-0000-0000-00002E0D0000}"/>
    <cellStyle name="Euro 2 5" xfId="3346" xr:uid="{00000000-0005-0000-0000-00002F0D0000}"/>
    <cellStyle name="Euro 2 50" xfId="3347" xr:uid="{00000000-0005-0000-0000-0000300D0000}"/>
    <cellStyle name="Euro 2 51" xfId="3348" xr:uid="{00000000-0005-0000-0000-0000310D0000}"/>
    <cellStyle name="Euro 2 52" xfId="3349" xr:uid="{00000000-0005-0000-0000-0000320D0000}"/>
    <cellStyle name="Euro 2 53" xfId="3350" xr:uid="{00000000-0005-0000-0000-0000330D0000}"/>
    <cellStyle name="Euro 2 54" xfId="3351" xr:uid="{00000000-0005-0000-0000-0000340D0000}"/>
    <cellStyle name="Euro 2 6" xfId="3352" xr:uid="{00000000-0005-0000-0000-0000350D0000}"/>
    <cellStyle name="Euro 2 7" xfId="3353" xr:uid="{00000000-0005-0000-0000-0000360D0000}"/>
    <cellStyle name="Euro 2 8" xfId="3354" xr:uid="{00000000-0005-0000-0000-0000370D0000}"/>
    <cellStyle name="Euro 2 9" xfId="3355" xr:uid="{00000000-0005-0000-0000-0000380D0000}"/>
    <cellStyle name="Euro 20" xfId="3356" xr:uid="{00000000-0005-0000-0000-0000390D0000}"/>
    <cellStyle name="Euro 20 10" xfId="3357" xr:uid="{00000000-0005-0000-0000-00003A0D0000}"/>
    <cellStyle name="Euro 20 11" xfId="3358" xr:uid="{00000000-0005-0000-0000-00003B0D0000}"/>
    <cellStyle name="Euro 20 12" xfId="3359" xr:uid="{00000000-0005-0000-0000-00003C0D0000}"/>
    <cellStyle name="Euro 20 13" xfId="3360" xr:uid="{00000000-0005-0000-0000-00003D0D0000}"/>
    <cellStyle name="Euro 20 14" xfId="3361" xr:uid="{00000000-0005-0000-0000-00003E0D0000}"/>
    <cellStyle name="Euro 20 15" xfId="3362" xr:uid="{00000000-0005-0000-0000-00003F0D0000}"/>
    <cellStyle name="Euro 20 16" xfId="3363" xr:uid="{00000000-0005-0000-0000-0000400D0000}"/>
    <cellStyle name="Euro 20 17" xfId="3364" xr:uid="{00000000-0005-0000-0000-0000410D0000}"/>
    <cellStyle name="Euro 20 18" xfId="3365" xr:uid="{00000000-0005-0000-0000-0000420D0000}"/>
    <cellStyle name="Euro 20 19" xfId="3366" xr:uid="{00000000-0005-0000-0000-0000430D0000}"/>
    <cellStyle name="Euro 20 2" xfId="3367" xr:uid="{00000000-0005-0000-0000-0000440D0000}"/>
    <cellStyle name="Euro 20 20" xfId="3368" xr:uid="{00000000-0005-0000-0000-0000450D0000}"/>
    <cellStyle name="Euro 20 21" xfId="3369" xr:uid="{00000000-0005-0000-0000-0000460D0000}"/>
    <cellStyle name="Euro 20 22" xfId="3370" xr:uid="{00000000-0005-0000-0000-0000470D0000}"/>
    <cellStyle name="Euro 20 23" xfId="3371" xr:uid="{00000000-0005-0000-0000-0000480D0000}"/>
    <cellStyle name="Euro 20 24" xfId="3372" xr:uid="{00000000-0005-0000-0000-0000490D0000}"/>
    <cellStyle name="Euro 20 25" xfId="3373" xr:uid="{00000000-0005-0000-0000-00004A0D0000}"/>
    <cellStyle name="Euro 20 26" xfId="3374" xr:uid="{00000000-0005-0000-0000-00004B0D0000}"/>
    <cellStyle name="Euro 20 27" xfId="3375" xr:uid="{00000000-0005-0000-0000-00004C0D0000}"/>
    <cellStyle name="Euro 20 28" xfId="3376" xr:uid="{00000000-0005-0000-0000-00004D0D0000}"/>
    <cellStyle name="Euro 20 29" xfId="3377" xr:uid="{00000000-0005-0000-0000-00004E0D0000}"/>
    <cellStyle name="Euro 20 3" xfId="3378" xr:uid="{00000000-0005-0000-0000-00004F0D0000}"/>
    <cellStyle name="Euro 20 30" xfId="3379" xr:uid="{00000000-0005-0000-0000-0000500D0000}"/>
    <cellStyle name="Euro 20 31" xfId="3380" xr:uid="{00000000-0005-0000-0000-0000510D0000}"/>
    <cellStyle name="Euro 20 32" xfId="3381" xr:uid="{00000000-0005-0000-0000-0000520D0000}"/>
    <cellStyle name="Euro 20 33" xfId="3382" xr:uid="{00000000-0005-0000-0000-0000530D0000}"/>
    <cellStyle name="Euro 20 34" xfId="3383" xr:uid="{00000000-0005-0000-0000-0000540D0000}"/>
    <cellStyle name="Euro 20 35" xfId="3384" xr:uid="{00000000-0005-0000-0000-0000550D0000}"/>
    <cellStyle name="Euro 20 36" xfId="3385" xr:uid="{00000000-0005-0000-0000-0000560D0000}"/>
    <cellStyle name="Euro 20 37" xfId="3386" xr:uid="{00000000-0005-0000-0000-0000570D0000}"/>
    <cellStyle name="Euro 20 38" xfId="3387" xr:uid="{00000000-0005-0000-0000-0000580D0000}"/>
    <cellStyle name="Euro 20 39" xfId="3388" xr:uid="{00000000-0005-0000-0000-0000590D0000}"/>
    <cellStyle name="Euro 20 4" xfId="3389" xr:uid="{00000000-0005-0000-0000-00005A0D0000}"/>
    <cellStyle name="Euro 20 40" xfId="3390" xr:uid="{00000000-0005-0000-0000-00005B0D0000}"/>
    <cellStyle name="Euro 20 41" xfId="3391" xr:uid="{00000000-0005-0000-0000-00005C0D0000}"/>
    <cellStyle name="Euro 20 42" xfId="3392" xr:uid="{00000000-0005-0000-0000-00005D0D0000}"/>
    <cellStyle name="Euro 20 43" xfId="3393" xr:uid="{00000000-0005-0000-0000-00005E0D0000}"/>
    <cellStyle name="Euro 20 5" xfId="3394" xr:uid="{00000000-0005-0000-0000-00005F0D0000}"/>
    <cellStyle name="Euro 20 6" xfId="3395" xr:uid="{00000000-0005-0000-0000-0000600D0000}"/>
    <cellStyle name="Euro 20 7" xfId="3396" xr:uid="{00000000-0005-0000-0000-0000610D0000}"/>
    <cellStyle name="Euro 20 8" xfId="3397" xr:uid="{00000000-0005-0000-0000-0000620D0000}"/>
    <cellStyle name="Euro 20 9" xfId="3398" xr:uid="{00000000-0005-0000-0000-0000630D0000}"/>
    <cellStyle name="Euro 21" xfId="3399" xr:uid="{00000000-0005-0000-0000-0000640D0000}"/>
    <cellStyle name="Euro 21 10" xfId="3400" xr:uid="{00000000-0005-0000-0000-0000650D0000}"/>
    <cellStyle name="Euro 21 11" xfId="3401" xr:uid="{00000000-0005-0000-0000-0000660D0000}"/>
    <cellStyle name="Euro 21 12" xfId="3402" xr:uid="{00000000-0005-0000-0000-0000670D0000}"/>
    <cellStyle name="Euro 21 13" xfId="3403" xr:uid="{00000000-0005-0000-0000-0000680D0000}"/>
    <cellStyle name="Euro 21 14" xfId="3404" xr:uid="{00000000-0005-0000-0000-0000690D0000}"/>
    <cellStyle name="Euro 21 15" xfId="3405" xr:uid="{00000000-0005-0000-0000-00006A0D0000}"/>
    <cellStyle name="Euro 21 16" xfId="3406" xr:uid="{00000000-0005-0000-0000-00006B0D0000}"/>
    <cellStyle name="Euro 21 17" xfId="3407" xr:uid="{00000000-0005-0000-0000-00006C0D0000}"/>
    <cellStyle name="Euro 21 18" xfId="3408" xr:uid="{00000000-0005-0000-0000-00006D0D0000}"/>
    <cellStyle name="Euro 21 19" xfId="3409" xr:uid="{00000000-0005-0000-0000-00006E0D0000}"/>
    <cellStyle name="Euro 21 2" xfId="3410" xr:uid="{00000000-0005-0000-0000-00006F0D0000}"/>
    <cellStyle name="Euro 21 20" xfId="3411" xr:uid="{00000000-0005-0000-0000-0000700D0000}"/>
    <cellStyle name="Euro 21 21" xfId="3412" xr:uid="{00000000-0005-0000-0000-0000710D0000}"/>
    <cellStyle name="Euro 21 22" xfId="3413" xr:uid="{00000000-0005-0000-0000-0000720D0000}"/>
    <cellStyle name="Euro 21 23" xfId="3414" xr:uid="{00000000-0005-0000-0000-0000730D0000}"/>
    <cellStyle name="Euro 21 24" xfId="3415" xr:uid="{00000000-0005-0000-0000-0000740D0000}"/>
    <cellStyle name="Euro 21 25" xfId="3416" xr:uid="{00000000-0005-0000-0000-0000750D0000}"/>
    <cellStyle name="Euro 21 26" xfId="3417" xr:uid="{00000000-0005-0000-0000-0000760D0000}"/>
    <cellStyle name="Euro 21 27" xfId="3418" xr:uid="{00000000-0005-0000-0000-0000770D0000}"/>
    <cellStyle name="Euro 21 28" xfId="3419" xr:uid="{00000000-0005-0000-0000-0000780D0000}"/>
    <cellStyle name="Euro 21 29" xfId="3420" xr:uid="{00000000-0005-0000-0000-0000790D0000}"/>
    <cellStyle name="Euro 21 3" xfId="3421" xr:uid="{00000000-0005-0000-0000-00007A0D0000}"/>
    <cellStyle name="Euro 21 30" xfId="3422" xr:uid="{00000000-0005-0000-0000-00007B0D0000}"/>
    <cellStyle name="Euro 21 31" xfId="3423" xr:uid="{00000000-0005-0000-0000-00007C0D0000}"/>
    <cellStyle name="Euro 21 32" xfId="3424" xr:uid="{00000000-0005-0000-0000-00007D0D0000}"/>
    <cellStyle name="Euro 21 33" xfId="3425" xr:uid="{00000000-0005-0000-0000-00007E0D0000}"/>
    <cellStyle name="Euro 21 34" xfId="3426" xr:uid="{00000000-0005-0000-0000-00007F0D0000}"/>
    <cellStyle name="Euro 21 35" xfId="3427" xr:uid="{00000000-0005-0000-0000-0000800D0000}"/>
    <cellStyle name="Euro 21 36" xfId="3428" xr:uid="{00000000-0005-0000-0000-0000810D0000}"/>
    <cellStyle name="Euro 21 37" xfId="3429" xr:uid="{00000000-0005-0000-0000-0000820D0000}"/>
    <cellStyle name="Euro 21 38" xfId="3430" xr:uid="{00000000-0005-0000-0000-0000830D0000}"/>
    <cellStyle name="Euro 21 39" xfId="3431" xr:uid="{00000000-0005-0000-0000-0000840D0000}"/>
    <cellStyle name="Euro 21 4" xfId="3432" xr:uid="{00000000-0005-0000-0000-0000850D0000}"/>
    <cellStyle name="Euro 21 40" xfId="3433" xr:uid="{00000000-0005-0000-0000-0000860D0000}"/>
    <cellStyle name="Euro 21 41" xfId="3434" xr:uid="{00000000-0005-0000-0000-0000870D0000}"/>
    <cellStyle name="Euro 21 42" xfId="3435" xr:uid="{00000000-0005-0000-0000-0000880D0000}"/>
    <cellStyle name="Euro 21 43" xfId="3436" xr:uid="{00000000-0005-0000-0000-0000890D0000}"/>
    <cellStyle name="Euro 21 5" xfId="3437" xr:uid="{00000000-0005-0000-0000-00008A0D0000}"/>
    <cellStyle name="Euro 21 6" xfId="3438" xr:uid="{00000000-0005-0000-0000-00008B0D0000}"/>
    <cellStyle name="Euro 21 7" xfId="3439" xr:uid="{00000000-0005-0000-0000-00008C0D0000}"/>
    <cellStyle name="Euro 21 8" xfId="3440" xr:uid="{00000000-0005-0000-0000-00008D0D0000}"/>
    <cellStyle name="Euro 21 9" xfId="3441" xr:uid="{00000000-0005-0000-0000-00008E0D0000}"/>
    <cellStyle name="Euro 22" xfId="3442" xr:uid="{00000000-0005-0000-0000-00008F0D0000}"/>
    <cellStyle name="Euro 22 10" xfId="3443" xr:uid="{00000000-0005-0000-0000-0000900D0000}"/>
    <cellStyle name="Euro 22 11" xfId="3444" xr:uid="{00000000-0005-0000-0000-0000910D0000}"/>
    <cellStyle name="Euro 22 12" xfId="3445" xr:uid="{00000000-0005-0000-0000-0000920D0000}"/>
    <cellStyle name="Euro 22 13" xfId="3446" xr:uid="{00000000-0005-0000-0000-0000930D0000}"/>
    <cellStyle name="Euro 22 14" xfId="3447" xr:uid="{00000000-0005-0000-0000-0000940D0000}"/>
    <cellStyle name="Euro 22 15" xfId="3448" xr:uid="{00000000-0005-0000-0000-0000950D0000}"/>
    <cellStyle name="Euro 22 16" xfId="3449" xr:uid="{00000000-0005-0000-0000-0000960D0000}"/>
    <cellStyle name="Euro 22 17" xfId="3450" xr:uid="{00000000-0005-0000-0000-0000970D0000}"/>
    <cellStyle name="Euro 22 18" xfId="3451" xr:uid="{00000000-0005-0000-0000-0000980D0000}"/>
    <cellStyle name="Euro 22 19" xfId="3452" xr:uid="{00000000-0005-0000-0000-0000990D0000}"/>
    <cellStyle name="Euro 22 2" xfId="3453" xr:uid="{00000000-0005-0000-0000-00009A0D0000}"/>
    <cellStyle name="Euro 22 20" xfId="3454" xr:uid="{00000000-0005-0000-0000-00009B0D0000}"/>
    <cellStyle name="Euro 22 21" xfId="3455" xr:uid="{00000000-0005-0000-0000-00009C0D0000}"/>
    <cellStyle name="Euro 22 22" xfId="3456" xr:uid="{00000000-0005-0000-0000-00009D0D0000}"/>
    <cellStyle name="Euro 22 23" xfId="3457" xr:uid="{00000000-0005-0000-0000-00009E0D0000}"/>
    <cellStyle name="Euro 22 24" xfId="3458" xr:uid="{00000000-0005-0000-0000-00009F0D0000}"/>
    <cellStyle name="Euro 22 25" xfId="3459" xr:uid="{00000000-0005-0000-0000-0000A00D0000}"/>
    <cellStyle name="Euro 22 26" xfId="3460" xr:uid="{00000000-0005-0000-0000-0000A10D0000}"/>
    <cellStyle name="Euro 22 27" xfId="3461" xr:uid="{00000000-0005-0000-0000-0000A20D0000}"/>
    <cellStyle name="Euro 22 28" xfId="3462" xr:uid="{00000000-0005-0000-0000-0000A30D0000}"/>
    <cellStyle name="Euro 22 29" xfId="3463" xr:uid="{00000000-0005-0000-0000-0000A40D0000}"/>
    <cellStyle name="Euro 22 3" xfId="3464" xr:uid="{00000000-0005-0000-0000-0000A50D0000}"/>
    <cellStyle name="Euro 22 30" xfId="3465" xr:uid="{00000000-0005-0000-0000-0000A60D0000}"/>
    <cellStyle name="Euro 22 31" xfId="3466" xr:uid="{00000000-0005-0000-0000-0000A70D0000}"/>
    <cellStyle name="Euro 22 32" xfId="3467" xr:uid="{00000000-0005-0000-0000-0000A80D0000}"/>
    <cellStyle name="Euro 22 33" xfId="3468" xr:uid="{00000000-0005-0000-0000-0000A90D0000}"/>
    <cellStyle name="Euro 22 34" xfId="3469" xr:uid="{00000000-0005-0000-0000-0000AA0D0000}"/>
    <cellStyle name="Euro 22 35" xfId="3470" xr:uid="{00000000-0005-0000-0000-0000AB0D0000}"/>
    <cellStyle name="Euro 22 36" xfId="3471" xr:uid="{00000000-0005-0000-0000-0000AC0D0000}"/>
    <cellStyle name="Euro 22 37" xfId="3472" xr:uid="{00000000-0005-0000-0000-0000AD0D0000}"/>
    <cellStyle name="Euro 22 38" xfId="3473" xr:uid="{00000000-0005-0000-0000-0000AE0D0000}"/>
    <cellStyle name="Euro 22 39" xfId="3474" xr:uid="{00000000-0005-0000-0000-0000AF0D0000}"/>
    <cellStyle name="Euro 22 4" xfId="3475" xr:uid="{00000000-0005-0000-0000-0000B00D0000}"/>
    <cellStyle name="Euro 22 40" xfId="3476" xr:uid="{00000000-0005-0000-0000-0000B10D0000}"/>
    <cellStyle name="Euro 22 41" xfId="3477" xr:uid="{00000000-0005-0000-0000-0000B20D0000}"/>
    <cellStyle name="Euro 22 42" xfId="3478" xr:uid="{00000000-0005-0000-0000-0000B30D0000}"/>
    <cellStyle name="Euro 22 43" xfId="3479" xr:uid="{00000000-0005-0000-0000-0000B40D0000}"/>
    <cellStyle name="Euro 22 5" xfId="3480" xr:uid="{00000000-0005-0000-0000-0000B50D0000}"/>
    <cellStyle name="Euro 22 6" xfId="3481" xr:uid="{00000000-0005-0000-0000-0000B60D0000}"/>
    <cellStyle name="Euro 22 7" xfId="3482" xr:uid="{00000000-0005-0000-0000-0000B70D0000}"/>
    <cellStyle name="Euro 22 8" xfId="3483" xr:uid="{00000000-0005-0000-0000-0000B80D0000}"/>
    <cellStyle name="Euro 22 9" xfId="3484" xr:uid="{00000000-0005-0000-0000-0000B90D0000}"/>
    <cellStyle name="Euro 23" xfId="3485" xr:uid="{00000000-0005-0000-0000-0000BA0D0000}"/>
    <cellStyle name="Euro 23 10" xfId="3486" xr:uid="{00000000-0005-0000-0000-0000BB0D0000}"/>
    <cellStyle name="Euro 23 11" xfId="3487" xr:uid="{00000000-0005-0000-0000-0000BC0D0000}"/>
    <cellStyle name="Euro 23 12" xfId="3488" xr:uid="{00000000-0005-0000-0000-0000BD0D0000}"/>
    <cellStyle name="Euro 23 13" xfId="3489" xr:uid="{00000000-0005-0000-0000-0000BE0D0000}"/>
    <cellStyle name="Euro 23 14" xfId="3490" xr:uid="{00000000-0005-0000-0000-0000BF0D0000}"/>
    <cellStyle name="Euro 23 15" xfId="3491" xr:uid="{00000000-0005-0000-0000-0000C00D0000}"/>
    <cellStyle name="Euro 23 16" xfId="3492" xr:uid="{00000000-0005-0000-0000-0000C10D0000}"/>
    <cellStyle name="Euro 23 17" xfId="3493" xr:uid="{00000000-0005-0000-0000-0000C20D0000}"/>
    <cellStyle name="Euro 23 18" xfId="3494" xr:uid="{00000000-0005-0000-0000-0000C30D0000}"/>
    <cellStyle name="Euro 23 19" xfId="3495" xr:uid="{00000000-0005-0000-0000-0000C40D0000}"/>
    <cellStyle name="Euro 23 2" xfId="3496" xr:uid="{00000000-0005-0000-0000-0000C50D0000}"/>
    <cellStyle name="Euro 23 20" xfId="3497" xr:uid="{00000000-0005-0000-0000-0000C60D0000}"/>
    <cellStyle name="Euro 23 21" xfId="3498" xr:uid="{00000000-0005-0000-0000-0000C70D0000}"/>
    <cellStyle name="Euro 23 22" xfId="3499" xr:uid="{00000000-0005-0000-0000-0000C80D0000}"/>
    <cellStyle name="Euro 23 23" xfId="3500" xr:uid="{00000000-0005-0000-0000-0000C90D0000}"/>
    <cellStyle name="Euro 23 24" xfId="3501" xr:uid="{00000000-0005-0000-0000-0000CA0D0000}"/>
    <cellStyle name="Euro 23 25" xfId="3502" xr:uid="{00000000-0005-0000-0000-0000CB0D0000}"/>
    <cellStyle name="Euro 23 26" xfId="3503" xr:uid="{00000000-0005-0000-0000-0000CC0D0000}"/>
    <cellStyle name="Euro 23 27" xfId="3504" xr:uid="{00000000-0005-0000-0000-0000CD0D0000}"/>
    <cellStyle name="Euro 23 28" xfId="3505" xr:uid="{00000000-0005-0000-0000-0000CE0D0000}"/>
    <cellStyle name="Euro 23 29" xfId="3506" xr:uid="{00000000-0005-0000-0000-0000CF0D0000}"/>
    <cellStyle name="Euro 23 3" xfId="3507" xr:uid="{00000000-0005-0000-0000-0000D00D0000}"/>
    <cellStyle name="Euro 23 30" xfId="3508" xr:uid="{00000000-0005-0000-0000-0000D10D0000}"/>
    <cellStyle name="Euro 23 31" xfId="3509" xr:uid="{00000000-0005-0000-0000-0000D20D0000}"/>
    <cellStyle name="Euro 23 32" xfId="3510" xr:uid="{00000000-0005-0000-0000-0000D30D0000}"/>
    <cellStyle name="Euro 23 33" xfId="3511" xr:uid="{00000000-0005-0000-0000-0000D40D0000}"/>
    <cellStyle name="Euro 23 34" xfId="3512" xr:uid="{00000000-0005-0000-0000-0000D50D0000}"/>
    <cellStyle name="Euro 23 35" xfId="3513" xr:uid="{00000000-0005-0000-0000-0000D60D0000}"/>
    <cellStyle name="Euro 23 36" xfId="3514" xr:uid="{00000000-0005-0000-0000-0000D70D0000}"/>
    <cellStyle name="Euro 23 37" xfId="3515" xr:uid="{00000000-0005-0000-0000-0000D80D0000}"/>
    <cellStyle name="Euro 23 38" xfId="3516" xr:uid="{00000000-0005-0000-0000-0000D90D0000}"/>
    <cellStyle name="Euro 23 39" xfId="3517" xr:uid="{00000000-0005-0000-0000-0000DA0D0000}"/>
    <cellStyle name="Euro 23 4" xfId="3518" xr:uid="{00000000-0005-0000-0000-0000DB0D0000}"/>
    <cellStyle name="Euro 23 40" xfId="3519" xr:uid="{00000000-0005-0000-0000-0000DC0D0000}"/>
    <cellStyle name="Euro 23 41" xfId="3520" xr:uid="{00000000-0005-0000-0000-0000DD0D0000}"/>
    <cellStyle name="Euro 23 42" xfId="3521" xr:uid="{00000000-0005-0000-0000-0000DE0D0000}"/>
    <cellStyle name="Euro 23 43" xfId="3522" xr:uid="{00000000-0005-0000-0000-0000DF0D0000}"/>
    <cellStyle name="Euro 23 5" xfId="3523" xr:uid="{00000000-0005-0000-0000-0000E00D0000}"/>
    <cellStyle name="Euro 23 6" xfId="3524" xr:uid="{00000000-0005-0000-0000-0000E10D0000}"/>
    <cellStyle name="Euro 23 7" xfId="3525" xr:uid="{00000000-0005-0000-0000-0000E20D0000}"/>
    <cellStyle name="Euro 23 8" xfId="3526" xr:uid="{00000000-0005-0000-0000-0000E30D0000}"/>
    <cellStyle name="Euro 23 9" xfId="3527" xr:uid="{00000000-0005-0000-0000-0000E40D0000}"/>
    <cellStyle name="Euro 24" xfId="3528" xr:uid="{00000000-0005-0000-0000-0000E50D0000}"/>
    <cellStyle name="Euro 24 10" xfId="3529" xr:uid="{00000000-0005-0000-0000-0000E60D0000}"/>
    <cellStyle name="Euro 24 11" xfId="3530" xr:uid="{00000000-0005-0000-0000-0000E70D0000}"/>
    <cellStyle name="Euro 24 12" xfId="3531" xr:uid="{00000000-0005-0000-0000-0000E80D0000}"/>
    <cellStyle name="Euro 24 13" xfId="3532" xr:uid="{00000000-0005-0000-0000-0000E90D0000}"/>
    <cellStyle name="Euro 24 14" xfId="3533" xr:uid="{00000000-0005-0000-0000-0000EA0D0000}"/>
    <cellStyle name="Euro 24 15" xfId="3534" xr:uid="{00000000-0005-0000-0000-0000EB0D0000}"/>
    <cellStyle name="Euro 24 16" xfId="3535" xr:uid="{00000000-0005-0000-0000-0000EC0D0000}"/>
    <cellStyle name="Euro 24 17" xfId="3536" xr:uid="{00000000-0005-0000-0000-0000ED0D0000}"/>
    <cellStyle name="Euro 24 18" xfId="3537" xr:uid="{00000000-0005-0000-0000-0000EE0D0000}"/>
    <cellStyle name="Euro 24 19" xfId="3538" xr:uid="{00000000-0005-0000-0000-0000EF0D0000}"/>
    <cellStyle name="Euro 24 2" xfId="3539" xr:uid="{00000000-0005-0000-0000-0000F00D0000}"/>
    <cellStyle name="Euro 24 20" xfId="3540" xr:uid="{00000000-0005-0000-0000-0000F10D0000}"/>
    <cellStyle name="Euro 24 21" xfId="3541" xr:uid="{00000000-0005-0000-0000-0000F20D0000}"/>
    <cellStyle name="Euro 24 22" xfId="3542" xr:uid="{00000000-0005-0000-0000-0000F30D0000}"/>
    <cellStyle name="Euro 24 23" xfId="3543" xr:uid="{00000000-0005-0000-0000-0000F40D0000}"/>
    <cellStyle name="Euro 24 24" xfId="3544" xr:uid="{00000000-0005-0000-0000-0000F50D0000}"/>
    <cellStyle name="Euro 24 25" xfId="3545" xr:uid="{00000000-0005-0000-0000-0000F60D0000}"/>
    <cellStyle name="Euro 24 26" xfId="3546" xr:uid="{00000000-0005-0000-0000-0000F70D0000}"/>
    <cellStyle name="Euro 24 27" xfId="3547" xr:uid="{00000000-0005-0000-0000-0000F80D0000}"/>
    <cellStyle name="Euro 24 28" xfId="3548" xr:uid="{00000000-0005-0000-0000-0000F90D0000}"/>
    <cellStyle name="Euro 24 29" xfId="3549" xr:uid="{00000000-0005-0000-0000-0000FA0D0000}"/>
    <cellStyle name="Euro 24 3" xfId="3550" xr:uid="{00000000-0005-0000-0000-0000FB0D0000}"/>
    <cellStyle name="Euro 24 30" xfId="3551" xr:uid="{00000000-0005-0000-0000-0000FC0D0000}"/>
    <cellStyle name="Euro 24 31" xfId="3552" xr:uid="{00000000-0005-0000-0000-0000FD0D0000}"/>
    <cellStyle name="Euro 24 32" xfId="3553" xr:uid="{00000000-0005-0000-0000-0000FE0D0000}"/>
    <cellStyle name="Euro 24 33" xfId="3554" xr:uid="{00000000-0005-0000-0000-0000FF0D0000}"/>
    <cellStyle name="Euro 24 34" xfId="3555" xr:uid="{00000000-0005-0000-0000-0000000E0000}"/>
    <cellStyle name="Euro 24 35" xfId="3556" xr:uid="{00000000-0005-0000-0000-0000010E0000}"/>
    <cellStyle name="Euro 24 36" xfId="3557" xr:uid="{00000000-0005-0000-0000-0000020E0000}"/>
    <cellStyle name="Euro 24 37" xfId="3558" xr:uid="{00000000-0005-0000-0000-0000030E0000}"/>
    <cellStyle name="Euro 24 38" xfId="3559" xr:uid="{00000000-0005-0000-0000-0000040E0000}"/>
    <cellStyle name="Euro 24 39" xfId="3560" xr:uid="{00000000-0005-0000-0000-0000050E0000}"/>
    <cellStyle name="Euro 24 4" xfId="3561" xr:uid="{00000000-0005-0000-0000-0000060E0000}"/>
    <cellStyle name="Euro 24 40" xfId="3562" xr:uid="{00000000-0005-0000-0000-0000070E0000}"/>
    <cellStyle name="Euro 24 41" xfId="3563" xr:uid="{00000000-0005-0000-0000-0000080E0000}"/>
    <cellStyle name="Euro 24 42" xfId="3564" xr:uid="{00000000-0005-0000-0000-0000090E0000}"/>
    <cellStyle name="Euro 24 43" xfId="3565" xr:uid="{00000000-0005-0000-0000-00000A0E0000}"/>
    <cellStyle name="Euro 24 5" xfId="3566" xr:uid="{00000000-0005-0000-0000-00000B0E0000}"/>
    <cellStyle name="Euro 24 6" xfId="3567" xr:uid="{00000000-0005-0000-0000-00000C0E0000}"/>
    <cellStyle name="Euro 24 7" xfId="3568" xr:uid="{00000000-0005-0000-0000-00000D0E0000}"/>
    <cellStyle name="Euro 24 8" xfId="3569" xr:uid="{00000000-0005-0000-0000-00000E0E0000}"/>
    <cellStyle name="Euro 24 9" xfId="3570" xr:uid="{00000000-0005-0000-0000-00000F0E0000}"/>
    <cellStyle name="Euro 25" xfId="3571" xr:uid="{00000000-0005-0000-0000-0000100E0000}"/>
    <cellStyle name="Euro 25 10" xfId="3572" xr:uid="{00000000-0005-0000-0000-0000110E0000}"/>
    <cellStyle name="Euro 25 11" xfId="3573" xr:uid="{00000000-0005-0000-0000-0000120E0000}"/>
    <cellStyle name="Euro 25 12" xfId="3574" xr:uid="{00000000-0005-0000-0000-0000130E0000}"/>
    <cellStyle name="Euro 25 13" xfId="3575" xr:uid="{00000000-0005-0000-0000-0000140E0000}"/>
    <cellStyle name="Euro 25 14" xfId="3576" xr:uid="{00000000-0005-0000-0000-0000150E0000}"/>
    <cellStyle name="Euro 25 15" xfId="3577" xr:uid="{00000000-0005-0000-0000-0000160E0000}"/>
    <cellStyle name="Euro 25 16" xfId="3578" xr:uid="{00000000-0005-0000-0000-0000170E0000}"/>
    <cellStyle name="Euro 25 17" xfId="3579" xr:uid="{00000000-0005-0000-0000-0000180E0000}"/>
    <cellStyle name="Euro 25 18" xfId="3580" xr:uid="{00000000-0005-0000-0000-0000190E0000}"/>
    <cellStyle name="Euro 25 19" xfId="3581" xr:uid="{00000000-0005-0000-0000-00001A0E0000}"/>
    <cellStyle name="Euro 25 2" xfId="3582" xr:uid="{00000000-0005-0000-0000-00001B0E0000}"/>
    <cellStyle name="Euro 25 20" xfId="3583" xr:uid="{00000000-0005-0000-0000-00001C0E0000}"/>
    <cellStyle name="Euro 25 21" xfId="3584" xr:uid="{00000000-0005-0000-0000-00001D0E0000}"/>
    <cellStyle name="Euro 25 22" xfId="3585" xr:uid="{00000000-0005-0000-0000-00001E0E0000}"/>
    <cellStyle name="Euro 25 23" xfId="3586" xr:uid="{00000000-0005-0000-0000-00001F0E0000}"/>
    <cellStyle name="Euro 25 24" xfId="3587" xr:uid="{00000000-0005-0000-0000-0000200E0000}"/>
    <cellStyle name="Euro 25 25" xfId="3588" xr:uid="{00000000-0005-0000-0000-0000210E0000}"/>
    <cellStyle name="Euro 25 26" xfId="3589" xr:uid="{00000000-0005-0000-0000-0000220E0000}"/>
    <cellStyle name="Euro 25 27" xfId="3590" xr:uid="{00000000-0005-0000-0000-0000230E0000}"/>
    <cellStyle name="Euro 25 28" xfId="3591" xr:uid="{00000000-0005-0000-0000-0000240E0000}"/>
    <cellStyle name="Euro 25 29" xfId="3592" xr:uid="{00000000-0005-0000-0000-0000250E0000}"/>
    <cellStyle name="Euro 25 3" xfId="3593" xr:uid="{00000000-0005-0000-0000-0000260E0000}"/>
    <cellStyle name="Euro 25 30" xfId="3594" xr:uid="{00000000-0005-0000-0000-0000270E0000}"/>
    <cellStyle name="Euro 25 31" xfId="3595" xr:uid="{00000000-0005-0000-0000-0000280E0000}"/>
    <cellStyle name="Euro 25 32" xfId="3596" xr:uid="{00000000-0005-0000-0000-0000290E0000}"/>
    <cellStyle name="Euro 25 33" xfId="3597" xr:uid="{00000000-0005-0000-0000-00002A0E0000}"/>
    <cellStyle name="Euro 25 34" xfId="3598" xr:uid="{00000000-0005-0000-0000-00002B0E0000}"/>
    <cellStyle name="Euro 25 35" xfId="3599" xr:uid="{00000000-0005-0000-0000-00002C0E0000}"/>
    <cellStyle name="Euro 25 36" xfId="3600" xr:uid="{00000000-0005-0000-0000-00002D0E0000}"/>
    <cellStyle name="Euro 25 37" xfId="3601" xr:uid="{00000000-0005-0000-0000-00002E0E0000}"/>
    <cellStyle name="Euro 25 38" xfId="3602" xr:uid="{00000000-0005-0000-0000-00002F0E0000}"/>
    <cellStyle name="Euro 25 39" xfId="3603" xr:uid="{00000000-0005-0000-0000-0000300E0000}"/>
    <cellStyle name="Euro 25 4" xfId="3604" xr:uid="{00000000-0005-0000-0000-0000310E0000}"/>
    <cellStyle name="Euro 25 40" xfId="3605" xr:uid="{00000000-0005-0000-0000-0000320E0000}"/>
    <cellStyle name="Euro 25 41" xfId="3606" xr:uid="{00000000-0005-0000-0000-0000330E0000}"/>
    <cellStyle name="Euro 25 42" xfId="3607" xr:uid="{00000000-0005-0000-0000-0000340E0000}"/>
    <cellStyle name="Euro 25 43" xfId="3608" xr:uid="{00000000-0005-0000-0000-0000350E0000}"/>
    <cellStyle name="Euro 25 5" xfId="3609" xr:uid="{00000000-0005-0000-0000-0000360E0000}"/>
    <cellStyle name="Euro 25 6" xfId="3610" xr:uid="{00000000-0005-0000-0000-0000370E0000}"/>
    <cellStyle name="Euro 25 7" xfId="3611" xr:uid="{00000000-0005-0000-0000-0000380E0000}"/>
    <cellStyle name="Euro 25 8" xfId="3612" xr:uid="{00000000-0005-0000-0000-0000390E0000}"/>
    <cellStyle name="Euro 25 9" xfId="3613" xr:uid="{00000000-0005-0000-0000-00003A0E0000}"/>
    <cellStyle name="Euro 26" xfId="3614" xr:uid="{00000000-0005-0000-0000-00003B0E0000}"/>
    <cellStyle name="Euro 26 10" xfId="3615" xr:uid="{00000000-0005-0000-0000-00003C0E0000}"/>
    <cellStyle name="Euro 26 11" xfId="3616" xr:uid="{00000000-0005-0000-0000-00003D0E0000}"/>
    <cellStyle name="Euro 26 12" xfId="3617" xr:uid="{00000000-0005-0000-0000-00003E0E0000}"/>
    <cellStyle name="Euro 26 13" xfId="3618" xr:uid="{00000000-0005-0000-0000-00003F0E0000}"/>
    <cellStyle name="Euro 26 14" xfId="3619" xr:uid="{00000000-0005-0000-0000-0000400E0000}"/>
    <cellStyle name="Euro 26 15" xfId="3620" xr:uid="{00000000-0005-0000-0000-0000410E0000}"/>
    <cellStyle name="Euro 26 16" xfId="3621" xr:uid="{00000000-0005-0000-0000-0000420E0000}"/>
    <cellStyle name="Euro 26 17" xfId="3622" xr:uid="{00000000-0005-0000-0000-0000430E0000}"/>
    <cellStyle name="Euro 26 18" xfId="3623" xr:uid="{00000000-0005-0000-0000-0000440E0000}"/>
    <cellStyle name="Euro 26 19" xfId="3624" xr:uid="{00000000-0005-0000-0000-0000450E0000}"/>
    <cellStyle name="Euro 26 2" xfId="3625" xr:uid="{00000000-0005-0000-0000-0000460E0000}"/>
    <cellStyle name="Euro 26 20" xfId="3626" xr:uid="{00000000-0005-0000-0000-0000470E0000}"/>
    <cellStyle name="Euro 26 21" xfId="3627" xr:uid="{00000000-0005-0000-0000-0000480E0000}"/>
    <cellStyle name="Euro 26 22" xfId="3628" xr:uid="{00000000-0005-0000-0000-0000490E0000}"/>
    <cellStyle name="Euro 26 23" xfId="3629" xr:uid="{00000000-0005-0000-0000-00004A0E0000}"/>
    <cellStyle name="Euro 26 24" xfId="3630" xr:uid="{00000000-0005-0000-0000-00004B0E0000}"/>
    <cellStyle name="Euro 26 25" xfId="3631" xr:uid="{00000000-0005-0000-0000-00004C0E0000}"/>
    <cellStyle name="Euro 26 26" xfId="3632" xr:uid="{00000000-0005-0000-0000-00004D0E0000}"/>
    <cellStyle name="Euro 26 27" xfId="3633" xr:uid="{00000000-0005-0000-0000-00004E0E0000}"/>
    <cellStyle name="Euro 26 28" xfId="3634" xr:uid="{00000000-0005-0000-0000-00004F0E0000}"/>
    <cellStyle name="Euro 26 29" xfId="3635" xr:uid="{00000000-0005-0000-0000-0000500E0000}"/>
    <cellStyle name="Euro 26 3" xfId="3636" xr:uid="{00000000-0005-0000-0000-0000510E0000}"/>
    <cellStyle name="Euro 26 30" xfId="3637" xr:uid="{00000000-0005-0000-0000-0000520E0000}"/>
    <cellStyle name="Euro 26 31" xfId="3638" xr:uid="{00000000-0005-0000-0000-0000530E0000}"/>
    <cellStyle name="Euro 26 32" xfId="3639" xr:uid="{00000000-0005-0000-0000-0000540E0000}"/>
    <cellStyle name="Euro 26 33" xfId="3640" xr:uid="{00000000-0005-0000-0000-0000550E0000}"/>
    <cellStyle name="Euro 26 34" xfId="3641" xr:uid="{00000000-0005-0000-0000-0000560E0000}"/>
    <cellStyle name="Euro 26 35" xfId="3642" xr:uid="{00000000-0005-0000-0000-0000570E0000}"/>
    <cellStyle name="Euro 26 36" xfId="3643" xr:uid="{00000000-0005-0000-0000-0000580E0000}"/>
    <cellStyle name="Euro 26 37" xfId="3644" xr:uid="{00000000-0005-0000-0000-0000590E0000}"/>
    <cellStyle name="Euro 26 38" xfId="3645" xr:uid="{00000000-0005-0000-0000-00005A0E0000}"/>
    <cellStyle name="Euro 26 39" xfId="3646" xr:uid="{00000000-0005-0000-0000-00005B0E0000}"/>
    <cellStyle name="Euro 26 4" xfId="3647" xr:uid="{00000000-0005-0000-0000-00005C0E0000}"/>
    <cellStyle name="Euro 26 40" xfId="3648" xr:uid="{00000000-0005-0000-0000-00005D0E0000}"/>
    <cellStyle name="Euro 26 41" xfId="3649" xr:uid="{00000000-0005-0000-0000-00005E0E0000}"/>
    <cellStyle name="Euro 26 42" xfId="3650" xr:uid="{00000000-0005-0000-0000-00005F0E0000}"/>
    <cellStyle name="Euro 26 43" xfId="3651" xr:uid="{00000000-0005-0000-0000-0000600E0000}"/>
    <cellStyle name="Euro 26 5" xfId="3652" xr:uid="{00000000-0005-0000-0000-0000610E0000}"/>
    <cellStyle name="Euro 26 6" xfId="3653" xr:uid="{00000000-0005-0000-0000-0000620E0000}"/>
    <cellStyle name="Euro 26 7" xfId="3654" xr:uid="{00000000-0005-0000-0000-0000630E0000}"/>
    <cellStyle name="Euro 26 8" xfId="3655" xr:uid="{00000000-0005-0000-0000-0000640E0000}"/>
    <cellStyle name="Euro 26 9" xfId="3656" xr:uid="{00000000-0005-0000-0000-0000650E0000}"/>
    <cellStyle name="Euro 27" xfId="3657" xr:uid="{00000000-0005-0000-0000-0000660E0000}"/>
    <cellStyle name="Euro 27 10" xfId="3658" xr:uid="{00000000-0005-0000-0000-0000670E0000}"/>
    <cellStyle name="Euro 27 11" xfId="3659" xr:uid="{00000000-0005-0000-0000-0000680E0000}"/>
    <cellStyle name="Euro 27 12" xfId="3660" xr:uid="{00000000-0005-0000-0000-0000690E0000}"/>
    <cellStyle name="Euro 27 13" xfId="3661" xr:uid="{00000000-0005-0000-0000-00006A0E0000}"/>
    <cellStyle name="Euro 27 14" xfId="3662" xr:uid="{00000000-0005-0000-0000-00006B0E0000}"/>
    <cellStyle name="Euro 27 15" xfId="3663" xr:uid="{00000000-0005-0000-0000-00006C0E0000}"/>
    <cellStyle name="Euro 27 16" xfId="3664" xr:uid="{00000000-0005-0000-0000-00006D0E0000}"/>
    <cellStyle name="Euro 27 17" xfId="3665" xr:uid="{00000000-0005-0000-0000-00006E0E0000}"/>
    <cellStyle name="Euro 27 18" xfId="3666" xr:uid="{00000000-0005-0000-0000-00006F0E0000}"/>
    <cellStyle name="Euro 27 19" xfId="3667" xr:uid="{00000000-0005-0000-0000-0000700E0000}"/>
    <cellStyle name="Euro 27 2" xfId="3668" xr:uid="{00000000-0005-0000-0000-0000710E0000}"/>
    <cellStyle name="Euro 27 20" xfId="3669" xr:uid="{00000000-0005-0000-0000-0000720E0000}"/>
    <cellStyle name="Euro 27 21" xfId="3670" xr:uid="{00000000-0005-0000-0000-0000730E0000}"/>
    <cellStyle name="Euro 27 22" xfId="3671" xr:uid="{00000000-0005-0000-0000-0000740E0000}"/>
    <cellStyle name="Euro 27 23" xfId="3672" xr:uid="{00000000-0005-0000-0000-0000750E0000}"/>
    <cellStyle name="Euro 27 24" xfId="3673" xr:uid="{00000000-0005-0000-0000-0000760E0000}"/>
    <cellStyle name="Euro 27 25" xfId="3674" xr:uid="{00000000-0005-0000-0000-0000770E0000}"/>
    <cellStyle name="Euro 27 26" xfId="3675" xr:uid="{00000000-0005-0000-0000-0000780E0000}"/>
    <cellStyle name="Euro 27 27" xfId="3676" xr:uid="{00000000-0005-0000-0000-0000790E0000}"/>
    <cellStyle name="Euro 27 28" xfId="3677" xr:uid="{00000000-0005-0000-0000-00007A0E0000}"/>
    <cellStyle name="Euro 27 29" xfId="3678" xr:uid="{00000000-0005-0000-0000-00007B0E0000}"/>
    <cellStyle name="Euro 27 3" xfId="3679" xr:uid="{00000000-0005-0000-0000-00007C0E0000}"/>
    <cellStyle name="Euro 27 30" xfId="3680" xr:uid="{00000000-0005-0000-0000-00007D0E0000}"/>
    <cellStyle name="Euro 27 31" xfId="3681" xr:uid="{00000000-0005-0000-0000-00007E0E0000}"/>
    <cellStyle name="Euro 27 32" xfId="3682" xr:uid="{00000000-0005-0000-0000-00007F0E0000}"/>
    <cellStyle name="Euro 27 33" xfId="3683" xr:uid="{00000000-0005-0000-0000-0000800E0000}"/>
    <cellStyle name="Euro 27 34" xfId="3684" xr:uid="{00000000-0005-0000-0000-0000810E0000}"/>
    <cellStyle name="Euro 27 35" xfId="3685" xr:uid="{00000000-0005-0000-0000-0000820E0000}"/>
    <cellStyle name="Euro 27 36" xfId="3686" xr:uid="{00000000-0005-0000-0000-0000830E0000}"/>
    <cellStyle name="Euro 27 37" xfId="3687" xr:uid="{00000000-0005-0000-0000-0000840E0000}"/>
    <cellStyle name="Euro 27 38" xfId="3688" xr:uid="{00000000-0005-0000-0000-0000850E0000}"/>
    <cellStyle name="Euro 27 39" xfId="3689" xr:uid="{00000000-0005-0000-0000-0000860E0000}"/>
    <cellStyle name="Euro 27 4" xfId="3690" xr:uid="{00000000-0005-0000-0000-0000870E0000}"/>
    <cellStyle name="Euro 27 40" xfId="3691" xr:uid="{00000000-0005-0000-0000-0000880E0000}"/>
    <cellStyle name="Euro 27 41" xfId="3692" xr:uid="{00000000-0005-0000-0000-0000890E0000}"/>
    <cellStyle name="Euro 27 42" xfId="3693" xr:uid="{00000000-0005-0000-0000-00008A0E0000}"/>
    <cellStyle name="Euro 27 43" xfId="3694" xr:uid="{00000000-0005-0000-0000-00008B0E0000}"/>
    <cellStyle name="Euro 27 5" xfId="3695" xr:uid="{00000000-0005-0000-0000-00008C0E0000}"/>
    <cellStyle name="Euro 27 6" xfId="3696" xr:uid="{00000000-0005-0000-0000-00008D0E0000}"/>
    <cellStyle name="Euro 27 7" xfId="3697" xr:uid="{00000000-0005-0000-0000-00008E0E0000}"/>
    <cellStyle name="Euro 27 8" xfId="3698" xr:uid="{00000000-0005-0000-0000-00008F0E0000}"/>
    <cellStyle name="Euro 27 9" xfId="3699" xr:uid="{00000000-0005-0000-0000-0000900E0000}"/>
    <cellStyle name="Euro 28" xfId="3700" xr:uid="{00000000-0005-0000-0000-0000910E0000}"/>
    <cellStyle name="Euro 28 10" xfId="3701" xr:uid="{00000000-0005-0000-0000-0000920E0000}"/>
    <cellStyle name="Euro 28 11" xfId="3702" xr:uid="{00000000-0005-0000-0000-0000930E0000}"/>
    <cellStyle name="Euro 28 12" xfId="3703" xr:uid="{00000000-0005-0000-0000-0000940E0000}"/>
    <cellStyle name="Euro 28 13" xfId="3704" xr:uid="{00000000-0005-0000-0000-0000950E0000}"/>
    <cellStyle name="Euro 28 14" xfId="3705" xr:uid="{00000000-0005-0000-0000-0000960E0000}"/>
    <cellStyle name="Euro 28 15" xfId="3706" xr:uid="{00000000-0005-0000-0000-0000970E0000}"/>
    <cellStyle name="Euro 28 16" xfId="3707" xr:uid="{00000000-0005-0000-0000-0000980E0000}"/>
    <cellStyle name="Euro 28 17" xfId="3708" xr:uid="{00000000-0005-0000-0000-0000990E0000}"/>
    <cellStyle name="Euro 28 18" xfId="3709" xr:uid="{00000000-0005-0000-0000-00009A0E0000}"/>
    <cellStyle name="Euro 28 19" xfId="3710" xr:uid="{00000000-0005-0000-0000-00009B0E0000}"/>
    <cellStyle name="Euro 28 2" xfId="3711" xr:uid="{00000000-0005-0000-0000-00009C0E0000}"/>
    <cellStyle name="Euro 28 20" xfId="3712" xr:uid="{00000000-0005-0000-0000-00009D0E0000}"/>
    <cellStyle name="Euro 28 21" xfId="3713" xr:uid="{00000000-0005-0000-0000-00009E0E0000}"/>
    <cellStyle name="Euro 28 22" xfId="3714" xr:uid="{00000000-0005-0000-0000-00009F0E0000}"/>
    <cellStyle name="Euro 28 23" xfId="3715" xr:uid="{00000000-0005-0000-0000-0000A00E0000}"/>
    <cellStyle name="Euro 28 24" xfId="3716" xr:uid="{00000000-0005-0000-0000-0000A10E0000}"/>
    <cellStyle name="Euro 28 25" xfId="3717" xr:uid="{00000000-0005-0000-0000-0000A20E0000}"/>
    <cellStyle name="Euro 28 26" xfId="3718" xr:uid="{00000000-0005-0000-0000-0000A30E0000}"/>
    <cellStyle name="Euro 28 27" xfId="3719" xr:uid="{00000000-0005-0000-0000-0000A40E0000}"/>
    <cellStyle name="Euro 28 28" xfId="3720" xr:uid="{00000000-0005-0000-0000-0000A50E0000}"/>
    <cellStyle name="Euro 28 29" xfId="3721" xr:uid="{00000000-0005-0000-0000-0000A60E0000}"/>
    <cellStyle name="Euro 28 3" xfId="3722" xr:uid="{00000000-0005-0000-0000-0000A70E0000}"/>
    <cellStyle name="Euro 28 30" xfId="3723" xr:uid="{00000000-0005-0000-0000-0000A80E0000}"/>
    <cellStyle name="Euro 28 31" xfId="3724" xr:uid="{00000000-0005-0000-0000-0000A90E0000}"/>
    <cellStyle name="Euro 28 32" xfId="3725" xr:uid="{00000000-0005-0000-0000-0000AA0E0000}"/>
    <cellStyle name="Euro 28 33" xfId="3726" xr:uid="{00000000-0005-0000-0000-0000AB0E0000}"/>
    <cellStyle name="Euro 28 34" xfId="3727" xr:uid="{00000000-0005-0000-0000-0000AC0E0000}"/>
    <cellStyle name="Euro 28 35" xfId="3728" xr:uid="{00000000-0005-0000-0000-0000AD0E0000}"/>
    <cellStyle name="Euro 28 36" xfId="3729" xr:uid="{00000000-0005-0000-0000-0000AE0E0000}"/>
    <cellStyle name="Euro 28 37" xfId="3730" xr:uid="{00000000-0005-0000-0000-0000AF0E0000}"/>
    <cellStyle name="Euro 28 38" xfId="3731" xr:uid="{00000000-0005-0000-0000-0000B00E0000}"/>
    <cellStyle name="Euro 28 39" xfId="3732" xr:uid="{00000000-0005-0000-0000-0000B10E0000}"/>
    <cellStyle name="Euro 28 4" xfId="3733" xr:uid="{00000000-0005-0000-0000-0000B20E0000}"/>
    <cellStyle name="Euro 28 40" xfId="3734" xr:uid="{00000000-0005-0000-0000-0000B30E0000}"/>
    <cellStyle name="Euro 28 41" xfId="3735" xr:uid="{00000000-0005-0000-0000-0000B40E0000}"/>
    <cellStyle name="Euro 28 42" xfId="3736" xr:uid="{00000000-0005-0000-0000-0000B50E0000}"/>
    <cellStyle name="Euro 28 43" xfId="3737" xr:uid="{00000000-0005-0000-0000-0000B60E0000}"/>
    <cellStyle name="Euro 28 5" xfId="3738" xr:uid="{00000000-0005-0000-0000-0000B70E0000}"/>
    <cellStyle name="Euro 28 6" xfId="3739" xr:uid="{00000000-0005-0000-0000-0000B80E0000}"/>
    <cellStyle name="Euro 28 7" xfId="3740" xr:uid="{00000000-0005-0000-0000-0000B90E0000}"/>
    <cellStyle name="Euro 28 8" xfId="3741" xr:uid="{00000000-0005-0000-0000-0000BA0E0000}"/>
    <cellStyle name="Euro 28 9" xfId="3742" xr:uid="{00000000-0005-0000-0000-0000BB0E0000}"/>
    <cellStyle name="Euro 29" xfId="3743" xr:uid="{00000000-0005-0000-0000-0000BC0E0000}"/>
    <cellStyle name="Euro 29 10" xfId="3744" xr:uid="{00000000-0005-0000-0000-0000BD0E0000}"/>
    <cellStyle name="Euro 29 11" xfId="3745" xr:uid="{00000000-0005-0000-0000-0000BE0E0000}"/>
    <cellStyle name="Euro 29 12" xfId="3746" xr:uid="{00000000-0005-0000-0000-0000BF0E0000}"/>
    <cellStyle name="Euro 29 13" xfId="3747" xr:uid="{00000000-0005-0000-0000-0000C00E0000}"/>
    <cellStyle name="Euro 29 14" xfId="3748" xr:uid="{00000000-0005-0000-0000-0000C10E0000}"/>
    <cellStyle name="Euro 29 15" xfId="3749" xr:uid="{00000000-0005-0000-0000-0000C20E0000}"/>
    <cellStyle name="Euro 29 16" xfId="3750" xr:uid="{00000000-0005-0000-0000-0000C30E0000}"/>
    <cellStyle name="Euro 29 17" xfId="3751" xr:uid="{00000000-0005-0000-0000-0000C40E0000}"/>
    <cellStyle name="Euro 29 18" xfId="3752" xr:uid="{00000000-0005-0000-0000-0000C50E0000}"/>
    <cellStyle name="Euro 29 19" xfId="3753" xr:uid="{00000000-0005-0000-0000-0000C60E0000}"/>
    <cellStyle name="Euro 29 2" xfId="3754" xr:uid="{00000000-0005-0000-0000-0000C70E0000}"/>
    <cellStyle name="Euro 29 2 2" xfId="3755" xr:uid="{00000000-0005-0000-0000-0000C80E0000}"/>
    <cellStyle name="Euro 29 2 3" xfId="3756" xr:uid="{00000000-0005-0000-0000-0000C90E0000}"/>
    <cellStyle name="Euro 29 20" xfId="3757" xr:uid="{00000000-0005-0000-0000-0000CA0E0000}"/>
    <cellStyle name="Euro 29 21" xfId="3758" xr:uid="{00000000-0005-0000-0000-0000CB0E0000}"/>
    <cellStyle name="Euro 29 22" xfId="3759" xr:uid="{00000000-0005-0000-0000-0000CC0E0000}"/>
    <cellStyle name="Euro 29 23" xfId="3760" xr:uid="{00000000-0005-0000-0000-0000CD0E0000}"/>
    <cellStyle name="Euro 29 24" xfId="3761" xr:uid="{00000000-0005-0000-0000-0000CE0E0000}"/>
    <cellStyle name="Euro 29 25" xfId="3762" xr:uid="{00000000-0005-0000-0000-0000CF0E0000}"/>
    <cellStyle name="Euro 29 26" xfId="3763" xr:uid="{00000000-0005-0000-0000-0000D00E0000}"/>
    <cellStyle name="Euro 29 27" xfId="3764" xr:uid="{00000000-0005-0000-0000-0000D10E0000}"/>
    <cellStyle name="Euro 29 28" xfId="3765" xr:uid="{00000000-0005-0000-0000-0000D20E0000}"/>
    <cellStyle name="Euro 29 29" xfId="3766" xr:uid="{00000000-0005-0000-0000-0000D30E0000}"/>
    <cellStyle name="Euro 29 3" xfId="3767" xr:uid="{00000000-0005-0000-0000-0000D40E0000}"/>
    <cellStyle name="Euro 29 3 2" xfId="3768" xr:uid="{00000000-0005-0000-0000-0000D50E0000}"/>
    <cellStyle name="Euro 29 3 3" xfId="3769" xr:uid="{00000000-0005-0000-0000-0000D60E0000}"/>
    <cellStyle name="Euro 29 30" xfId="3770" xr:uid="{00000000-0005-0000-0000-0000D70E0000}"/>
    <cellStyle name="Euro 29 31" xfId="3771" xr:uid="{00000000-0005-0000-0000-0000D80E0000}"/>
    <cellStyle name="Euro 29 32" xfId="3772" xr:uid="{00000000-0005-0000-0000-0000D90E0000}"/>
    <cellStyle name="Euro 29 33" xfId="3773" xr:uid="{00000000-0005-0000-0000-0000DA0E0000}"/>
    <cellStyle name="Euro 29 34" xfId="3774" xr:uid="{00000000-0005-0000-0000-0000DB0E0000}"/>
    <cellStyle name="Euro 29 35" xfId="3775" xr:uid="{00000000-0005-0000-0000-0000DC0E0000}"/>
    <cellStyle name="Euro 29 36" xfId="3776" xr:uid="{00000000-0005-0000-0000-0000DD0E0000}"/>
    <cellStyle name="Euro 29 37" xfId="3777" xr:uid="{00000000-0005-0000-0000-0000DE0E0000}"/>
    <cellStyle name="Euro 29 38" xfId="3778" xr:uid="{00000000-0005-0000-0000-0000DF0E0000}"/>
    <cellStyle name="Euro 29 39" xfId="3779" xr:uid="{00000000-0005-0000-0000-0000E00E0000}"/>
    <cellStyle name="Euro 29 4" xfId="3780" xr:uid="{00000000-0005-0000-0000-0000E10E0000}"/>
    <cellStyle name="Euro 29 40" xfId="3781" xr:uid="{00000000-0005-0000-0000-0000E20E0000}"/>
    <cellStyle name="Euro 29 41" xfId="3782" xr:uid="{00000000-0005-0000-0000-0000E30E0000}"/>
    <cellStyle name="Euro 29 42" xfId="3783" xr:uid="{00000000-0005-0000-0000-0000E40E0000}"/>
    <cellStyle name="Euro 29 43" xfId="3784" xr:uid="{00000000-0005-0000-0000-0000E50E0000}"/>
    <cellStyle name="Euro 29 5" xfId="3785" xr:uid="{00000000-0005-0000-0000-0000E60E0000}"/>
    <cellStyle name="Euro 29 6" xfId="3786" xr:uid="{00000000-0005-0000-0000-0000E70E0000}"/>
    <cellStyle name="Euro 29 7" xfId="3787" xr:uid="{00000000-0005-0000-0000-0000E80E0000}"/>
    <cellStyle name="Euro 29 8" xfId="3788" xr:uid="{00000000-0005-0000-0000-0000E90E0000}"/>
    <cellStyle name="Euro 29 9" xfId="3789" xr:uid="{00000000-0005-0000-0000-0000EA0E0000}"/>
    <cellStyle name="Euro 3" xfId="3790" xr:uid="{00000000-0005-0000-0000-0000EB0E0000}"/>
    <cellStyle name="Euro 3 10" xfId="3791" xr:uid="{00000000-0005-0000-0000-0000EC0E0000}"/>
    <cellStyle name="Euro 3 11" xfId="3792" xr:uid="{00000000-0005-0000-0000-0000ED0E0000}"/>
    <cellStyle name="Euro 3 12" xfId="3793" xr:uid="{00000000-0005-0000-0000-0000EE0E0000}"/>
    <cellStyle name="Euro 3 13" xfId="3794" xr:uid="{00000000-0005-0000-0000-0000EF0E0000}"/>
    <cellStyle name="Euro 3 14" xfId="3795" xr:uid="{00000000-0005-0000-0000-0000F00E0000}"/>
    <cellStyle name="Euro 3 15" xfId="3796" xr:uid="{00000000-0005-0000-0000-0000F10E0000}"/>
    <cellStyle name="Euro 3 16" xfId="3797" xr:uid="{00000000-0005-0000-0000-0000F20E0000}"/>
    <cellStyle name="Euro 3 17" xfId="3798" xr:uid="{00000000-0005-0000-0000-0000F30E0000}"/>
    <cellStyle name="Euro 3 18" xfId="3799" xr:uid="{00000000-0005-0000-0000-0000F40E0000}"/>
    <cellStyle name="Euro 3 19" xfId="3800" xr:uid="{00000000-0005-0000-0000-0000F50E0000}"/>
    <cellStyle name="Euro 3 2" xfId="3801" xr:uid="{00000000-0005-0000-0000-0000F60E0000}"/>
    <cellStyle name="Euro 3 2 10" xfId="3802" xr:uid="{00000000-0005-0000-0000-0000F70E0000}"/>
    <cellStyle name="Euro 3 2 11" xfId="3803" xr:uid="{00000000-0005-0000-0000-0000F80E0000}"/>
    <cellStyle name="Euro 3 2 12" xfId="3804" xr:uid="{00000000-0005-0000-0000-0000F90E0000}"/>
    <cellStyle name="Euro 3 2 13" xfId="3805" xr:uid="{00000000-0005-0000-0000-0000FA0E0000}"/>
    <cellStyle name="Euro 3 2 14" xfId="3806" xr:uid="{00000000-0005-0000-0000-0000FB0E0000}"/>
    <cellStyle name="Euro 3 2 15" xfId="3807" xr:uid="{00000000-0005-0000-0000-0000FC0E0000}"/>
    <cellStyle name="Euro 3 2 16" xfId="3808" xr:uid="{00000000-0005-0000-0000-0000FD0E0000}"/>
    <cellStyle name="Euro 3 2 17" xfId="3809" xr:uid="{00000000-0005-0000-0000-0000FE0E0000}"/>
    <cellStyle name="Euro 3 2 18" xfId="3810" xr:uid="{00000000-0005-0000-0000-0000FF0E0000}"/>
    <cellStyle name="Euro 3 2 19" xfId="3811" xr:uid="{00000000-0005-0000-0000-0000000F0000}"/>
    <cellStyle name="Euro 3 2 2" xfId="3812" xr:uid="{00000000-0005-0000-0000-0000010F0000}"/>
    <cellStyle name="Euro 3 2 20" xfId="3813" xr:uid="{00000000-0005-0000-0000-0000020F0000}"/>
    <cellStyle name="Euro 3 2 21" xfId="3814" xr:uid="{00000000-0005-0000-0000-0000030F0000}"/>
    <cellStyle name="Euro 3 2 22" xfId="3815" xr:uid="{00000000-0005-0000-0000-0000040F0000}"/>
    <cellStyle name="Euro 3 2 23" xfId="3816" xr:uid="{00000000-0005-0000-0000-0000050F0000}"/>
    <cellStyle name="Euro 3 2 24" xfId="3817" xr:uid="{00000000-0005-0000-0000-0000060F0000}"/>
    <cellStyle name="Euro 3 2 25" xfId="3818" xr:uid="{00000000-0005-0000-0000-0000070F0000}"/>
    <cellStyle name="Euro 3 2 26" xfId="3819" xr:uid="{00000000-0005-0000-0000-0000080F0000}"/>
    <cellStyle name="Euro 3 2 27" xfId="3820" xr:uid="{00000000-0005-0000-0000-0000090F0000}"/>
    <cellStyle name="Euro 3 2 28" xfId="3821" xr:uid="{00000000-0005-0000-0000-00000A0F0000}"/>
    <cellStyle name="Euro 3 2 29" xfId="3822" xr:uid="{00000000-0005-0000-0000-00000B0F0000}"/>
    <cellStyle name="Euro 3 2 3" xfId="3823" xr:uid="{00000000-0005-0000-0000-00000C0F0000}"/>
    <cellStyle name="Euro 3 2 30" xfId="3824" xr:uid="{00000000-0005-0000-0000-00000D0F0000}"/>
    <cellStyle name="Euro 3 2 31" xfId="3825" xr:uid="{00000000-0005-0000-0000-00000E0F0000}"/>
    <cellStyle name="Euro 3 2 32" xfId="3826" xr:uid="{00000000-0005-0000-0000-00000F0F0000}"/>
    <cellStyle name="Euro 3 2 33" xfId="3827" xr:uid="{00000000-0005-0000-0000-0000100F0000}"/>
    <cellStyle name="Euro 3 2 34" xfId="3828" xr:uid="{00000000-0005-0000-0000-0000110F0000}"/>
    <cellStyle name="Euro 3 2 35" xfId="3829" xr:uid="{00000000-0005-0000-0000-0000120F0000}"/>
    <cellStyle name="Euro 3 2 36" xfId="3830" xr:uid="{00000000-0005-0000-0000-0000130F0000}"/>
    <cellStyle name="Euro 3 2 37" xfId="3831" xr:uid="{00000000-0005-0000-0000-0000140F0000}"/>
    <cellStyle name="Euro 3 2 38" xfId="3832" xr:uid="{00000000-0005-0000-0000-0000150F0000}"/>
    <cellStyle name="Euro 3 2 39" xfId="3833" xr:uid="{00000000-0005-0000-0000-0000160F0000}"/>
    <cellStyle name="Euro 3 2 4" xfId="3834" xr:uid="{00000000-0005-0000-0000-0000170F0000}"/>
    <cellStyle name="Euro 3 2 40" xfId="3835" xr:uid="{00000000-0005-0000-0000-0000180F0000}"/>
    <cellStyle name="Euro 3 2 41" xfId="3836" xr:uid="{00000000-0005-0000-0000-0000190F0000}"/>
    <cellStyle name="Euro 3 2 42" xfId="3837" xr:uid="{00000000-0005-0000-0000-00001A0F0000}"/>
    <cellStyle name="Euro 3 2 43" xfId="3838" xr:uid="{00000000-0005-0000-0000-00001B0F0000}"/>
    <cellStyle name="Euro 3 2 5" xfId="3839" xr:uid="{00000000-0005-0000-0000-00001C0F0000}"/>
    <cellStyle name="Euro 3 2 6" xfId="3840" xr:uid="{00000000-0005-0000-0000-00001D0F0000}"/>
    <cellStyle name="Euro 3 2 7" xfId="3841" xr:uid="{00000000-0005-0000-0000-00001E0F0000}"/>
    <cellStyle name="Euro 3 2 8" xfId="3842" xr:uid="{00000000-0005-0000-0000-00001F0F0000}"/>
    <cellStyle name="Euro 3 2 9" xfId="3843" xr:uid="{00000000-0005-0000-0000-0000200F0000}"/>
    <cellStyle name="Euro 3 20" xfId="3844" xr:uid="{00000000-0005-0000-0000-0000210F0000}"/>
    <cellStyle name="Euro 3 21" xfId="3845" xr:uid="{00000000-0005-0000-0000-0000220F0000}"/>
    <cellStyle name="Euro 3 22" xfId="3846" xr:uid="{00000000-0005-0000-0000-0000230F0000}"/>
    <cellStyle name="Euro 3 23" xfId="3847" xr:uid="{00000000-0005-0000-0000-0000240F0000}"/>
    <cellStyle name="Euro 3 24" xfId="3848" xr:uid="{00000000-0005-0000-0000-0000250F0000}"/>
    <cellStyle name="Euro 3 25" xfId="3849" xr:uid="{00000000-0005-0000-0000-0000260F0000}"/>
    <cellStyle name="Euro 3 26" xfId="3850" xr:uid="{00000000-0005-0000-0000-0000270F0000}"/>
    <cellStyle name="Euro 3 27" xfId="3851" xr:uid="{00000000-0005-0000-0000-0000280F0000}"/>
    <cellStyle name="Euro 3 28" xfId="3852" xr:uid="{00000000-0005-0000-0000-0000290F0000}"/>
    <cellStyle name="Euro 3 29" xfId="3853" xr:uid="{00000000-0005-0000-0000-00002A0F0000}"/>
    <cellStyle name="Euro 3 3" xfId="3854" xr:uid="{00000000-0005-0000-0000-00002B0F0000}"/>
    <cellStyle name="Euro 3 30" xfId="3855" xr:uid="{00000000-0005-0000-0000-00002C0F0000}"/>
    <cellStyle name="Euro 3 31" xfId="3856" xr:uid="{00000000-0005-0000-0000-00002D0F0000}"/>
    <cellStyle name="Euro 3 32" xfId="3857" xr:uid="{00000000-0005-0000-0000-00002E0F0000}"/>
    <cellStyle name="Euro 3 33" xfId="3858" xr:uid="{00000000-0005-0000-0000-00002F0F0000}"/>
    <cellStyle name="Euro 3 34" xfId="3859" xr:uid="{00000000-0005-0000-0000-0000300F0000}"/>
    <cellStyle name="Euro 3 35" xfId="3860" xr:uid="{00000000-0005-0000-0000-0000310F0000}"/>
    <cellStyle name="Euro 3 36" xfId="3861" xr:uid="{00000000-0005-0000-0000-0000320F0000}"/>
    <cellStyle name="Euro 3 37" xfId="3862" xr:uid="{00000000-0005-0000-0000-0000330F0000}"/>
    <cellStyle name="Euro 3 38" xfId="3863" xr:uid="{00000000-0005-0000-0000-0000340F0000}"/>
    <cellStyle name="Euro 3 39" xfId="3864" xr:uid="{00000000-0005-0000-0000-0000350F0000}"/>
    <cellStyle name="Euro 3 4" xfId="3865" xr:uid="{00000000-0005-0000-0000-0000360F0000}"/>
    <cellStyle name="Euro 3 40" xfId="3866" xr:uid="{00000000-0005-0000-0000-0000370F0000}"/>
    <cellStyle name="Euro 3 41" xfId="3867" xr:uid="{00000000-0005-0000-0000-0000380F0000}"/>
    <cellStyle name="Euro 3 42" xfId="3868" xr:uid="{00000000-0005-0000-0000-0000390F0000}"/>
    <cellStyle name="Euro 3 43" xfId="3869" xr:uid="{00000000-0005-0000-0000-00003A0F0000}"/>
    <cellStyle name="Euro 3 44" xfId="3870" xr:uid="{00000000-0005-0000-0000-00003B0F0000}"/>
    <cellStyle name="Euro 3 45" xfId="3871" xr:uid="{00000000-0005-0000-0000-00003C0F0000}"/>
    <cellStyle name="Euro 3 46" xfId="3872" xr:uid="{00000000-0005-0000-0000-00003D0F0000}"/>
    <cellStyle name="Euro 3 47" xfId="3873" xr:uid="{00000000-0005-0000-0000-00003E0F0000}"/>
    <cellStyle name="Euro 3 48" xfId="3874" xr:uid="{00000000-0005-0000-0000-00003F0F0000}"/>
    <cellStyle name="Euro 3 49" xfId="3875" xr:uid="{00000000-0005-0000-0000-0000400F0000}"/>
    <cellStyle name="Euro 3 5" xfId="3876" xr:uid="{00000000-0005-0000-0000-0000410F0000}"/>
    <cellStyle name="Euro 3 50" xfId="3877" xr:uid="{00000000-0005-0000-0000-0000420F0000}"/>
    <cellStyle name="Euro 3 51" xfId="3878" xr:uid="{00000000-0005-0000-0000-0000430F0000}"/>
    <cellStyle name="Euro 3 52" xfId="3879" xr:uid="{00000000-0005-0000-0000-0000440F0000}"/>
    <cellStyle name="Euro 3 53" xfId="3880" xr:uid="{00000000-0005-0000-0000-0000450F0000}"/>
    <cellStyle name="Euro 3 54" xfId="3881" xr:uid="{00000000-0005-0000-0000-0000460F0000}"/>
    <cellStyle name="Euro 3 6" xfId="3882" xr:uid="{00000000-0005-0000-0000-0000470F0000}"/>
    <cellStyle name="Euro 3 7" xfId="3883" xr:uid="{00000000-0005-0000-0000-0000480F0000}"/>
    <cellStyle name="Euro 3 8" xfId="3884" xr:uid="{00000000-0005-0000-0000-0000490F0000}"/>
    <cellStyle name="Euro 3 9" xfId="3885" xr:uid="{00000000-0005-0000-0000-00004A0F0000}"/>
    <cellStyle name="Euro 30" xfId="3886" xr:uid="{00000000-0005-0000-0000-00004B0F0000}"/>
    <cellStyle name="Euro 30 10" xfId="3887" xr:uid="{00000000-0005-0000-0000-00004C0F0000}"/>
    <cellStyle name="Euro 30 11" xfId="3888" xr:uid="{00000000-0005-0000-0000-00004D0F0000}"/>
    <cellStyle name="Euro 30 12" xfId="3889" xr:uid="{00000000-0005-0000-0000-00004E0F0000}"/>
    <cellStyle name="Euro 30 13" xfId="3890" xr:uid="{00000000-0005-0000-0000-00004F0F0000}"/>
    <cellStyle name="Euro 30 14" xfId="3891" xr:uid="{00000000-0005-0000-0000-0000500F0000}"/>
    <cellStyle name="Euro 30 15" xfId="3892" xr:uid="{00000000-0005-0000-0000-0000510F0000}"/>
    <cellStyle name="Euro 30 16" xfId="3893" xr:uid="{00000000-0005-0000-0000-0000520F0000}"/>
    <cellStyle name="Euro 30 17" xfId="3894" xr:uid="{00000000-0005-0000-0000-0000530F0000}"/>
    <cellStyle name="Euro 30 18" xfId="3895" xr:uid="{00000000-0005-0000-0000-0000540F0000}"/>
    <cellStyle name="Euro 30 19" xfId="3896" xr:uid="{00000000-0005-0000-0000-0000550F0000}"/>
    <cellStyle name="Euro 30 2" xfId="3897" xr:uid="{00000000-0005-0000-0000-0000560F0000}"/>
    <cellStyle name="Euro 30 2 2" xfId="3898" xr:uid="{00000000-0005-0000-0000-0000570F0000}"/>
    <cellStyle name="Euro 30 2 3" xfId="3899" xr:uid="{00000000-0005-0000-0000-0000580F0000}"/>
    <cellStyle name="Euro 30 20" xfId="3900" xr:uid="{00000000-0005-0000-0000-0000590F0000}"/>
    <cellStyle name="Euro 30 21" xfId="3901" xr:uid="{00000000-0005-0000-0000-00005A0F0000}"/>
    <cellStyle name="Euro 30 22" xfId="3902" xr:uid="{00000000-0005-0000-0000-00005B0F0000}"/>
    <cellStyle name="Euro 30 23" xfId="3903" xr:uid="{00000000-0005-0000-0000-00005C0F0000}"/>
    <cellStyle name="Euro 30 24" xfId="3904" xr:uid="{00000000-0005-0000-0000-00005D0F0000}"/>
    <cellStyle name="Euro 30 25" xfId="3905" xr:uid="{00000000-0005-0000-0000-00005E0F0000}"/>
    <cellStyle name="Euro 30 26" xfId="3906" xr:uid="{00000000-0005-0000-0000-00005F0F0000}"/>
    <cellStyle name="Euro 30 27" xfId="3907" xr:uid="{00000000-0005-0000-0000-0000600F0000}"/>
    <cellStyle name="Euro 30 28" xfId="3908" xr:uid="{00000000-0005-0000-0000-0000610F0000}"/>
    <cellStyle name="Euro 30 29" xfId="3909" xr:uid="{00000000-0005-0000-0000-0000620F0000}"/>
    <cellStyle name="Euro 30 3" xfId="3910" xr:uid="{00000000-0005-0000-0000-0000630F0000}"/>
    <cellStyle name="Euro 30 3 2" xfId="3911" xr:uid="{00000000-0005-0000-0000-0000640F0000}"/>
    <cellStyle name="Euro 30 3 3" xfId="3912" xr:uid="{00000000-0005-0000-0000-0000650F0000}"/>
    <cellStyle name="Euro 30 30" xfId="3913" xr:uid="{00000000-0005-0000-0000-0000660F0000}"/>
    <cellStyle name="Euro 30 31" xfId="3914" xr:uid="{00000000-0005-0000-0000-0000670F0000}"/>
    <cellStyle name="Euro 30 32" xfId="3915" xr:uid="{00000000-0005-0000-0000-0000680F0000}"/>
    <cellStyle name="Euro 30 33" xfId="3916" xr:uid="{00000000-0005-0000-0000-0000690F0000}"/>
    <cellStyle name="Euro 30 34" xfId="3917" xr:uid="{00000000-0005-0000-0000-00006A0F0000}"/>
    <cellStyle name="Euro 30 35" xfId="3918" xr:uid="{00000000-0005-0000-0000-00006B0F0000}"/>
    <cellStyle name="Euro 30 36" xfId="3919" xr:uid="{00000000-0005-0000-0000-00006C0F0000}"/>
    <cellStyle name="Euro 30 37" xfId="3920" xr:uid="{00000000-0005-0000-0000-00006D0F0000}"/>
    <cellStyle name="Euro 30 38" xfId="3921" xr:uid="{00000000-0005-0000-0000-00006E0F0000}"/>
    <cellStyle name="Euro 30 39" xfId="3922" xr:uid="{00000000-0005-0000-0000-00006F0F0000}"/>
    <cellStyle name="Euro 30 4" xfId="3923" xr:uid="{00000000-0005-0000-0000-0000700F0000}"/>
    <cellStyle name="Euro 30 40" xfId="3924" xr:uid="{00000000-0005-0000-0000-0000710F0000}"/>
    <cellStyle name="Euro 30 41" xfId="3925" xr:uid="{00000000-0005-0000-0000-0000720F0000}"/>
    <cellStyle name="Euro 30 42" xfId="3926" xr:uid="{00000000-0005-0000-0000-0000730F0000}"/>
    <cellStyle name="Euro 30 43" xfId="3927" xr:uid="{00000000-0005-0000-0000-0000740F0000}"/>
    <cellStyle name="Euro 30 5" xfId="3928" xr:uid="{00000000-0005-0000-0000-0000750F0000}"/>
    <cellStyle name="Euro 30 6" xfId="3929" xr:uid="{00000000-0005-0000-0000-0000760F0000}"/>
    <cellStyle name="Euro 30 7" xfId="3930" xr:uid="{00000000-0005-0000-0000-0000770F0000}"/>
    <cellStyle name="Euro 30 8" xfId="3931" xr:uid="{00000000-0005-0000-0000-0000780F0000}"/>
    <cellStyle name="Euro 30 9" xfId="3932" xr:uid="{00000000-0005-0000-0000-0000790F0000}"/>
    <cellStyle name="Euro 31" xfId="3933" xr:uid="{00000000-0005-0000-0000-00007A0F0000}"/>
    <cellStyle name="Euro 31 10" xfId="3934" xr:uid="{00000000-0005-0000-0000-00007B0F0000}"/>
    <cellStyle name="Euro 31 11" xfId="3935" xr:uid="{00000000-0005-0000-0000-00007C0F0000}"/>
    <cellStyle name="Euro 31 12" xfId="3936" xr:uid="{00000000-0005-0000-0000-00007D0F0000}"/>
    <cellStyle name="Euro 31 13" xfId="3937" xr:uid="{00000000-0005-0000-0000-00007E0F0000}"/>
    <cellStyle name="Euro 31 14" xfId="3938" xr:uid="{00000000-0005-0000-0000-00007F0F0000}"/>
    <cellStyle name="Euro 31 15" xfId="3939" xr:uid="{00000000-0005-0000-0000-0000800F0000}"/>
    <cellStyle name="Euro 31 16" xfId="3940" xr:uid="{00000000-0005-0000-0000-0000810F0000}"/>
    <cellStyle name="Euro 31 17" xfId="3941" xr:uid="{00000000-0005-0000-0000-0000820F0000}"/>
    <cellStyle name="Euro 31 18" xfId="3942" xr:uid="{00000000-0005-0000-0000-0000830F0000}"/>
    <cellStyle name="Euro 31 19" xfId="3943" xr:uid="{00000000-0005-0000-0000-0000840F0000}"/>
    <cellStyle name="Euro 31 2" xfId="3944" xr:uid="{00000000-0005-0000-0000-0000850F0000}"/>
    <cellStyle name="Euro 31 2 2" xfId="3945" xr:uid="{00000000-0005-0000-0000-0000860F0000}"/>
    <cellStyle name="Euro 31 2 3" xfId="3946" xr:uid="{00000000-0005-0000-0000-0000870F0000}"/>
    <cellStyle name="Euro 31 20" xfId="3947" xr:uid="{00000000-0005-0000-0000-0000880F0000}"/>
    <cellStyle name="Euro 31 21" xfId="3948" xr:uid="{00000000-0005-0000-0000-0000890F0000}"/>
    <cellStyle name="Euro 31 22" xfId="3949" xr:uid="{00000000-0005-0000-0000-00008A0F0000}"/>
    <cellStyle name="Euro 31 23" xfId="3950" xr:uid="{00000000-0005-0000-0000-00008B0F0000}"/>
    <cellStyle name="Euro 31 24" xfId="3951" xr:uid="{00000000-0005-0000-0000-00008C0F0000}"/>
    <cellStyle name="Euro 31 25" xfId="3952" xr:uid="{00000000-0005-0000-0000-00008D0F0000}"/>
    <cellStyle name="Euro 31 26" xfId="3953" xr:uid="{00000000-0005-0000-0000-00008E0F0000}"/>
    <cellStyle name="Euro 31 27" xfId="3954" xr:uid="{00000000-0005-0000-0000-00008F0F0000}"/>
    <cellStyle name="Euro 31 28" xfId="3955" xr:uid="{00000000-0005-0000-0000-0000900F0000}"/>
    <cellStyle name="Euro 31 29" xfId="3956" xr:uid="{00000000-0005-0000-0000-0000910F0000}"/>
    <cellStyle name="Euro 31 3" xfId="3957" xr:uid="{00000000-0005-0000-0000-0000920F0000}"/>
    <cellStyle name="Euro 31 3 2" xfId="3958" xr:uid="{00000000-0005-0000-0000-0000930F0000}"/>
    <cellStyle name="Euro 31 3 3" xfId="3959" xr:uid="{00000000-0005-0000-0000-0000940F0000}"/>
    <cellStyle name="Euro 31 30" xfId="3960" xr:uid="{00000000-0005-0000-0000-0000950F0000}"/>
    <cellStyle name="Euro 31 31" xfId="3961" xr:uid="{00000000-0005-0000-0000-0000960F0000}"/>
    <cellStyle name="Euro 31 32" xfId="3962" xr:uid="{00000000-0005-0000-0000-0000970F0000}"/>
    <cellStyle name="Euro 31 33" xfId="3963" xr:uid="{00000000-0005-0000-0000-0000980F0000}"/>
    <cellStyle name="Euro 31 34" xfId="3964" xr:uid="{00000000-0005-0000-0000-0000990F0000}"/>
    <cellStyle name="Euro 31 35" xfId="3965" xr:uid="{00000000-0005-0000-0000-00009A0F0000}"/>
    <cellStyle name="Euro 31 36" xfId="3966" xr:uid="{00000000-0005-0000-0000-00009B0F0000}"/>
    <cellStyle name="Euro 31 37" xfId="3967" xr:uid="{00000000-0005-0000-0000-00009C0F0000}"/>
    <cellStyle name="Euro 31 38" xfId="3968" xr:uid="{00000000-0005-0000-0000-00009D0F0000}"/>
    <cellStyle name="Euro 31 39" xfId="3969" xr:uid="{00000000-0005-0000-0000-00009E0F0000}"/>
    <cellStyle name="Euro 31 4" xfId="3970" xr:uid="{00000000-0005-0000-0000-00009F0F0000}"/>
    <cellStyle name="Euro 31 40" xfId="3971" xr:uid="{00000000-0005-0000-0000-0000A00F0000}"/>
    <cellStyle name="Euro 31 41" xfId="3972" xr:uid="{00000000-0005-0000-0000-0000A10F0000}"/>
    <cellStyle name="Euro 31 42" xfId="3973" xr:uid="{00000000-0005-0000-0000-0000A20F0000}"/>
    <cellStyle name="Euro 31 43" xfId="3974" xr:uid="{00000000-0005-0000-0000-0000A30F0000}"/>
    <cellStyle name="Euro 31 5" xfId="3975" xr:uid="{00000000-0005-0000-0000-0000A40F0000}"/>
    <cellStyle name="Euro 31 6" xfId="3976" xr:uid="{00000000-0005-0000-0000-0000A50F0000}"/>
    <cellStyle name="Euro 31 7" xfId="3977" xr:uid="{00000000-0005-0000-0000-0000A60F0000}"/>
    <cellStyle name="Euro 31 8" xfId="3978" xr:uid="{00000000-0005-0000-0000-0000A70F0000}"/>
    <cellStyle name="Euro 31 9" xfId="3979" xr:uid="{00000000-0005-0000-0000-0000A80F0000}"/>
    <cellStyle name="Euro 32" xfId="3980" xr:uid="{00000000-0005-0000-0000-0000A90F0000}"/>
    <cellStyle name="Euro 4" xfId="3981" xr:uid="{00000000-0005-0000-0000-0000AA0F0000}"/>
    <cellStyle name="Euro 4 10" xfId="3982" xr:uid="{00000000-0005-0000-0000-0000AB0F0000}"/>
    <cellStyle name="Euro 4 11" xfId="3983" xr:uid="{00000000-0005-0000-0000-0000AC0F0000}"/>
    <cellStyle name="Euro 4 12" xfId="3984" xr:uid="{00000000-0005-0000-0000-0000AD0F0000}"/>
    <cellStyle name="Euro 4 13" xfId="3985" xr:uid="{00000000-0005-0000-0000-0000AE0F0000}"/>
    <cellStyle name="Euro 4 14" xfId="3986" xr:uid="{00000000-0005-0000-0000-0000AF0F0000}"/>
    <cellStyle name="Euro 4 15" xfId="3987" xr:uid="{00000000-0005-0000-0000-0000B00F0000}"/>
    <cellStyle name="Euro 4 16" xfId="3988" xr:uid="{00000000-0005-0000-0000-0000B10F0000}"/>
    <cellStyle name="Euro 4 17" xfId="3989" xr:uid="{00000000-0005-0000-0000-0000B20F0000}"/>
    <cellStyle name="Euro 4 18" xfId="3990" xr:uid="{00000000-0005-0000-0000-0000B30F0000}"/>
    <cellStyle name="Euro 4 19" xfId="3991" xr:uid="{00000000-0005-0000-0000-0000B40F0000}"/>
    <cellStyle name="Euro 4 2" xfId="3992" xr:uid="{00000000-0005-0000-0000-0000B50F0000}"/>
    <cellStyle name="Euro 4 20" xfId="3993" xr:uid="{00000000-0005-0000-0000-0000B60F0000}"/>
    <cellStyle name="Euro 4 21" xfId="3994" xr:uid="{00000000-0005-0000-0000-0000B70F0000}"/>
    <cellStyle name="Euro 4 22" xfId="3995" xr:uid="{00000000-0005-0000-0000-0000B80F0000}"/>
    <cellStyle name="Euro 4 23" xfId="3996" xr:uid="{00000000-0005-0000-0000-0000B90F0000}"/>
    <cellStyle name="Euro 4 24" xfId="3997" xr:uid="{00000000-0005-0000-0000-0000BA0F0000}"/>
    <cellStyle name="Euro 4 25" xfId="3998" xr:uid="{00000000-0005-0000-0000-0000BB0F0000}"/>
    <cellStyle name="Euro 4 26" xfId="3999" xr:uid="{00000000-0005-0000-0000-0000BC0F0000}"/>
    <cellStyle name="Euro 4 27" xfId="4000" xr:uid="{00000000-0005-0000-0000-0000BD0F0000}"/>
    <cellStyle name="Euro 4 28" xfId="4001" xr:uid="{00000000-0005-0000-0000-0000BE0F0000}"/>
    <cellStyle name="Euro 4 29" xfId="4002" xr:uid="{00000000-0005-0000-0000-0000BF0F0000}"/>
    <cellStyle name="Euro 4 3" xfId="4003" xr:uid="{00000000-0005-0000-0000-0000C00F0000}"/>
    <cellStyle name="Euro 4 30" xfId="4004" xr:uid="{00000000-0005-0000-0000-0000C10F0000}"/>
    <cellStyle name="Euro 4 31" xfId="4005" xr:uid="{00000000-0005-0000-0000-0000C20F0000}"/>
    <cellStyle name="Euro 4 32" xfId="4006" xr:uid="{00000000-0005-0000-0000-0000C30F0000}"/>
    <cellStyle name="Euro 4 33" xfId="4007" xr:uid="{00000000-0005-0000-0000-0000C40F0000}"/>
    <cellStyle name="Euro 4 34" xfId="4008" xr:uid="{00000000-0005-0000-0000-0000C50F0000}"/>
    <cellStyle name="Euro 4 35" xfId="4009" xr:uid="{00000000-0005-0000-0000-0000C60F0000}"/>
    <cellStyle name="Euro 4 36" xfId="4010" xr:uid="{00000000-0005-0000-0000-0000C70F0000}"/>
    <cellStyle name="Euro 4 37" xfId="4011" xr:uid="{00000000-0005-0000-0000-0000C80F0000}"/>
    <cellStyle name="Euro 4 38" xfId="4012" xr:uid="{00000000-0005-0000-0000-0000C90F0000}"/>
    <cellStyle name="Euro 4 39" xfId="4013" xr:uid="{00000000-0005-0000-0000-0000CA0F0000}"/>
    <cellStyle name="Euro 4 4" xfId="4014" xr:uid="{00000000-0005-0000-0000-0000CB0F0000}"/>
    <cellStyle name="Euro 4 40" xfId="4015" xr:uid="{00000000-0005-0000-0000-0000CC0F0000}"/>
    <cellStyle name="Euro 4 41" xfId="4016" xr:uid="{00000000-0005-0000-0000-0000CD0F0000}"/>
    <cellStyle name="Euro 4 42" xfId="4017" xr:uid="{00000000-0005-0000-0000-0000CE0F0000}"/>
    <cellStyle name="Euro 4 43" xfId="4018" xr:uid="{00000000-0005-0000-0000-0000CF0F0000}"/>
    <cellStyle name="Euro 4 5" xfId="4019" xr:uid="{00000000-0005-0000-0000-0000D00F0000}"/>
    <cellStyle name="Euro 4 6" xfId="4020" xr:uid="{00000000-0005-0000-0000-0000D10F0000}"/>
    <cellStyle name="Euro 4 7" xfId="4021" xr:uid="{00000000-0005-0000-0000-0000D20F0000}"/>
    <cellStyle name="Euro 4 8" xfId="4022" xr:uid="{00000000-0005-0000-0000-0000D30F0000}"/>
    <cellStyle name="Euro 4 9" xfId="4023" xr:uid="{00000000-0005-0000-0000-0000D40F0000}"/>
    <cellStyle name="Euro 5" xfId="4024" xr:uid="{00000000-0005-0000-0000-0000D50F0000}"/>
    <cellStyle name="Euro 5 10" xfId="4025" xr:uid="{00000000-0005-0000-0000-0000D60F0000}"/>
    <cellStyle name="Euro 5 11" xfId="4026" xr:uid="{00000000-0005-0000-0000-0000D70F0000}"/>
    <cellStyle name="Euro 5 12" xfId="4027" xr:uid="{00000000-0005-0000-0000-0000D80F0000}"/>
    <cellStyle name="Euro 5 13" xfId="4028" xr:uid="{00000000-0005-0000-0000-0000D90F0000}"/>
    <cellStyle name="Euro 5 14" xfId="4029" xr:uid="{00000000-0005-0000-0000-0000DA0F0000}"/>
    <cellStyle name="Euro 5 15" xfId="4030" xr:uid="{00000000-0005-0000-0000-0000DB0F0000}"/>
    <cellStyle name="Euro 5 16" xfId="4031" xr:uid="{00000000-0005-0000-0000-0000DC0F0000}"/>
    <cellStyle name="Euro 5 17" xfId="4032" xr:uid="{00000000-0005-0000-0000-0000DD0F0000}"/>
    <cellStyle name="Euro 5 18" xfId="4033" xr:uid="{00000000-0005-0000-0000-0000DE0F0000}"/>
    <cellStyle name="Euro 5 19" xfId="4034" xr:uid="{00000000-0005-0000-0000-0000DF0F0000}"/>
    <cellStyle name="Euro 5 2" xfId="4035" xr:uid="{00000000-0005-0000-0000-0000E00F0000}"/>
    <cellStyle name="Euro 5 20" xfId="4036" xr:uid="{00000000-0005-0000-0000-0000E10F0000}"/>
    <cellStyle name="Euro 5 21" xfId="4037" xr:uid="{00000000-0005-0000-0000-0000E20F0000}"/>
    <cellStyle name="Euro 5 22" xfId="4038" xr:uid="{00000000-0005-0000-0000-0000E30F0000}"/>
    <cellStyle name="Euro 5 23" xfId="4039" xr:uid="{00000000-0005-0000-0000-0000E40F0000}"/>
    <cellStyle name="Euro 5 24" xfId="4040" xr:uid="{00000000-0005-0000-0000-0000E50F0000}"/>
    <cellStyle name="Euro 5 25" xfId="4041" xr:uid="{00000000-0005-0000-0000-0000E60F0000}"/>
    <cellStyle name="Euro 5 26" xfId="4042" xr:uid="{00000000-0005-0000-0000-0000E70F0000}"/>
    <cellStyle name="Euro 5 27" xfId="4043" xr:uid="{00000000-0005-0000-0000-0000E80F0000}"/>
    <cellStyle name="Euro 5 28" xfId="4044" xr:uid="{00000000-0005-0000-0000-0000E90F0000}"/>
    <cellStyle name="Euro 5 29" xfId="4045" xr:uid="{00000000-0005-0000-0000-0000EA0F0000}"/>
    <cellStyle name="Euro 5 3" xfId="4046" xr:uid="{00000000-0005-0000-0000-0000EB0F0000}"/>
    <cellStyle name="Euro 5 30" xfId="4047" xr:uid="{00000000-0005-0000-0000-0000EC0F0000}"/>
    <cellStyle name="Euro 5 31" xfId="4048" xr:uid="{00000000-0005-0000-0000-0000ED0F0000}"/>
    <cellStyle name="Euro 5 32" xfId="4049" xr:uid="{00000000-0005-0000-0000-0000EE0F0000}"/>
    <cellStyle name="Euro 5 33" xfId="4050" xr:uid="{00000000-0005-0000-0000-0000EF0F0000}"/>
    <cellStyle name="Euro 5 34" xfId="4051" xr:uid="{00000000-0005-0000-0000-0000F00F0000}"/>
    <cellStyle name="Euro 5 35" xfId="4052" xr:uid="{00000000-0005-0000-0000-0000F10F0000}"/>
    <cellStyle name="Euro 5 36" xfId="4053" xr:uid="{00000000-0005-0000-0000-0000F20F0000}"/>
    <cellStyle name="Euro 5 37" xfId="4054" xr:uid="{00000000-0005-0000-0000-0000F30F0000}"/>
    <cellStyle name="Euro 5 38" xfId="4055" xr:uid="{00000000-0005-0000-0000-0000F40F0000}"/>
    <cellStyle name="Euro 5 39" xfId="4056" xr:uid="{00000000-0005-0000-0000-0000F50F0000}"/>
    <cellStyle name="Euro 5 4" xfId="4057" xr:uid="{00000000-0005-0000-0000-0000F60F0000}"/>
    <cellStyle name="Euro 5 40" xfId="4058" xr:uid="{00000000-0005-0000-0000-0000F70F0000}"/>
    <cellStyle name="Euro 5 41" xfId="4059" xr:uid="{00000000-0005-0000-0000-0000F80F0000}"/>
    <cellStyle name="Euro 5 42" xfId="4060" xr:uid="{00000000-0005-0000-0000-0000F90F0000}"/>
    <cellStyle name="Euro 5 43" xfId="4061" xr:uid="{00000000-0005-0000-0000-0000FA0F0000}"/>
    <cellStyle name="Euro 5 5" xfId="4062" xr:uid="{00000000-0005-0000-0000-0000FB0F0000}"/>
    <cellStyle name="Euro 5 6" xfId="4063" xr:uid="{00000000-0005-0000-0000-0000FC0F0000}"/>
    <cellStyle name="Euro 5 7" xfId="4064" xr:uid="{00000000-0005-0000-0000-0000FD0F0000}"/>
    <cellStyle name="Euro 5 8" xfId="4065" xr:uid="{00000000-0005-0000-0000-0000FE0F0000}"/>
    <cellStyle name="Euro 5 9" xfId="4066" xr:uid="{00000000-0005-0000-0000-0000FF0F0000}"/>
    <cellStyle name="Euro 6" xfId="4067" xr:uid="{00000000-0005-0000-0000-000000100000}"/>
    <cellStyle name="Euro 6 10" xfId="4068" xr:uid="{00000000-0005-0000-0000-000001100000}"/>
    <cellStyle name="Euro 6 11" xfId="4069" xr:uid="{00000000-0005-0000-0000-000002100000}"/>
    <cellStyle name="Euro 6 12" xfId="4070" xr:uid="{00000000-0005-0000-0000-000003100000}"/>
    <cellStyle name="Euro 6 13" xfId="4071" xr:uid="{00000000-0005-0000-0000-000004100000}"/>
    <cellStyle name="Euro 6 14" xfId="4072" xr:uid="{00000000-0005-0000-0000-000005100000}"/>
    <cellStyle name="Euro 6 15" xfId="4073" xr:uid="{00000000-0005-0000-0000-000006100000}"/>
    <cellStyle name="Euro 6 16" xfId="4074" xr:uid="{00000000-0005-0000-0000-000007100000}"/>
    <cellStyle name="Euro 6 17" xfId="4075" xr:uid="{00000000-0005-0000-0000-000008100000}"/>
    <cellStyle name="Euro 6 18" xfId="4076" xr:uid="{00000000-0005-0000-0000-000009100000}"/>
    <cellStyle name="Euro 6 19" xfId="4077" xr:uid="{00000000-0005-0000-0000-00000A100000}"/>
    <cellStyle name="Euro 6 2" xfId="4078" xr:uid="{00000000-0005-0000-0000-00000B100000}"/>
    <cellStyle name="Euro 6 20" xfId="4079" xr:uid="{00000000-0005-0000-0000-00000C100000}"/>
    <cellStyle name="Euro 6 21" xfId="4080" xr:uid="{00000000-0005-0000-0000-00000D100000}"/>
    <cellStyle name="Euro 6 22" xfId="4081" xr:uid="{00000000-0005-0000-0000-00000E100000}"/>
    <cellStyle name="Euro 6 23" xfId="4082" xr:uid="{00000000-0005-0000-0000-00000F100000}"/>
    <cellStyle name="Euro 6 24" xfId="4083" xr:uid="{00000000-0005-0000-0000-000010100000}"/>
    <cellStyle name="Euro 6 25" xfId="4084" xr:uid="{00000000-0005-0000-0000-000011100000}"/>
    <cellStyle name="Euro 6 26" xfId="4085" xr:uid="{00000000-0005-0000-0000-000012100000}"/>
    <cellStyle name="Euro 6 27" xfId="4086" xr:uid="{00000000-0005-0000-0000-000013100000}"/>
    <cellStyle name="Euro 6 28" xfId="4087" xr:uid="{00000000-0005-0000-0000-000014100000}"/>
    <cellStyle name="Euro 6 29" xfId="4088" xr:uid="{00000000-0005-0000-0000-000015100000}"/>
    <cellStyle name="Euro 6 3" xfId="4089" xr:uid="{00000000-0005-0000-0000-000016100000}"/>
    <cellStyle name="Euro 6 30" xfId="4090" xr:uid="{00000000-0005-0000-0000-000017100000}"/>
    <cellStyle name="Euro 6 31" xfId="4091" xr:uid="{00000000-0005-0000-0000-000018100000}"/>
    <cellStyle name="Euro 6 32" xfId="4092" xr:uid="{00000000-0005-0000-0000-000019100000}"/>
    <cellStyle name="Euro 6 33" xfId="4093" xr:uid="{00000000-0005-0000-0000-00001A100000}"/>
    <cellStyle name="Euro 6 34" xfId="4094" xr:uid="{00000000-0005-0000-0000-00001B100000}"/>
    <cellStyle name="Euro 6 35" xfId="4095" xr:uid="{00000000-0005-0000-0000-00001C100000}"/>
    <cellStyle name="Euro 6 36" xfId="4096" xr:uid="{00000000-0005-0000-0000-00001D100000}"/>
    <cellStyle name="Euro 6 37" xfId="4097" xr:uid="{00000000-0005-0000-0000-00001E100000}"/>
    <cellStyle name="Euro 6 38" xfId="4098" xr:uid="{00000000-0005-0000-0000-00001F100000}"/>
    <cellStyle name="Euro 6 39" xfId="4099" xr:uid="{00000000-0005-0000-0000-000020100000}"/>
    <cellStyle name="Euro 6 4" xfId="4100" xr:uid="{00000000-0005-0000-0000-000021100000}"/>
    <cellStyle name="Euro 6 40" xfId="4101" xr:uid="{00000000-0005-0000-0000-000022100000}"/>
    <cellStyle name="Euro 6 41" xfId="4102" xr:uid="{00000000-0005-0000-0000-000023100000}"/>
    <cellStyle name="Euro 6 42" xfId="4103" xr:uid="{00000000-0005-0000-0000-000024100000}"/>
    <cellStyle name="Euro 6 43" xfId="4104" xr:uid="{00000000-0005-0000-0000-000025100000}"/>
    <cellStyle name="Euro 6 5" xfId="4105" xr:uid="{00000000-0005-0000-0000-000026100000}"/>
    <cellStyle name="Euro 6 6" xfId="4106" xr:uid="{00000000-0005-0000-0000-000027100000}"/>
    <cellStyle name="Euro 6 7" xfId="4107" xr:uid="{00000000-0005-0000-0000-000028100000}"/>
    <cellStyle name="Euro 6 8" xfId="4108" xr:uid="{00000000-0005-0000-0000-000029100000}"/>
    <cellStyle name="Euro 6 9" xfId="4109" xr:uid="{00000000-0005-0000-0000-00002A100000}"/>
    <cellStyle name="Euro 7" xfId="4110" xr:uid="{00000000-0005-0000-0000-00002B100000}"/>
    <cellStyle name="Euro 7 10" xfId="4111" xr:uid="{00000000-0005-0000-0000-00002C100000}"/>
    <cellStyle name="Euro 7 11" xfId="4112" xr:uid="{00000000-0005-0000-0000-00002D100000}"/>
    <cellStyle name="Euro 7 12" xfId="4113" xr:uid="{00000000-0005-0000-0000-00002E100000}"/>
    <cellStyle name="Euro 7 13" xfId="4114" xr:uid="{00000000-0005-0000-0000-00002F100000}"/>
    <cellStyle name="Euro 7 14" xfId="4115" xr:uid="{00000000-0005-0000-0000-000030100000}"/>
    <cellStyle name="Euro 7 15" xfId="4116" xr:uid="{00000000-0005-0000-0000-000031100000}"/>
    <cellStyle name="Euro 7 16" xfId="4117" xr:uid="{00000000-0005-0000-0000-000032100000}"/>
    <cellStyle name="Euro 7 17" xfId="4118" xr:uid="{00000000-0005-0000-0000-000033100000}"/>
    <cellStyle name="Euro 7 18" xfId="4119" xr:uid="{00000000-0005-0000-0000-000034100000}"/>
    <cellStyle name="Euro 7 19" xfId="4120" xr:uid="{00000000-0005-0000-0000-000035100000}"/>
    <cellStyle name="Euro 7 2" xfId="4121" xr:uid="{00000000-0005-0000-0000-000036100000}"/>
    <cellStyle name="Euro 7 20" xfId="4122" xr:uid="{00000000-0005-0000-0000-000037100000}"/>
    <cellStyle name="Euro 7 21" xfId="4123" xr:uid="{00000000-0005-0000-0000-000038100000}"/>
    <cellStyle name="Euro 7 22" xfId="4124" xr:uid="{00000000-0005-0000-0000-000039100000}"/>
    <cellStyle name="Euro 7 23" xfId="4125" xr:uid="{00000000-0005-0000-0000-00003A100000}"/>
    <cellStyle name="Euro 7 24" xfId="4126" xr:uid="{00000000-0005-0000-0000-00003B100000}"/>
    <cellStyle name="Euro 7 25" xfId="4127" xr:uid="{00000000-0005-0000-0000-00003C100000}"/>
    <cellStyle name="Euro 7 26" xfId="4128" xr:uid="{00000000-0005-0000-0000-00003D100000}"/>
    <cellStyle name="Euro 7 27" xfId="4129" xr:uid="{00000000-0005-0000-0000-00003E100000}"/>
    <cellStyle name="Euro 7 28" xfId="4130" xr:uid="{00000000-0005-0000-0000-00003F100000}"/>
    <cellStyle name="Euro 7 29" xfId="4131" xr:uid="{00000000-0005-0000-0000-000040100000}"/>
    <cellStyle name="Euro 7 3" xfId="4132" xr:uid="{00000000-0005-0000-0000-000041100000}"/>
    <cellStyle name="Euro 7 30" xfId="4133" xr:uid="{00000000-0005-0000-0000-000042100000}"/>
    <cellStyle name="Euro 7 31" xfId="4134" xr:uid="{00000000-0005-0000-0000-000043100000}"/>
    <cellStyle name="Euro 7 32" xfId="4135" xr:uid="{00000000-0005-0000-0000-000044100000}"/>
    <cellStyle name="Euro 7 33" xfId="4136" xr:uid="{00000000-0005-0000-0000-000045100000}"/>
    <cellStyle name="Euro 7 34" xfId="4137" xr:uid="{00000000-0005-0000-0000-000046100000}"/>
    <cellStyle name="Euro 7 35" xfId="4138" xr:uid="{00000000-0005-0000-0000-000047100000}"/>
    <cellStyle name="Euro 7 36" xfId="4139" xr:uid="{00000000-0005-0000-0000-000048100000}"/>
    <cellStyle name="Euro 7 37" xfId="4140" xr:uid="{00000000-0005-0000-0000-000049100000}"/>
    <cellStyle name="Euro 7 38" xfId="4141" xr:uid="{00000000-0005-0000-0000-00004A100000}"/>
    <cellStyle name="Euro 7 39" xfId="4142" xr:uid="{00000000-0005-0000-0000-00004B100000}"/>
    <cellStyle name="Euro 7 4" xfId="4143" xr:uid="{00000000-0005-0000-0000-00004C100000}"/>
    <cellStyle name="Euro 7 40" xfId="4144" xr:uid="{00000000-0005-0000-0000-00004D100000}"/>
    <cellStyle name="Euro 7 41" xfId="4145" xr:uid="{00000000-0005-0000-0000-00004E100000}"/>
    <cellStyle name="Euro 7 42" xfId="4146" xr:uid="{00000000-0005-0000-0000-00004F100000}"/>
    <cellStyle name="Euro 7 43" xfId="4147" xr:uid="{00000000-0005-0000-0000-000050100000}"/>
    <cellStyle name="Euro 7 5" xfId="4148" xr:uid="{00000000-0005-0000-0000-000051100000}"/>
    <cellStyle name="Euro 7 6" xfId="4149" xr:uid="{00000000-0005-0000-0000-000052100000}"/>
    <cellStyle name="Euro 7 7" xfId="4150" xr:uid="{00000000-0005-0000-0000-000053100000}"/>
    <cellStyle name="Euro 7 8" xfId="4151" xr:uid="{00000000-0005-0000-0000-000054100000}"/>
    <cellStyle name="Euro 7 9" xfId="4152" xr:uid="{00000000-0005-0000-0000-000055100000}"/>
    <cellStyle name="Euro 8" xfId="4153" xr:uid="{00000000-0005-0000-0000-000056100000}"/>
    <cellStyle name="Euro 8 10" xfId="4154" xr:uid="{00000000-0005-0000-0000-000057100000}"/>
    <cellStyle name="Euro 8 11" xfId="4155" xr:uid="{00000000-0005-0000-0000-000058100000}"/>
    <cellStyle name="Euro 8 12" xfId="4156" xr:uid="{00000000-0005-0000-0000-000059100000}"/>
    <cellStyle name="Euro 8 13" xfId="4157" xr:uid="{00000000-0005-0000-0000-00005A100000}"/>
    <cellStyle name="Euro 8 14" xfId="4158" xr:uid="{00000000-0005-0000-0000-00005B100000}"/>
    <cellStyle name="Euro 8 15" xfId="4159" xr:uid="{00000000-0005-0000-0000-00005C100000}"/>
    <cellStyle name="Euro 8 16" xfId="4160" xr:uid="{00000000-0005-0000-0000-00005D100000}"/>
    <cellStyle name="Euro 8 17" xfId="4161" xr:uid="{00000000-0005-0000-0000-00005E100000}"/>
    <cellStyle name="Euro 8 18" xfId="4162" xr:uid="{00000000-0005-0000-0000-00005F100000}"/>
    <cellStyle name="Euro 8 19" xfId="4163" xr:uid="{00000000-0005-0000-0000-000060100000}"/>
    <cellStyle name="Euro 8 2" xfId="4164" xr:uid="{00000000-0005-0000-0000-000061100000}"/>
    <cellStyle name="Euro 8 20" xfId="4165" xr:uid="{00000000-0005-0000-0000-000062100000}"/>
    <cellStyle name="Euro 8 21" xfId="4166" xr:uid="{00000000-0005-0000-0000-000063100000}"/>
    <cellStyle name="Euro 8 22" xfId="4167" xr:uid="{00000000-0005-0000-0000-000064100000}"/>
    <cellStyle name="Euro 8 23" xfId="4168" xr:uid="{00000000-0005-0000-0000-000065100000}"/>
    <cellStyle name="Euro 8 24" xfId="4169" xr:uid="{00000000-0005-0000-0000-000066100000}"/>
    <cellStyle name="Euro 8 25" xfId="4170" xr:uid="{00000000-0005-0000-0000-000067100000}"/>
    <cellStyle name="Euro 8 26" xfId="4171" xr:uid="{00000000-0005-0000-0000-000068100000}"/>
    <cellStyle name="Euro 8 27" xfId="4172" xr:uid="{00000000-0005-0000-0000-000069100000}"/>
    <cellStyle name="Euro 8 28" xfId="4173" xr:uid="{00000000-0005-0000-0000-00006A100000}"/>
    <cellStyle name="Euro 8 29" xfId="4174" xr:uid="{00000000-0005-0000-0000-00006B100000}"/>
    <cellStyle name="Euro 8 3" xfId="4175" xr:uid="{00000000-0005-0000-0000-00006C100000}"/>
    <cellStyle name="Euro 8 30" xfId="4176" xr:uid="{00000000-0005-0000-0000-00006D100000}"/>
    <cellStyle name="Euro 8 31" xfId="4177" xr:uid="{00000000-0005-0000-0000-00006E100000}"/>
    <cellStyle name="Euro 8 32" xfId="4178" xr:uid="{00000000-0005-0000-0000-00006F100000}"/>
    <cellStyle name="Euro 8 33" xfId="4179" xr:uid="{00000000-0005-0000-0000-000070100000}"/>
    <cellStyle name="Euro 8 34" xfId="4180" xr:uid="{00000000-0005-0000-0000-000071100000}"/>
    <cellStyle name="Euro 8 35" xfId="4181" xr:uid="{00000000-0005-0000-0000-000072100000}"/>
    <cellStyle name="Euro 8 36" xfId="4182" xr:uid="{00000000-0005-0000-0000-000073100000}"/>
    <cellStyle name="Euro 8 37" xfId="4183" xr:uid="{00000000-0005-0000-0000-000074100000}"/>
    <cellStyle name="Euro 8 38" xfId="4184" xr:uid="{00000000-0005-0000-0000-000075100000}"/>
    <cellStyle name="Euro 8 39" xfId="4185" xr:uid="{00000000-0005-0000-0000-000076100000}"/>
    <cellStyle name="Euro 8 4" xfId="4186" xr:uid="{00000000-0005-0000-0000-000077100000}"/>
    <cellStyle name="Euro 8 40" xfId="4187" xr:uid="{00000000-0005-0000-0000-000078100000}"/>
    <cellStyle name="Euro 8 41" xfId="4188" xr:uid="{00000000-0005-0000-0000-000079100000}"/>
    <cellStyle name="Euro 8 42" xfId="4189" xr:uid="{00000000-0005-0000-0000-00007A100000}"/>
    <cellStyle name="Euro 8 43" xfId="4190" xr:uid="{00000000-0005-0000-0000-00007B100000}"/>
    <cellStyle name="Euro 8 5" xfId="4191" xr:uid="{00000000-0005-0000-0000-00007C100000}"/>
    <cellStyle name="Euro 8 6" xfId="4192" xr:uid="{00000000-0005-0000-0000-00007D100000}"/>
    <cellStyle name="Euro 8 7" xfId="4193" xr:uid="{00000000-0005-0000-0000-00007E100000}"/>
    <cellStyle name="Euro 8 8" xfId="4194" xr:uid="{00000000-0005-0000-0000-00007F100000}"/>
    <cellStyle name="Euro 8 9" xfId="4195" xr:uid="{00000000-0005-0000-0000-000080100000}"/>
    <cellStyle name="Euro 9" xfId="4196" xr:uid="{00000000-0005-0000-0000-000081100000}"/>
    <cellStyle name="Euro 9 10" xfId="4197" xr:uid="{00000000-0005-0000-0000-000082100000}"/>
    <cellStyle name="Euro 9 11" xfId="4198" xr:uid="{00000000-0005-0000-0000-000083100000}"/>
    <cellStyle name="Euro 9 12" xfId="4199" xr:uid="{00000000-0005-0000-0000-000084100000}"/>
    <cellStyle name="Euro 9 13" xfId="4200" xr:uid="{00000000-0005-0000-0000-000085100000}"/>
    <cellStyle name="Euro 9 14" xfId="4201" xr:uid="{00000000-0005-0000-0000-000086100000}"/>
    <cellStyle name="Euro 9 15" xfId="4202" xr:uid="{00000000-0005-0000-0000-000087100000}"/>
    <cellStyle name="Euro 9 16" xfId="4203" xr:uid="{00000000-0005-0000-0000-000088100000}"/>
    <cellStyle name="Euro 9 17" xfId="4204" xr:uid="{00000000-0005-0000-0000-000089100000}"/>
    <cellStyle name="Euro 9 18" xfId="4205" xr:uid="{00000000-0005-0000-0000-00008A100000}"/>
    <cellStyle name="Euro 9 19" xfId="4206" xr:uid="{00000000-0005-0000-0000-00008B100000}"/>
    <cellStyle name="Euro 9 2" xfId="4207" xr:uid="{00000000-0005-0000-0000-00008C100000}"/>
    <cellStyle name="Euro 9 20" xfId="4208" xr:uid="{00000000-0005-0000-0000-00008D100000}"/>
    <cellStyle name="Euro 9 21" xfId="4209" xr:uid="{00000000-0005-0000-0000-00008E100000}"/>
    <cellStyle name="Euro 9 22" xfId="4210" xr:uid="{00000000-0005-0000-0000-00008F100000}"/>
    <cellStyle name="Euro 9 23" xfId="4211" xr:uid="{00000000-0005-0000-0000-000090100000}"/>
    <cellStyle name="Euro 9 24" xfId="4212" xr:uid="{00000000-0005-0000-0000-000091100000}"/>
    <cellStyle name="Euro 9 25" xfId="4213" xr:uid="{00000000-0005-0000-0000-000092100000}"/>
    <cellStyle name="Euro 9 26" xfId="4214" xr:uid="{00000000-0005-0000-0000-000093100000}"/>
    <cellStyle name="Euro 9 27" xfId="4215" xr:uid="{00000000-0005-0000-0000-000094100000}"/>
    <cellStyle name="Euro 9 28" xfId="4216" xr:uid="{00000000-0005-0000-0000-000095100000}"/>
    <cellStyle name="Euro 9 29" xfId="4217" xr:uid="{00000000-0005-0000-0000-000096100000}"/>
    <cellStyle name="Euro 9 3" xfId="4218" xr:uid="{00000000-0005-0000-0000-000097100000}"/>
    <cellStyle name="Euro 9 30" xfId="4219" xr:uid="{00000000-0005-0000-0000-000098100000}"/>
    <cellStyle name="Euro 9 31" xfId="4220" xr:uid="{00000000-0005-0000-0000-000099100000}"/>
    <cellStyle name="Euro 9 32" xfId="4221" xr:uid="{00000000-0005-0000-0000-00009A100000}"/>
    <cellStyle name="Euro 9 33" xfId="4222" xr:uid="{00000000-0005-0000-0000-00009B100000}"/>
    <cellStyle name="Euro 9 34" xfId="4223" xr:uid="{00000000-0005-0000-0000-00009C100000}"/>
    <cellStyle name="Euro 9 35" xfId="4224" xr:uid="{00000000-0005-0000-0000-00009D100000}"/>
    <cellStyle name="Euro 9 36" xfId="4225" xr:uid="{00000000-0005-0000-0000-00009E100000}"/>
    <cellStyle name="Euro 9 37" xfId="4226" xr:uid="{00000000-0005-0000-0000-00009F100000}"/>
    <cellStyle name="Euro 9 38" xfId="4227" xr:uid="{00000000-0005-0000-0000-0000A0100000}"/>
    <cellStyle name="Euro 9 39" xfId="4228" xr:uid="{00000000-0005-0000-0000-0000A1100000}"/>
    <cellStyle name="Euro 9 4" xfId="4229" xr:uid="{00000000-0005-0000-0000-0000A2100000}"/>
    <cellStyle name="Euro 9 40" xfId="4230" xr:uid="{00000000-0005-0000-0000-0000A3100000}"/>
    <cellStyle name="Euro 9 41" xfId="4231" xr:uid="{00000000-0005-0000-0000-0000A4100000}"/>
    <cellStyle name="Euro 9 42" xfId="4232" xr:uid="{00000000-0005-0000-0000-0000A5100000}"/>
    <cellStyle name="Euro 9 43" xfId="4233" xr:uid="{00000000-0005-0000-0000-0000A6100000}"/>
    <cellStyle name="Euro 9 5" xfId="4234" xr:uid="{00000000-0005-0000-0000-0000A7100000}"/>
    <cellStyle name="Euro 9 6" xfId="4235" xr:uid="{00000000-0005-0000-0000-0000A8100000}"/>
    <cellStyle name="Euro 9 7" xfId="4236" xr:uid="{00000000-0005-0000-0000-0000A9100000}"/>
    <cellStyle name="Euro 9 8" xfId="4237" xr:uid="{00000000-0005-0000-0000-0000AA100000}"/>
    <cellStyle name="Euro 9 9" xfId="4238" xr:uid="{00000000-0005-0000-0000-0000AB100000}"/>
    <cellStyle name="Explanatory Text" xfId="4771" builtinId="53" customBuiltin="1"/>
    <cellStyle name="Explanatory Text 2" xfId="87" xr:uid="{00000000-0005-0000-0000-0000AD100000}"/>
    <cellStyle name="Explanatory Text 3" xfId="88" xr:uid="{00000000-0005-0000-0000-0000AE100000}"/>
    <cellStyle name="Explanatory Text 4" xfId="89" xr:uid="{00000000-0005-0000-0000-0000AF100000}"/>
    <cellStyle name="Good" xfId="4762" builtinId="26" customBuiltin="1"/>
    <cellStyle name="Good 2" xfId="90" xr:uid="{00000000-0005-0000-0000-0000B1100000}"/>
    <cellStyle name="Good 3" xfId="91" xr:uid="{00000000-0005-0000-0000-0000B2100000}"/>
    <cellStyle name="Good 4" xfId="92" xr:uid="{00000000-0005-0000-0000-0000B3100000}"/>
    <cellStyle name="Heading 1" xfId="4758" builtinId="16" customBuiltin="1"/>
    <cellStyle name="Heading 1 2" xfId="93" xr:uid="{00000000-0005-0000-0000-0000B5100000}"/>
    <cellStyle name="Heading 1 3" xfId="94" xr:uid="{00000000-0005-0000-0000-0000B6100000}"/>
    <cellStyle name="Heading 1 4" xfId="95" xr:uid="{00000000-0005-0000-0000-0000B7100000}"/>
    <cellStyle name="Heading 2" xfId="4759" builtinId="17" customBuiltin="1"/>
    <cellStyle name="Heading 2 2" xfId="96" xr:uid="{00000000-0005-0000-0000-0000B9100000}"/>
    <cellStyle name="Heading 2 3" xfId="97" xr:uid="{00000000-0005-0000-0000-0000BA100000}"/>
    <cellStyle name="Heading 2 4" xfId="98" xr:uid="{00000000-0005-0000-0000-0000BB100000}"/>
    <cellStyle name="Heading 3" xfId="4760" builtinId="18" customBuiltin="1"/>
    <cellStyle name="Heading 3 2" xfId="99" xr:uid="{00000000-0005-0000-0000-0000BD100000}"/>
    <cellStyle name="Heading 3 3" xfId="100" xr:uid="{00000000-0005-0000-0000-0000BE100000}"/>
    <cellStyle name="Heading 3 4" xfId="101" xr:uid="{00000000-0005-0000-0000-0000BF100000}"/>
    <cellStyle name="Heading 4" xfId="4761" builtinId="19" customBuiltin="1"/>
    <cellStyle name="Heading 4 2" xfId="102" xr:uid="{00000000-0005-0000-0000-0000C1100000}"/>
    <cellStyle name="Heading 4 3" xfId="103" xr:uid="{00000000-0005-0000-0000-0000C2100000}"/>
    <cellStyle name="Heading 4 4" xfId="104" xr:uid="{00000000-0005-0000-0000-0000C3100000}"/>
    <cellStyle name="Hyperlink 2" xfId="676" xr:uid="{00000000-0005-0000-0000-0000C4100000}"/>
    <cellStyle name="Hyperlink 2 2" xfId="677" xr:uid="{00000000-0005-0000-0000-0000C5100000}"/>
    <cellStyle name="Input" xfId="4765" builtinId="20" customBuiltin="1"/>
    <cellStyle name="Input 2" xfId="105" xr:uid="{00000000-0005-0000-0000-0000C7100000}"/>
    <cellStyle name="Input 2 2" xfId="4239" xr:uid="{00000000-0005-0000-0000-0000C8100000}"/>
    <cellStyle name="Input 3" xfId="106" xr:uid="{00000000-0005-0000-0000-0000C9100000}"/>
    <cellStyle name="Input 4" xfId="107" xr:uid="{00000000-0005-0000-0000-0000CA100000}"/>
    <cellStyle name="JWH Preferred - 2 Decimals" xfId="4240" xr:uid="{00000000-0005-0000-0000-0000CB100000}"/>
    <cellStyle name="JWH Preferred - 2 Decimals 10" xfId="4241" xr:uid="{00000000-0005-0000-0000-0000CC100000}"/>
    <cellStyle name="JWH Preferred - 2 Decimals 100" xfId="4242" xr:uid="{00000000-0005-0000-0000-0000CD100000}"/>
    <cellStyle name="JWH Preferred - 2 Decimals 101" xfId="4243" xr:uid="{00000000-0005-0000-0000-0000CE100000}"/>
    <cellStyle name="JWH Preferred - 2 Decimals 11" xfId="4244" xr:uid="{00000000-0005-0000-0000-0000CF100000}"/>
    <cellStyle name="JWH Preferred - 2 Decimals 12" xfId="4245" xr:uid="{00000000-0005-0000-0000-0000D0100000}"/>
    <cellStyle name="JWH Preferred - 2 Decimals 13" xfId="4246" xr:uid="{00000000-0005-0000-0000-0000D1100000}"/>
    <cellStyle name="JWH Preferred - 2 Decimals 14" xfId="4247" xr:uid="{00000000-0005-0000-0000-0000D2100000}"/>
    <cellStyle name="JWH Preferred - 2 Decimals 15" xfId="4248" xr:uid="{00000000-0005-0000-0000-0000D3100000}"/>
    <cellStyle name="JWH Preferred - 2 Decimals 16" xfId="4249" xr:uid="{00000000-0005-0000-0000-0000D4100000}"/>
    <cellStyle name="JWH Preferred - 2 Decimals 17" xfId="4250" xr:uid="{00000000-0005-0000-0000-0000D5100000}"/>
    <cellStyle name="JWH Preferred - 2 Decimals 18" xfId="4251" xr:uid="{00000000-0005-0000-0000-0000D6100000}"/>
    <cellStyle name="JWH Preferred - 2 Decimals 19" xfId="4252" xr:uid="{00000000-0005-0000-0000-0000D7100000}"/>
    <cellStyle name="JWH Preferred - 2 Decimals 2" xfId="4253" xr:uid="{00000000-0005-0000-0000-0000D8100000}"/>
    <cellStyle name="JWH Preferred - 2 Decimals 2 10" xfId="4254" xr:uid="{00000000-0005-0000-0000-0000D9100000}"/>
    <cellStyle name="JWH Preferred - 2 Decimals 2 11" xfId="4255" xr:uid="{00000000-0005-0000-0000-0000DA100000}"/>
    <cellStyle name="JWH Preferred - 2 Decimals 2 12" xfId="4256" xr:uid="{00000000-0005-0000-0000-0000DB100000}"/>
    <cellStyle name="JWH Preferred - 2 Decimals 2 13" xfId="4257" xr:uid="{00000000-0005-0000-0000-0000DC100000}"/>
    <cellStyle name="JWH Preferred - 2 Decimals 2 14" xfId="4258" xr:uid="{00000000-0005-0000-0000-0000DD100000}"/>
    <cellStyle name="JWH Preferred - 2 Decimals 2 15" xfId="4259" xr:uid="{00000000-0005-0000-0000-0000DE100000}"/>
    <cellStyle name="JWH Preferred - 2 Decimals 2 16" xfId="4260" xr:uid="{00000000-0005-0000-0000-0000DF100000}"/>
    <cellStyle name="JWH Preferred - 2 Decimals 2 17" xfId="4261" xr:uid="{00000000-0005-0000-0000-0000E0100000}"/>
    <cellStyle name="JWH Preferred - 2 Decimals 2 18" xfId="4262" xr:uid="{00000000-0005-0000-0000-0000E1100000}"/>
    <cellStyle name="JWH Preferred - 2 Decimals 2 19" xfId="4263" xr:uid="{00000000-0005-0000-0000-0000E2100000}"/>
    <cellStyle name="JWH Preferred - 2 Decimals 2 2" xfId="4264" xr:uid="{00000000-0005-0000-0000-0000E3100000}"/>
    <cellStyle name="JWH Preferred - 2 Decimals 2 20" xfId="4265" xr:uid="{00000000-0005-0000-0000-0000E4100000}"/>
    <cellStyle name="JWH Preferred - 2 Decimals 2 21" xfId="4266" xr:uid="{00000000-0005-0000-0000-0000E5100000}"/>
    <cellStyle name="JWH Preferred - 2 Decimals 2 22" xfId="4267" xr:uid="{00000000-0005-0000-0000-0000E6100000}"/>
    <cellStyle name="JWH Preferred - 2 Decimals 2 23" xfId="4268" xr:uid="{00000000-0005-0000-0000-0000E7100000}"/>
    <cellStyle name="JWH Preferred - 2 Decimals 2 24" xfId="4269" xr:uid="{00000000-0005-0000-0000-0000E8100000}"/>
    <cellStyle name="JWH Preferred - 2 Decimals 2 25" xfId="4270" xr:uid="{00000000-0005-0000-0000-0000E9100000}"/>
    <cellStyle name="JWH Preferred - 2 Decimals 2 26" xfId="4271" xr:uid="{00000000-0005-0000-0000-0000EA100000}"/>
    <cellStyle name="JWH Preferred - 2 Decimals 2 27" xfId="4272" xr:uid="{00000000-0005-0000-0000-0000EB100000}"/>
    <cellStyle name="JWH Preferred - 2 Decimals 2 28" xfId="4273" xr:uid="{00000000-0005-0000-0000-0000EC100000}"/>
    <cellStyle name="JWH Preferred - 2 Decimals 2 29" xfId="4274" xr:uid="{00000000-0005-0000-0000-0000ED100000}"/>
    <cellStyle name="JWH Preferred - 2 Decimals 2 3" xfId="4275" xr:uid="{00000000-0005-0000-0000-0000EE100000}"/>
    <cellStyle name="JWH Preferred - 2 Decimals 2 30" xfId="4276" xr:uid="{00000000-0005-0000-0000-0000EF100000}"/>
    <cellStyle name="JWH Preferred - 2 Decimals 2 31" xfId="4277" xr:uid="{00000000-0005-0000-0000-0000F0100000}"/>
    <cellStyle name="JWH Preferred - 2 Decimals 2 32" xfId="4278" xr:uid="{00000000-0005-0000-0000-0000F1100000}"/>
    <cellStyle name="JWH Preferred - 2 Decimals 2 33" xfId="4279" xr:uid="{00000000-0005-0000-0000-0000F2100000}"/>
    <cellStyle name="JWH Preferred - 2 Decimals 2 34" xfId="4280" xr:uid="{00000000-0005-0000-0000-0000F3100000}"/>
    <cellStyle name="JWH Preferred - 2 Decimals 2 35" xfId="4281" xr:uid="{00000000-0005-0000-0000-0000F4100000}"/>
    <cellStyle name="JWH Preferred - 2 Decimals 2 36" xfId="4282" xr:uid="{00000000-0005-0000-0000-0000F5100000}"/>
    <cellStyle name="JWH Preferred - 2 Decimals 2 37" xfId="4283" xr:uid="{00000000-0005-0000-0000-0000F6100000}"/>
    <cellStyle name="JWH Preferred - 2 Decimals 2 38" xfId="4284" xr:uid="{00000000-0005-0000-0000-0000F7100000}"/>
    <cellStyle name="JWH Preferred - 2 Decimals 2 39" xfId="4285" xr:uid="{00000000-0005-0000-0000-0000F8100000}"/>
    <cellStyle name="JWH Preferred - 2 Decimals 2 4" xfId="4286" xr:uid="{00000000-0005-0000-0000-0000F9100000}"/>
    <cellStyle name="JWH Preferred - 2 Decimals 2 40" xfId="4287" xr:uid="{00000000-0005-0000-0000-0000FA100000}"/>
    <cellStyle name="JWH Preferred - 2 Decimals 2 41" xfId="4288" xr:uid="{00000000-0005-0000-0000-0000FB100000}"/>
    <cellStyle name="JWH Preferred - 2 Decimals 2 42" xfId="4289" xr:uid="{00000000-0005-0000-0000-0000FC100000}"/>
    <cellStyle name="JWH Preferred - 2 Decimals 2 43" xfId="4290" xr:uid="{00000000-0005-0000-0000-0000FD100000}"/>
    <cellStyle name="JWH Preferred - 2 Decimals 2 5" xfId="4291" xr:uid="{00000000-0005-0000-0000-0000FE100000}"/>
    <cellStyle name="JWH Preferred - 2 Decimals 2 6" xfId="4292" xr:uid="{00000000-0005-0000-0000-0000FF100000}"/>
    <cellStyle name="JWH Preferred - 2 Decimals 2 7" xfId="4293" xr:uid="{00000000-0005-0000-0000-000000110000}"/>
    <cellStyle name="JWH Preferred - 2 Decimals 2 8" xfId="4294" xr:uid="{00000000-0005-0000-0000-000001110000}"/>
    <cellStyle name="JWH Preferred - 2 Decimals 2 9" xfId="4295" xr:uid="{00000000-0005-0000-0000-000002110000}"/>
    <cellStyle name="JWH Preferred - 2 Decimals 20" xfId="4296" xr:uid="{00000000-0005-0000-0000-000003110000}"/>
    <cellStyle name="JWH Preferred - 2 Decimals 21" xfId="4297" xr:uid="{00000000-0005-0000-0000-000004110000}"/>
    <cellStyle name="JWH Preferred - 2 Decimals 22" xfId="4298" xr:uid="{00000000-0005-0000-0000-000005110000}"/>
    <cellStyle name="JWH Preferred - 2 Decimals 23" xfId="4299" xr:uid="{00000000-0005-0000-0000-000006110000}"/>
    <cellStyle name="JWH Preferred - 2 Decimals 24" xfId="4300" xr:uid="{00000000-0005-0000-0000-000007110000}"/>
    <cellStyle name="JWH Preferred - 2 Decimals 25" xfId="4301" xr:uid="{00000000-0005-0000-0000-000008110000}"/>
    <cellStyle name="JWH Preferred - 2 Decimals 26" xfId="4302" xr:uid="{00000000-0005-0000-0000-000009110000}"/>
    <cellStyle name="JWH Preferred - 2 Decimals 27" xfId="4303" xr:uid="{00000000-0005-0000-0000-00000A110000}"/>
    <cellStyle name="JWH Preferred - 2 Decimals 28" xfId="4304" xr:uid="{00000000-0005-0000-0000-00000B110000}"/>
    <cellStyle name="JWH Preferred - 2 Decimals 29" xfId="4305" xr:uid="{00000000-0005-0000-0000-00000C110000}"/>
    <cellStyle name="JWH Preferred - 2 Decimals 3" xfId="4306" xr:uid="{00000000-0005-0000-0000-00000D110000}"/>
    <cellStyle name="JWH Preferred - 2 Decimals 30" xfId="4307" xr:uid="{00000000-0005-0000-0000-00000E110000}"/>
    <cellStyle name="JWH Preferred - 2 Decimals 31" xfId="4308" xr:uid="{00000000-0005-0000-0000-00000F110000}"/>
    <cellStyle name="JWH Preferred - 2 Decimals 32" xfId="4309" xr:uid="{00000000-0005-0000-0000-000010110000}"/>
    <cellStyle name="JWH Preferred - 2 Decimals 33" xfId="4310" xr:uid="{00000000-0005-0000-0000-000011110000}"/>
    <cellStyle name="JWH Preferred - 2 Decimals 34" xfId="4311" xr:uid="{00000000-0005-0000-0000-000012110000}"/>
    <cellStyle name="JWH Preferred - 2 Decimals 35" xfId="4312" xr:uid="{00000000-0005-0000-0000-000013110000}"/>
    <cellStyle name="JWH Preferred - 2 Decimals 36" xfId="4313" xr:uid="{00000000-0005-0000-0000-000014110000}"/>
    <cellStyle name="JWH Preferred - 2 Decimals 37" xfId="4314" xr:uid="{00000000-0005-0000-0000-000015110000}"/>
    <cellStyle name="JWH Preferred - 2 Decimals 38" xfId="4315" xr:uid="{00000000-0005-0000-0000-000016110000}"/>
    <cellStyle name="JWH Preferred - 2 Decimals 39" xfId="4316" xr:uid="{00000000-0005-0000-0000-000017110000}"/>
    <cellStyle name="JWH Preferred - 2 Decimals 4" xfId="4317" xr:uid="{00000000-0005-0000-0000-000018110000}"/>
    <cellStyle name="JWH Preferred - 2 Decimals 40" xfId="4318" xr:uid="{00000000-0005-0000-0000-000019110000}"/>
    <cellStyle name="JWH Preferred - 2 Decimals 41" xfId="4319" xr:uid="{00000000-0005-0000-0000-00001A110000}"/>
    <cellStyle name="JWH Preferred - 2 Decimals 42" xfId="4320" xr:uid="{00000000-0005-0000-0000-00001B110000}"/>
    <cellStyle name="JWH Preferred - 2 Decimals 43" xfId="4321" xr:uid="{00000000-0005-0000-0000-00001C110000}"/>
    <cellStyle name="JWH Preferred - 2 Decimals 44" xfId="4322" xr:uid="{00000000-0005-0000-0000-00001D110000}"/>
    <cellStyle name="JWH Preferred - 2 Decimals 45" xfId="4323" xr:uid="{00000000-0005-0000-0000-00001E110000}"/>
    <cellStyle name="JWH Preferred - 2 Decimals 46" xfId="4324" xr:uid="{00000000-0005-0000-0000-00001F110000}"/>
    <cellStyle name="JWH Preferred - 2 Decimals 47" xfId="4325" xr:uid="{00000000-0005-0000-0000-000020110000}"/>
    <cellStyle name="JWH Preferred - 2 Decimals 48" xfId="4326" xr:uid="{00000000-0005-0000-0000-000021110000}"/>
    <cellStyle name="JWH Preferred - 2 Decimals 49" xfId="4327" xr:uid="{00000000-0005-0000-0000-000022110000}"/>
    <cellStyle name="JWH Preferred - 2 Decimals 5" xfId="4328" xr:uid="{00000000-0005-0000-0000-000023110000}"/>
    <cellStyle name="JWH Preferred - 2 Decimals 50" xfId="4329" xr:uid="{00000000-0005-0000-0000-000024110000}"/>
    <cellStyle name="JWH Preferred - 2 Decimals 51" xfId="4330" xr:uid="{00000000-0005-0000-0000-000025110000}"/>
    <cellStyle name="JWH Preferred - 2 Decimals 52" xfId="4331" xr:uid="{00000000-0005-0000-0000-000026110000}"/>
    <cellStyle name="JWH Preferred - 2 Decimals 53" xfId="4332" xr:uid="{00000000-0005-0000-0000-000027110000}"/>
    <cellStyle name="JWH Preferred - 2 Decimals 54" xfId="4333" xr:uid="{00000000-0005-0000-0000-000028110000}"/>
    <cellStyle name="JWH Preferred - 2 Decimals 55" xfId="4334" xr:uid="{00000000-0005-0000-0000-000029110000}"/>
    <cellStyle name="JWH Preferred - 2 Decimals 56" xfId="4335" xr:uid="{00000000-0005-0000-0000-00002A110000}"/>
    <cellStyle name="JWH Preferred - 2 Decimals 57" xfId="4336" xr:uid="{00000000-0005-0000-0000-00002B110000}"/>
    <cellStyle name="JWH Preferred - 2 Decimals 58" xfId="4337" xr:uid="{00000000-0005-0000-0000-00002C110000}"/>
    <cellStyle name="JWH Preferred - 2 Decimals 59" xfId="4338" xr:uid="{00000000-0005-0000-0000-00002D110000}"/>
    <cellStyle name="JWH Preferred - 2 Decimals 6" xfId="4339" xr:uid="{00000000-0005-0000-0000-00002E110000}"/>
    <cellStyle name="JWH Preferred - 2 Decimals 60" xfId="4340" xr:uid="{00000000-0005-0000-0000-00002F110000}"/>
    <cellStyle name="JWH Preferred - 2 Decimals 61" xfId="4341" xr:uid="{00000000-0005-0000-0000-000030110000}"/>
    <cellStyle name="JWH Preferred - 2 Decimals 62" xfId="4342" xr:uid="{00000000-0005-0000-0000-000031110000}"/>
    <cellStyle name="JWH Preferred - 2 Decimals 63" xfId="4343" xr:uid="{00000000-0005-0000-0000-000032110000}"/>
    <cellStyle name="JWH Preferred - 2 Decimals 64" xfId="4344" xr:uid="{00000000-0005-0000-0000-000033110000}"/>
    <cellStyle name="JWH Preferred - 2 Decimals 65" xfId="4345" xr:uid="{00000000-0005-0000-0000-000034110000}"/>
    <cellStyle name="JWH Preferred - 2 Decimals 66" xfId="4346" xr:uid="{00000000-0005-0000-0000-000035110000}"/>
    <cellStyle name="JWH Preferred - 2 Decimals 67" xfId="4347" xr:uid="{00000000-0005-0000-0000-000036110000}"/>
    <cellStyle name="JWH Preferred - 2 Decimals 68" xfId="4348" xr:uid="{00000000-0005-0000-0000-000037110000}"/>
    <cellStyle name="JWH Preferred - 2 Decimals 69" xfId="4349" xr:uid="{00000000-0005-0000-0000-000038110000}"/>
    <cellStyle name="JWH Preferred - 2 Decimals 7" xfId="4350" xr:uid="{00000000-0005-0000-0000-000039110000}"/>
    <cellStyle name="JWH Preferred - 2 Decimals 70" xfId="4351" xr:uid="{00000000-0005-0000-0000-00003A110000}"/>
    <cellStyle name="JWH Preferred - 2 Decimals 71" xfId="4352" xr:uid="{00000000-0005-0000-0000-00003B110000}"/>
    <cellStyle name="JWH Preferred - 2 Decimals 72" xfId="4353" xr:uid="{00000000-0005-0000-0000-00003C110000}"/>
    <cellStyle name="JWH Preferred - 2 Decimals 73" xfId="4354" xr:uid="{00000000-0005-0000-0000-00003D110000}"/>
    <cellStyle name="JWH Preferred - 2 Decimals 74" xfId="4355" xr:uid="{00000000-0005-0000-0000-00003E110000}"/>
    <cellStyle name="JWH Preferred - 2 Decimals 75" xfId="4356" xr:uid="{00000000-0005-0000-0000-00003F110000}"/>
    <cellStyle name="JWH Preferred - 2 Decimals 76" xfId="4357" xr:uid="{00000000-0005-0000-0000-000040110000}"/>
    <cellStyle name="JWH Preferred - 2 Decimals 77" xfId="4358" xr:uid="{00000000-0005-0000-0000-000041110000}"/>
    <cellStyle name="JWH Preferred - 2 Decimals 78" xfId="4359" xr:uid="{00000000-0005-0000-0000-000042110000}"/>
    <cellStyle name="JWH Preferred - 2 Decimals 79" xfId="4360" xr:uid="{00000000-0005-0000-0000-000043110000}"/>
    <cellStyle name="JWH Preferred - 2 Decimals 8" xfId="4361" xr:uid="{00000000-0005-0000-0000-000044110000}"/>
    <cellStyle name="JWH Preferred - 2 Decimals 80" xfId="4362" xr:uid="{00000000-0005-0000-0000-000045110000}"/>
    <cellStyle name="JWH Preferred - 2 Decimals 81" xfId="4363" xr:uid="{00000000-0005-0000-0000-000046110000}"/>
    <cellStyle name="JWH Preferred - 2 Decimals 82" xfId="4364" xr:uid="{00000000-0005-0000-0000-000047110000}"/>
    <cellStyle name="JWH Preferred - 2 Decimals 83" xfId="4365" xr:uid="{00000000-0005-0000-0000-000048110000}"/>
    <cellStyle name="JWH Preferred - 2 Decimals 84" xfId="4366" xr:uid="{00000000-0005-0000-0000-000049110000}"/>
    <cellStyle name="JWH Preferred - 2 Decimals 85" xfId="4367" xr:uid="{00000000-0005-0000-0000-00004A110000}"/>
    <cellStyle name="JWH Preferred - 2 Decimals 86" xfId="4368" xr:uid="{00000000-0005-0000-0000-00004B110000}"/>
    <cellStyle name="JWH Preferred - 2 Decimals 87" xfId="4369" xr:uid="{00000000-0005-0000-0000-00004C110000}"/>
    <cellStyle name="JWH Preferred - 2 Decimals 88" xfId="4370" xr:uid="{00000000-0005-0000-0000-00004D110000}"/>
    <cellStyle name="JWH Preferred - 2 Decimals 89" xfId="4371" xr:uid="{00000000-0005-0000-0000-00004E110000}"/>
    <cellStyle name="JWH Preferred - 2 Decimals 9" xfId="4372" xr:uid="{00000000-0005-0000-0000-00004F110000}"/>
    <cellStyle name="JWH Preferred - 2 Decimals 90" xfId="4373" xr:uid="{00000000-0005-0000-0000-000050110000}"/>
    <cellStyle name="JWH Preferred - 2 Decimals 91" xfId="4374" xr:uid="{00000000-0005-0000-0000-000051110000}"/>
    <cellStyle name="JWH Preferred - 2 Decimals 92" xfId="4375" xr:uid="{00000000-0005-0000-0000-000052110000}"/>
    <cellStyle name="JWH Preferred - 2 Decimals 93" xfId="4376" xr:uid="{00000000-0005-0000-0000-000053110000}"/>
    <cellStyle name="JWH Preferred - 2 Decimals 94" xfId="4377" xr:uid="{00000000-0005-0000-0000-000054110000}"/>
    <cellStyle name="JWH Preferred - 2 Decimals 95" xfId="4378" xr:uid="{00000000-0005-0000-0000-000055110000}"/>
    <cellStyle name="JWH Preferred - 2 Decimals 96" xfId="4379" xr:uid="{00000000-0005-0000-0000-000056110000}"/>
    <cellStyle name="JWH Preferred - 2 Decimals 97" xfId="4380" xr:uid="{00000000-0005-0000-0000-000057110000}"/>
    <cellStyle name="JWH Preferred - 2 Decimals 98" xfId="4381" xr:uid="{00000000-0005-0000-0000-000058110000}"/>
    <cellStyle name="JWH Preferred - 2 Decimals 99" xfId="4382" xr:uid="{00000000-0005-0000-0000-000059110000}"/>
    <cellStyle name="Link" xfId="4383" xr:uid="{00000000-0005-0000-0000-00005A110000}"/>
    <cellStyle name="Linked Cell" xfId="4768" builtinId="24" customBuiltin="1"/>
    <cellStyle name="Linked Cell 2" xfId="108" xr:uid="{00000000-0005-0000-0000-00005C110000}"/>
    <cellStyle name="Linked Cell 3" xfId="109" xr:uid="{00000000-0005-0000-0000-00005D110000}"/>
    <cellStyle name="Linked Cell 4" xfId="110" xr:uid="{00000000-0005-0000-0000-00005E110000}"/>
    <cellStyle name="Neutral" xfId="4764" builtinId="28" customBuiltin="1"/>
    <cellStyle name="Neutral 2" xfId="111" xr:uid="{00000000-0005-0000-0000-000060110000}"/>
    <cellStyle name="Neutral 3" xfId="112" xr:uid="{00000000-0005-0000-0000-000061110000}"/>
    <cellStyle name="Neutral 4" xfId="113" xr:uid="{00000000-0005-0000-0000-000062110000}"/>
    <cellStyle name="Normal" xfId="0" builtinId="0"/>
    <cellStyle name="Normal - Style5" xfId="4384" xr:uid="{00000000-0005-0000-0000-000064110000}"/>
    <cellStyle name="Normal - Style6" xfId="4385" xr:uid="{00000000-0005-0000-0000-000065110000}"/>
    <cellStyle name="Normal 10" xfId="4386" xr:uid="{00000000-0005-0000-0000-000066110000}"/>
    <cellStyle name="Normal 10 2" xfId="4546" xr:uid="{00000000-0005-0000-0000-000067110000}"/>
    <cellStyle name="Normal 10 2 2" xfId="4588" xr:uid="{00000000-0005-0000-0000-000068110000}"/>
    <cellStyle name="Normal 10 2 2 2" xfId="5141" xr:uid="{00000000-0005-0000-0000-000069110000}"/>
    <cellStyle name="Normal 10 2 2 3" xfId="5203" xr:uid="{00000000-0005-0000-0000-00006A110000}"/>
    <cellStyle name="Normal 10 2 3" xfId="5114" xr:uid="{00000000-0005-0000-0000-00006B110000}"/>
    <cellStyle name="Normal 10 2 4" xfId="5181" xr:uid="{00000000-0005-0000-0000-00006C110000}"/>
    <cellStyle name="Normal 11" xfId="4578" xr:uid="{00000000-0005-0000-0000-00006D110000}"/>
    <cellStyle name="Normal 12" xfId="4587" xr:uid="{00000000-0005-0000-0000-00006E110000}"/>
    <cellStyle name="Normal 13" xfId="4579" xr:uid="{00000000-0005-0000-0000-00006F110000}"/>
    <cellStyle name="Normal 14" xfId="4610" xr:uid="{00000000-0005-0000-0000-000070110000}"/>
    <cellStyle name="Normal 15" xfId="4580" xr:uid="{00000000-0005-0000-0000-000071110000}"/>
    <cellStyle name="Normal 16" xfId="4586" xr:uid="{00000000-0005-0000-0000-000072110000}"/>
    <cellStyle name="Normal 17" xfId="4387" xr:uid="{00000000-0005-0000-0000-000073110000}"/>
    <cellStyle name="Normal 17 10" xfId="4388" xr:uid="{00000000-0005-0000-0000-000074110000}"/>
    <cellStyle name="Normal 17 11" xfId="4389" xr:uid="{00000000-0005-0000-0000-000075110000}"/>
    <cellStyle name="Normal 17 12" xfId="4390" xr:uid="{00000000-0005-0000-0000-000076110000}"/>
    <cellStyle name="Normal 17 13" xfId="4391" xr:uid="{00000000-0005-0000-0000-000077110000}"/>
    <cellStyle name="Normal 17 2" xfId="4392" xr:uid="{00000000-0005-0000-0000-000078110000}"/>
    <cellStyle name="Normal 17 3" xfId="4393" xr:uid="{00000000-0005-0000-0000-000079110000}"/>
    <cellStyle name="Normal 17 4" xfId="4394" xr:uid="{00000000-0005-0000-0000-00007A110000}"/>
    <cellStyle name="Normal 17 5" xfId="4395" xr:uid="{00000000-0005-0000-0000-00007B110000}"/>
    <cellStyle name="Normal 17 6" xfId="4396" xr:uid="{00000000-0005-0000-0000-00007C110000}"/>
    <cellStyle name="Normal 17 7" xfId="4397" xr:uid="{00000000-0005-0000-0000-00007D110000}"/>
    <cellStyle name="Normal 17 8" xfId="4398" xr:uid="{00000000-0005-0000-0000-00007E110000}"/>
    <cellStyle name="Normal 17 9" xfId="4399" xr:uid="{00000000-0005-0000-0000-00007F110000}"/>
    <cellStyle name="Normal 18" xfId="4581" xr:uid="{00000000-0005-0000-0000-000080110000}"/>
    <cellStyle name="Normal 19" xfId="4585" xr:uid="{00000000-0005-0000-0000-000081110000}"/>
    <cellStyle name="Normal 2" xfId="2" xr:uid="{00000000-0005-0000-0000-000082110000}"/>
    <cellStyle name="Normal 2 10" xfId="4400" xr:uid="{00000000-0005-0000-0000-000083110000}"/>
    <cellStyle name="Normal 2 11" xfId="4401" xr:uid="{00000000-0005-0000-0000-000084110000}"/>
    <cellStyle name="Normal 2 12" xfId="4402" xr:uid="{00000000-0005-0000-0000-000085110000}"/>
    <cellStyle name="Normal 2 13" xfId="4403" xr:uid="{00000000-0005-0000-0000-000086110000}"/>
    <cellStyle name="Normal 2 14" xfId="4404" xr:uid="{00000000-0005-0000-0000-000087110000}"/>
    <cellStyle name="Normal 2 15" xfId="4405" xr:uid="{00000000-0005-0000-0000-000088110000}"/>
    <cellStyle name="Normal 2 16" xfId="4406" xr:uid="{00000000-0005-0000-0000-000089110000}"/>
    <cellStyle name="Normal 2 17" xfId="4407" xr:uid="{00000000-0005-0000-0000-00008A110000}"/>
    <cellStyle name="Normal 2 18" xfId="4408" xr:uid="{00000000-0005-0000-0000-00008B110000}"/>
    <cellStyle name="Normal 2 19" xfId="4409" xr:uid="{00000000-0005-0000-0000-00008C110000}"/>
    <cellStyle name="Normal 2 2" xfId="114" xr:uid="{00000000-0005-0000-0000-00008D110000}"/>
    <cellStyle name="Normal 2 2 10" xfId="687" xr:uid="{00000000-0005-0000-0000-00008E110000}"/>
    <cellStyle name="Normal 2 2 11" xfId="4411" xr:uid="{00000000-0005-0000-0000-00008F110000}"/>
    <cellStyle name="Normal 2 2 12" xfId="4412" xr:uid="{00000000-0005-0000-0000-000090110000}"/>
    <cellStyle name="Normal 2 2 13" xfId="4413" xr:uid="{00000000-0005-0000-0000-000091110000}"/>
    <cellStyle name="Normal 2 2 14" xfId="4414" xr:uid="{00000000-0005-0000-0000-000092110000}"/>
    <cellStyle name="Normal 2 2 15" xfId="4415" xr:uid="{00000000-0005-0000-0000-000093110000}"/>
    <cellStyle name="Normal 2 2 16" xfId="4416" xr:uid="{00000000-0005-0000-0000-000094110000}"/>
    <cellStyle name="Normal 2 2 17" xfId="4417" xr:uid="{00000000-0005-0000-0000-000095110000}"/>
    <cellStyle name="Normal 2 2 18" xfId="4418" xr:uid="{00000000-0005-0000-0000-000096110000}"/>
    <cellStyle name="Normal 2 2 19" xfId="4419" xr:uid="{00000000-0005-0000-0000-000097110000}"/>
    <cellStyle name="Normal 2 2 2" xfId="115" xr:uid="{00000000-0005-0000-0000-000098110000}"/>
    <cellStyle name="Normal 2 2 2 2" xfId="116" xr:uid="{00000000-0005-0000-0000-000099110000}"/>
    <cellStyle name="Normal 2 2 2 2 2" xfId="4641" xr:uid="{00000000-0005-0000-0000-00009A110000}"/>
    <cellStyle name="Normal 2 2 2 2 2 2" xfId="4642" xr:uid="{00000000-0005-0000-0000-00009B110000}"/>
    <cellStyle name="Normal 2 2 2 2 2 2 2" xfId="4683" xr:uid="{00000000-0005-0000-0000-00009C110000}"/>
    <cellStyle name="Normal 2 2 2 2 2 2 2 2" xfId="4735" xr:uid="{00000000-0005-0000-0000-00009D110000}"/>
    <cellStyle name="Normal 2 2 2 2 2 2 3" xfId="4698" xr:uid="{00000000-0005-0000-0000-00009E110000}"/>
    <cellStyle name="Normal 2 2 2 2 2 3" xfId="4673" xr:uid="{00000000-0005-0000-0000-00009F110000}"/>
    <cellStyle name="Normal 2 2 2 2 2 3 2" xfId="4725" xr:uid="{00000000-0005-0000-0000-0000A0110000}"/>
    <cellStyle name="Normal 2 2 2 2 2 4" xfId="4697" xr:uid="{00000000-0005-0000-0000-0000A1110000}"/>
    <cellStyle name="Normal 2 2 2 2 3" xfId="4643" xr:uid="{00000000-0005-0000-0000-0000A2110000}"/>
    <cellStyle name="Normal 2 2 2 2 3 2" xfId="4678" xr:uid="{00000000-0005-0000-0000-0000A3110000}"/>
    <cellStyle name="Normal 2 2 2 2 3 2 2" xfId="4730" xr:uid="{00000000-0005-0000-0000-0000A4110000}"/>
    <cellStyle name="Normal 2 2 2 2 3 3" xfId="4699" xr:uid="{00000000-0005-0000-0000-0000A5110000}"/>
    <cellStyle name="Normal 2 2 2 2 4" xfId="4668" xr:uid="{00000000-0005-0000-0000-0000A6110000}"/>
    <cellStyle name="Normal 2 2 2 2 4 2" xfId="4720" xr:uid="{00000000-0005-0000-0000-0000A7110000}"/>
    <cellStyle name="Normal 2 2 2 2 5" xfId="4640" xr:uid="{00000000-0005-0000-0000-0000A8110000}"/>
    <cellStyle name="Normal 2 2 2 2 6" xfId="4696" xr:uid="{00000000-0005-0000-0000-0000A9110000}"/>
    <cellStyle name="Normal 2 2 2 2 7" xfId="4805" xr:uid="{00000000-0005-0000-0000-0000AA110000}"/>
    <cellStyle name="Normal 2 2 2 2 8" xfId="4827" xr:uid="{00000000-0005-0000-0000-0000AB110000}"/>
    <cellStyle name="Normal 2 2 2 3" xfId="235" xr:uid="{00000000-0005-0000-0000-0000AC110000}"/>
    <cellStyle name="Normal 2 2 2 3 2" xfId="4645" xr:uid="{00000000-0005-0000-0000-0000AD110000}"/>
    <cellStyle name="Normal 2 2 2 3 2 2" xfId="4680" xr:uid="{00000000-0005-0000-0000-0000AE110000}"/>
    <cellStyle name="Normal 2 2 2 3 2 2 2" xfId="4732" xr:uid="{00000000-0005-0000-0000-0000AF110000}"/>
    <cellStyle name="Normal 2 2 2 3 2 3" xfId="4701" xr:uid="{00000000-0005-0000-0000-0000B0110000}"/>
    <cellStyle name="Normal 2 2 2 3 3" xfId="4670" xr:uid="{00000000-0005-0000-0000-0000B1110000}"/>
    <cellStyle name="Normal 2 2 2 3 3 2" xfId="4722" xr:uid="{00000000-0005-0000-0000-0000B2110000}"/>
    <cellStyle name="Normal 2 2 2 3 4" xfId="4644" xr:uid="{00000000-0005-0000-0000-0000B3110000}"/>
    <cellStyle name="Normal 2 2 2 3 5" xfId="4700" xr:uid="{00000000-0005-0000-0000-0000B4110000}"/>
    <cellStyle name="Normal 2 2 2 4" xfId="4646" xr:uid="{00000000-0005-0000-0000-0000B5110000}"/>
    <cellStyle name="Normal 2 2 2 4 2" xfId="4675" xr:uid="{00000000-0005-0000-0000-0000B6110000}"/>
    <cellStyle name="Normal 2 2 2 4 2 2" xfId="4727" xr:uid="{00000000-0005-0000-0000-0000B7110000}"/>
    <cellStyle name="Normal 2 2 2 4 3" xfId="4702" xr:uid="{00000000-0005-0000-0000-0000B8110000}"/>
    <cellStyle name="Normal 2 2 2 5" xfId="4664" xr:uid="{00000000-0005-0000-0000-0000B9110000}"/>
    <cellStyle name="Normal 2 2 2 5 2" xfId="4717" xr:uid="{00000000-0005-0000-0000-0000BA110000}"/>
    <cellStyle name="Normal 2 2 2 6" xfId="4639" xr:uid="{00000000-0005-0000-0000-0000BB110000}"/>
    <cellStyle name="Normal 2 2 2 7" xfId="4695" xr:uid="{00000000-0005-0000-0000-0000BC110000}"/>
    <cellStyle name="Normal 2 2 2 8" xfId="4804" xr:uid="{00000000-0005-0000-0000-0000BD110000}"/>
    <cellStyle name="Normal 2 2 2 9" xfId="5113" xr:uid="{00000000-0005-0000-0000-0000BE110000}"/>
    <cellStyle name="Normal 2 2 20" xfId="4420" xr:uid="{00000000-0005-0000-0000-0000BF110000}"/>
    <cellStyle name="Normal 2 2 21" xfId="4421" xr:uid="{00000000-0005-0000-0000-0000C0110000}"/>
    <cellStyle name="Normal 2 2 22" xfId="4422" xr:uid="{00000000-0005-0000-0000-0000C1110000}"/>
    <cellStyle name="Normal 2 2 23" xfId="4423" xr:uid="{00000000-0005-0000-0000-0000C2110000}"/>
    <cellStyle name="Normal 2 2 24" xfId="4424" xr:uid="{00000000-0005-0000-0000-0000C3110000}"/>
    <cellStyle name="Normal 2 2 25" xfId="4425" xr:uid="{00000000-0005-0000-0000-0000C4110000}"/>
    <cellStyle name="Normal 2 2 26" xfId="4426" xr:uid="{00000000-0005-0000-0000-0000C5110000}"/>
    <cellStyle name="Normal 2 2 27" xfId="4427" xr:uid="{00000000-0005-0000-0000-0000C6110000}"/>
    <cellStyle name="Normal 2 2 28" xfId="4428" xr:uid="{00000000-0005-0000-0000-0000C7110000}"/>
    <cellStyle name="Normal 2 2 29" xfId="4429" xr:uid="{00000000-0005-0000-0000-0000C8110000}"/>
    <cellStyle name="Normal 2 2 3" xfId="117" xr:uid="{00000000-0005-0000-0000-0000C9110000}"/>
    <cellStyle name="Normal 2 2 3 2" xfId="118" xr:uid="{00000000-0005-0000-0000-0000CA110000}"/>
    <cellStyle name="Normal 2 2 3 2 2" xfId="4649" xr:uid="{00000000-0005-0000-0000-0000CB110000}"/>
    <cellStyle name="Normal 2 2 3 2 2 2" xfId="4682" xr:uid="{00000000-0005-0000-0000-0000CC110000}"/>
    <cellStyle name="Normal 2 2 3 2 2 2 2" xfId="4734" xr:uid="{00000000-0005-0000-0000-0000CD110000}"/>
    <cellStyle name="Normal 2 2 3 2 2 3" xfId="4705" xr:uid="{00000000-0005-0000-0000-0000CE110000}"/>
    <cellStyle name="Normal 2 2 3 2 3" xfId="4672" xr:uid="{00000000-0005-0000-0000-0000CF110000}"/>
    <cellStyle name="Normal 2 2 3 2 3 2" xfId="4724" xr:uid="{00000000-0005-0000-0000-0000D0110000}"/>
    <cellStyle name="Normal 2 2 3 2 4" xfId="4648" xr:uid="{00000000-0005-0000-0000-0000D1110000}"/>
    <cellStyle name="Normal 2 2 3 2 5" xfId="4704" xr:uid="{00000000-0005-0000-0000-0000D2110000}"/>
    <cellStyle name="Normal 2 2 3 2 6" xfId="4807" xr:uid="{00000000-0005-0000-0000-0000D3110000}"/>
    <cellStyle name="Normal 2 2 3 2 7" xfId="4828" xr:uid="{00000000-0005-0000-0000-0000D4110000}"/>
    <cellStyle name="Normal 2 2 3 3" xfId="179" xr:uid="{00000000-0005-0000-0000-0000D5110000}"/>
    <cellStyle name="Normal 2 2 3 3 2" xfId="4677" xr:uid="{00000000-0005-0000-0000-0000D6110000}"/>
    <cellStyle name="Normal 2 2 3 3 2 2" xfId="4729" xr:uid="{00000000-0005-0000-0000-0000D7110000}"/>
    <cellStyle name="Normal 2 2 3 3 3" xfId="4650" xr:uid="{00000000-0005-0000-0000-0000D8110000}"/>
    <cellStyle name="Normal 2 2 3 3 4" xfId="4706" xr:uid="{00000000-0005-0000-0000-0000D9110000}"/>
    <cellStyle name="Normal 2 2 3 4" xfId="4667" xr:uid="{00000000-0005-0000-0000-0000DA110000}"/>
    <cellStyle name="Normal 2 2 3 4 2" xfId="4719" xr:uid="{00000000-0005-0000-0000-0000DB110000}"/>
    <cellStyle name="Normal 2 2 3 5" xfId="4647" xr:uid="{00000000-0005-0000-0000-0000DC110000}"/>
    <cellStyle name="Normal 2 2 3 6" xfId="4703" xr:uid="{00000000-0005-0000-0000-0000DD110000}"/>
    <cellStyle name="Normal 2 2 3 7" xfId="4806" xr:uid="{00000000-0005-0000-0000-0000DE110000}"/>
    <cellStyle name="Normal 2 2 3 8" xfId="5112" xr:uid="{00000000-0005-0000-0000-0000DF110000}"/>
    <cellStyle name="Normal 2 2 30" xfId="4430" xr:uid="{00000000-0005-0000-0000-0000E0110000}"/>
    <cellStyle name="Normal 2 2 31" xfId="4431" xr:uid="{00000000-0005-0000-0000-0000E1110000}"/>
    <cellStyle name="Normal 2 2 32" xfId="4432" xr:uid="{00000000-0005-0000-0000-0000E2110000}"/>
    <cellStyle name="Normal 2 2 33" xfId="4433" xr:uid="{00000000-0005-0000-0000-0000E3110000}"/>
    <cellStyle name="Normal 2 2 34" xfId="4434" xr:uid="{00000000-0005-0000-0000-0000E4110000}"/>
    <cellStyle name="Normal 2 2 35" xfId="4435" xr:uid="{00000000-0005-0000-0000-0000E5110000}"/>
    <cellStyle name="Normal 2 2 36" xfId="4436" xr:uid="{00000000-0005-0000-0000-0000E6110000}"/>
    <cellStyle name="Normal 2 2 37" xfId="4437" xr:uid="{00000000-0005-0000-0000-0000E7110000}"/>
    <cellStyle name="Normal 2 2 38" xfId="4438" xr:uid="{00000000-0005-0000-0000-0000E8110000}"/>
    <cellStyle name="Normal 2 2 39" xfId="4439" xr:uid="{00000000-0005-0000-0000-0000E9110000}"/>
    <cellStyle name="Normal 2 2 4" xfId="119" xr:uid="{00000000-0005-0000-0000-0000EA110000}"/>
    <cellStyle name="Normal 2 2 4 2" xfId="4440" xr:uid="{00000000-0005-0000-0000-0000EB110000}"/>
    <cellStyle name="Normal 2 2 4 2 2" xfId="4679" xr:uid="{00000000-0005-0000-0000-0000EC110000}"/>
    <cellStyle name="Normal 2 2 4 2 2 2" xfId="4731" xr:uid="{00000000-0005-0000-0000-0000ED110000}"/>
    <cellStyle name="Normal 2 2 4 2 3" xfId="4652" xr:uid="{00000000-0005-0000-0000-0000EE110000}"/>
    <cellStyle name="Normal 2 2 4 2 4" xfId="4708" xr:uid="{00000000-0005-0000-0000-0000EF110000}"/>
    <cellStyle name="Normal 2 2 4 3" xfId="4669" xr:uid="{00000000-0005-0000-0000-0000F0110000}"/>
    <cellStyle name="Normal 2 2 4 3 2" xfId="4721" xr:uid="{00000000-0005-0000-0000-0000F1110000}"/>
    <cellStyle name="Normal 2 2 4 4" xfId="4651" xr:uid="{00000000-0005-0000-0000-0000F2110000}"/>
    <cellStyle name="Normal 2 2 4 5" xfId="4707" xr:uid="{00000000-0005-0000-0000-0000F3110000}"/>
    <cellStyle name="Normal 2 2 4 6" xfId="4808" xr:uid="{00000000-0005-0000-0000-0000F4110000}"/>
    <cellStyle name="Normal 2 2 4 7" xfId="4818" xr:uid="{00000000-0005-0000-0000-0000F5110000}"/>
    <cellStyle name="Normal 2 2 40" xfId="4441" xr:uid="{00000000-0005-0000-0000-0000F6110000}"/>
    <cellStyle name="Normal 2 2 41" xfId="4442" xr:uid="{00000000-0005-0000-0000-0000F7110000}"/>
    <cellStyle name="Normal 2 2 42" xfId="4443" xr:uid="{00000000-0005-0000-0000-0000F8110000}"/>
    <cellStyle name="Normal 2 2 43" xfId="4444" xr:uid="{00000000-0005-0000-0000-0000F9110000}"/>
    <cellStyle name="Normal 2 2 44" xfId="4445" xr:uid="{00000000-0005-0000-0000-0000FA110000}"/>
    <cellStyle name="Normal 2 2 45" xfId="4446" xr:uid="{00000000-0005-0000-0000-0000FB110000}"/>
    <cellStyle name="Normal 2 2 46" xfId="4447" xr:uid="{00000000-0005-0000-0000-0000FC110000}"/>
    <cellStyle name="Normal 2 2 47" xfId="4448" xr:uid="{00000000-0005-0000-0000-0000FD110000}"/>
    <cellStyle name="Normal 2 2 48" xfId="4449" xr:uid="{00000000-0005-0000-0000-0000FE110000}"/>
    <cellStyle name="Normal 2 2 49" xfId="4450" xr:uid="{00000000-0005-0000-0000-0000FF110000}"/>
    <cellStyle name="Normal 2 2 5" xfId="148" xr:uid="{00000000-0005-0000-0000-000000120000}"/>
    <cellStyle name="Normal 2 2 5 2" xfId="4674" xr:uid="{00000000-0005-0000-0000-000001120000}"/>
    <cellStyle name="Normal 2 2 5 2 2" xfId="4726" xr:uid="{00000000-0005-0000-0000-000002120000}"/>
    <cellStyle name="Normal 2 2 5 3" xfId="4653" xr:uid="{00000000-0005-0000-0000-000003120000}"/>
    <cellStyle name="Normal 2 2 5 4" xfId="4709" xr:uid="{00000000-0005-0000-0000-000004120000}"/>
    <cellStyle name="Normal 2 2 50" xfId="4451" xr:uid="{00000000-0005-0000-0000-000005120000}"/>
    <cellStyle name="Normal 2 2 51" xfId="4410" xr:uid="{00000000-0005-0000-0000-000006120000}"/>
    <cellStyle name="Normal 2 2 52" xfId="4638" xr:uid="{00000000-0005-0000-0000-000007120000}"/>
    <cellStyle name="Normal 2 2 53" xfId="4694" xr:uid="{00000000-0005-0000-0000-000008120000}"/>
    <cellStyle name="Normal 2 2 54" xfId="4745" xr:uid="{00000000-0005-0000-0000-000009120000}"/>
    <cellStyle name="Normal 2 2 55" xfId="4803" xr:uid="{00000000-0005-0000-0000-00000A120000}"/>
    <cellStyle name="Normal 2 2 56" xfId="4817" xr:uid="{00000000-0005-0000-0000-00000B120000}"/>
    <cellStyle name="Normal 2 2 6" xfId="156" xr:uid="{00000000-0005-0000-0000-00000C120000}"/>
    <cellStyle name="Normal 2 2 6 2" xfId="4452" xr:uid="{00000000-0005-0000-0000-00000D120000}"/>
    <cellStyle name="Normal 2 2 6 3" xfId="4662" xr:uid="{00000000-0005-0000-0000-00000E120000}"/>
    <cellStyle name="Normal 2 2 6 4" xfId="4716" xr:uid="{00000000-0005-0000-0000-00000F120000}"/>
    <cellStyle name="Normal 2 2 6 5" xfId="4813" xr:uid="{00000000-0005-0000-0000-000010120000}"/>
    <cellStyle name="Normal 2 2 6 6" xfId="5108" xr:uid="{00000000-0005-0000-0000-000011120000}"/>
    <cellStyle name="Normal 2 2 6 7" xfId="5317" xr:uid="{5D5E957D-B37D-4653-8652-06C2EA21EBD0}"/>
    <cellStyle name="Normal 2 2 7" xfId="4453" xr:uid="{00000000-0005-0000-0000-000012120000}"/>
    <cellStyle name="Normal 2 2 8" xfId="4454" xr:uid="{00000000-0005-0000-0000-000013120000}"/>
    <cellStyle name="Normal 2 2 9" xfId="4455" xr:uid="{00000000-0005-0000-0000-000014120000}"/>
    <cellStyle name="Normal 2 20" xfId="4456" xr:uid="{00000000-0005-0000-0000-000015120000}"/>
    <cellStyle name="Normal 2 21" xfId="4457" xr:uid="{00000000-0005-0000-0000-000016120000}"/>
    <cellStyle name="Normal 2 3" xfId="150" xr:uid="{00000000-0005-0000-0000-000017120000}"/>
    <cellStyle name="Normal 2 3 2" xfId="4550" xr:uid="{00000000-0005-0000-0000-000018120000}"/>
    <cellStyle name="Normal 2 3 3" xfId="4458" xr:uid="{00000000-0005-0000-0000-000019120000}"/>
    <cellStyle name="Normal 2 4" xfId="4459" xr:uid="{00000000-0005-0000-0000-00001A120000}"/>
    <cellStyle name="Normal 2 5" xfId="4460" xr:uid="{00000000-0005-0000-0000-00001B120000}"/>
    <cellStyle name="Normal 2 6" xfId="4461" xr:uid="{00000000-0005-0000-0000-00001C120000}"/>
    <cellStyle name="Normal 2 7" xfId="4462" xr:uid="{00000000-0005-0000-0000-00001D120000}"/>
    <cellStyle name="Normal 2 8" xfId="4463" xr:uid="{00000000-0005-0000-0000-00001E120000}"/>
    <cellStyle name="Normal 2 9" xfId="4464" xr:uid="{00000000-0005-0000-0000-00001F120000}"/>
    <cellStyle name="Normal 20" xfId="4582" xr:uid="{00000000-0005-0000-0000-000020120000}"/>
    <cellStyle name="Normal 21" xfId="4584" xr:uid="{00000000-0005-0000-0000-000021120000}"/>
    <cellStyle name="Normal 22" xfId="4465" xr:uid="{00000000-0005-0000-0000-000022120000}"/>
    <cellStyle name="Normal 22 2" xfId="4466" xr:uid="{00000000-0005-0000-0000-000023120000}"/>
    <cellStyle name="Normal 23" xfId="4583" xr:uid="{00000000-0005-0000-0000-000024120000}"/>
    <cellStyle name="Normal 24" xfId="4612" xr:uid="{00000000-0005-0000-0000-000025120000}"/>
    <cellStyle name="Normal 24 2" xfId="5165" xr:uid="{00000000-0005-0000-0000-000026120000}"/>
    <cellStyle name="Normal 24 3" xfId="5226" xr:uid="{00000000-0005-0000-0000-000027120000}"/>
    <cellStyle name="Normal 25" xfId="4621" xr:uid="{00000000-0005-0000-0000-000028120000}"/>
    <cellStyle name="Normal 25 2" xfId="5174" xr:uid="{00000000-0005-0000-0000-000029120000}"/>
    <cellStyle name="Normal 25 3" xfId="5235" xr:uid="{00000000-0005-0000-0000-00002A120000}"/>
    <cellStyle name="Normal 26" xfId="4617" xr:uid="{00000000-0005-0000-0000-00002B120000}"/>
    <cellStyle name="Normal 26 2" xfId="5170" xr:uid="{00000000-0005-0000-0000-00002C120000}"/>
    <cellStyle name="Normal 26 3" xfId="5231" xr:uid="{00000000-0005-0000-0000-00002D120000}"/>
    <cellStyle name="Normal 27" xfId="4622" xr:uid="{00000000-0005-0000-0000-00002E120000}"/>
    <cellStyle name="Normal 27 2" xfId="5175" xr:uid="{00000000-0005-0000-0000-00002F120000}"/>
    <cellStyle name="Normal 27 3" xfId="5236" xr:uid="{00000000-0005-0000-0000-000030120000}"/>
    <cellStyle name="Normal 28" xfId="4615" xr:uid="{00000000-0005-0000-0000-000031120000}"/>
    <cellStyle name="Normal 28 2" xfId="5168" xr:uid="{00000000-0005-0000-0000-000032120000}"/>
    <cellStyle name="Normal 28 3" xfId="5229" xr:uid="{00000000-0005-0000-0000-000033120000}"/>
    <cellStyle name="Normal 29" xfId="4620" xr:uid="{00000000-0005-0000-0000-000034120000}"/>
    <cellStyle name="Normal 29 2" xfId="5173" xr:uid="{00000000-0005-0000-0000-000035120000}"/>
    <cellStyle name="Normal 29 3" xfId="5234" xr:uid="{00000000-0005-0000-0000-000036120000}"/>
    <cellStyle name="Normal 3" xfId="120" xr:uid="{00000000-0005-0000-0000-000037120000}"/>
    <cellStyle name="Normal 3 10" xfId="4467" xr:uid="{00000000-0005-0000-0000-000038120000}"/>
    <cellStyle name="Normal 3 11" xfId="4468" xr:uid="{00000000-0005-0000-0000-000039120000}"/>
    <cellStyle name="Normal 3 12" xfId="4469" xr:uid="{00000000-0005-0000-0000-00003A120000}"/>
    <cellStyle name="Normal 3 13" xfId="4470" xr:uid="{00000000-0005-0000-0000-00003B120000}"/>
    <cellStyle name="Normal 3 14" xfId="4471" xr:uid="{00000000-0005-0000-0000-00003C120000}"/>
    <cellStyle name="Normal 3 15" xfId="4472" xr:uid="{00000000-0005-0000-0000-00003D120000}"/>
    <cellStyle name="Normal 3 16" xfId="4473" xr:uid="{00000000-0005-0000-0000-00003E120000}"/>
    <cellStyle name="Normal 3 17" xfId="4474" xr:uid="{00000000-0005-0000-0000-00003F120000}"/>
    <cellStyle name="Normal 3 18" xfId="4475" xr:uid="{00000000-0005-0000-0000-000040120000}"/>
    <cellStyle name="Normal 3 19" xfId="4476" xr:uid="{00000000-0005-0000-0000-000041120000}"/>
    <cellStyle name="Normal 3 2" xfId="121" xr:uid="{00000000-0005-0000-0000-000042120000}"/>
    <cellStyle name="Normal 3 2 2" xfId="236" xr:uid="{00000000-0005-0000-0000-000043120000}"/>
    <cellStyle name="Normal 3 2 3" xfId="180" xr:uid="{00000000-0005-0000-0000-000044120000}"/>
    <cellStyle name="Normal 3 2 4" xfId="4477" xr:uid="{00000000-0005-0000-0000-000045120000}"/>
    <cellStyle name="Normal 3 2 5" xfId="4746" xr:uid="{00000000-0005-0000-0000-000046120000}"/>
    <cellStyle name="Normal 3 20" xfId="4740" xr:uid="{00000000-0005-0000-0000-000047120000}"/>
    <cellStyle name="Normal 3 3" xfId="671" xr:uid="{00000000-0005-0000-0000-000048120000}"/>
    <cellStyle name="Normal 3 3 2" xfId="4552" xr:uid="{00000000-0005-0000-0000-000049120000}"/>
    <cellStyle name="Normal 3 3 3" xfId="4478" xr:uid="{00000000-0005-0000-0000-00004A120000}"/>
    <cellStyle name="Normal 3 3 4" xfId="4747" xr:uid="{00000000-0005-0000-0000-00004B120000}"/>
    <cellStyle name="Normal 3 3 5" xfId="4965" xr:uid="{00000000-0005-0000-0000-00004C120000}"/>
    <cellStyle name="Normal 3 3 6" xfId="4970" xr:uid="{00000000-0005-0000-0000-00004D120000}"/>
    <cellStyle name="Normal 3 4" xfId="433" xr:uid="{00000000-0005-0000-0000-00004E120000}"/>
    <cellStyle name="Normal 3 4 2" xfId="4577" xr:uid="{00000000-0005-0000-0000-00004F120000}"/>
    <cellStyle name="Normal 3 4 3" xfId="4479" xr:uid="{00000000-0005-0000-0000-000050120000}"/>
    <cellStyle name="Normal 3 4 4" xfId="4891" xr:uid="{00000000-0005-0000-0000-000051120000}"/>
    <cellStyle name="Normal 3 4 5" xfId="5044" xr:uid="{00000000-0005-0000-0000-000052120000}"/>
    <cellStyle name="Normal 3 5" xfId="4480" xr:uid="{00000000-0005-0000-0000-000053120000}"/>
    <cellStyle name="Normal 3 6" xfId="4481" xr:uid="{00000000-0005-0000-0000-000054120000}"/>
    <cellStyle name="Normal 3 7" xfId="4482" xr:uid="{00000000-0005-0000-0000-000055120000}"/>
    <cellStyle name="Normal 3 8" xfId="4483" xr:uid="{00000000-0005-0000-0000-000056120000}"/>
    <cellStyle name="Normal 3 9" xfId="4484" xr:uid="{00000000-0005-0000-0000-000057120000}"/>
    <cellStyle name="Normal 30" xfId="4624" xr:uid="{00000000-0005-0000-0000-000058120000}"/>
    <cellStyle name="Normal 30 2" xfId="5177" xr:uid="{00000000-0005-0000-0000-000059120000}"/>
    <cellStyle name="Normal 30 3" xfId="5238" xr:uid="{00000000-0005-0000-0000-00005A120000}"/>
    <cellStyle name="Normal 31" xfId="4623" xr:uid="{00000000-0005-0000-0000-00005B120000}"/>
    <cellStyle name="Normal 31 2" xfId="5176" xr:uid="{00000000-0005-0000-0000-00005C120000}"/>
    <cellStyle name="Normal 31 3" xfId="5237" xr:uid="{00000000-0005-0000-0000-00005D120000}"/>
    <cellStyle name="Normal 32" xfId="4614" xr:uid="{00000000-0005-0000-0000-00005E120000}"/>
    <cellStyle name="Normal 32 2" xfId="5167" xr:uid="{00000000-0005-0000-0000-00005F120000}"/>
    <cellStyle name="Normal 32 3" xfId="5228" xr:uid="{00000000-0005-0000-0000-000060120000}"/>
    <cellStyle name="Normal 33" xfId="4619" xr:uid="{00000000-0005-0000-0000-000061120000}"/>
    <cellStyle name="Normal 33 2" xfId="5172" xr:uid="{00000000-0005-0000-0000-000062120000}"/>
    <cellStyle name="Normal 33 3" xfId="5233" xr:uid="{00000000-0005-0000-0000-000063120000}"/>
    <cellStyle name="Normal 34" xfId="4616" xr:uid="{00000000-0005-0000-0000-000064120000}"/>
    <cellStyle name="Normal 34 2" xfId="5169" xr:uid="{00000000-0005-0000-0000-000065120000}"/>
    <cellStyle name="Normal 34 3" xfId="5230" xr:uid="{00000000-0005-0000-0000-000066120000}"/>
    <cellStyle name="Normal 35" xfId="4618" xr:uid="{00000000-0005-0000-0000-000067120000}"/>
    <cellStyle name="Normal 35 2" xfId="5171" xr:uid="{00000000-0005-0000-0000-000068120000}"/>
    <cellStyle name="Normal 35 3" xfId="5232" xr:uid="{00000000-0005-0000-0000-000069120000}"/>
    <cellStyle name="Normal 36" xfId="4626" xr:uid="{00000000-0005-0000-0000-00006A120000}"/>
    <cellStyle name="Normal 36 2" xfId="5179" xr:uid="{00000000-0005-0000-0000-00006B120000}"/>
    <cellStyle name="Normal 36 3" xfId="5240" xr:uid="{00000000-0005-0000-0000-00006C120000}"/>
    <cellStyle name="Normal 36 3 2" xfId="5274" xr:uid="{2E3CA07D-77C4-46A9-8E25-AE36F7D4A994}"/>
    <cellStyle name="Normal 37" xfId="4611" xr:uid="{00000000-0005-0000-0000-00006D120000}"/>
    <cellStyle name="Normal 37 2" xfId="5164" xr:uid="{00000000-0005-0000-0000-00006E120000}"/>
    <cellStyle name="Normal 37 3" xfId="5225" xr:uid="{00000000-0005-0000-0000-00006F120000}"/>
    <cellStyle name="Normal 38" xfId="4613" xr:uid="{00000000-0005-0000-0000-000070120000}"/>
    <cellStyle name="Normal 38 2" xfId="5166" xr:uid="{00000000-0005-0000-0000-000071120000}"/>
    <cellStyle name="Normal 38 3" xfId="5227" xr:uid="{00000000-0005-0000-0000-000072120000}"/>
    <cellStyle name="Normal 39" xfId="4625" xr:uid="{00000000-0005-0000-0000-000073120000}"/>
    <cellStyle name="Normal 39 2" xfId="5178" xr:uid="{00000000-0005-0000-0000-000074120000}"/>
    <cellStyle name="Normal 39 3" xfId="5239" xr:uid="{00000000-0005-0000-0000-000075120000}"/>
    <cellStyle name="Normal 4" xfId="122" xr:uid="{00000000-0005-0000-0000-000076120000}"/>
    <cellStyle name="Normal 4 10" xfId="4485" xr:uid="{00000000-0005-0000-0000-000077120000}"/>
    <cellStyle name="Normal 4 11" xfId="4486" xr:uid="{00000000-0005-0000-0000-000078120000}"/>
    <cellStyle name="Normal 4 12" xfId="4487" xr:uid="{00000000-0005-0000-0000-000079120000}"/>
    <cellStyle name="Normal 4 13" xfId="4488" xr:uid="{00000000-0005-0000-0000-00007A120000}"/>
    <cellStyle name="Normal 4 14" xfId="4489" xr:uid="{00000000-0005-0000-0000-00007B120000}"/>
    <cellStyle name="Normal 4 15" xfId="4490" xr:uid="{00000000-0005-0000-0000-00007C120000}"/>
    <cellStyle name="Normal 4 16" xfId="4491" xr:uid="{00000000-0005-0000-0000-00007D120000}"/>
    <cellStyle name="Normal 4 17" xfId="4492" xr:uid="{00000000-0005-0000-0000-00007E120000}"/>
    <cellStyle name="Normal 4 18" xfId="4493" xr:uid="{00000000-0005-0000-0000-00007F120000}"/>
    <cellStyle name="Normal 4 19" xfId="4494" xr:uid="{00000000-0005-0000-0000-000080120000}"/>
    <cellStyle name="Normal 4 2" xfId="182" xr:uid="{00000000-0005-0000-0000-000081120000}"/>
    <cellStyle name="Normal 4 2 2" xfId="238" xr:uid="{00000000-0005-0000-0000-000082120000}"/>
    <cellStyle name="Normal 4 2 2 2" xfId="4563" xr:uid="{00000000-0005-0000-0000-000083120000}"/>
    <cellStyle name="Normal 4 2 2 2 2" xfId="4573" xr:uid="{00000000-0005-0000-0000-000084120000}"/>
    <cellStyle name="Normal 4 2 2 2 2 2" xfId="4609" xr:uid="{00000000-0005-0000-0000-000085120000}"/>
    <cellStyle name="Normal 4 2 2 2 2 2 2" xfId="5162" xr:uid="{00000000-0005-0000-0000-000086120000}"/>
    <cellStyle name="Normal 4 2 2 2 2 2 3" xfId="5224" xr:uid="{00000000-0005-0000-0000-000087120000}"/>
    <cellStyle name="Normal 4 2 2 2 2 3" xfId="5135" xr:uid="{00000000-0005-0000-0000-000088120000}"/>
    <cellStyle name="Normal 4 2 2 2 2 4" xfId="5202" xr:uid="{00000000-0005-0000-0000-000089120000}"/>
    <cellStyle name="Normal 4 2 2 2 3" xfId="4599" xr:uid="{00000000-0005-0000-0000-00008A120000}"/>
    <cellStyle name="Normal 4 2 2 2 3 2" xfId="5152" xr:uid="{00000000-0005-0000-0000-00008B120000}"/>
    <cellStyle name="Normal 4 2 2 2 3 3" xfId="5214" xr:uid="{00000000-0005-0000-0000-00008C120000}"/>
    <cellStyle name="Normal 4 2 2 2 4" xfId="5125" xr:uid="{00000000-0005-0000-0000-00008D120000}"/>
    <cellStyle name="Normal 4 2 2 2 5" xfId="5192" xr:uid="{00000000-0005-0000-0000-00008E120000}"/>
    <cellStyle name="Normal 4 2 2 3" xfId="4567" xr:uid="{00000000-0005-0000-0000-00008F120000}"/>
    <cellStyle name="Normal 4 2 2 3 2" xfId="4603" xr:uid="{00000000-0005-0000-0000-000090120000}"/>
    <cellStyle name="Normal 4 2 2 3 2 2" xfId="5156" xr:uid="{00000000-0005-0000-0000-000091120000}"/>
    <cellStyle name="Normal 4 2 2 3 2 3" xfId="5218" xr:uid="{00000000-0005-0000-0000-000092120000}"/>
    <cellStyle name="Normal 4 2 2 3 3" xfId="5129" xr:uid="{00000000-0005-0000-0000-000093120000}"/>
    <cellStyle name="Normal 4 2 2 3 4" xfId="5196" xr:uid="{00000000-0005-0000-0000-000094120000}"/>
    <cellStyle name="Normal 4 2 2 4" xfId="4595" xr:uid="{00000000-0005-0000-0000-000095120000}"/>
    <cellStyle name="Normal 4 2 2 4 2" xfId="5148" xr:uid="{00000000-0005-0000-0000-000096120000}"/>
    <cellStyle name="Normal 4 2 2 4 3" xfId="5210" xr:uid="{00000000-0005-0000-0000-000097120000}"/>
    <cellStyle name="Normal 4 2 2 5" xfId="4557" xr:uid="{00000000-0005-0000-0000-000098120000}"/>
    <cellStyle name="Normal 4 2 2 5 2" xfId="5121" xr:uid="{00000000-0005-0000-0000-000099120000}"/>
    <cellStyle name="Normal 4 2 2 5 3" xfId="5188" xr:uid="{00000000-0005-0000-0000-00009A120000}"/>
    <cellStyle name="Normal 4 2 3" xfId="4561" xr:uid="{00000000-0005-0000-0000-00009B120000}"/>
    <cellStyle name="Normal 4 2 3 2" xfId="4569" xr:uid="{00000000-0005-0000-0000-00009C120000}"/>
    <cellStyle name="Normal 4 2 3 2 2" xfId="4605" xr:uid="{00000000-0005-0000-0000-00009D120000}"/>
    <cellStyle name="Normal 4 2 3 2 2 2" xfId="5158" xr:uid="{00000000-0005-0000-0000-00009E120000}"/>
    <cellStyle name="Normal 4 2 3 2 2 3" xfId="5220" xr:uid="{00000000-0005-0000-0000-00009F120000}"/>
    <cellStyle name="Normal 4 2 3 2 3" xfId="5131" xr:uid="{00000000-0005-0000-0000-0000A0120000}"/>
    <cellStyle name="Normal 4 2 3 2 4" xfId="5198" xr:uid="{00000000-0005-0000-0000-0000A1120000}"/>
    <cellStyle name="Normal 4 2 3 3" xfId="4597" xr:uid="{00000000-0005-0000-0000-0000A2120000}"/>
    <cellStyle name="Normal 4 2 3 3 2" xfId="5150" xr:uid="{00000000-0005-0000-0000-0000A3120000}"/>
    <cellStyle name="Normal 4 2 3 3 3" xfId="5212" xr:uid="{00000000-0005-0000-0000-0000A4120000}"/>
    <cellStyle name="Normal 4 2 3 4" xfId="5123" xr:uid="{00000000-0005-0000-0000-0000A5120000}"/>
    <cellStyle name="Normal 4 2 3 5" xfId="5190" xr:uid="{00000000-0005-0000-0000-0000A6120000}"/>
    <cellStyle name="Normal 4 2 4" xfId="4555" xr:uid="{00000000-0005-0000-0000-0000A7120000}"/>
    <cellStyle name="Normal 4 2 4 2" xfId="4571" xr:uid="{00000000-0005-0000-0000-0000A8120000}"/>
    <cellStyle name="Normal 4 2 4 2 2" xfId="4607" xr:uid="{00000000-0005-0000-0000-0000A9120000}"/>
    <cellStyle name="Normal 4 2 4 2 2 2" xfId="5160" xr:uid="{00000000-0005-0000-0000-0000AA120000}"/>
    <cellStyle name="Normal 4 2 4 2 2 3" xfId="5222" xr:uid="{00000000-0005-0000-0000-0000AB120000}"/>
    <cellStyle name="Normal 4 2 4 2 3" xfId="5133" xr:uid="{00000000-0005-0000-0000-0000AC120000}"/>
    <cellStyle name="Normal 4 2 4 2 4" xfId="5200" xr:uid="{00000000-0005-0000-0000-0000AD120000}"/>
    <cellStyle name="Normal 4 2 4 3" xfId="4593" xr:uid="{00000000-0005-0000-0000-0000AE120000}"/>
    <cellStyle name="Normal 4 2 4 3 2" xfId="5146" xr:uid="{00000000-0005-0000-0000-0000AF120000}"/>
    <cellStyle name="Normal 4 2 4 3 3" xfId="5208" xr:uid="{00000000-0005-0000-0000-0000B0120000}"/>
    <cellStyle name="Normal 4 2 4 4" xfId="5119" xr:uid="{00000000-0005-0000-0000-0000B1120000}"/>
    <cellStyle name="Normal 4 2 4 5" xfId="5186" xr:uid="{00000000-0005-0000-0000-0000B2120000}"/>
    <cellStyle name="Normal 4 2 5" xfId="4565" xr:uid="{00000000-0005-0000-0000-0000B3120000}"/>
    <cellStyle name="Normal 4 2 5 2" xfId="4601" xr:uid="{00000000-0005-0000-0000-0000B4120000}"/>
    <cellStyle name="Normal 4 2 5 2 2" xfId="5154" xr:uid="{00000000-0005-0000-0000-0000B5120000}"/>
    <cellStyle name="Normal 4 2 5 2 3" xfId="5216" xr:uid="{00000000-0005-0000-0000-0000B6120000}"/>
    <cellStyle name="Normal 4 2 5 3" xfId="5127" xr:uid="{00000000-0005-0000-0000-0000B7120000}"/>
    <cellStyle name="Normal 4 2 5 4" xfId="5194" xr:uid="{00000000-0005-0000-0000-0000B8120000}"/>
    <cellStyle name="Normal 4 2 6" xfId="4549" xr:uid="{00000000-0005-0000-0000-0000B9120000}"/>
    <cellStyle name="Normal 4 2 6 2" xfId="4591" xr:uid="{00000000-0005-0000-0000-0000BA120000}"/>
    <cellStyle name="Normal 4 2 6 2 2" xfId="5144" xr:uid="{00000000-0005-0000-0000-0000BB120000}"/>
    <cellStyle name="Normal 4 2 6 2 3" xfId="5206" xr:uid="{00000000-0005-0000-0000-0000BC120000}"/>
    <cellStyle name="Normal 4 2 6 3" xfId="5117" xr:uid="{00000000-0005-0000-0000-0000BD120000}"/>
    <cellStyle name="Normal 4 2 6 4" xfId="5184" xr:uid="{00000000-0005-0000-0000-0000BE120000}"/>
    <cellStyle name="Normal 4 2 7" xfId="4495" xr:uid="{00000000-0005-0000-0000-0000BF120000}"/>
    <cellStyle name="Normal 4 20" xfId="5244" xr:uid="{00000000-0005-0000-0000-0000C0120000}"/>
    <cellStyle name="Normal 4 3" xfId="237" xr:uid="{00000000-0005-0000-0000-0000C1120000}"/>
    <cellStyle name="Normal 4 3 2" xfId="4562" xr:uid="{00000000-0005-0000-0000-0000C2120000}"/>
    <cellStyle name="Normal 4 3 2 2" xfId="4572" xr:uid="{00000000-0005-0000-0000-0000C3120000}"/>
    <cellStyle name="Normal 4 3 2 2 2" xfId="4608" xr:uid="{00000000-0005-0000-0000-0000C4120000}"/>
    <cellStyle name="Normal 4 3 2 2 2 2" xfId="5161" xr:uid="{00000000-0005-0000-0000-0000C5120000}"/>
    <cellStyle name="Normal 4 3 2 2 2 3" xfId="5223" xr:uid="{00000000-0005-0000-0000-0000C6120000}"/>
    <cellStyle name="Normal 4 3 2 2 3" xfId="5134" xr:uid="{00000000-0005-0000-0000-0000C7120000}"/>
    <cellStyle name="Normal 4 3 2 2 4" xfId="5201" xr:uid="{00000000-0005-0000-0000-0000C8120000}"/>
    <cellStyle name="Normal 4 3 2 3" xfId="4598" xr:uid="{00000000-0005-0000-0000-0000C9120000}"/>
    <cellStyle name="Normal 4 3 2 3 2" xfId="5151" xr:uid="{00000000-0005-0000-0000-0000CA120000}"/>
    <cellStyle name="Normal 4 3 2 3 3" xfId="5213" xr:uid="{00000000-0005-0000-0000-0000CB120000}"/>
    <cellStyle name="Normal 4 3 2 4" xfId="4748" xr:uid="{00000000-0005-0000-0000-0000CC120000}"/>
    <cellStyle name="Normal 4 3 2 5" xfId="5124" xr:uid="{00000000-0005-0000-0000-0000CD120000}"/>
    <cellStyle name="Normal 4 3 2 6" xfId="5191" xr:uid="{00000000-0005-0000-0000-0000CE120000}"/>
    <cellStyle name="Normal 4 3 3" xfId="4566" xr:uid="{00000000-0005-0000-0000-0000CF120000}"/>
    <cellStyle name="Normal 4 3 3 2" xfId="4602" xr:uid="{00000000-0005-0000-0000-0000D0120000}"/>
    <cellStyle name="Normal 4 3 3 2 2" xfId="5155" xr:uid="{00000000-0005-0000-0000-0000D1120000}"/>
    <cellStyle name="Normal 4 3 3 2 3" xfId="5217" xr:uid="{00000000-0005-0000-0000-0000D2120000}"/>
    <cellStyle name="Normal 4 3 3 3" xfId="5128" xr:uid="{00000000-0005-0000-0000-0000D3120000}"/>
    <cellStyle name="Normal 4 3 3 4" xfId="5195" xr:uid="{00000000-0005-0000-0000-0000D4120000}"/>
    <cellStyle name="Normal 4 3 4" xfId="4556" xr:uid="{00000000-0005-0000-0000-0000D5120000}"/>
    <cellStyle name="Normal 4 3 4 2" xfId="4594" xr:uid="{00000000-0005-0000-0000-0000D6120000}"/>
    <cellStyle name="Normal 4 3 4 2 2" xfId="5147" xr:uid="{00000000-0005-0000-0000-0000D7120000}"/>
    <cellStyle name="Normal 4 3 4 2 3" xfId="5209" xr:uid="{00000000-0005-0000-0000-0000D8120000}"/>
    <cellStyle name="Normal 4 3 4 3" xfId="5120" xr:uid="{00000000-0005-0000-0000-0000D9120000}"/>
    <cellStyle name="Normal 4 3 4 4" xfId="5187" xr:uid="{00000000-0005-0000-0000-0000DA120000}"/>
    <cellStyle name="Normal 4 3 5" xfId="4496" xr:uid="{00000000-0005-0000-0000-0000DB120000}"/>
    <cellStyle name="Normal 4 3 6" xfId="4741" xr:uid="{00000000-0005-0000-0000-0000DC120000}"/>
    <cellStyle name="Normal 4 4" xfId="181" xr:uid="{00000000-0005-0000-0000-0000DD120000}"/>
    <cellStyle name="Normal 4 4 2" xfId="4568" xr:uid="{00000000-0005-0000-0000-0000DE120000}"/>
    <cellStyle name="Normal 4 4 2 2" xfId="4604" xr:uid="{00000000-0005-0000-0000-0000DF120000}"/>
    <cellStyle name="Normal 4 4 2 2 2" xfId="5157" xr:uid="{00000000-0005-0000-0000-0000E0120000}"/>
    <cellStyle name="Normal 4 4 2 2 3" xfId="5219" xr:uid="{00000000-0005-0000-0000-0000E1120000}"/>
    <cellStyle name="Normal 4 4 2 3" xfId="5130" xr:uid="{00000000-0005-0000-0000-0000E2120000}"/>
    <cellStyle name="Normal 4 4 2 4" xfId="5197" xr:uid="{00000000-0005-0000-0000-0000E3120000}"/>
    <cellStyle name="Normal 4 4 3" xfId="4559" xr:uid="{00000000-0005-0000-0000-0000E4120000}"/>
    <cellStyle name="Normal 4 4 3 2" xfId="4596" xr:uid="{00000000-0005-0000-0000-0000E5120000}"/>
    <cellStyle name="Normal 4 4 3 2 2" xfId="5149" xr:uid="{00000000-0005-0000-0000-0000E6120000}"/>
    <cellStyle name="Normal 4 4 3 2 3" xfId="5211" xr:uid="{00000000-0005-0000-0000-0000E7120000}"/>
    <cellStyle name="Normal 4 4 3 3" xfId="5122" xr:uid="{00000000-0005-0000-0000-0000E8120000}"/>
    <cellStyle name="Normal 4 4 3 4" xfId="5189" xr:uid="{00000000-0005-0000-0000-0000E9120000}"/>
    <cellStyle name="Normal 4 4 4" xfId="4497" xr:uid="{00000000-0005-0000-0000-0000EA120000}"/>
    <cellStyle name="Normal 4 4 5" xfId="4661" xr:uid="{00000000-0005-0000-0000-0000EB120000}"/>
    <cellStyle name="Normal 4 5" xfId="678" xr:uid="{00000000-0005-0000-0000-0000EC120000}"/>
    <cellStyle name="Normal 4 5 2" xfId="4570" xr:uid="{00000000-0005-0000-0000-0000ED120000}"/>
    <cellStyle name="Normal 4 5 2 2" xfId="4606" xr:uid="{00000000-0005-0000-0000-0000EE120000}"/>
    <cellStyle name="Normal 4 5 2 2 2" xfId="5159" xr:uid="{00000000-0005-0000-0000-0000EF120000}"/>
    <cellStyle name="Normal 4 5 2 2 3" xfId="5221" xr:uid="{00000000-0005-0000-0000-0000F0120000}"/>
    <cellStyle name="Normal 4 5 2 3" xfId="5132" xr:uid="{00000000-0005-0000-0000-0000F1120000}"/>
    <cellStyle name="Normal 4 5 2 4" xfId="5199" xr:uid="{00000000-0005-0000-0000-0000F2120000}"/>
    <cellStyle name="Normal 4 5 3" xfId="4551" xr:uid="{00000000-0005-0000-0000-0000F3120000}"/>
    <cellStyle name="Normal 4 5 3 2" xfId="4592" xr:uid="{00000000-0005-0000-0000-0000F4120000}"/>
    <cellStyle name="Normal 4 5 3 2 2" xfId="5145" xr:uid="{00000000-0005-0000-0000-0000F5120000}"/>
    <cellStyle name="Normal 4 5 3 2 3" xfId="5207" xr:uid="{00000000-0005-0000-0000-0000F6120000}"/>
    <cellStyle name="Normal 4 5 3 3" xfId="5118" xr:uid="{00000000-0005-0000-0000-0000F7120000}"/>
    <cellStyle name="Normal 4 5 3 4" xfId="5185" xr:uid="{00000000-0005-0000-0000-0000F8120000}"/>
    <cellStyle name="Normal 4 5 4" xfId="4498" xr:uid="{00000000-0005-0000-0000-0000F9120000}"/>
    <cellStyle name="Normal 4 6" xfId="4499" xr:uid="{00000000-0005-0000-0000-0000FA120000}"/>
    <cellStyle name="Normal 4 6 2" xfId="4564" xr:uid="{00000000-0005-0000-0000-0000FB120000}"/>
    <cellStyle name="Normal 4 6 2 2" xfId="4600" xr:uid="{00000000-0005-0000-0000-0000FC120000}"/>
    <cellStyle name="Normal 4 6 2 2 2" xfId="5153" xr:uid="{00000000-0005-0000-0000-0000FD120000}"/>
    <cellStyle name="Normal 4 6 2 2 3" xfId="5215" xr:uid="{00000000-0005-0000-0000-0000FE120000}"/>
    <cellStyle name="Normal 4 6 2 3" xfId="5126" xr:uid="{00000000-0005-0000-0000-0000FF120000}"/>
    <cellStyle name="Normal 4 6 2 4" xfId="5193" xr:uid="{00000000-0005-0000-0000-000000130000}"/>
    <cellStyle name="Normal 4 7" xfId="4500" xr:uid="{00000000-0005-0000-0000-000001130000}"/>
    <cellStyle name="Normal 4 7 2" xfId="4574" xr:uid="{00000000-0005-0000-0000-000002130000}"/>
    <cellStyle name="Normal 4 8" xfId="4501" xr:uid="{00000000-0005-0000-0000-000003130000}"/>
    <cellStyle name="Normal 4 8 2" xfId="4548" xr:uid="{00000000-0005-0000-0000-000004130000}"/>
    <cellStyle name="Normal 4 8 2 2" xfId="4590" xr:uid="{00000000-0005-0000-0000-000005130000}"/>
    <cellStyle name="Normal 4 8 2 2 2" xfId="5143" xr:uid="{00000000-0005-0000-0000-000006130000}"/>
    <cellStyle name="Normal 4 8 2 2 3" xfId="5205" xr:uid="{00000000-0005-0000-0000-000007130000}"/>
    <cellStyle name="Normal 4 8 2 3" xfId="5116" xr:uid="{00000000-0005-0000-0000-000008130000}"/>
    <cellStyle name="Normal 4 8 2 4" xfId="5183" xr:uid="{00000000-0005-0000-0000-000009130000}"/>
    <cellStyle name="Normal 4 9" xfId="4502" xr:uid="{00000000-0005-0000-0000-00000A130000}"/>
    <cellStyle name="Normal 40" xfId="4627" xr:uid="{00000000-0005-0000-0000-00000B130000}"/>
    <cellStyle name="Normal 40 2" xfId="5180" xr:uid="{00000000-0005-0000-0000-00000C130000}"/>
    <cellStyle name="Normal 40 2 2" xfId="5315" xr:uid="{B4C635B0-91AD-4853-89E3-31D44AD7882D}"/>
    <cellStyle name="Normal 40 3" xfId="5241" xr:uid="{00000000-0005-0000-0000-00000D130000}"/>
    <cellStyle name="Normal 40 4" xfId="5307" xr:uid="{039C9DAB-0810-4064-8A1D-11B76689A9F5}"/>
    <cellStyle name="Normal 41" xfId="4631" xr:uid="{00000000-0005-0000-0000-00000E130000}"/>
    <cellStyle name="Normal 41 2" xfId="5308" xr:uid="{E9B4DF81-2141-4986-9E6E-59F6A881B9B5}"/>
    <cellStyle name="Normal 42" xfId="4628" xr:uid="{00000000-0005-0000-0000-00000F130000}"/>
    <cellStyle name="Normal 42 2" xfId="5309" xr:uid="{ACFC8D01-0797-467D-9DFD-095E0D3D74CF}"/>
    <cellStyle name="Normal 43" xfId="4630" xr:uid="{00000000-0005-0000-0000-000010130000}"/>
    <cellStyle name="Normal 43 2" xfId="5310" xr:uid="{686C27A6-0B23-45BD-83A2-5F29106FDF27}"/>
    <cellStyle name="Normal 44" xfId="4629" xr:uid="{00000000-0005-0000-0000-000011130000}"/>
    <cellStyle name="Normal 45" xfId="4654" xr:uid="{00000000-0005-0000-0000-000012130000}"/>
    <cellStyle name="Normal 46" xfId="4685" xr:uid="{00000000-0005-0000-0000-000013130000}"/>
    <cellStyle name="Normal 46 2" xfId="5313" xr:uid="{3741213C-E18A-4F5C-A93C-35D7DE2F19C1}"/>
    <cellStyle name="Normal 47" xfId="4686" xr:uid="{00000000-0005-0000-0000-000014130000}"/>
    <cellStyle name="Normal 48" xfId="4684" xr:uid="{00000000-0005-0000-0000-000015130000}"/>
    <cellStyle name="Normal 49" xfId="4687" xr:uid="{00000000-0005-0000-0000-000016130000}"/>
    <cellStyle name="Normal 49 2" xfId="5311" xr:uid="{61E24F24-6A35-4BD6-BBF4-B1C80D42F8F8}"/>
    <cellStyle name="Normal 5" xfId="123" xr:uid="{00000000-0005-0000-0000-000017130000}"/>
    <cellStyle name="Normal 5 10" xfId="4504" xr:uid="{00000000-0005-0000-0000-000018130000}"/>
    <cellStyle name="Normal 5 11" xfId="4505" xr:uid="{00000000-0005-0000-0000-000019130000}"/>
    <cellStyle name="Normal 5 12" xfId="4506" xr:uid="{00000000-0005-0000-0000-00001A130000}"/>
    <cellStyle name="Normal 5 13" xfId="4507" xr:uid="{00000000-0005-0000-0000-00001B130000}"/>
    <cellStyle name="Normal 5 14" xfId="4544" xr:uid="{00000000-0005-0000-0000-00001C130000}"/>
    <cellStyle name="Normal 5 15" xfId="4503" xr:uid="{00000000-0005-0000-0000-00001D130000}"/>
    <cellStyle name="Normal 5 16" xfId="4633" xr:uid="{00000000-0005-0000-0000-00001E130000}"/>
    <cellStyle name="Normal 5 17" xfId="4689" xr:uid="{00000000-0005-0000-0000-00001F130000}"/>
    <cellStyle name="Normal 5 18" xfId="4749" xr:uid="{00000000-0005-0000-0000-000020130000}"/>
    <cellStyle name="Normal 5 19" xfId="5248" xr:uid="{00000000-0005-0000-0000-000021130000}"/>
    <cellStyle name="Normal 5 2" xfId="124" xr:uid="{00000000-0005-0000-0000-000022130000}"/>
    <cellStyle name="Normal 5 2 2" xfId="251" xr:uid="{00000000-0005-0000-0000-000023130000}"/>
    <cellStyle name="Normal 5 2 2 2" xfId="317" xr:uid="{00000000-0005-0000-0000-000024130000}"/>
    <cellStyle name="Normal 5 2 2 2 2" xfId="555" xr:uid="{00000000-0005-0000-0000-000025130000}"/>
    <cellStyle name="Normal 5 2 2 2 2 2" xfId="4931" xr:uid="{00000000-0005-0000-0000-000026130000}"/>
    <cellStyle name="Normal 5 2 2 2 2 3" xfId="5004" xr:uid="{00000000-0005-0000-0000-000027130000}"/>
    <cellStyle name="Normal 5 2 2 2 3" xfId="4857" xr:uid="{00000000-0005-0000-0000-000028130000}"/>
    <cellStyle name="Normal 5 2 2 2 4" xfId="5072" xr:uid="{00000000-0005-0000-0000-000029130000}"/>
    <cellStyle name="Normal 5 2 2 3" xfId="385" xr:uid="{00000000-0005-0000-0000-00002A130000}"/>
    <cellStyle name="Normal 5 2 2 3 2" xfId="623" xr:uid="{00000000-0005-0000-0000-00002B130000}"/>
    <cellStyle name="Normal 5 2 2 3 2 2" xfId="4955" xr:uid="{00000000-0005-0000-0000-00002C130000}"/>
    <cellStyle name="Normal 5 2 2 3 2 3" xfId="4980" xr:uid="{00000000-0005-0000-0000-00002D130000}"/>
    <cellStyle name="Normal 5 2 2 3 3" xfId="4881" xr:uid="{00000000-0005-0000-0000-00002E130000}"/>
    <cellStyle name="Normal 5 2 2 3 4" xfId="5048" xr:uid="{00000000-0005-0000-0000-00002F130000}"/>
    <cellStyle name="Normal 5 2 2 4" xfId="493" xr:uid="{00000000-0005-0000-0000-000030130000}"/>
    <cellStyle name="Normal 5 2 2 4 2" xfId="4907" xr:uid="{00000000-0005-0000-0000-000031130000}"/>
    <cellStyle name="Normal 5 2 2 4 3" xfId="5028" xr:uid="{00000000-0005-0000-0000-000032130000}"/>
    <cellStyle name="Normal 5 2 2 5" xfId="4558" xr:uid="{00000000-0005-0000-0000-000033130000}"/>
    <cellStyle name="Normal 5 2 2 6" xfId="4833" xr:uid="{00000000-0005-0000-0000-000034130000}"/>
    <cellStyle name="Normal 5 2 2 7" xfId="5140" xr:uid="{00000000-0005-0000-0000-000035130000}"/>
    <cellStyle name="Normal 5 2 3" xfId="289" xr:uid="{00000000-0005-0000-0000-000036130000}"/>
    <cellStyle name="Normal 5 2 3 2" xfId="325" xr:uid="{00000000-0005-0000-0000-000037130000}"/>
    <cellStyle name="Normal 5 2 3 2 2" xfId="563" xr:uid="{00000000-0005-0000-0000-000038130000}"/>
    <cellStyle name="Normal 5 2 3 2 2 2" xfId="4939" xr:uid="{00000000-0005-0000-0000-000039130000}"/>
    <cellStyle name="Normal 5 2 3 2 2 3" xfId="4996" xr:uid="{00000000-0005-0000-0000-00003A130000}"/>
    <cellStyle name="Normal 5 2 3 2 3" xfId="4865" xr:uid="{00000000-0005-0000-0000-00003B130000}"/>
    <cellStyle name="Normal 5 2 3 2 4" xfId="5064" xr:uid="{00000000-0005-0000-0000-00003C130000}"/>
    <cellStyle name="Normal 5 2 3 3" xfId="419" xr:uid="{00000000-0005-0000-0000-00003D130000}"/>
    <cellStyle name="Normal 5 2 3 3 2" xfId="657" xr:uid="{00000000-0005-0000-0000-00003E130000}"/>
    <cellStyle name="Normal 5 2 3 3 2 2" xfId="4963" xr:uid="{00000000-0005-0000-0000-00003F130000}"/>
    <cellStyle name="Normal 5 2 3 3 2 3" xfId="4972" xr:uid="{00000000-0005-0000-0000-000040130000}"/>
    <cellStyle name="Normal 5 2 3 3 3" xfId="4889" xr:uid="{00000000-0005-0000-0000-000041130000}"/>
    <cellStyle name="Normal 5 2 3 3 4" xfId="4798" xr:uid="{00000000-0005-0000-0000-000042130000}"/>
    <cellStyle name="Normal 5 2 3 4" xfId="527" xr:uid="{00000000-0005-0000-0000-000043130000}"/>
    <cellStyle name="Normal 5 2 3 4 2" xfId="4915" xr:uid="{00000000-0005-0000-0000-000044130000}"/>
    <cellStyle name="Normal 5 2 3 4 3" xfId="5020" xr:uid="{00000000-0005-0000-0000-000045130000}"/>
    <cellStyle name="Normal 5 2 3 5" xfId="4841" xr:uid="{00000000-0005-0000-0000-000046130000}"/>
    <cellStyle name="Normal 5 2 3 6" xfId="5088" xr:uid="{00000000-0005-0000-0000-000047130000}"/>
    <cellStyle name="Normal 5 2 4" xfId="309" xr:uid="{00000000-0005-0000-0000-000048130000}"/>
    <cellStyle name="Normal 5 2 4 2" xfId="547" xr:uid="{00000000-0005-0000-0000-000049130000}"/>
    <cellStyle name="Normal 5 2 4 2 2" xfId="4923" xr:uid="{00000000-0005-0000-0000-00004A130000}"/>
    <cellStyle name="Normal 5 2 4 2 3" xfId="5012" xr:uid="{00000000-0005-0000-0000-00004B130000}"/>
    <cellStyle name="Normal 5 2 4 3" xfId="4849" xr:uid="{00000000-0005-0000-0000-00004C130000}"/>
    <cellStyle name="Normal 5 2 4 4" xfId="5080" xr:uid="{00000000-0005-0000-0000-00004D130000}"/>
    <cellStyle name="Normal 5 2 5" xfId="351" xr:uid="{00000000-0005-0000-0000-00004E130000}"/>
    <cellStyle name="Normal 5 2 5 2" xfId="589" xr:uid="{00000000-0005-0000-0000-00004F130000}"/>
    <cellStyle name="Normal 5 2 5 2 2" xfId="4947" xr:uid="{00000000-0005-0000-0000-000050130000}"/>
    <cellStyle name="Normal 5 2 5 2 3" xfId="4988" xr:uid="{00000000-0005-0000-0000-000051130000}"/>
    <cellStyle name="Normal 5 2 5 3" xfId="4873" xr:uid="{00000000-0005-0000-0000-000052130000}"/>
    <cellStyle name="Normal 5 2 5 4" xfId="5056" xr:uid="{00000000-0005-0000-0000-000053130000}"/>
    <cellStyle name="Normal 5 2 6" xfId="459" xr:uid="{00000000-0005-0000-0000-000054130000}"/>
    <cellStyle name="Normal 5 2 6 2" xfId="4899" xr:uid="{00000000-0005-0000-0000-000055130000}"/>
    <cellStyle name="Normal 5 2 6 3" xfId="5036" xr:uid="{00000000-0005-0000-0000-000056130000}"/>
    <cellStyle name="Normal 5 2 7" xfId="197" xr:uid="{00000000-0005-0000-0000-000057130000}"/>
    <cellStyle name="Normal 5 2 7 2" xfId="4823" xr:uid="{00000000-0005-0000-0000-000058130000}"/>
    <cellStyle name="Normal 5 2 7 3" xfId="5100" xr:uid="{00000000-0005-0000-0000-000059130000}"/>
    <cellStyle name="Normal 5 2 8" xfId="4508" xr:uid="{00000000-0005-0000-0000-00005A130000}"/>
    <cellStyle name="Normal 5 3" xfId="239" xr:uid="{00000000-0005-0000-0000-00005B130000}"/>
    <cellStyle name="Normal 5 3 2" xfId="313" xr:uid="{00000000-0005-0000-0000-00005C130000}"/>
    <cellStyle name="Normal 5 3 2 2" xfId="551" xr:uid="{00000000-0005-0000-0000-00005D130000}"/>
    <cellStyle name="Normal 5 3 2 2 2" xfId="4927" xr:uid="{00000000-0005-0000-0000-00005E130000}"/>
    <cellStyle name="Normal 5 3 2 2 3" xfId="5008" xr:uid="{00000000-0005-0000-0000-00005F130000}"/>
    <cellStyle name="Normal 5 3 2 3" xfId="4554" xr:uid="{00000000-0005-0000-0000-000060130000}"/>
    <cellStyle name="Normal 5 3 2 4" xfId="4853" xr:uid="{00000000-0005-0000-0000-000061130000}"/>
    <cellStyle name="Normal 5 3 2 5" xfId="5076" xr:uid="{00000000-0005-0000-0000-000062130000}"/>
    <cellStyle name="Normal 5 3 3" xfId="381" xr:uid="{00000000-0005-0000-0000-000063130000}"/>
    <cellStyle name="Normal 5 3 3 2" xfId="619" xr:uid="{00000000-0005-0000-0000-000064130000}"/>
    <cellStyle name="Normal 5 3 3 2 2" xfId="4951" xr:uid="{00000000-0005-0000-0000-000065130000}"/>
    <cellStyle name="Normal 5 3 3 2 3" xfId="4984" xr:uid="{00000000-0005-0000-0000-000066130000}"/>
    <cellStyle name="Normal 5 3 3 3" xfId="4877" xr:uid="{00000000-0005-0000-0000-000067130000}"/>
    <cellStyle name="Normal 5 3 3 4" xfId="5052" xr:uid="{00000000-0005-0000-0000-000068130000}"/>
    <cellStyle name="Normal 5 3 4" xfId="489" xr:uid="{00000000-0005-0000-0000-000069130000}"/>
    <cellStyle name="Normal 5 3 4 2" xfId="4903" xr:uid="{00000000-0005-0000-0000-00006A130000}"/>
    <cellStyle name="Normal 5 3 4 3" xfId="5032" xr:uid="{00000000-0005-0000-0000-00006B130000}"/>
    <cellStyle name="Normal 5 3 5" xfId="4509" xr:uid="{00000000-0005-0000-0000-00006C130000}"/>
    <cellStyle name="Normal 5 3 6" xfId="4659" xr:uid="{00000000-0005-0000-0000-00006D130000}"/>
    <cellStyle name="Normal 5 3 7" xfId="4714" xr:uid="{00000000-0005-0000-0000-00006E130000}"/>
    <cellStyle name="Normal 5 3 8" xfId="4829" xr:uid="{00000000-0005-0000-0000-00006F130000}"/>
    <cellStyle name="Normal 5 3 9" xfId="5096" xr:uid="{00000000-0005-0000-0000-000070130000}"/>
    <cellStyle name="Normal 5 4" xfId="285" xr:uid="{00000000-0005-0000-0000-000071130000}"/>
    <cellStyle name="Normal 5 4 2" xfId="321" xr:uid="{00000000-0005-0000-0000-000072130000}"/>
    <cellStyle name="Normal 5 4 2 2" xfId="559" xr:uid="{00000000-0005-0000-0000-000073130000}"/>
    <cellStyle name="Normal 5 4 2 2 2" xfId="4935" xr:uid="{00000000-0005-0000-0000-000074130000}"/>
    <cellStyle name="Normal 5 4 2 2 3" xfId="5000" xr:uid="{00000000-0005-0000-0000-000075130000}"/>
    <cellStyle name="Normal 5 4 2 3" xfId="4861" xr:uid="{00000000-0005-0000-0000-000076130000}"/>
    <cellStyle name="Normal 5 4 2 4" xfId="5068" xr:uid="{00000000-0005-0000-0000-000077130000}"/>
    <cellStyle name="Normal 5 4 3" xfId="415" xr:uid="{00000000-0005-0000-0000-000078130000}"/>
    <cellStyle name="Normal 5 4 3 2" xfId="653" xr:uid="{00000000-0005-0000-0000-000079130000}"/>
    <cellStyle name="Normal 5 4 3 2 2" xfId="4959" xr:uid="{00000000-0005-0000-0000-00007A130000}"/>
    <cellStyle name="Normal 5 4 3 2 3" xfId="4976" xr:uid="{00000000-0005-0000-0000-00007B130000}"/>
    <cellStyle name="Normal 5 4 3 3" xfId="4885" xr:uid="{00000000-0005-0000-0000-00007C130000}"/>
    <cellStyle name="Normal 5 4 3 4" xfId="4802" xr:uid="{00000000-0005-0000-0000-00007D130000}"/>
    <cellStyle name="Normal 5 4 4" xfId="523" xr:uid="{00000000-0005-0000-0000-00007E130000}"/>
    <cellStyle name="Normal 5 4 4 2" xfId="4911" xr:uid="{00000000-0005-0000-0000-00007F130000}"/>
    <cellStyle name="Normal 5 4 4 3" xfId="5024" xr:uid="{00000000-0005-0000-0000-000080130000}"/>
    <cellStyle name="Normal 5 4 5" xfId="4510" xr:uid="{00000000-0005-0000-0000-000081130000}"/>
    <cellStyle name="Normal 5 4 6" xfId="4663" xr:uid="{00000000-0005-0000-0000-000082130000}"/>
    <cellStyle name="Normal 5 4 7" xfId="4837" xr:uid="{00000000-0005-0000-0000-000083130000}"/>
    <cellStyle name="Normal 5 4 8" xfId="5092" xr:uid="{00000000-0005-0000-0000-000084130000}"/>
    <cellStyle name="Normal 5 5" xfId="305" xr:uid="{00000000-0005-0000-0000-000085130000}"/>
    <cellStyle name="Normal 5 5 2" xfId="543" xr:uid="{00000000-0005-0000-0000-000086130000}"/>
    <cellStyle name="Normal 5 5 2 2" xfId="4919" xr:uid="{00000000-0005-0000-0000-000087130000}"/>
    <cellStyle name="Normal 5 5 2 3" xfId="5016" xr:uid="{00000000-0005-0000-0000-000088130000}"/>
    <cellStyle name="Normal 5 5 3" xfId="4511" xr:uid="{00000000-0005-0000-0000-000089130000}"/>
    <cellStyle name="Normal 5 5 4" xfId="4845" xr:uid="{00000000-0005-0000-0000-00008A130000}"/>
    <cellStyle name="Normal 5 5 5" xfId="5084" xr:uid="{00000000-0005-0000-0000-00008B130000}"/>
    <cellStyle name="Normal 5 6" xfId="347" xr:uid="{00000000-0005-0000-0000-00008C130000}"/>
    <cellStyle name="Normal 5 6 2" xfId="585" xr:uid="{00000000-0005-0000-0000-00008D130000}"/>
    <cellStyle name="Normal 5 6 2 2" xfId="4943" xr:uid="{00000000-0005-0000-0000-00008E130000}"/>
    <cellStyle name="Normal 5 6 2 3" xfId="4992" xr:uid="{00000000-0005-0000-0000-00008F130000}"/>
    <cellStyle name="Normal 5 6 3" xfId="4512" xr:uid="{00000000-0005-0000-0000-000090130000}"/>
    <cellStyle name="Normal 5 6 4" xfId="4869" xr:uid="{00000000-0005-0000-0000-000091130000}"/>
    <cellStyle name="Normal 5 6 5" xfId="5060" xr:uid="{00000000-0005-0000-0000-000092130000}"/>
    <cellStyle name="Normal 5 7" xfId="455" xr:uid="{00000000-0005-0000-0000-000093130000}"/>
    <cellStyle name="Normal 5 7 2" xfId="4513" xr:uid="{00000000-0005-0000-0000-000094130000}"/>
    <cellStyle name="Normal 5 7 3" xfId="4895" xr:uid="{00000000-0005-0000-0000-000095130000}"/>
    <cellStyle name="Normal 5 7 4" xfId="5040" xr:uid="{00000000-0005-0000-0000-000096130000}"/>
    <cellStyle name="Normal 5 8" xfId="679" xr:uid="{00000000-0005-0000-0000-000097130000}"/>
    <cellStyle name="Normal 5 8 2" xfId="4514" xr:uid="{00000000-0005-0000-0000-000098130000}"/>
    <cellStyle name="Normal 5 9" xfId="183" xr:uid="{00000000-0005-0000-0000-000099130000}"/>
    <cellStyle name="Normal 5 9 2" xfId="4515" xr:uid="{00000000-0005-0000-0000-00009A130000}"/>
    <cellStyle name="Normal 5 9 3" xfId="4819" xr:uid="{00000000-0005-0000-0000-00009B130000}"/>
    <cellStyle name="Normal 5 9 4" xfId="5105" xr:uid="{00000000-0005-0000-0000-00009C130000}"/>
    <cellStyle name="Normal 50" xfId="4736" xr:uid="{00000000-0005-0000-0000-00009D130000}"/>
    <cellStyle name="Normal 50 2" xfId="5312" xr:uid="{81DCDD1C-0F32-4870-87BF-D70C1A6F81C2}"/>
    <cellStyle name="Normal 50 3" xfId="5316" xr:uid="{1CAF2023-71E0-455D-9F6C-8E649ED57AE3}"/>
    <cellStyle name="Normal 51" xfId="4739" xr:uid="{00000000-0005-0000-0000-00009E130000}"/>
    <cellStyle name="Normal 51 2" xfId="5314" xr:uid="{F71EBA00-2CA3-4371-93F6-2EA03E48AFEC}"/>
    <cellStyle name="Normal 52" xfId="4737" xr:uid="{00000000-0005-0000-0000-00009F130000}"/>
    <cellStyle name="Normal 53" xfId="4738" xr:uid="{00000000-0005-0000-0000-0000A0130000}"/>
    <cellStyle name="Normal 54" xfId="5111" xr:uid="{00000000-0005-0000-0000-0000A1130000}"/>
    <cellStyle name="Normal 55" xfId="5139" xr:uid="{00000000-0005-0000-0000-0000A2130000}"/>
    <cellStyle name="Normal 56" xfId="5243" xr:uid="{00000000-0005-0000-0000-0000A3130000}"/>
    <cellStyle name="Normal 57" xfId="5246" xr:uid="{00000000-0005-0000-0000-0000A4130000}"/>
    <cellStyle name="Normal 58" xfId="5254" xr:uid="{00000000-0005-0000-0000-0000A5130000}"/>
    <cellStyle name="Normal 59" xfId="5255" xr:uid="{00000000-0005-0000-0000-0000A6130000}"/>
    <cellStyle name="Normal 6" xfId="125" xr:uid="{00000000-0005-0000-0000-0000A7130000}"/>
    <cellStyle name="Normal 6 2" xfId="126" xr:uid="{00000000-0005-0000-0000-0000A8130000}"/>
    <cellStyle name="Normal 6 2 2" xfId="4666" xr:uid="{00000000-0005-0000-0000-0000A9130000}"/>
    <cellStyle name="Normal 6 3" xfId="157" xr:uid="{00000000-0005-0000-0000-0000AA130000}"/>
    <cellStyle name="Normal 6 3 2" xfId="4751" xr:uid="{00000000-0005-0000-0000-0000AB130000}"/>
    <cellStyle name="Normal 6 4" xfId="5251" xr:uid="{00000000-0005-0000-0000-0000AC130000}"/>
    <cellStyle name="Normal 60" xfId="5257" xr:uid="{00000000-0005-0000-0000-0000AD130000}"/>
    <cellStyle name="Normal 61" xfId="5272" xr:uid="{299D7BD1-797F-4110-8915-D15F2700BD55}"/>
    <cellStyle name="Normal 62" xfId="5273" xr:uid="{BEC0DD53-F8A5-423E-A6F0-F88141D2FDD6}"/>
    <cellStyle name="Normal 63" xfId="5279" xr:uid="{4146736A-A117-47A5-B41F-857CD87BFA2D}"/>
    <cellStyle name="Normal 64" xfId="5280" xr:uid="{C268A668-FD7A-4A37-A5BE-0E84E8A44AFF}"/>
    <cellStyle name="Normal 65" xfId="5283" xr:uid="{BFBB3606-09CD-4764-A543-9C0225C0FCEE}"/>
    <cellStyle name="Normal 66" xfId="5288" xr:uid="{8B96C04C-66E8-4E14-A5BD-ADCBB06A2C00}"/>
    <cellStyle name="Normal 67" xfId="5287" xr:uid="{53EA46DD-AE46-456F-BC3E-0169C4DE45F8}"/>
    <cellStyle name="Normal 68" xfId="5284" xr:uid="{E7161CB7-F647-4BBE-BEBA-2F07C0351EAA}"/>
    <cellStyle name="Normal 69" xfId="5291" xr:uid="{18B453E7-CA36-441C-973B-275E73F5B1A9}"/>
    <cellStyle name="Normal 7" xfId="152" xr:uid="{00000000-0005-0000-0000-0000AE130000}"/>
    <cellStyle name="Normal 7 2" xfId="680" xr:uid="{00000000-0005-0000-0000-0000AF130000}"/>
    <cellStyle name="Normal 7 2 2" xfId="4517" xr:uid="{00000000-0005-0000-0000-0000B0130000}"/>
    <cellStyle name="Normal 7 2 2 2" xfId="4681" xr:uid="{00000000-0005-0000-0000-0000B1130000}"/>
    <cellStyle name="Normal 7 2 2 2 2" xfId="4733" xr:uid="{00000000-0005-0000-0000-0000B2130000}"/>
    <cellStyle name="Normal 7 2 2 3" xfId="4656" xr:uid="{00000000-0005-0000-0000-0000B3130000}"/>
    <cellStyle name="Normal 7 2 2 4" xfId="4711" xr:uid="{00000000-0005-0000-0000-0000B4130000}"/>
    <cellStyle name="Normal 7 2 3" xfId="4671" xr:uid="{00000000-0005-0000-0000-0000B5130000}"/>
    <cellStyle name="Normal 7 2 3 2" xfId="4723" xr:uid="{00000000-0005-0000-0000-0000B6130000}"/>
    <cellStyle name="Normal 7 2 4" xfId="4655" xr:uid="{00000000-0005-0000-0000-0000B7130000}"/>
    <cellStyle name="Normal 7 2 5" xfId="4710" xr:uid="{00000000-0005-0000-0000-0000B8130000}"/>
    <cellStyle name="Normal 7 3" xfId="4516" xr:uid="{00000000-0005-0000-0000-0000B9130000}"/>
    <cellStyle name="Normal 7 3 2" xfId="4676" xr:uid="{00000000-0005-0000-0000-0000BA130000}"/>
    <cellStyle name="Normal 7 3 2 2" xfId="4728" xr:uid="{00000000-0005-0000-0000-0000BB130000}"/>
    <cellStyle name="Normal 7 3 3" xfId="4657" xr:uid="{00000000-0005-0000-0000-0000BC130000}"/>
    <cellStyle name="Normal 7 3 4" xfId="4712" xr:uid="{00000000-0005-0000-0000-0000BD130000}"/>
    <cellStyle name="Normal 7 4" xfId="4665" xr:uid="{00000000-0005-0000-0000-0000BE130000}"/>
    <cellStyle name="Normal 7 4 2" xfId="4718" xr:uid="{00000000-0005-0000-0000-0000BF130000}"/>
    <cellStyle name="Normal 7 5" xfId="4636" xr:uid="{00000000-0005-0000-0000-0000C0130000}"/>
    <cellStyle name="Normal 7 6" xfId="4692" xr:uid="{00000000-0005-0000-0000-0000C1130000}"/>
    <cellStyle name="Normal 70" xfId="5293" xr:uid="{D46E118C-93E1-4F3B-8C20-BCD19B12A2D3}"/>
    <cellStyle name="Normal 71" xfId="5295" xr:uid="{C05E40DC-ACE3-4908-981C-E7E56D99AA7B}"/>
    <cellStyle name="Normal 72" xfId="5297" xr:uid="{05959A01-4E21-40C8-94ED-2F677862FA88}"/>
    <cellStyle name="Normal 73" xfId="5318" xr:uid="{9ED6A206-7ABA-4748-A854-893AFD3B739F}"/>
    <cellStyle name="Normal 8" xfId="685" xr:uid="{00000000-0005-0000-0000-0000C2130000}"/>
    <cellStyle name="Normal 8 2" xfId="4575" xr:uid="{00000000-0005-0000-0000-0000C3130000}"/>
    <cellStyle name="Normal 8 3" xfId="4545" xr:uid="{00000000-0005-0000-0000-0000C4130000}"/>
    <cellStyle name="Normal 8 4" xfId="4518" xr:uid="{00000000-0005-0000-0000-0000C5130000}"/>
    <cellStyle name="Normal 8 5" xfId="4750" xr:uid="{00000000-0005-0000-0000-0000C6130000}"/>
    <cellStyle name="Normal 9" xfId="153" xr:uid="{00000000-0005-0000-0000-0000C7130000}"/>
    <cellStyle name="Normal 9 2" xfId="4576" xr:uid="{00000000-0005-0000-0000-0000C8130000}"/>
    <cellStyle name="Normal 9 3" xfId="4519" xr:uid="{00000000-0005-0000-0000-0000C9130000}"/>
    <cellStyle name="Normal 9 4" xfId="4810" xr:uid="{00000000-0005-0000-0000-0000CA130000}"/>
    <cellStyle name="Normal 9 5" xfId="5109" xr:uid="{00000000-0005-0000-0000-0000CB130000}"/>
    <cellStyle name="Note 2" xfId="127" xr:uid="{00000000-0005-0000-0000-0000CC130000}"/>
    <cellStyle name="Note 2 2" xfId="128" xr:uid="{00000000-0005-0000-0000-0000CD130000}"/>
    <cellStyle name="Note 2 3" xfId="129" xr:uid="{00000000-0005-0000-0000-0000CE130000}"/>
    <cellStyle name="Note 3" xfId="130" xr:uid="{00000000-0005-0000-0000-0000CF130000}"/>
    <cellStyle name="Note 3 2" xfId="131" xr:uid="{00000000-0005-0000-0000-0000D0130000}"/>
    <cellStyle name="Note 3 3" xfId="132" xr:uid="{00000000-0005-0000-0000-0000D1130000}"/>
    <cellStyle name="Note 4" xfId="133" xr:uid="{00000000-0005-0000-0000-0000D2130000}"/>
    <cellStyle name="Note 4 2" xfId="134" xr:uid="{00000000-0005-0000-0000-0000D3130000}"/>
    <cellStyle name="Note 4 3" xfId="135" xr:uid="{00000000-0005-0000-0000-0000D4130000}"/>
    <cellStyle name="Note 5" xfId="5104" xr:uid="{00000000-0005-0000-0000-0000D5130000}"/>
    <cellStyle name="Note 6" xfId="5256" xr:uid="{00000000-0005-0000-0000-0000D6130000}"/>
    <cellStyle name="Number Bold" xfId="4520" xr:uid="{00000000-0005-0000-0000-0000D7130000}"/>
    <cellStyle name="Number Normal" xfId="4521" xr:uid="{00000000-0005-0000-0000-0000D8130000}"/>
    <cellStyle name="Output" xfId="4766" builtinId="21" customBuiltin="1"/>
    <cellStyle name="Output 2" xfId="136" xr:uid="{00000000-0005-0000-0000-0000DA130000}"/>
    <cellStyle name="Output 3" xfId="137" xr:uid="{00000000-0005-0000-0000-0000DB130000}"/>
    <cellStyle name="Output 4" xfId="138" xr:uid="{00000000-0005-0000-0000-0000DC130000}"/>
    <cellStyle name="Percent" xfId="151" builtinId="5"/>
    <cellStyle name="Percent 10" xfId="185" xr:uid="{00000000-0005-0000-0000-0000DE130000}"/>
    <cellStyle name="Percent 10 2" xfId="186" xr:uid="{00000000-0005-0000-0000-0000DF130000}"/>
    <cellStyle name="Percent 10 2 2" xfId="241" xr:uid="{00000000-0005-0000-0000-0000E0130000}"/>
    <cellStyle name="Percent 10 3" xfId="240" xr:uid="{00000000-0005-0000-0000-0000E1130000}"/>
    <cellStyle name="Percent 11" xfId="187" xr:uid="{00000000-0005-0000-0000-0000E2130000}"/>
    <cellStyle name="Percent 11 2" xfId="188" xr:uid="{00000000-0005-0000-0000-0000E3130000}"/>
    <cellStyle name="Percent 11 2 2" xfId="243" xr:uid="{00000000-0005-0000-0000-0000E4130000}"/>
    <cellStyle name="Percent 11 3" xfId="207" xr:uid="{00000000-0005-0000-0000-0000E5130000}"/>
    <cellStyle name="Percent 11 3 2" xfId="256" xr:uid="{00000000-0005-0000-0000-0000E6130000}"/>
    <cellStyle name="Percent 11 4" xfId="242" xr:uid="{00000000-0005-0000-0000-0000E7130000}"/>
    <cellStyle name="Percent 12" xfId="189" xr:uid="{00000000-0005-0000-0000-0000E8130000}"/>
    <cellStyle name="Percent 12 2" xfId="208" xr:uid="{00000000-0005-0000-0000-0000E9130000}"/>
    <cellStyle name="Percent 12 2 2" xfId="216" xr:uid="{00000000-0005-0000-0000-0000EA130000}"/>
    <cellStyle name="Percent 12 2 2 2" xfId="264" xr:uid="{00000000-0005-0000-0000-0000EB130000}"/>
    <cellStyle name="Percent 12 3" xfId="210" xr:uid="{00000000-0005-0000-0000-0000EC130000}"/>
    <cellStyle name="Percent 12 3 2" xfId="258" xr:uid="{00000000-0005-0000-0000-0000ED130000}"/>
    <cellStyle name="Percent 13" xfId="206" xr:uid="{00000000-0005-0000-0000-0000EE130000}"/>
    <cellStyle name="Percent 13 2" xfId="215" xr:uid="{00000000-0005-0000-0000-0000EF130000}"/>
    <cellStyle name="Percent 13 2 2" xfId="263" xr:uid="{00000000-0005-0000-0000-0000F0130000}"/>
    <cellStyle name="Percent 2" xfId="434" xr:uid="{00000000-0005-0000-0000-0000F1130000}"/>
    <cellStyle name="Percent 2 10" xfId="4522" xr:uid="{00000000-0005-0000-0000-0000F2130000}"/>
    <cellStyle name="Percent 2 11" xfId="4523" xr:uid="{00000000-0005-0000-0000-0000F3130000}"/>
    <cellStyle name="Percent 2 12" xfId="4524" xr:uid="{00000000-0005-0000-0000-0000F4130000}"/>
    <cellStyle name="Percent 2 13" xfId="4525" xr:uid="{00000000-0005-0000-0000-0000F5130000}"/>
    <cellStyle name="Percent 2 14" xfId="4526" xr:uid="{00000000-0005-0000-0000-0000F6130000}"/>
    <cellStyle name="Percent 2 15" xfId="4527" xr:uid="{00000000-0005-0000-0000-0000F7130000}"/>
    <cellStyle name="Percent 2 16" xfId="4528" xr:uid="{00000000-0005-0000-0000-0000F8130000}"/>
    <cellStyle name="Percent 2 17" xfId="4529" xr:uid="{00000000-0005-0000-0000-0000F9130000}"/>
    <cellStyle name="Percent 2 18" xfId="4530" xr:uid="{00000000-0005-0000-0000-0000FA130000}"/>
    <cellStyle name="Percent 2 19" xfId="4531" xr:uid="{00000000-0005-0000-0000-0000FB130000}"/>
    <cellStyle name="Percent 2 2" xfId="190" xr:uid="{00000000-0005-0000-0000-0000FC130000}"/>
    <cellStyle name="Percent 2 2 2" xfId="244" xr:uid="{00000000-0005-0000-0000-0000FD130000}"/>
    <cellStyle name="Percent 2 2 3" xfId="4660" xr:uid="{00000000-0005-0000-0000-0000FE130000}"/>
    <cellStyle name="Percent 2 2 4" xfId="4715" xr:uid="{00000000-0005-0000-0000-0000FF130000}"/>
    <cellStyle name="Percent 2 20" xfId="4634" xr:uid="{00000000-0005-0000-0000-000000140000}"/>
    <cellStyle name="Percent 2 21" xfId="4690" xr:uid="{00000000-0005-0000-0000-000001140000}"/>
    <cellStyle name="Percent 2 22" xfId="4752" xr:uid="{00000000-0005-0000-0000-000002140000}"/>
    <cellStyle name="Percent 2 23" xfId="4892" xr:uid="{00000000-0005-0000-0000-000003140000}"/>
    <cellStyle name="Percent 2 24" xfId="5043" xr:uid="{00000000-0005-0000-0000-000004140000}"/>
    <cellStyle name="Percent 2 3" xfId="672" xr:uid="{00000000-0005-0000-0000-000005140000}"/>
    <cellStyle name="Percent 2 3 2" xfId="4532" xr:uid="{00000000-0005-0000-0000-000006140000}"/>
    <cellStyle name="Percent 2 3 3" xfId="4966" xr:uid="{00000000-0005-0000-0000-000007140000}"/>
    <cellStyle name="Percent 2 3 4" xfId="4969" xr:uid="{00000000-0005-0000-0000-000008140000}"/>
    <cellStyle name="Percent 2 4" xfId="4533" xr:uid="{00000000-0005-0000-0000-000009140000}"/>
    <cellStyle name="Percent 2 5" xfId="4534" xr:uid="{00000000-0005-0000-0000-00000A140000}"/>
    <cellStyle name="Percent 2 6" xfId="4535" xr:uid="{00000000-0005-0000-0000-00000B140000}"/>
    <cellStyle name="Percent 2 7" xfId="4536" xr:uid="{00000000-0005-0000-0000-00000C140000}"/>
    <cellStyle name="Percent 2 8" xfId="4537" xr:uid="{00000000-0005-0000-0000-00000D140000}"/>
    <cellStyle name="Percent 2 9" xfId="4538" xr:uid="{00000000-0005-0000-0000-00000E140000}"/>
    <cellStyle name="Percent 3" xfId="184" xr:uid="{00000000-0005-0000-0000-00000F140000}"/>
    <cellStyle name="Percent 3 2" xfId="4637" xr:uid="{00000000-0005-0000-0000-000010140000}"/>
    <cellStyle name="Percent 3 3" xfId="4693" xr:uid="{00000000-0005-0000-0000-000011140000}"/>
    <cellStyle name="Percent 4" xfId="191" xr:uid="{00000000-0005-0000-0000-000012140000}"/>
    <cellStyle name="Percent 4 2" xfId="192" xr:uid="{00000000-0005-0000-0000-000013140000}"/>
    <cellStyle name="Percent 4 2 2" xfId="246" xr:uid="{00000000-0005-0000-0000-000014140000}"/>
    <cellStyle name="Percent 4 3" xfId="245" xr:uid="{00000000-0005-0000-0000-000015140000}"/>
    <cellStyle name="Percent 5" xfId="155" xr:uid="{00000000-0005-0000-0000-000016140000}"/>
    <cellStyle name="Percent 5 2" xfId="4812" xr:uid="{00000000-0005-0000-0000-000017140000}"/>
    <cellStyle name="Percent 5 3" xfId="5138" xr:uid="{00000000-0005-0000-0000-000018140000}"/>
    <cellStyle name="Percent 6" xfId="5276" xr:uid="{D31B716B-1F90-4ADE-8FF6-1A64CA5C9053}"/>
    <cellStyle name="Percent 8" xfId="193" xr:uid="{00000000-0005-0000-0000-000019140000}"/>
    <cellStyle name="Percent 8 2" xfId="247" xr:uid="{00000000-0005-0000-0000-00001A140000}"/>
    <cellStyle name="Percent 9" xfId="194" xr:uid="{00000000-0005-0000-0000-00001B140000}"/>
    <cellStyle name="Percent 9 2" xfId="199" xr:uid="{00000000-0005-0000-0000-00001C140000}"/>
    <cellStyle name="Percent 9 2 2" xfId="253" xr:uid="{00000000-0005-0000-0000-00001D140000}"/>
    <cellStyle name="Percent 9 2 2 2" xfId="318" xr:uid="{00000000-0005-0000-0000-00001E140000}"/>
    <cellStyle name="Percent 9 2 2 2 2" xfId="556" xr:uid="{00000000-0005-0000-0000-00001F140000}"/>
    <cellStyle name="Percent 9 2 2 2 2 2" xfId="4932" xr:uid="{00000000-0005-0000-0000-000020140000}"/>
    <cellStyle name="Percent 9 2 2 2 2 3" xfId="5003" xr:uid="{00000000-0005-0000-0000-000021140000}"/>
    <cellStyle name="Percent 9 2 2 2 3" xfId="4858" xr:uid="{00000000-0005-0000-0000-000022140000}"/>
    <cellStyle name="Percent 9 2 2 2 4" xfId="5071" xr:uid="{00000000-0005-0000-0000-000023140000}"/>
    <cellStyle name="Percent 9 2 2 3" xfId="387" xr:uid="{00000000-0005-0000-0000-000024140000}"/>
    <cellStyle name="Percent 9 2 2 3 2" xfId="625" xr:uid="{00000000-0005-0000-0000-000025140000}"/>
    <cellStyle name="Percent 9 2 2 3 2 2" xfId="4956" xr:uid="{00000000-0005-0000-0000-000026140000}"/>
    <cellStyle name="Percent 9 2 2 3 2 3" xfId="4979" xr:uid="{00000000-0005-0000-0000-000027140000}"/>
    <cellStyle name="Percent 9 2 2 3 3" xfId="4882" xr:uid="{00000000-0005-0000-0000-000028140000}"/>
    <cellStyle name="Percent 9 2 2 3 4" xfId="5047" xr:uid="{00000000-0005-0000-0000-000029140000}"/>
    <cellStyle name="Percent 9 2 2 4" xfId="495" xr:uid="{00000000-0005-0000-0000-00002A140000}"/>
    <cellStyle name="Percent 9 2 2 4 2" xfId="4908" xr:uid="{00000000-0005-0000-0000-00002B140000}"/>
    <cellStyle name="Percent 9 2 2 4 3" xfId="5027" xr:uid="{00000000-0005-0000-0000-00002C140000}"/>
    <cellStyle name="Percent 9 2 2 5" xfId="4834" xr:uid="{00000000-0005-0000-0000-00002D140000}"/>
    <cellStyle name="Percent 9 2 2 6" xfId="5095" xr:uid="{00000000-0005-0000-0000-00002E140000}"/>
    <cellStyle name="Percent 9 2 3" xfId="291" xr:uid="{00000000-0005-0000-0000-00002F140000}"/>
    <cellStyle name="Percent 9 2 3 2" xfId="326" xr:uid="{00000000-0005-0000-0000-000030140000}"/>
    <cellStyle name="Percent 9 2 3 2 2" xfId="564" xr:uid="{00000000-0005-0000-0000-000031140000}"/>
    <cellStyle name="Percent 9 2 3 2 2 2" xfId="4940" xr:uid="{00000000-0005-0000-0000-000032140000}"/>
    <cellStyle name="Percent 9 2 3 2 2 3" xfId="4995" xr:uid="{00000000-0005-0000-0000-000033140000}"/>
    <cellStyle name="Percent 9 2 3 2 3" xfId="4866" xr:uid="{00000000-0005-0000-0000-000034140000}"/>
    <cellStyle name="Percent 9 2 3 2 4" xfId="5063" xr:uid="{00000000-0005-0000-0000-000035140000}"/>
    <cellStyle name="Percent 9 2 3 3" xfId="421" xr:uid="{00000000-0005-0000-0000-000036140000}"/>
    <cellStyle name="Percent 9 2 3 3 2" xfId="659" xr:uid="{00000000-0005-0000-0000-000037140000}"/>
    <cellStyle name="Percent 9 2 3 3 2 2" xfId="4964" xr:uid="{00000000-0005-0000-0000-000038140000}"/>
    <cellStyle name="Percent 9 2 3 3 2 3" xfId="4971" xr:uid="{00000000-0005-0000-0000-000039140000}"/>
    <cellStyle name="Percent 9 2 3 3 3" xfId="4890" xr:uid="{00000000-0005-0000-0000-00003A140000}"/>
    <cellStyle name="Percent 9 2 3 3 4" xfId="4797" xr:uid="{00000000-0005-0000-0000-00003B140000}"/>
    <cellStyle name="Percent 9 2 3 4" xfId="529" xr:uid="{00000000-0005-0000-0000-00003C140000}"/>
    <cellStyle name="Percent 9 2 3 4 2" xfId="4916" xr:uid="{00000000-0005-0000-0000-00003D140000}"/>
    <cellStyle name="Percent 9 2 3 4 3" xfId="5019" xr:uid="{00000000-0005-0000-0000-00003E140000}"/>
    <cellStyle name="Percent 9 2 3 5" xfId="4842" xr:uid="{00000000-0005-0000-0000-00003F140000}"/>
    <cellStyle name="Percent 9 2 3 6" xfId="5087" xr:uid="{00000000-0005-0000-0000-000040140000}"/>
    <cellStyle name="Percent 9 2 4" xfId="310" xr:uid="{00000000-0005-0000-0000-000041140000}"/>
    <cellStyle name="Percent 9 2 4 2" xfId="548" xr:uid="{00000000-0005-0000-0000-000042140000}"/>
    <cellStyle name="Percent 9 2 4 2 2" xfId="4924" xr:uid="{00000000-0005-0000-0000-000043140000}"/>
    <cellStyle name="Percent 9 2 4 2 3" xfId="5011" xr:uid="{00000000-0005-0000-0000-000044140000}"/>
    <cellStyle name="Percent 9 2 4 3" xfId="4850" xr:uid="{00000000-0005-0000-0000-000045140000}"/>
    <cellStyle name="Percent 9 2 4 4" xfId="5079" xr:uid="{00000000-0005-0000-0000-000046140000}"/>
    <cellStyle name="Percent 9 2 5" xfId="353" xr:uid="{00000000-0005-0000-0000-000047140000}"/>
    <cellStyle name="Percent 9 2 5 2" xfId="591" xr:uid="{00000000-0005-0000-0000-000048140000}"/>
    <cellStyle name="Percent 9 2 5 2 2" xfId="4948" xr:uid="{00000000-0005-0000-0000-000049140000}"/>
    <cellStyle name="Percent 9 2 5 2 3" xfId="4987" xr:uid="{00000000-0005-0000-0000-00004A140000}"/>
    <cellStyle name="Percent 9 2 5 3" xfId="4874" xr:uid="{00000000-0005-0000-0000-00004B140000}"/>
    <cellStyle name="Percent 9 2 5 4" xfId="5055" xr:uid="{00000000-0005-0000-0000-00004C140000}"/>
    <cellStyle name="Percent 9 2 6" xfId="461" xr:uid="{00000000-0005-0000-0000-00004D140000}"/>
    <cellStyle name="Percent 9 2 6 2" xfId="4900" xr:uid="{00000000-0005-0000-0000-00004E140000}"/>
    <cellStyle name="Percent 9 2 6 3" xfId="5035" xr:uid="{00000000-0005-0000-0000-00004F140000}"/>
    <cellStyle name="Percent 9 2 7" xfId="4824" xr:uid="{00000000-0005-0000-0000-000050140000}"/>
    <cellStyle name="Percent 9 2 8" xfId="4816" xr:uid="{00000000-0005-0000-0000-000051140000}"/>
    <cellStyle name="Percent 9 3" xfId="248" xr:uid="{00000000-0005-0000-0000-000052140000}"/>
    <cellStyle name="Percent 9 3 2" xfId="314" xr:uid="{00000000-0005-0000-0000-000053140000}"/>
    <cellStyle name="Percent 9 3 2 2" xfId="552" xr:uid="{00000000-0005-0000-0000-000054140000}"/>
    <cellStyle name="Percent 9 3 2 2 2" xfId="4928" xr:uid="{00000000-0005-0000-0000-000055140000}"/>
    <cellStyle name="Percent 9 3 2 2 3" xfId="5007" xr:uid="{00000000-0005-0000-0000-000056140000}"/>
    <cellStyle name="Percent 9 3 2 3" xfId="4854" xr:uid="{00000000-0005-0000-0000-000057140000}"/>
    <cellStyle name="Percent 9 3 2 4" xfId="5075" xr:uid="{00000000-0005-0000-0000-000058140000}"/>
    <cellStyle name="Percent 9 3 3" xfId="382" xr:uid="{00000000-0005-0000-0000-000059140000}"/>
    <cellStyle name="Percent 9 3 3 2" xfId="620" xr:uid="{00000000-0005-0000-0000-00005A140000}"/>
    <cellStyle name="Percent 9 3 3 2 2" xfId="4952" xr:uid="{00000000-0005-0000-0000-00005B140000}"/>
    <cellStyle name="Percent 9 3 3 2 3" xfId="4983" xr:uid="{00000000-0005-0000-0000-00005C140000}"/>
    <cellStyle name="Percent 9 3 3 3" xfId="4878" xr:uid="{00000000-0005-0000-0000-00005D140000}"/>
    <cellStyle name="Percent 9 3 3 4" xfId="5051" xr:uid="{00000000-0005-0000-0000-00005E140000}"/>
    <cellStyle name="Percent 9 3 4" xfId="490" xr:uid="{00000000-0005-0000-0000-00005F140000}"/>
    <cellStyle name="Percent 9 3 4 2" xfId="4904" xr:uid="{00000000-0005-0000-0000-000060140000}"/>
    <cellStyle name="Percent 9 3 4 3" xfId="5031" xr:uid="{00000000-0005-0000-0000-000061140000}"/>
    <cellStyle name="Percent 9 3 5" xfId="4830" xr:uid="{00000000-0005-0000-0000-000062140000}"/>
    <cellStyle name="Percent 9 3 6" xfId="5137" xr:uid="{00000000-0005-0000-0000-000063140000}"/>
    <cellStyle name="Percent 9 4" xfId="286" xr:uid="{00000000-0005-0000-0000-000064140000}"/>
    <cellStyle name="Percent 9 4 2" xfId="322" xr:uid="{00000000-0005-0000-0000-000065140000}"/>
    <cellStyle name="Percent 9 4 2 2" xfId="560" xr:uid="{00000000-0005-0000-0000-000066140000}"/>
    <cellStyle name="Percent 9 4 2 2 2" xfId="4936" xr:uid="{00000000-0005-0000-0000-000067140000}"/>
    <cellStyle name="Percent 9 4 2 2 3" xfId="4999" xr:uid="{00000000-0005-0000-0000-000068140000}"/>
    <cellStyle name="Percent 9 4 2 3" xfId="4862" xr:uid="{00000000-0005-0000-0000-000069140000}"/>
    <cellStyle name="Percent 9 4 2 4" xfId="5067" xr:uid="{00000000-0005-0000-0000-00006A140000}"/>
    <cellStyle name="Percent 9 4 3" xfId="416" xr:uid="{00000000-0005-0000-0000-00006B140000}"/>
    <cellStyle name="Percent 9 4 3 2" xfId="654" xr:uid="{00000000-0005-0000-0000-00006C140000}"/>
    <cellStyle name="Percent 9 4 3 2 2" xfId="4960" xr:uid="{00000000-0005-0000-0000-00006D140000}"/>
    <cellStyle name="Percent 9 4 3 2 3" xfId="4975" xr:uid="{00000000-0005-0000-0000-00006E140000}"/>
    <cellStyle name="Percent 9 4 3 3" xfId="4886" xr:uid="{00000000-0005-0000-0000-00006F140000}"/>
    <cellStyle name="Percent 9 4 3 4" xfId="4801" xr:uid="{00000000-0005-0000-0000-000070140000}"/>
    <cellStyle name="Percent 9 4 4" xfId="524" xr:uid="{00000000-0005-0000-0000-000071140000}"/>
    <cellStyle name="Percent 9 4 4 2" xfId="4912" xr:uid="{00000000-0005-0000-0000-000072140000}"/>
    <cellStyle name="Percent 9 4 4 3" xfId="5023" xr:uid="{00000000-0005-0000-0000-000073140000}"/>
    <cellStyle name="Percent 9 4 5" xfId="4838" xr:uid="{00000000-0005-0000-0000-000074140000}"/>
    <cellStyle name="Percent 9 4 6" xfId="5091" xr:uid="{00000000-0005-0000-0000-000075140000}"/>
    <cellStyle name="Percent 9 5" xfId="306" xr:uid="{00000000-0005-0000-0000-000076140000}"/>
    <cellStyle name="Percent 9 5 2" xfId="544" xr:uid="{00000000-0005-0000-0000-000077140000}"/>
    <cellStyle name="Percent 9 5 2 2" xfId="4920" xr:uid="{00000000-0005-0000-0000-000078140000}"/>
    <cellStyle name="Percent 9 5 2 3" xfId="5015" xr:uid="{00000000-0005-0000-0000-000079140000}"/>
    <cellStyle name="Percent 9 5 3" xfId="4846" xr:uid="{00000000-0005-0000-0000-00007A140000}"/>
    <cellStyle name="Percent 9 5 4" xfId="5083" xr:uid="{00000000-0005-0000-0000-00007B140000}"/>
    <cellStyle name="Percent 9 6" xfId="348" xr:uid="{00000000-0005-0000-0000-00007C140000}"/>
    <cellStyle name="Percent 9 6 2" xfId="586" xr:uid="{00000000-0005-0000-0000-00007D140000}"/>
    <cellStyle name="Percent 9 6 2 2" xfId="4944" xr:uid="{00000000-0005-0000-0000-00007E140000}"/>
    <cellStyle name="Percent 9 6 2 3" xfId="4991" xr:uid="{00000000-0005-0000-0000-00007F140000}"/>
    <cellStyle name="Percent 9 6 3" xfId="4870" xr:uid="{00000000-0005-0000-0000-000080140000}"/>
    <cellStyle name="Percent 9 6 4" xfId="5059" xr:uid="{00000000-0005-0000-0000-000081140000}"/>
    <cellStyle name="Percent 9 7" xfId="456" xr:uid="{00000000-0005-0000-0000-000082140000}"/>
    <cellStyle name="Percent 9 7 2" xfId="4896" xr:uid="{00000000-0005-0000-0000-000083140000}"/>
    <cellStyle name="Percent 9 7 3" xfId="5039" xr:uid="{00000000-0005-0000-0000-000084140000}"/>
    <cellStyle name="Percent 9 8" xfId="4820" xr:uid="{00000000-0005-0000-0000-000085140000}"/>
    <cellStyle name="Percent 9 9" xfId="5103" xr:uid="{00000000-0005-0000-0000-000086140000}"/>
    <cellStyle name="Reporting Bold" xfId="4539" xr:uid="{00000000-0005-0000-0000-000087140000}"/>
    <cellStyle name="Reporting Bold 12" xfId="4540" xr:uid="{00000000-0005-0000-0000-000088140000}"/>
    <cellStyle name="Reporting Bold 14" xfId="4541" xr:uid="{00000000-0005-0000-0000-000089140000}"/>
    <cellStyle name="Reporting Normal" xfId="4542" xr:uid="{00000000-0005-0000-0000-00008A140000}"/>
    <cellStyle name="Subheader" xfId="4543" xr:uid="{00000000-0005-0000-0000-00008B140000}"/>
    <cellStyle name="Title" xfId="4757" builtinId="15" customBuiltin="1"/>
    <cellStyle name="Title 2" xfId="139" xr:uid="{00000000-0005-0000-0000-00008D140000}"/>
    <cellStyle name="Title 3" xfId="140" xr:uid="{00000000-0005-0000-0000-00008E140000}"/>
    <cellStyle name="Title 4" xfId="141" xr:uid="{00000000-0005-0000-0000-00008F140000}"/>
    <cellStyle name="Total" xfId="4772" builtinId="25" customBuiltin="1"/>
    <cellStyle name="Total 2" xfId="142" xr:uid="{00000000-0005-0000-0000-000091140000}"/>
    <cellStyle name="Total 3" xfId="143" xr:uid="{00000000-0005-0000-0000-000092140000}"/>
    <cellStyle name="Total 4" xfId="144" xr:uid="{00000000-0005-0000-0000-000093140000}"/>
    <cellStyle name="Warning Text" xfId="4770" builtinId="11" customBuiltin="1"/>
    <cellStyle name="Warning Text 2" xfId="145" xr:uid="{00000000-0005-0000-0000-000095140000}"/>
    <cellStyle name="Warning Text 3" xfId="146" xr:uid="{00000000-0005-0000-0000-000096140000}"/>
    <cellStyle name="Warning Text 4" xfId="147" xr:uid="{00000000-0005-0000-0000-000097140000}"/>
  </cellStyles>
  <dxfs count="30">
    <dxf>
      <font>
        <color rgb="FF9C0006"/>
      </font>
      <fill>
        <patternFill>
          <bgColor rgb="FFFFC7CE"/>
        </patternFill>
      </fill>
    </dxf>
    <dxf>
      <font>
        <color rgb="FF006100"/>
      </font>
      <fill>
        <patternFill>
          <bgColor rgb="FFC6EFCE"/>
        </patternFill>
      </fill>
    </dxf>
    <dxf>
      <fill>
        <patternFill>
          <bgColor rgb="FFFFCC99"/>
        </patternFill>
      </fill>
    </dxf>
    <dxf>
      <fill>
        <patternFill>
          <bgColor rgb="FFFFFF99"/>
        </patternFill>
      </fill>
    </dxf>
    <dxf>
      <fill>
        <patternFill>
          <bgColor rgb="FFCCFFCC"/>
        </patternFill>
      </fill>
    </dxf>
    <dxf>
      <fill>
        <patternFill>
          <bgColor rgb="FF99CCFF"/>
        </patternFill>
      </fill>
    </dxf>
    <dxf>
      <fill>
        <patternFill>
          <bgColor rgb="FFCC99F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rgb="FF26181E"/>
      </font>
      <border>
        <left style="thin">
          <color rgb="FFDEB408"/>
        </left>
        <right style="thin">
          <color rgb="FFDEB408"/>
        </right>
        <top style="thin">
          <color rgb="FFDEB408"/>
        </top>
        <bottom style="thick">
          <color rgb="FFDEB408"/>
        </bottom>
        <vertical style="thin">
          <color rgb="FFDEB408"/>
        </vertical>
        <horizontal style="thin">
          <color rgb="FFDEB408"/>
        </horizontal>
      </border>
    </dxf>
    <dxf>
      <font>
        <color rgb="FF26181E"/>
      </font>
      <border>
        <left style="thin">
          <color rgb="FFDEB408"/>
        </left>
        <right style="thin">
          <color rgb="FFDEB408"/>
        </right>
        <top style="thin">
          <color rgb="FFDEB408"/>
        </top>
        <bottom style="thin">
          <color rgb="FFDEB408"/>
        </bottom>
        <vertical style="thin">
          <color rgb="FFDEB408"/>
        </vertical>
        <horizontal style="thin">
          <color rgb="FFDEB408"/>
        </horizontal>
      </border>
    </dxf>
  </dxfs>
  <tableStyles count="1" defaultTableStyle="TableStyleMedium2" defaultPivotStyle="PivotStyleLight16">
    <tableStyle name="Ravenswood" pivot="0" count="2" xr9:uid="{00000000-0011-0000-FFFF-FFFF00000000}">
      <tableStyleElement type="wholeTable" dxfId="29"/>
      <tableStyleElement type="headerRow" dxfId="28"/>
    </tableStyle>
  </tableStyles>
  <colors>
    <mruColors>
      <color rgb="FFCC99FF"/>
      <color rgb="FF99CCFF"/>
      <color rgb="FFFFCC99"/>
      <color rgb="FFCC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file:///C:\SLR%20Workgroup%20Files\Templates\Logos\SLR\Letter_Logo_A4.png"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977900</xdr:colOff>
      <xdr:row>3</xdr:row>
      <xdr:rowOff>163512</xdr:rowOff>
    </xdr:from>
    <xdr:to>
      <xdr:col>1</xdr:col>
      <xdr:colOff>2216150</xdr:colOff>
      <xdr:row>4</xdr:row>
      <xdr:rowOff>0</xdr:rowOff>
    </xdr:to>
    <xdr:pic>
      <xdr:nvPicPr>
        <xdr:cNvPr id="2" name="Picture 1" descr="C:\SLR Workgroup Files\Templates\Logos\SLR\Letter_Logo_A4.png">
          <a:extLst>
            <a:ext uri="{FF2B5EF4-FFF2-40B4-BE49-F238E27FC236}">
              <a16:creationId xmlns:a16="http://schemas.microsoft.com/office/drawing/2014/main" id="{CEFF723D-1356-45C4-820B-155945E9FA5E}"/>
            </a:ext>
          </a:extLst>
        </xdr:cNvPr>
        <xdr:cNvPicPr/>
      </xdr:nvPicPr>
      <xdr:blipFill>
        <a:blip xmlns:r="http://schemas.openxmlformats.org/officeDocument/2006/relationships" r:link="rId1" cstate="print">
          <a:extLst>
            <a:ext uri="{28A0092B-C50C-407E-A947-70E740481C1C}">
              <a14:useLocalDpi xmlns:a14="http://schemas.microsoft.com/office/drawing/2010/main" val="0"/>
            </a:ext>
          </a:extLst>
        </a:blip>
        <a:srcRect/>
        <a:stretch>
          <a:fillRect/>
        </a:stretch>
      </xdr:blipFill>
      <xdr:spPr bwMode="auto">
        <a:xfrm>
          <a:off x="2197100" y="1230312"/>
          <a:ext cx="1238250" cy="46038"/>
        </a:xfrm>
        <a:prstGeom prst="rect">
          <a:avLst/>
        </a:prstGeom>
        <a:noFill/>
        <a:ln>
          <a:noFill/>
        </a:ln>
      </xdr:spPr>
    </xdr:pic>
    <xdr:clientData/>
  </xdr:twoCellAnchor>
  <xdr:twoCellAnchor>
    <xdr:from>
      <xdr:col>0</xdr:col>
      <xdr:colOff>56030</xdr:colOff>
      <xdr:row>1</xdr:row>
      <xdr:rowOff>153189</xdr:rowOff>
    </xdr:from>
    <xdr:to>
      <xdr:col>5</xdr:col>
      <xdr:colOff>22412</xdr:colOff>
      <xdr:row>1</xdr:row>
      <xdr:rowOff>179294</xdr:rowOff>
    </xdr:to>
    <xdr:sp macro="" textlink="">
      <xdr:nvSpPr>
        <xdr:cNvPr id="3" name="Line 1">
          <a:extLst>
            <a:ext uri="{FF2B5EF4-FFF2-40B4-BE49-F238E27FC236}">
              <a16:creationId xmlns:a16="http://schemas.microsoft.com/office/drawing/2014/main" id="{87821299-AA58-4B7F-A240-98C3D205420A}"/>
            </a:ext>
          </a:extLst>
        </xdr:cNvPr>
        <xdr:cNvSpPr>
          <a:spLocks noChangeShapeType="1"/>
        </xdr:cNvSpPr>
      </xdr:nvSpPr>
      <xdr:spPr bwMode="auto">
        <a:xfrm>
          <a:off x="56030" y="667539"/>
          <a:ext cx="7291107" cy="26105"/>
        </a:xfrm>
        <a:prstGeom prst="line">
          <a:avLst/>
        </a:prstGeom>
        <a:noFill/>
        <a:ln w="57150" cmpd="thinThick">
          <a:solidFill>
            <a:srgbClr val="003366"/>
          </a:solidFill>
          <a:round/>
          <a:headEnd/>
          <a:tailEnd/>
        </a:ln>
      </xdr:spPr>
      <xdr:txBody>
        <a:bodyPr/>
        <a:lstStyle/>
        <a:p>
          <a:endParaRPr lang="en-AU"/>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6</xdr:col>
      <xdr:colOff>0</xdr:colOff>
      <xdr:row>6</xdr:row>
      <xdr:rowOff>30655</xdr:rowOff>
    </xdr:to>
    <xdr:pic>
      <xdr:nvPicPr>
        <xdr:cNvPr id="2" name="Picture 1" descr="http://www.greekfest.com.au/img/glencore-logo.png">
          <a:extLst>
            <a:ext uri="{FF2B5EF4-FFF2-40B4-BE49-F238E27FC236}">
              <a16:creationId xmlns:a16="http://schemas.microsoft.com/office/drawing/2014/main" id="{B8A71C11-C294-4E7B-91E3-DF886EB7AAA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295275"/>
          <a:ext cx="0" cy="229437"/>
        </a:xfrm>
        <a:prstGeom prst="rect">
          <a:avLst/>
        </a:prstGeom>
        <a:noFill/>
        <a:ln>
          <a:noFill/>
        </a:ln>
      </xdr:spPr>
    </xdr:pic>
    <xdr:clientData/>
  </xdr:twoCellAnchor>
  <xdr:twoCellAnchor editAs="oneCell">
    <xdr:from>
      <xdr:col>6</xdr:col>
      <xdr:colOff>0</xdr:colOff>
      <xdr:row>4</xdr:row>
      <xdr:rowOff>0</xdr:rowOff>
    </xdr:from>
    <xdr:to>
      <xdr:col>6</xdr:col>
      <xdr:colOff>0</xdr:colOff>
      <xdr:row>6</xdr:row>
      <xdr:rowOff>30868</xdr:rowOff>
    </xdr:to>
    <xdr:pic>
      <xdr:nvPicPr>
        <xdr:cNvPr id="3" name="Picture 2" descr="http://www.greekfest.com.au/img/glencore-logo.png">
          <a:extLst>
            <a:ext uri="{FF2B5EF4-FFF2-40B4-BE49-F238E27FC236}">
              <a16:creationId xmlns:a16="http://schemas.microsoft.com/office/drawing/2014/main" id="{C51564E6-CE1F-46A0-8125-65BC361B9D4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295275"/>
          <a:ext cx="0" cy="229650"/>
        </a:xfrm>
        <a:prstGeom prst="rect">
          <a:avLst/>
        </a:prstGeom>
        <a:noFill/>
        <a:ln>
          <a:noFill/>
        </a:ln>
      </xdr:spPr>
    </xdr:pic>
    <xdr:clientData/>
  </xdr:twoCellAnchor>
  <xdr:twoCellAnchor editAs="oneCell">
    <xdr:from>
      <xdr:col>6</xdr:col>
      <xdr:colOff>0</xdr:colOff>
      <xdr:row>3</xdr:row>
      <xdr:rowOff>56029</xdr:rowOff>
    </xdr:from>
    <xdr:to>
      <xdr:col>6</xdr:col>
      <xdr:colOff>0</xdr:colOff>
      <xdr:row>5</xdr:row>
      <xdr:rowOff>89150</xdr:rowOff>
    </xdr:to>
    <xdr:pic>
      <xdr:nvPicPr>
        <xdr:cNvPr id="4" name="Picture 3" descr="http://www.greekfest.com.au/img/glencore-logo.png">
          <a:extLst>
            <a:ext uri="{FF2B5EF4-FFF2-40B4-BE49-F238E27FC236}">
              <a16:creationId xmlns:a16="http://schemas.microsoft.com/office/drawing/2014/main" id="{6FF52023-D1FF-4992-811E-1715B7387D2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295275"/>
          <a:ext cx="0" cy="231904"/>
        </a:xfrm>
        <a:prstGeom prst="rect">
          <a:avLst/>
        </a:prstGeom>
        <a:noFill/>
        <a:ln>
          <a:noFill/>
        </a:ln>
      </xdr:spPr>
    </xdr:pic>
    <xdr:clientData/>
  </xdr:twoCellAnchor>
  <xdr:twoCellAnchor editAs="oneCell">
    <xdr:from>
      <xdr:col>6</xdr:col>
      <xdr:colOff>0</xdr:colOff>
      <xdr:row>3</xdr:row>
      <xdr:rowOff>56029</xdr:rowOff>
    </xdr:from>
    <xdr:to>
      <xdr:col>6</xdr:col>
      <xdr:colOff>0</xdr:colOff>
      <xdr:row>5</xdr:row>
      <xdr:rowOff>120795</xdr:rowOff>
    </xdr:to>
    <xdr:pic>
      <xdr:nvPicPr>
        <xdr:cNvPr id="5" name="Picture 4" descr="http://www.greekfest.com.au/img/glencore-logo.png">
          <a:extLst>
            <a:ext uri="{FF2B5EF4-FFF2-40B4-BE49-F238E27FC236}">
              <a16:creationId xmlns:a16="http://schemas.microsoft.com/office/drawing/2014/main" id="{B56D93B7-FA89-425A-845F-CC1D5316FAD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3975" y="295275"/>
          <a:ext cx="0" cy="26354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than\Downloads\rs-ca-mining-erc-calculator%20(3).xlsx" TargetMode="External"/><Relationship Id="rId1" Type="http://schemas.openxmlformats.org/officeDocument/2006/relationships/externalLinkPath" Target="file:///C:\Users\Nathan\Downloads\rs-ca-mining-erc-calculator%20(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ema-my.sharepoint.com/personal/nathan_archer_iema_com_au/Documents/Desktop/rehabilitation-cost-estimation-tool-revised%20(1).xlsm" TargetMode="External"/><Relationship Id="rId1" Type="http://schemas.openxmlformats.org/officeDocument/2006/relationships/externalLinkPath" Target="https://iema.sharepoint.com/personal/nathan_archer_iema_com_au/Documents/Desktop/rehabilitation-cost-estimation-tool-revised%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rms-con"/>
      <sheetName val="CONTENTS"/>
      <sheetName val="Registration"/>
      <sheetName val="Subrates"/>
      <sheetName val="TOV"/>
      <sheetName val="Summary"/>
      <sheetName val="1. Eligible Mining Activities"/>
      <sheetName val="2. Exploration"/>
      <sheetName val="3. Infrastructure"/>
      <sheetName val="4. Process Equipment"/>
      <sheetName val="5. Water Storage"/>
      <sheetName val="6. Water Treatment"/>
      <sheetName val="7. Overburden Dumps Piles"/>
      <sheetName val="8. Heap Leach Pads"/>
      <sheetName val="9. Tailings Storage Facilities"/>
      <sheetName val="10. Pits"/>
      <sheetName val="11.Underground Mines"/>
      <sheetName val="12. Ports"/>
      <sheetName val="13. Investigation Contamination"/>
      <sheetName val="14. General Land Rehabilitation"/>
      <sheetName val="15. Mobilisation and User"/>
      <sheetName val="User Input Sheet"/>
      <sheetName val="Qty Summary"/>
      <sheetName val="Waste Register"/>
      <sheetName val="Capping Alerts"/>
      <sheetName val="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Registration"/>
      <sheetName val="Exploration Registration"/>
      <sheetName val="Open Cut Summary Report"/>
      <sheetName val="Open Cut &amp; UG Summary Report"/>
      <sheetName val="Underground Summary Report"/>
      <sheetName val="Exploration Summary Report"/>
      <sheetName val="Open_Cut (1)"/>
      <sheetName val="Open_Cut_&amp;_UG (1)"/>
      <sheetName val="Underground (1)"/>
      <sheetName val="Exploration (1)"/>
      <sheetName val="Exploration (2)"/>
      <sheetName val="Exploration (3)"/>
      <sheetName val="Open_Cut (2)"/>
      <sheetName val="Open_Cut (3)"/>
      <sheetName val="Underground (2)"/>
      <sheetName val="Underground (3)"/>
      <sheetName val="Open_Cut_&amp;_UG (2)"/>
      <sheetName val="Open_Cut_&amp;_UG (3)"/>
      <sheetName val="Assumptions"/>
      <sheetName val="System"/>
      <sheetName val="Rate Change Justification"/>
      <sheetName val="Definitions"/>
      <sheetName val="Cost Schedul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BBD675D-C414-40CC-ABDE-7F148749733B}"/>
</namedSheetViews>
</file>

<file path=xl/persons/person.xml><?xml version="1.0" encoding="utf-8"?>
<personList xmlns="http://schemas.microsoft.com/office/spreadsheetml/2018/threadedcomments" xmlns:x="http://schemas.openxmlformats.org/spreadsheetml/2006/main">
  <person displayName="Nathan Archer" id="{8DCF7665-CC1C-429A-8D77-3D6A79B1061E}" userId="S::nathan.archer@iema.com.au::d1976bda-296e-4237-8c7d-05e1886f7982" providerId="AD"/>
  <person displayName="Jessica Coffey" id="{FB3E6B5E-61D4-4716-B4BC-A8781BFCB003}" userId="S::jessica.coffey@iema.com.au::93d9c93a-74c9-4135-aaa8-cbbab8992254" providerId="AD"/>
  <person displayName="Shooya, Simeon (Oaky Creek North - AU)" id="{F4B456AF-3197-49E2-BE83-471E5059A670}" userId="S::simeon.shooya@glencore.com.au::5e8086c6-0aaa-4f8e-a633-c4284861759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51" dT="2024-09-03T23:00:09.85" personId="{FB3E6B5E-61D4-4716-B4BC-A8781BFCB003}" id="{2BDDD5AD-F676-491B-A278-67F7566E628D}">
    <text>Does the UG mine finish up before the open cuts? i.e. would any of these UG costs be completed by LOM?</text>
  </threadedComment>
</ThreadedComments>
</file>

<file path=xl/threadedComments/threadedComment2.xml><?xml version="1.0" encoding="utf-8"?>
<ThreadedComments xmlns="http://schemas.microsoft.com/office/spreadsheetml/2018/threadedcomments" xmlns:x="http://schemas.openxmlformats.org/spreadsheetml/2006/main">
  <threadedComment ref="I18" dT="2024-06-18T01:10:38.82" personId="{F4B456AF-3197-49E2-BE83-471E5059A670}" id="{8E68307A-1256-4C46-88B8-7A0D47EAFEF7}">
    <text>Reprofiling from 15% to 10% to remedy eroded surface or shape</text>
  </threadedComment>
</ThreadedComments>
</file>

<file path=xl/threadedComments/threadedComment3.xml><?xml version="1.0" encoding="utf-8"?>
<ThreadedComments xmlns="http://schemas.microsoft.com/office/spreadsheetml/2018/threadedcomments" xmlns:x="http://schemas.openxmlformats.org/spreadsheetml/2006/main">
  <threadedComment ref="D80" dT="2024-02-26T05:51:16.22" personId="{8DCF7665-CC1C-429A-8D77-3D6A79B1061E}" id="{6DA02A36-F776-4C0E-BFAD-65E4080AAC03}">
    <text>These items are different for Qld - per ha rate for various road types</text>
  </threadedComment>
  <threadedComment ref="D122" dT="2024-02-26T06:00:36.35" personId="{8DCF7665-CC1C-429A-8D77-3D6A79B1061E}" id="{F9FC82AF-947F-4E20-BFBC-14032AEFD618}">
    <text>NSW rate now allows for grout filling at 7250 per LM</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9/04/relationships/namedSheetView" Target="../namedSheetViews/namedSheetView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32910-8AEF-4CFA-99FE-C69F0D0D8AF3}">
  <dimension ref="A1:B14"/>
  <sheetViews>
    <sheetView tabSelected="1" workbookViewId="0">
      <selection activeCell="A3" sqref="A3"/>
    </sheetView>
  </sheetViews>
  <sheetFormatPr defaultColWidth="37.21875" defaultRowHeight="13.2"/>
  <cols>
    <col min="1" max="1" width="50.21875" bestFit="1" customWidth="1"/>
    <col min="2" max="2" width="31" bestFit="1" customWidth="1"/>
  </cols>
  <sheetData>
    <row r="1" spans="1:2">
      <c r="A1" s="260" t="s">
        <v>0</v>
      </c>
      <c r="B1" s="261" t="s">
        <v>1</v>
      </c>
    </row>
    <row r="2" spans="1:2">
      <c r="A2" s="262" t="s">
        <v>2</v>
      </c>
      <c r="B2" s="263">
        <v>74443157.553827718</v>
      </c>
    </row>
    <row r="3" spans="1:2">
      <c r="A3" s="262" t="s">
        <v>3</v>
      </c>
      <c r="B3" s="264">
        <v>126403008.3686083</v>
      </c>
    </row>
    <row r="4" spans="1:2">
      <c r="A4" s="262" t="s">
        <v>4</v>
      </c>
      <c r="B4" s="264">
        <v>26410703.889455151</v>
      </c>
    </row>
    <row r="5" spans="1:2">
      <c r="A5" s="262" t="s">
        <v>5</v>
      </c>
      <c r="B5" s="264">
        <v>216537686.30336127</v>
      </c>
    </row>
    <row r="6" spans="1:2">
      <c r="A6" s="262" t="s">
        <v>6</v>
      </c>
      <c r="B6" s="263">
        <v>5720137.5230354937</v>
      </c>
    </row>
    <row r="7" spans="1:2">
      <c r="A7" s="262" t="s">
        <v>7</v>
      </c>
      <c r="B7" s="263">
        <v>23229568.37607855</v>
      </c>
    </row>
    <row r="8" spans="1:2">
      <c r="A8" s="262" t="s">
        <v>8</v>
      </c>
      <c r="B8" s="263">
        <v>0</v>
      </c>
    </row>
    <row r="9" spans="1:2">
      <c r="A9" s="262" t="s">
        <v>9</v>
      </c>
      <c r="B9" s="263">
        <v>18102519.693420276</v>
      </c>
    </row>
    <row r="10" spans="1:2">
      <c r="A10" s="262" t="s">
        <v>10</v>
      </c>
      <c r="B10" s="263">
        <v>1137592.0080190552</v>
      </c>
    </row>
    <row r="11" spans="1:2">
      <c r="A11" s="262" t="s">
        <v>11</v>
      </c>
      <c r="B11" s="263">
        <v>2130821.2976986319</v>
      </c>
    </row>
    <row r="12" spans="1:2">
      <c r="A12" s="262" t="s">
        <v>12</v>
      </c>
      <c r="B12" s="264">
        <v>172940318.25472656</v>
      </c>
    </row>
    <row r="13" spans="1:2">
      <c r="A13" s="262" t="s">
        <v>13</v>
      </c>
      <c r="B13" s="264">
        <v>232944486.73176911</v>
      </c>
    </row>
    <row r="14" spans="1:2">
      <c r="A14" s="265" t="s">
        <v>14</v>
      </c>
      <c r="B14" s="266">
        <f>SUM(B2:B13)</f>
        <v>900000000</v>
      </c>
    </row>
  </sheetData>
  <conditionalFormatting sqref="A1">
    <cfRule type="duplicateValues" dxfId="27"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3C448-5847-47CF-AA6C-3C8ED12AF1C2}">
  <sheetPr>
    <outlinePr summaryBelow="0"/>
    <pageSetUpPr fitToPage="1"/>
  </sheetPr>
  <dimension ref="A1:AG791"/>
  <sheetViews>
    <sheetView topLeftCell="A36" zoomScaleNormal="100" workbookViewId="0">
      <selection activeCell="A29" sqref="A29"/>
    </sheetView>
  </sheetViews>
  <sheetFormatPr defaultColWidth="9.21875" defaultRowHeight="13.2" outlineLevelRow="1"/>
  <cols>
    <col min="1" max="1" width="18.21875" style="20" customWidth="1"/>
    <col min="2" max="2" width="64" style="20" customWidth="1"/>
    <col min="3" max="3" width="14.21875" style="151" customWidth="1"/>
    <col min="4" max="4" width="7.21875" style="20" customWidth="1"/>
    <col min="5" max="5" width="6" style="20" customWidth="1"/>
    <col min="6" max="6" width="15" style="100" customWidth="1"/>
    <col min="7" max="7" width="19.44140625" style="32" customWidth="1"/>
    <col min="8" max="8" width="37.21875" style="180" customWidth="1"/>
    <col min="9" max="9" width="15.21875" customWidth="1"/>
    <col min="10" max="13" width="15.21875" style="20" customWidth="1"/>
    <col min="14" max="14" width="14.5546875" style="20" bestFit="1" customWidth="1"/>
    <col min="15" max="15" width="13.44140625" style="20" bestFit="1" customWidth="1"/>
    <col min="16" max="16" width="14.5546875" style="20" bestFit="1" customWidth="1"/>
    <col min="17" max="29" width="13.44140625" style="20" bestFit="1" customWidth="1"/>
    <col min="30" max="30" width="9.77734375" style="20" bestFit="1" customWidth="1"/>
    <col min="31" max="31" width="13.21875" style="20" bestFit="1" customWidth="1"/>
    <col min="32" max="16384" width="9.21875" style="20"/>
  </cols>
  <sheetData>
    <row r="1" spans="1:10" ht="42">
      <c r="A1" s="240" t="s">
        <v>15</v>
      </c>
      <c r="B1" s="241" t="s">
        <v>16</v>
      </c>
      <c r="C1" s="150"/>
      <c r="F1" s="311" t="s">
        <v>17</v>
      </c>
      <c r="G1" s="200">
        <v>45536</v>
      </c>
      <c r="H1" s="20"/>
      <c r="I1" s="20"/>
    </row>
    <row r="2" spans="1:10" ht="30" customHeight="1">
      <c r="F2" s="312"/>
      <c r="G2" s="201">
        <f>G474</f>
        <v>900000000.00000012</v>
      </c>
      <c r="H2" s="20"/>
      <c r="I2" s="20"/>
    </row>
    <row r="3" spans="1:10" ht="13.8" outlineLevel="1" thickBot="1">
      <c r="I3" s="20"/>
    </row>
    <row r="4" spans="1:10" ht="16.2" thickBot="1">
      <c r="A4" s="177"/>
      <c r="B4" s="30"/>
      <c r="C4" s="152"/>
      <c r="D4" s="30"/>
      <c r="E4" s="30"/>
      <c r="F4" s="101"/>
      <c r="G4" s="31"/>
      <c r="H4" s="181"/>
    </row>
    <row r="5" spans="1:10" ht="20.399999999999999">
      <c r="A5" s="33" t="s">
        <v>0</v>
      </c>
      <c r="B5" s="33" t="s">
        <v>18</v>
      </c>
      <c r="C5" s="153" t="s">
        <v>19</v>
      </c>
      <c r="D5" s="33" t="s">
        <v>20</v>
      </c>
      <c r="E5" s="34" t="s">
        <v>21</v>
      </c>
      <c r="F5" s="102" t="s">
        <v>22</v>
      </c>
      <c r="G5" s="35" t="s">
        <v>1</v>
      </c>
      <c r="H5" s="63" t="s">
        <v>23</v>
      </c>
      <c r="J5" s="21"/>
    </row>
    <row r="6" spans="1:10" customFormat="1">
      <c r="A6" s="52" t="s">
        <v>2</v>
      </c>
      <c r="B6" s="52"/>
      <c r="C6" s="154"/>
      <c r="D6" s="52"/>
      <c r="E6" s="52"/>
      <c r="F6" s="103"/>
      <c r="G6" s="62">
        <f>SUM(G7,G19,G25,G29,G46,G54,G57,G108,G60,G71,G84,G93,G102)</f>
        <v>74443157.553827718</v>
      </c>
      <c r="H6" s="182"/>
    </row>
    <row r="7" spans="1:10" customFormat="1">
      <c r="A7" s="37" t="s">
        <v>24</v>
      </c>
      <c r="B7" s="38"/>
      <c r="C7" s="155"/>
      <c r="D7" s="38"/>
      <c r="E7" s="38"/>
      <c r="F7" s="104"/>
      <c r="G7" s="50">
        <f>SUM(G8,G14,G16)</f>
        <v>5591103.4650282953</v>
      </c>
      <c r="H7" s="183"/>
      <c r="J7" s="28"/>
    </row>
    <row r="8" spans="1:10" customFormat="1">
      <c r="A8" s="39" t="s">
        <v>25</v>
      </c>
      <c r="B8" s="47"/>
      <c r="C8" s="156"/>
      <c r="D8" s="45"/>
      <c r="E8" s="45"/>
      <c r="F8" s="105"/>
      <c r="G8" s="51">
        <f>SUM(G9:G13)</f>
        <v>4487897.290408249</v>
      </c>
      <c r="H8" s="184"/>
      <c r="J8" s="28"/>
    </row>
    <row r="9" spans="1:10" customFormat="1" ht="20.399999999999999">
      <c r="A9" s="36">
        <v>1.0009999999999999</v>
      </c>
      <c r="B9" s="29" t="s">
        <v>26</v>
      </c>
      <c r="C9" s="158">
        <v>1</v>
      </c>
      <c r="D9" s="19" t="s">
        <v>27</v>
      </c>
      <c r="E9" s="18">
        <v>1.01</v>
      </c>
      <c r="F9" s="106">
        <f>VLOOKUP(E9,'2024 Cost Schedule for Tool'!$C$9:$F$299,4,0)</f>
        <v>47518.456584579908</v>
      </c>
      <c r="G9" s="51">
        <f>IF(D9="",0,C9*F9)</f>
        <v>47518.456584579908</v>
      </c>
      <c r="H9" s="185" t="s">
        <v>28</v>
      </c>
      <c r="J9" s="28"/>
    </row>
    <row r="10" spans="1:10" customFormat="1">
      <c r="A10" s="36">
        <v>1.0019999999999998</v>
      </c>
      <c r="B10" s="29" t="s">
        <v>29</v>
      </c>
      <c r="C10" s="158">
        <v>12531.099215980799</v>
      </c>
      <c r="D10" s="19" t="s">
        <v>30</v>
      </c>
      <c r="E10" s="18">
        <v>1.0900000000000001</v>
      </c>
      <c r="F10" s="106">
        <f>VLOOKUP(E10,'2024 Cost Schedule for Tool'!$C$9:$F$299,4,0)</f>
        <v>91.359912796107665</v>
      </c>
      <c r="G10" s="51">
        <f>IF(D10="",0,C10*F10)</f>
        <v>1144840.1316113789</v>
      </c>
      <c r="H10" s="185" t="s">
        <v>31</v>
      </c>
      <c r="J10" s="28"/>
    </row>
    <row r="11" spans="1:10" customFormat="1" ht="20.399999999999999">
      <c r="A11" s="36">
        <v>1.0029999999999997</v>
      </c>
      <c r="B11" s="29" t="s">
        <v>32</v>
      </c>
      <c r="C11" s="158">
        <v>13784.20913757888</v>
      </c>
      <c r="D11" s="19" t="s">
        <v>30</v>
      </c>
      <c r="E11" s="18">
        <v>1.43</v>
      </c>
      <c r="F11" s="106">
        <f>VLOOKUP(E11,'2024 Cost Schedule for Tool'!$C$9:$F$299,4,0)</f>
        <v>41.116034141798181</v>
      </c>
      <c r="G11" s="51">
        <f>IF(D11="",0,C11*F11)</f>
        <v>566752.01351837977</v>
      </c>
      <c r="H11" s="185" t="s">
        <v>33</v>
      </c>
      <c r="J11" s="28"/>
    </row>
    <row r="12" spans="1:10" customFormat="1" ht="20.399999999999999">
      <c r="A12" s="36">
        <v>1.0039999999999996</v>
      </c>
      <c r="B12" s="29" t="s">
        <v>34</v>
      </c>
      <c r="C12" s="158">
        <v>14731.545381279999</v>
      </c>
      <c r="D12" s="19" t="s">
        <v>35</v>
      </c>
      <c r="E12" s="18">
        <v>1.1000000000000001</v>
      </c>
      <c r="F12" s="106">
        <f>VLOOKUP(E12,'2024 Cost Schedule for Tool'!$C$9:$F$299,4,0)</f>
        <v>92.29786479442501</v>
      </c>
      <c r="G12" s="51">
        <f>IF(D12="",0,C12*F12)</f>
        <v>1359690.1838143175</v>
      </c>
      <c r="H12" s="185" t="s">
        <v>36</v>
      </c>
      <c r="J12" s="28"/>
    </row>
    <row r="13" spans="1:10" customFormat="1" ht="20.399999999999999">
      <c r="A13" s="36">
        <v>1.0049999999999994</v>
      </c>
      <c r="B13" s="29" t="s">
        <v>37</v>
      </c>
      <c r="C13" s="158">
        <v>16205.201845996799</v>
      </c>
      <c r="D13" s="19" t="s">
        <v>30</v>
      </c>
      <c r="E13" s="18">
        <v>1.44</v>
      </c>
      <c r="F13" s="106">
        <f>VLOOKUP(E13,'2024 Cost Schedule for Tool'!$C$9:$F$299,4,0)</f>
        <v>84.485001661229134</v>
      </c>
      <c r="G13" s="51">
        <f>IF(D13="",0,C13*F13)</f>
        <v>1369096.5048795929</v>
      </c>
      <c r="H13" s="185" t="s">
        <v>33</v>
      </c>
      <c r="J13" s="28"/>
    </row>
    <row r="14" spans="1:10" customFormat="1">
      <c r="A14" s="39" t="s">
        <v>38</v>
      </c>
      <c r="B14" s="44"/>
      <c r="C14" s="157">
        <v>0</v>
      </c>
      <c r="D14" s="45"/>
      <c r="E14" s="45"/>
      <c r="F14" s="105"/>
      <c r="G14" s="51">
        <f>SUM(G15)</f>
        <v>982125.64649712131</v>
      </c>
      <c r="H14" s="186"/>
      <c r="J14" s="28"/>
    </row>
    <row r="15" spans="1:10" customFormat="1" ht="20.399999999999999">
      <c r="A15" s="36">
        <v>1.0059999999999993</v>
      </c>
      <c r="B15" s="29" t="s">
        <v>39</v>
      </c>
      <c r="C15" s="158">
        <v>171335.15071982399</v>
      </c>
      <c r="D15" s="19" t="s">
        <v>40</v>
      </c>
      <c r="E15" s="18">
        <v>3.08</v>
      </c>
      <c r="F15" s="106">
        <f>VLOOKUP(E15,'2024 Cost Schedule for Tool'!$C$9:$F$299,4,0)</f>
        <v>5.732190051900929</v>
      </c>
      <c r="G15" s="51">
        <f>IF(D15="",0,C15*F15)</f>
        <v>982125.64649712131</v>
      </c>
      <c r="H15" s="185" t="s">
        <v>41</v>
      </c>
      <c r="J15" s="28"/>
    </row>
    <row r="16" spans="1:10" customFormat="1">
      <c r="A16" s="39" t="s">
        <v>42</v>
      </c>
      <c r="B16" s="44"/>
      <c r="C16" s="157">
        <v>0</v>
      </c>
      <c r="D16" s="45"/>
      <c r="E16" s="45"/>
      <c r="F16" s="105"/>
      <c r="G16" s="51">
        <f>SUM(G17:G18)</f>
        <v>121080.52812292517</v>
      </c>
      <c r="H16" s="186"/>
      <c r="J16" s="28"/>
    </row>
    <row r="17" spans="1:10" customFormat="1">
      <c r="A17" s="36">
        <v>1.0069999999999992</v>
      </c>
      <c r="B17" s="29" t="s">
        <v>43</v>
      </c>
      <c r="C17" s="158">
        <v>1003.8531776</v>
      </c>
      <c r="D17" s="19" t="s">
        <v>40</v>
      </c>
      <c r="E17" s="18">
        <v>4.12</v>
      </c>
      <c r="F17" s="106">
        <f>VLOOKUP(E17,'2024 Cost Schedule for Tool'!$C$9:$F$299,4,0)</f>
        <v>84.485001661229134</v>
      </c>
      <c r="G17" s="51">
        <f>IF(D17="",0,C17*F17)</f>
        <v>84810.53737716614</v>
      </c>
      <c r="H17" s="185" t="s">
        <v>44</v>
      </c>
      <c r="J17" s="28"/>
    </row>
    <row r="18" spans="1:10" customFormat="1">
      <c r="A18" s="36">
        <v>1.0079999999999991</v>
      </c>
      <c r="B18" s="29" t="s">
        <v>45</v>
      </c>
      <c r="C18" s="158">
        <v>0.93329600000000013</v>
      </c>
      <c r="D18" s="19" t="s">
        <v>46</v>
      </c>
      <c r="E18" s="18" t="s">
        <v>47</v>
      </c>
      <c r="F18" s="106">
        <f>VLOOKUP(E18,'2024 Cost Schedule for Tool'!$C$9:$F$299,4,0)</f>
        <v>38862.258860810536</v>
      </c>
      <c r="G18" s="51">
        <f>IF(D18="",0,C18*F18)</f>
        <v>36269.990745759038</v>
      </c>
      <c r="H18" s="185" t="s">
        <v>31</v>
      </c>
      <c r="J18" s="28"/>
    </row>
    <row r="19" spans="1:10" customFormat="1">
      <c r="A19" s="37" t="s">
        <v>48</v>
      </c>
      <c r="B19" s="38"/>
      <c r="C19" s="155">
        <v>0</v>
      </c>
      <c r="D19" s="38"/>
      <c r="E19" s="38"/>
      <c r="F19" s="104"/>
      <c r="G19" s="50">
        <f>SUM(G20:G24)</f>
        <v>17123863.951376002</v>
      </c>
      <c r="H19" s="183"/>
      <c r="J19" s="28"/>
    </row>
    <row r="20" spans="1:10" customFormat="1">
      <c r="A20" s="39" t="s">
        <v>25</v>
      </c>
      <c r="B20" s="47"/>
      <c r="C20" s="156">
        <v>0</v>
      </c>
      <c r="D20" s="45"/>
      <c r="E20" s="45"/>
      <c r="F20" s="105"/>
      <c r="G20" s="51">
        <f>SUM(G22:G24)</f>
        <v>0</v>
      </c>
      <c r="H20" s="184"/>
      <c r="J20" s="28"/>
    </row>
    <row r="21" spans="1:10" customFormat="1">
      <c r="A21" s="36">
        <v>1.008999999999999</v>
      </c>
      <c r="B21" s="29" t="s">
        <v>49</v>
      </c>
      <c r="C21" s="158">
        <v>0.93329600000000013</v>
      </c>
      <c r="D21" s="19" t="s">
        <v>27</v>
      </c>
      <c r="E21" s="19" t="s">
        <v>50</v>
      </c>
      <c r="F21" s="107">
        <f>15768913+2578818</f>
        <v>18347731</v>
      </c>
      <c r="G21" s="51">
        <f>IF(D21="",0,C21*F21)</f>
        <v>17123863.951376002</v>
      </c>
      <c r="H21" s="185"/>
      <c r="J21" s="28"/>
    </row>
    <row r="22" spans="1:10" customFormat="1">
      <c r="A22" s="36">
        <v>1.0099999999999989</v>
      </c>
      <c r="B22" s="29" t="s">
        <v>51</v>
      </c>
      <c r="C22" s="158">
        <v>0</v>
      </c>
      <c r="D22" s="19" t="s">
        <v>35</v>
      </c>
      <c r="E22" s="19">
        <v>1.1200000000000001</v>
      </c>
      <c r="F22" s="107">
        <f>VLOOKUP(E22,'2024 Cost Schedule for Tool'!$C$9:$F$299,4,0)</f>
        <v>247.82642642856817</v>
      </c>
      <c r="G22" s="51">
        <f>IF(D22="",0,C22*F22)</f>
        <v>0</v>
      </c>
      <c r="H22" s="185" t="s">
        <v>52</v>
      </c>
      <c r="J22" s="28"/>
    </row>
    <row r="23" spans="1:10" customFormat="1" ht="20.399999999999999">
      <c r="A23" s="36">
        <v>1.0109999999999988</v>
      </c>
      <c r="B23" s="29" t="s">
        <v>53</v>
      </c>
      <c r="C23" s="158">
        <v>0</v>
      </c>
      <c r="D23" s="19" t="s">
        <v>35</v>
      </c>
      <c r="E23" s="18">
        <v>1.1299999999999999</v>
      </c>
      <c r="F23" s="106">
        <f>VLOOKUP(E23,'2024 Cost Schedule for Tool'!$C$9:$F$299,4,0)</f>
        <v>253.45500498368739</v>
      </c>
      <c r="G23" s="51">
        <f>IF(D23="",0,C23*F23)</f>
        <v>0</v>
      </c>
      <c r="H23" s="185" t="s">
        <v>52</v>
      </c>
      <c r="J23" s="28"/>
    </row>
    <row r="24" spans="1:10" customFormat="1">
      <c r="A24" s="36">
        <v>1.0119999999999987</v>
      </c>
      <c r="B24" s="29" t="s">
        <v>54</v>
      </c>
      <c r="C24" s="158">
        <v>0</v>
      </c>
      <c r="D24" s="61" t="s">
        <v>30</v>
      </c>
      <c r="E24" s="18">
        <v>1.44</v>
      </c>
      <c r="F24" s="106">
        <f>VLOOKUP(E24,'2024 Cost Schedule for Tool'!$C$9:$F$299,4,0)</f>
        <v>84.485001661229134</v>
      </c>
      <c r="G24" s="51">
        <f>IF(D24="",0,C24*F24)</f>
        <v>0</v>
      </c>
      <c r="H24" s="185" t="s">
        <v>52</v>
      </c>
      <c r="J24" s="28"/>
    </row>
    <row r="25" spans="1:10" customFormat="1">
      <c r="A25" s="37" t="s">
        <v>55</v>
      </c>
      <c r="B25" s="38"/>
      <c r="C25" s="155">
        <v>0</v>
      </c>
      <c r="D25" s="38"/>
      <c r="E25" s="38"/>
      <c r="F25" s="104"/>
      <c r="G25" s="50">
        <f>SUM(G26)</f>
        <v>838423.34628432593</v>
      </c>
      <c r="H25" s="183"/>
      <c r="J25" s="28"/>
    </row>
    <row r="26" spans="1:10" customFormat="1">
      <c r="A26" s="39" t="s">
        <v>25</v>
      </c>
      <c r="B26" s="47"/>
      <c r="C26" s="156">
        <v>0</v>
      </c>
      <c r="D26" s="45"/>
      <c r="E26" s="45"/>
      <c r="F26" s="105"/>
      <c r="G26" s="51">
        <f>SUM(G27:G28)</f>
        <v>838423.34628432593</v>
      </c>
      <c r="H26" s="184"/>
      <c r="J26" s="28"/>
    </row>
    <row r="27" spans="1:10" customFormat="1" ht="20.399999999999999">
      <c r="A27" s="36">
        <v>1.0129999999999986</v>
      </c>
      <c r="B27" s="29" t="s">
        <v>51</v>
      </c>
      <c r="C27" s="158">
        <v>3147.0797117760003</v>
      </c>
      <c r="D27" s="19" t="s">
        <v>35</v>
      </c>
      <c r="E27" s="19">
        <v>1.1200000000000001</v>
      </c>
      <c r="F27" s="107">
        <f>VLOOKUP(E27,'2024 Cost Schedule for Tool'!$C$9:$F$299,4,0)</f>
        <v>247.82642642856817</v>
      </c>
      <c r="G27" s="51">
        <f>IF(D27="",0,C27*F27)</f>
        <v>779929.51865529444</v>
      </c>
      <c r="H27" s="185" t="s">
        <v>56</v>
      </c>
      <c r="J27" s="28"/>
    </row>
    <row r="28" spans="1:10" customFormat="1" ht="20.399999999999999">
      <c r="A28" s="36">
        <v>1.0139999999999985</v>
      </c>
      <c r="B28" s="29" t="s">
        <v>57</v>
      </c>
      <c r="C28" s="158">
        <v>692.35753659072009</v>
      </c>
      <c r="D28" s="61" t="s">
        <v>30</v>
      </c>
      <c r="E28" s="18">
        <v>1.44</v>
      </c>
      <c r="F28" s="106">
        <f>VLOOKUP(E28,'2024 Cost Schedule for Tool'!$C$9:$F$299,4,0)</f>
        <v>84.485001661229134</v>
      </c>
      <c r="G28" s="51">
        <f>IF(D28="",0,C28*F28)</f>
        <v>58493.827629031497</v>
      </c>
      <c r="H28" s="185" t="s">
        <v>33</v>
      </c>
      <c r="J28" s="28"/>
    </row>
    <row r="29" spans="1:10" customFormat="1">
      <c r="A29" s="37" t="s">
        <v>58</v>
      </c>
      <c r="B29" s="38"/>
      <c r="C29" s="155">
        <v>0</v>
      </c>
      <c r="D29" s="38"/>
      <c r="E29" s="38"/>
      <c r="F29" s="104"/>
      <c r="G29" s="50">
        <f>SUM(G30,G39,G41,G43)</f>
        <v>13036272.021699354</v>
      </c>
      <c r="H29" s="183"/>
      <c r="J29" s="28"/>
    </row>
    <row r="30" spans="1:10" customFormat="1">
      <c r="A30" s="39" t="s">
        <v>25</v>
      </c>
      <c r="B30" s="47"/>
      <c r="C30" s="156">
        <v>0</v>
      </c>
      <c r="D30" s="45"/>
      <c r="E30" s="45"/>
      <c r="F30" s="105"/>
      <c r="G30" s="51">
        <f>SUM(G31:G38)</f>
        <v>11698301.623729216</v>
      </c>
      <c r="H30" s="184"/>
      <c r="J30" s="28"/>
    </row>
    <row r="31" spans="1:10" customFormat="1" ht="30.6">
      <c r="A31" s="36">
        <v>1.0149999999999983</v>
      </c>
      <c r="B31" s="29" t="s">
        <v>59</v>
      </c>
      <c r="C31" s="158">
        <v>3.7331840000000005</v>
      </c>
      <c r="D31" s="19" t="s">
        <v>27</v>
      </c>
      <c r="E31" s="18">
        <v>1.1499999999999999</v>
      </c>
      <c r="F31" s="106">
        <f>VLOOKUP(E31,'2024 Cost Schedule for Tool'!$C$9:$F$299,4,0)</f>
        <v>2252933.3776327772</v>
      </c>
      <c r="G31" s="51">
        <f t="shared" ref="G31:G38" si="0">IF(D31="",0,C31*F31)</f>
        <v>8410614.8384446427</v>
      </c>
      <c r="H31" s="185" t="s">
        <v>60</v>
      </c>
      <c r="J31" s="28"/>
    </row>
    <row r="32" spans="1:10" customFormat="1" ht="20.399999999999999">
      <c r="A32" s="36">
        <v>1.0159999999999982</v>
      </c>
      <c r="B32" s="29" t="s">
        <v>61</v>
      </c>
      <c r="C32" s="158">
        <v>6392.8681057347731</v>
      </c>
      <c r="D32" s="19" t="s">
        <v>62</v>
      </c>
      <c r="E32" s="18">
        <v>1.21</v>
      </c>
      <c r="F32" s="106">
        <f>VLOOKUP(E32,'2024 Cost Schedule for Tool'!$C$9:$F$299,4,0)</f>
        <v>225.64272765554884</v>
      </c>
      <c r="G32" s="51">
        <f t="shared" si="0"/>
        <v>1442504.1969201558</v>
      </c>
      <c r="H32" s="185" t="s">
        <v>63</v>
      </c>
      <c r="J32" s="28"/>
    </row>
    <row r="33" spans="1:10" customFormat="1" ht="20.399999999999999">
      <c r="A33" s="36">
        <v>1.0169999999999981</v>
      </c>
      <c r="B33" s="29" t="s">
        <v>64</v>
      </c>
      <c r="C33" s="158">
        <v>355.15933920748739</v>
      </c>
      <c r="D33" s="19" t="s">
        <v>62</v>
      </c>
      <c r="E33" s="18">
        <v>1.22</v>
      </c>
      <c r="F33" s="106">
        <f>VLOOKUP(E33,'2024 Cost Schedule for Tool'!$C$9:$F$299,4,0)</f>
        <v>463.05750928779668</v>
      </c>
      <c r="G33" s="51">
        <f t="shared" si="0"/>
        <v>164459.19901371881</v>
      </c>
      <c r="H33" s="185" t="s">
        <v>63</v>
      </c>
      <c r="J33" s="28"/>
    </row>
    <row r="34" spans="1:10" customFormat="1" ht="20.399999999999999">
      <c r="A34" s="36">
        <v>1.017999999999998</v>
      </c>
      <c r="B34" s="17" t="s">
        <v>65</v>
      </c>
      <c r="C34" s="158">
        <v>355.15933920748739</v>
      </c>
      <c r="D34" s="19" t="s">
        <v>62</v>
      </c>
      <c r="E34" s="18">
        <v>1.23</v>
      </c>
      <c r="F34" s="106">
        <f>VLOOKUP(E34,'2024 Cost Schedule for Tool'!$C$9:$F$299,4,0)</f>
        <v>957.49668549393016</v>
      </c>
      <c r="G34" s="51">
        <f t="shared" si="0"/>
        <v>340063.89011338359</v>
      </c>
      <c r="H34" s="185" t="s">
        <v>66</v>
      </c>
      <c r="J34" s="28"/>
    </row>
    <row r="35" spans="1:10" customFormat="1" ht="30.6">
      <c r="A35" s="36">
        <v>1.0189999999999979</v>
      </c>
      <c r="B35" s="29" t="s">
        <v>67</v>
      </c>
      <c r="C35" s="158">
        <v>11293.348247999998</v>
      </c>
      <c r="D35" s="19" t="s">
        <v>30</v>
      </c>
      <c r="E35" s="18">
        <v>1.24</v>
      </c>
      <c r="F35" s="106">
        <f>VLOOKUP(E35,'2024 Cost Schedule for Tool'!$C$9:$F$299,4,0)</f>
        <v>107.01433543755689</v>
      </c>
      <c r="G35" s="51">
        <f t="shared" si="0"/>
        <v>1208550.1576246172</v>
      </c>
      <c r="H35" s="185" t="s">
        <v>31</v>
      </c>
      <c r="J35" s="28"/>
    </row>
    <row r="36" spans="1:10" customFormat="1" ht="20.399999999999999">
      <c r="A36" s="36">
        <v>1.0199999999999978</v>
      </c>
      <c r="B36" s="29" t="s">
        <v>68</v>
      </c>
      <c r="C36" s="158">
        <v>150.57797664</v>
      </c>
      <c r="D36" s="19" t="s">
        <v>62</v>
      </c>
      <c r="E36" s="18">
        <v>1.25</v>
      </c>
      <c r="F36" s="106">
        <f>VLOOKUP(E36,'2024 Cost Schedule for Tool'!$C$9:$F$299,4,0)</f>
        <v>168.97000332245827</v>
      </c>
      <c r="G36" s="51">
        <f t="shared" si="0"/>
        <v>25443.161213149844</v>
      </c>
      <c r="H36" s="185" t="s">
        <v>69</v>
      </c>
      <c r="J36" s="28"/>
    </row>
    <row r="37" spans="1:10" customFormat="1" ht="20.399999999999999">
      <c r="A37" s="36">
        <v>1.0209999999999977</v>
      </c>
      <c r="B37" s="29" t="s">
        <v>57</v>
      </c>
      <c r="C37" s="158">
        <v>401.54127103999997</v>
      </c>
      <c r="D37" s="19" t="s">
        <v>30</v>
      </c>
      <c r="E37" s="18">
        <v>1.44</v>
      </c>
      <c r="F37" s="106">
        <f>VLOOKUP(E37,'2024 Cost Schedule for Tool'!$C$9:$F$299,4,0)</f>
        <v>84.485001661229134</v>
      </c>
      <c r="G37" s="51">
        <f t="shared" si="0"/>
        <v>33924.214950866459</v>
      </c>
      <c r="H37" s="185" t="s">
        <v>70</v>
      </c>
      <c r="J37" s="28"/>
    </row>
    <row r="38" spans="1:10" customFormat="1" ht="20.399999999999999">
      <c r="A38" s="36">
        <v>1.0219999999999976</v>
      </c>
      <c r="B38" s="29" t="s">
        <v>71</v>
      </c>
      <c r="C38" s="158">
        <v>0.93329600000000013</v>
      </c>
      <c r="D38" s="19" t="s">
        <v>27</v>
      </c>
      <c r="E38" s="18">
        <v>1.19</v>
      </c>
      <c r="F38" s="106">
        <f>VLOOKUP(E38,'2024 Cost Schedule for Tool'!$C$9:$F$299,4,0)</f>
        <v>77940.937761094814</v>
      </c>
      <c r="G38" s="51">
        <f t="shared" si="0"/>
        <v>72741.965448678762</v>
      </c>
      <c r="H38" s="185" t="s">
        <v>72</v>
      </c>
      <c r="J38" s="28"/>
    </row>
    <row r="39" spans="1:10" customFormat="1">
      <c r="A39" s="39" t="s">
        <v>38</v>
      </c>
      <c r="B39" s="44"/>
      <c r="C39" s="157">
        <v>0</v>
      </c>
      <c r="D39" s="45"/>
      <c r="E39" s="45"/>
      <c r="F39" s="105"/>
      <c r="G39" s="51">
        <f>SUM(G40)</f>
        <v>0</v>
      </c>
      <c r="H39" s="186"/>
      <c r="J39" s="28"/>
    </row>
    <row r="40" spans="1:10" customFormat="1" ht="20.399999999999999">
      <c r="A40" s="36">
        <v>1.0229999999999975</v>
      </c>
      <c r="B40" s="29" t="s">
        <v>73</v>
      </c>
      <c r="C40" s="158">
        <v>0</v>
      </c>
      <c r="D40" s="19" t="s">
        <v>74</v>
      </c>
      <c r="E40" s="18">
        <v>3.03</v>
      </c>
      <c r="F40" s="106">
        <f>VLOOKUP(E40,'2024 Cost Schedule for Tool'!$C$9:$F$299,4,0)</f>
        <v>3723.464920000763</v>
      </c>
      <c r="G40" s="51">
        <f>IF(D40="",0,C40*F40)</f>
        <v>0</v>
      </c>
      <c r="H40" s="187" t="s">
        <v>75</v>
      </c>
      <c r="J40" s="28"/>
    </row>
    <row r="41" spans="1:10" customFormat="1">
      <c r="A41" s="39" t="s">
        <v>42</v>
      </c>
      <c r="B41" s="44"/>
      <c r="C41" s="157">
        <v>0</v>
      </c>
      <c r="D41" s="45"/>
      <c r="E41" s="45"/>
      <c r="F41" s="105"/>
      <c r="G41" s="51">
        <f>SUM(G42)</f>
        <v>1327472.7071045451</v>
      </c>
      <c r="H41" s="186"/>
      <c r="J41" s="28"/>
    </row>
    <row r="42" spans="1:10" customFormat="1" ht="30.6">
      <c r="A42" s="36">
        <v>1.0239999999999974</v>
      </c>
      <c r="B42" s="29" t="s">
        <v>76</v>
      </c>
      <c r="C42" s="158">
        <v>231739.50604896</v>
      </c>
      <c r="D42" s="19" t="s">
        <v>40</v>
      </c>
      <c r="E42" s="18">
        <v>4.04</v>
      </c>
      <c r="F42" s="106">
        <f>VLOOKUP(E42,'2024 Cost Schedule for Tool'!$C$9:$F$299,4,0)</f>
        <v>5.7282969560834731</v>
      </c>
      <c r="G42" s="51">
        <f>IF(D42="",0,C42*F42)</f>
        <v>1327472.7071045451</v>
      </c>
      <c r="H42" s="185" t="s">
        <v>77</v>
      </c>
      <c r="J42" s="28"/>
    </row>
    <row r="43" spans="1:10" customFormat="1">
      <c r="A43" s="39" t="s">
        <v>78</v>
      </c>
      <c r="B43" s="44"/>
      <c r="C43" s="157">
        <v>0</v>
      </c>
      <c r="D43" s="45"/>
      <c r="E43" s="45"/>
      <c r="F43" s="105"/>
      <c r="G43" s="51">
        <f>SUM(G44:G45)</f>
        <v>10497.690865592827</v>
      </c>
      <c r="H43" s="186"/>
      <c r="J43" s="28"/>
    </row>
    <row r="44" spans="1:10" customFormat="1" ht="30.6">
      <c r="A44" s="36">
        <v>1.0249999999999972</v>
      </c>
      <c r="B44" s="29" t="s">
        <v>79</v>
      </c>
      <c r="C44" s="158">
        <v>1355.2017897599999</v>
      </c>
      <c r="D44" s="19" t="s">
        <v>40</v>
      </c>
      <c r="E44" s="18" t="s">
        <v>80</v>
      </c>
      <c r="F44" s="106">
        <f>VLOOKUP(E44,'2024 Cost Schedule for Tool'!$C$9:$F$299,4,0)</f>
        <v>3.202638752719396</v>
      </c>
      <c r="G44" s="51">
        <f>IF(D44="",0,C44*F44)</f>
        <v>4340.2217696400594</v>
      </c>
      <c r="H44" s="185" t="s">
        <v>81</v>
      </c>
      <c r="J44" s="28"/>
    </row>
    <row r="45" spans="1:10" customFormat="1" ht="30.6">
      <c r="A45" s="36">
        <v>1.0259999999999971</v>
      </c>
      <c r="B45" s="29" t="s">
        <v>82</v>
      </c>
      <c r="C45" s="158">
        <v>1355.2017897599999</v>
      </c>
      <c r="D45" s="19" t="s">
        <v>40</v>
      </c>
      <c r="E45" s="18">
        <v>9.0399999999999991</v>
      </c>
      <c r="F45" s="106">
        <f>VLOOKUP(E45,'2024 Cost Schedule for Tool'!$C$9:$F$299,4,0)</f>
        <v>4.5435809947116637</v>
      </c>
      <c r="G45" s="51">
        <f>IF(D45="",0,C45*F45)</f>
        <v>6157.469095952767</v>
      </c>
      <c r="H45" s="185" t="s">
        <v>81</v>
      </c>
      <c r="J45" s="28"/>
    </row>
    <row r="46" spans="1:10" customFormat="1">
      <c r="A46" s="37" t="s">
        <v>83</v>
      </c>
      <c r="B46" s="38"/>
      <c r="C46" s="155">
        <v>0</v>
      </c>
      <c r="D46" s="38"/>
      <c r="E46" s="38"/>
      <c r="F46" s="104"/>
      <c r="G46" s="50">
        <f>SUM(G47,G51)</f>
        <v>194123.22063424392</v>
      </c>
      <c r="H46" s="183"/>
      <c r="J46" s="28"/>
    </row>
    <row r="47" spans="1:10" customFormat="1">
      <c r="A47" s="39" t="s">
        <v>25</v>
      </c>
      <c r="B47" s="47"/>
      <c r="C47" s="156">
        <v>0</v>
      </c>
      <c r="D47" s="45"/>
      <c r="E47" s="45"/>
      <c r="F47" s="105"/>
      <c r="G47" s="51">
        <f>SUM(G48:G50)</f>
        <v>194123.22063424392</v>
      </c>
      <c r="H47" s="184"/>
      <c r="J47" s="28"/>
    </row>
    <row r="48" spans="1:10" customFormat="1" ht="20.399999999999999">
      <c r="A48" s="36">
        <v>1.026999999999997</v>
      </c>
      <c r="B48" s="29" t="s">
        <v>26</v>
      </c>
      <c r="C48" s="158">
        <v>0.93329600000000013</v>
      </c>
      <c r="D48" s="19" t="s">
        <v>27</v>
      </c>
      <c r="E48" s="19">
        <v>1.02</v>
      </c>
      <c r="F48" s="107">
        <f>VLOOKUP(E48,'2024 Cost Schedule for Tool'!$C$9:$F$299,4,0)</f>
        <v>9490.48185327807</v>
      </c>
      <c r="G48" s="51">
        <f>IF(D48="",0,C48*F48)</f>
        <v>8857.4287517370103</v>
      </c>
      <c r="H48" s="185" t="s">
        <v>84</v>
      </c>
      <c r="J48" s="28"/>
    </row>
    <row r="49" spans="1:10" customFormat="1" ht="20.399999999999999">
      <c r="A49" s="36">
        <v>1.0279999999999969</v>
      </c>
      <c r="B49" s="29" t="s">
        <v>85</v>
      </c>
      <c r="C49" s="158">
        <v>1766.7815925759999</v>
      </c>
      <c r="D49" s="19" t="s">
        <v>30</v>
      </c>
      <c r="E49" s="18">
        <v>1.08</v>
      </c>
      <c r="F49" s="106">
        <f>VLOOKUP(E49,'2024 Cost Schedule for Tool'!$C$9:$F$299,4,0)</f>
        <v>45.05866755265555</v>
      </c>
      <c r="G49" s="51">
        <f>IF(D49="",0,C49*F49)</f>
        <v>79608.824418033299</v>
      </c>
      <c r="H49" s="185" t="s">
        <v>86</v>
      </c>
      <c r="J49" s="28"/>
    </row>
    <row r="50" spans="1:10" customFormat="1">
      <c r="A50" s="36">
        <v>1.0289999999999968</v>
      </c>
      <c r="B50" s="29" t="s">
        <v>87</v>
      </c>
      <c r="C50" s="158">
        <v>12506.0028865408</v>
      </c>
      <c r="D50" s="61" t="s">
        <v>30</v>
      </c>
      <c r="E50" s="18">
        <v>1.41</v>
      </c>
      <c r="F50" s="106">
        <f>VLOOKUP(E50,'2024 Cost Schedule for Tool'!$C$9:$F$299,4,0)</f>
        <v>8.4485001661229138</v>
      </c>
      <c r="G50" s="51">
        <f>IF(D50="",0,C50*F50)</f>
        <v>105656.96746447359</v>
      </c>
      <c r="H50" s="185" t="s">
        <v>31</v>
      </c>
      <c r="J50" s="28"/>
    </row>
    <row r="51" spans="1:10" customFormat="1">
      <c r="A51" s="39" t="s">
        <v>38</v>
      </c>
      <c r="B51" s="44"/>
      <c r="C51" s="157">
        <v>0</v>
      </c>
      <c r="D51" s="45"/>
      <c r="E51" s="45"/>
      <c r="F51" s="105"/>
      <c r="G51" s="51">
        <f>SUM(G52:G53)</f>
        <v>0</v>
      </c>
      <c r="H51" s="186"/>
      <c r="J51" s="28"/>
    </row>
    <row r="52" spans="1:10" customFormat="1" ht="20.399999999999999">
      <c r="A52" s="36">
        <v>1.0299999999999967</v>
      </c>
      <c r="B52" s="29" t="s">
        <v>88</v>
      </c>
      <c r="C52" s="158">
        <v>0</v>
      </c>
      <c r="D52" s="61" t="s">
        <v>40</v>
      </c>
      <c r="E52" s="18">
        <v>3.08</v>
      </c>
      <c r="F52" s="106">
        <f>VLOOKUP(E52,'2024 Cost Schedule for Tool'!$C$9:$F$299,4,0)</f>
        <v>5.732190051900929</v>
      </c>
      <c r="G52" s="51">
        <f>IF(D52="",0,C52*F52)</f>
        <v>0</v>
      </c>
      <c r="H52" s="185" t="s">
        <v>89</v>
      </c>
      <c r="J52" s="28"/>
    </row>
    <row r="53" spans="1:10" customFormat="1" ht="20.399999999999999">
      <c r="A53" s="36">
        <v>1.0309999999999966</v>
      </c>
      <c r="B53" s="29" t="s">
        <v>73</v>
      </c>
      <c r="C53" s="158">
        <v>0</v>
      </c>
      <c r="D53" s="61" t="s">
        <v>74</v>
      </c>
      <c r="E53" s="18">
        <v>3.03</v>
      </c>
      <c r="F53" s="106">
        <f>VLOOKUP(E53,'2024 Cost Schedule for Tool'!$C$9:$F$299,4,0)</f>
        <v>3723.464920000763</v>
      </c>
      <c r="G53" s="51">
        <f>IF(D53="",0,C53*F53)</f>
        <v>0</v>
      </c>
      <c r="H53" s="187" t="s">
        <v>75</v>
      </c>
      <c r="J53" s="28"/>
    </row>
    <row r="54" spans="1:10" customFormat="1">
      <c r="A54" s="37" t="s">
        <v>90</v>
      </c>
      <c r="B54" s="38"/>
      <c r="C54" s="155">
        <v>0</v>
      </c>
      <c r="D54" s="38"/>
      <c r="E54" s="38"/>
      <c r="F54" s="104"/>
      <c r="G54" s="50">
        <f>SUM(G55:G56)</f>
        <v>21671.07054656441</v>
      </c>
      <c r="H54" s="183"/>
      <c r="J54" s="28"/>
    </row>
    <row r="55" spans="1:10" customFormat="1" ht="30.6">
      <c r="A55" s="36">
        <v>1.0319999999999965</v>
      </c>
      <c r="B55" s="29" t="s">
        <v>91</v>
      </c>
      <c r="C55" s="158">
        <v>100.38531775999999</v>
      </c>
      <c r="D55" s="61" t="s">
        <v>62</v>
      </c>
      <c r="E55" s="18">
        <v>1.39</v>
      </c>
      <c r="F55" s="106">
        <f>VLOOKUP(E55,'2024 Cost Schedule for Tool'!$C$9:$F$299,4,0)</f>
        <v>16.897000332245828</v>
      </c>
      <c r="G55" s="51">
        <f>IF(D55="",0,C55*F55)</f>
        <v>1696.2107475433229</v>
      </c>
      <c r="H55" s="185" t="s">
        <v>92</v>
      </c>
      <c r="J55" s="28"/>
    </row>
    <row r="56" spans="1:10" customFormat="1" ht="20.399999999999999">
      <c r="A56" s="36">
        <v>1.0329999999999964</v>
      </c>
      <c r="B56" s="29" t="s">
        <v>93</v>
      </c>
      <c r="C56" s="158">
        <v>0.93329600000000013</v>
      </c>
      <c r="D56" s="61" t="s">
        <v>27</v>
      </c>
      <c r="E56" s="18" t="s">
        <v>94</v>
      </c>
      <c r="F56" s="106">
        <f>VLOOKUP(E56,'2024 Cost Schedule for Tool'!$C$9:$F$299,4,0)</f>
        <v>21402.491598615106</v>
      </c>
      <c r="G56" s="51">
        <f>IF(D56="",0,C56*F56)</f>
        <v>19974.859799021087</v>
      </c>
      <c r="H56" s="185" t="s">
        <v>31</v>
      </c>
      <c r="J56" s="28"/>
    </row>
    <row r="57" spans="1:10" customFormat="1">
      <c r="A57" s="37" t="s">
        <v>95</v>
      </c>
      <c r="B57" s="38"/>
      <c r="C57" s="155">
        <v>0</v>
      </c>
      <c r="D57" s="38"/>
      <c r="E57" s="38"/>
      <c r="F57" s="104"/>
      <c r="G57" s="50">
        <f>SUM(G58)</f>
        <v>1292512.5896280122</v>
      </c>
      <c r="H57" s="183"/>
      <c r="J57" s="28"/>
    </row>
    <row r="58" spans="1:10" customFormat="1">
      <c r="A58" s="39" t="s">
        <v>25</v>
      </c>
      <c r="B58" s="47"/>
      <c r="C58" s="156">
        <v>0</v>
      </c>
      <c r="D58" s="45"/>
      <c r="E58" s="45"/>
      <c r="F58" s="105"/>
      <c r="G58" s="51">
        <f>SUM(G59)</f>
        <v>1292512.5896280122</v>
      </c>
      <c r="H58" s="184"/>
      <c r="J58" s="28"/>
    </row>
    <row r="59" spans="1:10" customFormat="1" ht="30.6">
      <c r="A59" s="36">
        <v>1.0339999999999963</v>
      </c>
      <c r="B59" s="29" t="s">
        <v>87</v>
      </c>
      <c r="C59" s="158">
        <v>152987.22426623999</v>
      </c>
      <c r="D59" s="19" t="s">
        <v>30</v>
      </c>
      <c r="E59" s="19">
        <v>1.41</v>
      </c>
      <c r="F59" s="107">
        <f>VLOOKUP(E59,'2024 Cost Schedule for Tool'!$C$9:$F$299,4,0)</f>
        <v>8.4485001661229138</v>
      </c>
      <c r="G59" s="51">
        <f>IF(D59="",0,C59*F59)</f>
        <v>1292512.5896280122</v>
      </c>
      <c r="H59" s="185" t="s">
        <v>96</v>
      </c>
      <c r="J59" s="28"/>
    </row>
    <row r="60" spans="1:10" customFormat="1">
      <c r="A60" s="37" t="s">
        <v>97</v>
      </c>
      <c r="B60" s="38"/>
      <c r="C60" s="155">
        <v>0</v>
      </c>
      <c r="D60" s="38"/>
      <c r="E60" s="38"/>
      <c r="F60" s="104"/>
      <c r="G60" s="50">
        <f>SUM(G61:G70)</f>
        <v>8508966.4817889947</v>
      </c>
      <c r="H60" s="183"/>
      <c r="J60" s="28"/>
    </row>
    <row r="61" spans="1:10" customFormat="1">
      <c r="A61" s="36">
        <v>1.0349999999999961</v>
      </c>
      <c r="B61" s="29" t="s">
        <v>98</v>
      </c>
      <c r="C61" s="158">
        <v>32986.615415935994</v>
      </c>
      <c r="D61" s="18" t="s">
        <v>30</v>
      </c>
      <c r="E61" s="18">
        <v>1.42</v>
      </c>
      <c r="F61" s="106">
        <f>VLOOKUP(E61,'2024 Cost Schedule for Tool'!$C$9:$F$299,4,0)</f>
        <v>22.529333776327775</v>
      </c>
      <c r="G61" s="51">
        <f t="shared" ref="G61:G70" si="1">IF(D61="",0,C61*F61)</f>
        <v>743166.46885698126</v>
      </c>
      <c r="H61" s="187" t="s">
        <v>31</v>
      </c>
      <c r="J61" s="28"/>
    </row>
    <row r="62" spans="1:10" customFormat="1" ht="20.399999999999999">
      <c r="A62" s="36">
        <v>1.035999999999996</v>
      </c>
      <c r="B62" s="29" t="s">
        <v>99</v>
      </c>
      <c r="C62" s="158">
        <v>181.79781046335998</v>
      </c>
      <c r="D62" s="18" t="s">
        <v>100</v>
      </c>
      <c r="E62" s="18">
        <v>1.03</v>
      </c>
      <c r="F62" s="106">
        <f>VLOOKUP(E62,'2024 Cost Schedule for Tool'!$C$9:$F$299,4,0)</f>
        <v>17002.238251604613</v>
      </c>
      <c r="G62" s="51">
        <f t="shared" si="1"/>
        <v>3090969.6871181042</v>
      </c>
      <c r="H62" s="185" t="s">
        <v>101</v>
      </c>
      <c r="J62" s="28"/>
    </row>
    <row r="63" spans="1:10" customFormat="1" ht="20.399999999999999">
      <c r="A63" s="36">
        <v>1.0369999999999959</v>
      </c>
      <c r="B63" s="29" t="s">
        <v>102</v>
      </c>
      <c r="C63" s="158">
        <v>0.93329600000000013</v>
      </c>
      <c r="D63" s="18" t="s">
        <v>27</v>
      </c>
      <c r="E63" s="18" t="s">
        <v>50</v>
      </c>
      <c r="F63" s="106">
        <f>100000*1.16</f>
        <v>115999.99999999999</v>
      </c>
      <c r="G63" s="51">
        <f t="shared" si="1"/>
        <v>108262.336</v>
      </c>
      <c r="H63" s="187" t="s">
        <v>103</v>
      </c>
      <c r="J63" s="28"/>
    </row>
    <row r="64" spans="1:10" customFormat="1" ht="20.399999999999999">
      <c r="A64" s="36">
        <v>1.0379999999999958</v>
      </c>
      <c r="B64" s="29" t="s">
        <v>73</v>
      </c>
      <c r="C64" s="158">
        <v>0</v>
      </c>
      <c r="D64" s="18" t="s">
        <v>74</v>
      </c>
      <c r="E64" s="18">
        <v>3.03</v>
      </c>
      <c r="F64" s="106">
        <f>VLOOKUP(E64,'2024 Cost Schedule for Tool'!$C$9:$F$299,4,0)</f>
        <v>3723.464920000763</v>
      </c>
      <c r="G64" s="51">
        <f t="shared" si="1"/>
        <v>0</v>
      </c>
      <c r="H64" s="187" t="s">
        <v>104</v>
      </c>
      <c r="J64" s="28"/>
    </row>
    <row r="65" spans="1:10" customFormat="1" ht="20.399999999999999">
      <c r="A65" s="36">
        <v>1.0389999999999957</v>
      </c>
      <c r="B65" s="29" t="s">
        <v>105</v>
      </c>
      <c r="C65" s="158">
        <v>0.93329600000000013</v>
      </c>
      <c r="D65" s="18" t="s">
        <v>27</v>
      </c>
      <c r="E65" s="18" t="s">
        <v>50</v>
      </c>
      <c r="F65" s="106">
        <f>50000*1.16</f>
        <v>57999.999999999993</v>
      </c>
      <c r="G65" s="51">
        <f t="shared" si="1"/>
        <v>54131.167999999998</v>
      </c>
      <c r="H65" s="187" t="s">
        <v>106</v>
      </c>
      <c r="J65" s="28"/>
    </row>
    <row r="66" spans="1:10" customFormat="1" ht="20.399999999999999">
      <c r="A66" s="36">
        <v>1.0399999999999956</v>
      </c>
      <c r="B66" s="29" t="s">
        <v>88</v>
      </c>
      <c r="C66" s="158">
        <v>0</v>
      </c>
      <c r="D66" s="18" t="s">
        <v>40</v>
      </c>
      <c r="E66" s="18">
        <v>3.08</v>
      </c>
      <c r="F66" s="106">
        <f>VLOOKUP(E66,'2024 Cost Schedule for Tool'!$C$9:$F$299,4,0)</f>
        <v>5.732190051900929</v>
      </c>
      <c r="G66" s="51">
        <f t="shared" si="1"/>
        <v>0</v>
      </c>
      <c r="H66" s="187" t="s">
        <v>89</v>
      </c>
      <c r="J66" s="28"/>
    </row>
    <row r="67" spans="1:10" customFormat="1">
      <c r="A67" s="36">
        <v>1.0409999999999955</v>
      </c>
      <c r="B67" s="29" t="s">
        <v>107</v>
      </c>
      <c r="C67" s="158">
        <v>4015.4127103999999</v>
      </c>
      <c r="D67" s="18" t="s">
        <v>62</v>
      </c>
      <c r="E67" s="18">
        <v>1.48</v>
      </c>
      <c r="F67" s="106">
        <f>VLOOKUP(E67,'2024 Cost Schedule for Tool'!$C$9:$F$299,4,0)</f>
        <v>22.529333776327775</v>
      </c>
      <c r="G67" s="51">
        <f t="shared" si="1"/>
        <v>90464.573202310581</v>
      </c>
      <c r="H67" s="187" t="s">
        <v>44</v>
      </c>
      <c r="J67" s="28"/>
    </row>
    <row r="68" spans="1:10" customFormat="1" ht="30.6">
      <c r="A68" s="36">
        <v>1.0419999999999954</v>
      </c>
      <c r="B68" s="29" t="s">
        <v>108</v>
      </c>
      <c r="C68" s="158">
        <v>2992.9480948872961</v>
      </c>
      <c r="D68" s="18" t="s">
        <v>30</v>
      </c>
      <c r="E68" s="18">
        <v>1.0900000000000001</v>
      </c>
      <c r="F68" s="106">
        <f>VLOOKUP(E68,'2024 Cost Schedule for Tool'!$C$9:$F$299,4,0)</f>
        <v>91.359912796107665</v>
      </c>
      <c r="G68" s="51">
        <f t="shared" si="1"/>
        <v>273435.47695217992</v>
      </c>
      <c r="H68" s="187" t="s">
        <v>109</v>
      </c>
      <c r="J68" s="28"/>
    </row>
    <row r="69" spans="1:10" customFormat="1" ht="20.399999999999999">
      <c r="A69" s="36">
        <v>1.0429999999999953</v>
      </c>
      <c r="B69" s="29" t="s">
        <v>32</v>
      </c>
      <c r="C69" s="158">
        <v>3292.2429043760258</v>
      </c>
      <c r="D69" s="18" t="s">
        <v>30</v>
      </c>
      <c r="E69" s="18">
        <v>1.43</v>
      </c>
      <c r="F69" s="106">
        <f>VLOOKUP(E69,'2024 Cost Schedule for Tool'!$C$9:$F$299,4,0)</f>
        <v>41.116034141798181</v>
      </c>
      <c r="G69" s="51">
        <f t="shared" si="1"/>
        <v>135363.97165941747</v>
      </c>
      <c r="H69" s="187" t="s">
        <v>110</v>
      </c>
      <c r="J69" s="28"/>
    </row>
    <row r="70" spans="1:10" customFormat="1" ht="91.8">
      <c r="A70" s="36">
        <v>1.0439999999999952</v>
      </c>
      <c r="B70" s="29" t="s">
        <v>111</v>
      </c>
      <c r="C70" s="158">
        <v>0.93329600000000013</v>
      </c>
      <c r="D70" s="18" t="s">
        <v>27</v>
      </c>
      <c r="E70" s="18" t="s">
        <v>50</v>
      </c>
      <c r="F70" s="106">
        <v>4300000</v>
      </c>
      <c r="G70" s="51">
        <f t="shared" si="1"/>
        <v>4013172.8000000007</v>
      </c>
      <c r="H70" s="187" t="s">
        <v>112</v>
      </c>
      <c r="J70" s="28"/>
    </row>
    <row r="71" spans="1:10" customFormat="1">
      <c r="A71" s="37" t="s">
        <v>113</v>
      </c>
      <c r="B71" s="38"/>
      <c r="C71" s="155">
        <v>0</v>
      </c>
      <c r="D71" s="38"/>
      <c r="E71" s="38"/>
      <c r="F71" s="104"/>
      <c r="G71" s="50">
        <f>SUM(G72,G81)</f>
        <v>18192403.018097933</v>
      </c>
      <c r="H71" s="188"/>
      <c r="J71" s="28"/>
    </row>
    <row r="72" spans="1:10" customFormat="1" ht="12.6" customHeight="1">
      <c r="A72" s="39" t="s">
        <v>25</v>
      </c>
      <c r="B72" s="47"/>
      <c r="C72" s="156">
        <v>0</v>
      </c>
      <c r="D72" s="45"/>
      <c r="E72" s="45"/>
      <c r="F72" s="105"/>
      <c r="G72" s="51">
        <f>SUM(G73:G80)</f>
        <v>17952708.793092158</v>
      </c>
      <c r="H72" s="184" t="s">
        <v>114</v>
      </c>
      <c r="J72" s="28"/>
    </row>
    <row r="73" spans="1:10" customFormat="1" ht="30.6">
      <c r="A73" s="36">
        <v>1.044999999999995</v>
      </c>
      <c r="B73" s="29" t="s">
        <v>115</v>
      </c>
      <c r="C73" s="158">
        <v>0.93329600000000013</v>
      </c>
      <c r="D73" s="18" t="s">
        <v>27</v>
      </c>
      <c r="E73" s="18">
        <v>1.01</v>
      </c>
      <c r="F73" s="106">
        <f>VLOOKUP(E73,'2024 Cost Schedule for Tool'!$C$9:$F$299,4,0)</f>
        <v>47518.456584579908</v>
      </c>
      <c r="G73" s="51">
        <f t="shared" ref="G73:G80" si="2">IF(D73="",0,C73*F73)</f>
        <v>44348.785456562095</v>
      </c>
      <c r="H73" s="187" t="s">
        <v>116</v>
      </c>
      <c r="J73" s="28"/>
    </row>
    <row r="74" spans="1:10" customFormat="1">
      <c r="A74" s="36">
        <v>1.0459999999999949</v>
      </c>
      <c r="B74" s="118" t="s">
        <v>117</v>
      </c>
      <c r="C74" s="162">
        <v>35.134861215999997</v>
      </c>
      <c r="D74" s="18" t="s">
        <v>30</v>
      </c>
      <c r="E74" s="18">
        <v>1.06</v>
      </c>
      <c r="F74" s="106">
        <f>VLOOKUP(E74,'2024 Cost Schedule for Tool'!$C$9:$F$299,4,0)</f>
        <v>701.85239502623813</v>
      </c>
      <c r="G74" s="51">
        <f t="shared" si="2"/>
        <v>24659.486493364082</v>
      </c>
      <c r="H74" s="187" t="s">
        <v>31</v>
      </c>
      <c r="J74" s="28"/>
    </row>
    <row r="75" spans="1:10" customFormat="1" ht="30.6">
      <c r="A75" s="36">
        <v>1.0469999999999948</v>
      </c>
      <c r="B75" s="29" t="s">
        <v>118</v>
      </c>
      <c r="C75" s="158">
        <v>33.127154860799997</v>
      </c>
      <c r="D75" s="19" t="s">
        <v>100</v>
      </c>
      <c r="E75" s="18">
        <v>1.03</v>
      </c>
      <c r="F75" s="106">
        <f>VLOOKUP(E75,'2024 Cost Schedule for Tool'!$C$9:$F$299,4,0)</f>
        <v>17002.238251604613</v>
      </c>
      <c r="G75" s="51">
        <f t="shared" si="2"/>
        <v>563235.77954112343</v>
      </c>
      <c r="H75" s="187" t="s">
        <v>119</v>
      </c>
      <c r="J75" s="28"/>
    </row>
    <row r="76" spans="1:10" customFormat="1" ht="20.399999999999999">
      <c r="A76" s="36">
        <v>1.0479999999999947</v>
      </c>
      <c r="B76" s="22" t="s">
        <v>120</v>
      </c>
      <c r="C76" s="160">
        <v>506.94585468799994</v>
      </c>
      <c r="D76" s="19" t="s">
        <v>27</v>
      </c>
      <c r="E76" s="18" t="s">
        <v>50</v>
      </c>
      <c r="F76" s="106">
        <f>20000*1.16</f>
        <v>23200</v>
      </c>
      <c r="G76" s="51">
        <f t="shared" si="2"/>
        <v>11761143.828761598</v>
      </c>
      <c r="H76" s="187" t="s">
        <v>121</v>
      </c>
      <c r="J76" s="28"/>
    </row>
    <row r="77" spans="1:10" customFormat="1" ht="20.399999999999999">
      <c r="A77" s="36">
        <v>1.0489999999999946</v>
      </c>
      <c r="B77" s="22" t="s">
        <v>122</v>
      </c>
      <c r="C77" s="160">
        <v>86.331373273599993</v>
      </c>
      <c r="D77" s="19" t="s">
        <v>27</v>
      </c>
      <c r="E77" s="18" t="s">
        <v>50</v>
      </c>
      <c r="F77" s="106">
        <f>7000*1.16</f>
        <v>8119.9999999999991</v>
      </c>
      <c r="G77" s="51">
        <f t="shared" si="2"/>
        <v>701010.75098163192</v>
      </c>
      <c r="H77" s="187" t="s">
        <v>123</v>
      </c>
      <c r="J77" s="28"/>
    </row>
    <row r="78" spans="1:10" customFormat="1" ht="30.6">
      <c r="A78" s="36">
        <v>1.0499999999999945</v>
      </c>
      <c r="B78" s="22" t="s">
        <v>124</v>
      </c>
      <c r="C78" s="160">
        <v>26501.723888639997</v>
      </c>
      <c r="D78" s="19" t="s">
        <v>30</v>
      </c>
      <c r="E78" s="19">
        <v>1.1000000000000001</v>
      </c>
      <c r="F78" s="107">
        <f>VLOOKUP(E78,'2024 Cost Schedule for Tool'!$C$9:$F$299,4,0)</f>
        <v>92.29786479442501</v>
      </c>
      <c r="G78" s="51">
        <f t="shared" si="2"/>
        <v>2446052.5282928781</v>
      </c>
      <c r="H78" s="187" t="s">
        <v>125</v>
      </c>
      <c r="J78" s="28"/>
    </row>
    <row r="79" spans="1:10" customFormat="1" ht="20.399999999999999">
      <c r="A79" s="36">
        <v>1.0509999999999944</v>
      </c>
      <c r="B79" s="22" t="s">
        <v>126</v>
      </c>
      <c r="C79" s="160">
        <v>29151.896277504005</v>
      </c>
      <c r="D79" s="19" t="s">
        <v>30</v>
      </c>
      <c r="E79" s="19">
        <v>1.43</v>
      </c>
      <c r="F79" s="107">
        <f>VLOOKUP(E79,'2024 Cost Schedule for Tool'!$C$9:$F$299,4,0)</f>
        <v>41.116034141798181</v>
      </c>
      <c r="G79" s="51">
        <f t="shared" si="2"/>
        <v>1198610.3626440139</v>
      </c>
      <c r="H79" s="187" t="s">
        <v>33</v>
      </c>
      <c r="J79" s="28"/>
    </row>
    <row r="80" spans="1:10" customFormat="1" ht="40.799999999999997">
      <c r="A80" s="36">
        <v>1.0519999999999943</v>
      </c>
      <c r="B80" s="22" t="s">
        <v>127</v>
      </c>
      <c r="C80" s="160">
        <v>143652.3935677376</v>
      </c>
      <c r="D80" s="19" t="s">
        <v>30</v>
      </c>
      <c r="E80" s="19">
        <v>1.41</v>
      </c>
      <c r="F80" s="107">
        <f>VLOOKUP(E80,'2024 Cost Schedule for Tool'!$C$9:$F$299,4,0)</f>
        <v>8.4485001661229138</v>
      </c>
      <c r="G80" s="51">
        <f t="shared" si="2"/>
        <v>1213647.2709209854</v>
      </c>
      <c r="H80" s="187" t="s">
        <v>128</v>
      </c>
      <c r="J80" s="28"/>
    </row>
    <row r="81" spans="1:10" customFormat="1">
      <c r="A81" s="39" t="s">
        <v>42</v>
      </c>
      <c r="B81" s="44"/>
      <c r="C81" s="157">
        <v>0</v>
      </c>
      <c r="D81" s="45"/>
      <c r="E81" s="45"/>
      <c r="F81" s="105"/>
      <c r="G81" s="51">
        <f>SUM(G82:G83)</f>
        <v>239694.22500577642</v>
      </c>
      <c r="H81" s="186"/>
      <c r="J81" s="28"/>
    </row>
    <row r="82" spans="1:10" customFormat="1" ht="20.399999999999999">
      <c r="A82" s="36">
        <v>1.0529999999999942</v>
      </c>
      <c r="B82" s="22" t="s">
        <v>129</v>
      </c>
      <c r="C82" s="160">
        <v>5019.2658879999999</v>
      </c>
      <c r="D82" s="19" t="s">
        <v>30</v>
      </c>
      <c r="E82" s="19">
        <v>4.16</v>
      </c>
      <c r="F82" s="107">
        <f>VLOOKUP(E82,'2024 Cost Schedule for Tool'!$C$9:$F$299,4,0)</f>
        <v>45.05866755265555</v>
      </c>
      <c r="G82" s="51">
        <f>IF(D82="",0,C82*F82)</f>
        <v>226161.43300577643</v>
      </c>
      <c r="H82" s="187" t="s">
        <v>130</v>
      </c>
      <c r="J82" s="28"/>
    </row>
    <row r="83" spans="1:10" customFormat="1" ht="30.6">
      <c r="A83" s="36">
        <v>1.0539999999999941</v>
      </c>
      <c r="B83" s="22" t="s">
        <v>131</v>
      </c>
      <c r="C83" s="160">
        <v>23.3324</v>
      </c>
      <c r="D83" s="19" t="s">
        <v>27</v>
      </c>
      <c r="E83" s="18" t="s">
        <v>50</v>
      </c>
      <c r="F83" s="106">
        <f>500*1.16</f>
        <v>580</v>
      </c>
      <c r="G83" s="51">
        <f>IF(D83="",0,C83*F83)</f>
        <v>13532.791999999999</v>
      </c>
      <c r="H83" s="187" t="s">
        <v>132</v>
      </c>
      <c r="J83" s="28"/>
    </row>
    <row r="84" spans="1:10" customFormat="1">
      <c r="A84" s="37" t="s">
        <v>133</v>
      </c>
      <c r="B84" s="38"/>
      <c r="C84" s="155">
        <v>0</v>
      </c>
      <c r="D84" s="38"/>
      <c r="E84" s="38"/>
      <c r="F84" s="104"/>
      <c r="G84" s="50">
        <f>SUM(G85,G89,G91)</f>
        <v>232670.29184816478</v>
      </c>
      <c r="H84" s="188"/>
      <c r="J84" s="28"/>
    </row>
    <row r="85" spans="1:10" customFormat="1">
      <c r="A85" s="39" t="s">
        <v>25</v>
      </c>
      <c r="B85" s="47"/>
      <c r="C85" s="156">
        <v>0</v>
      </c>
      <c r="D85" s="45"/>
      <c r="E85" s="45"/>
      <c r="F85" s="105"/>
      <c r="G85" s="51">
        <f>SUM(G86:G88)</f>
        <v>217674.9236517135</v>
      </c>
      <c r="H85" s="184"/>
      <c r="J85" s="28"/>
    </row>
    <row r="86" spans="1:10" customFormat="1" ht="20.399999999999999">
      <c r="A86" s="36">
        <v>1.0549999999999939</v>
      </c>
      <c r="B86" s="29" t="s">
        <v>134</v>
      </c>
      <c r="C86" s="158">
        <v>672.58162899199999</v>
      </c>
      <c r="D86" s="18" t="s">
        <v>30</v>
      </c>
      <c r="E86" s="18">
        <v>1.1000000000000001</v>
      </c>
      <c r="F86" s="106">
        <f>VLOOKUP(E86,'2024 Cost Schedule for Tool'!$C$9:$F$299,4,0)</f>
        <v>92.29786479442501</v>
      </c>
      <c r="G86" s="51">
        <f>IF(D86="",0,C86*F86)</f>
        <v>62077.848255917743</v>
      </c>
      <c r="H86" s="187" t="s">
        <v>135</v>
      </c>
      <c r="J86" s="28"/>
    </row>
    <row r="87" spans="1:10" customFormat="1">
      <c r="A87" s="36">
        <v>1.0559999999999938</v>
      </c>
      <c r="B87" s="118" t="s">
        <v>136</v>
      </c>
      <c r="C87" s="162">
        <v>1.8665920000000003</v>
      </c>
      <c r="D87" s="18" t="s">
        <v>27</v>
      </c>
      <c r="E87" s="18">
        <v>1.28</v>
      </c>
      <c r="F87" s="106">
        <f>VLOOKUP(E87,'2024 Cost Schedule for Tool'!$C$9:$F$299,4,0)</f>
        <v>11264.666888163887</v>
      </c>
      <c r="G87" s="51">
        <f>IF(D87="",0,C87*F87)</f>
        <v>21026.53709611161</v>
      </c>
      <c r="H87" s="187" t="s">
        <v>31</v>
      </c>
      <c r="J87" s="28"/>
    </row>
    <row r="88" spans="1:10" customFormat="1">
      <c r="A88" s="36">
        <v>1.0569999999999937</v>
      </c>
      <c r="B88" s="22" t="s">
        <v>137</v>
      </c>
      <c r="C88" s="160">
        <v>1.8665920000000003</v>
      </c>
      <c r="D88" s="19" t="s">
        <v>27</v>
      </c>
      <c r="E88" s="19">
        <v>1.3</v>
      </c>
      <c r="F88" s="107">
        <f>VLOOKUP(E88,'2024 Cost Schedule for Tool'!$C$9:$F$299,4,0)</f>
        <v>72094.243573145141</v>
      </c>
      <c r="G88" s="51">
        <f>IF(D88="",0,C88*F88)</f>
        <v>134570.53829968415</v>
      </c>
      <c r="H88" s="187" t="s">
        <v>31</v>
      </c>
      <c r="J88" s="28"/>
    </row>
    <row r="89" spans="1:10" customFormat="1">
      <c r="A89" s="39" t="s">
        <v>42</v>
      </c>
      <c r="B89" s="44"/>
      <c r="C89" s="157">
        <v>0</v>
      </c>
      <c r="D89" s="45"/>
      <c r="E89" s="45"/>
      <c r="F89" s="105"/>
      <c r="G89" s="51">
        <f>SUM(G90)</f>
        <v>0</v>
      </c>
      <c r="H89" s="186"/>
      <c r="J89" s="28"/>
    </row>
    <row r="90" spans="1:10" customFormat="1" ht="20.399999999999999">
      <c r="A90" s="36">
        <v>1.0579999999999936</v>
      </c>
      <c r="B90" s="268" t="s">
        <v>138</v>
      </c>
      <c r="C90" s="269">
        <v>0</v>
      </c>
      <c r="D90" s="270" t="s">
        <v>40</v>
      </c>
      <c r="E90" s="18">
        <v>4.05</v>
      </c>
      <c r="F90" s="106">
        <f>VLOOKUP(E90,'2024 Cost Schedule for Tool'!$C$9:$F$299,4,0)</f>
        <v>7.4858426130636291</v>
      </c>
      <c r="G90" s="51">
        <f>IF(D90="",0,C90*F90)</f>
        <v>0</v>
      </c>
      <c r="H90" s="187" t="s">
        <v>89</v>
      </c>
      <c r="J90" s="28"/>
    </row>
    <row r="91" spans="1:10" customFormat="1">
      <c r="A91" s="39" t="s">
        <v>78</v>
      </c>
      <c r="B91" s="44"/>
      <c r="C91" s="157">
        <v>0</v>
      </c>
      <c r="D91" s="45"/>
      <c r="E91" s="45"/>
      <c r="F91" s="105"/>
      <c r="G91" s="51">
        <f>SUM(G92:G92)</f>
        <v>14995.368196451269</v>
      </c>
      <c r="H91" s="186"/>
      <c r="J91" s="28"/>
    </row>
    <row r="92" spans="1:10" customFormat="1" ht="30.6">
      <c r="A92" s="36">
        <v>1.0589999999999935</v>
      </c>
      <c r="B92" s="22" t="s">
        <v>139</v>
      </c>
      <c r="C92" s="158">
        <v>9679.1523384192005</v>
      </c>
      <c r="D92" s="19" t="s">
        <v>74</v>
      </c>
      <c r="E92" s="19" t="s">
        <v>140</v>
      </c>
      <c r="F92" s="107">
        <f>VLOOKUP(E92,'2024 Cost Schedule for Tool'!$C$9:$F$299,4,0)</f>
        <v>1.5492439494862122</v>
      </c>
      <c r="G92" s="51">
        <f>IF(D92="",0,C92*F92)</f>
        <v>14995.368196451269</v>
      </c>
      <c r="H92" s="189" t="s">
        <v>141</v>
      </c>
      <c r="J92" s="28"/>
    </row>
    <row r="93" spans="1:10" customFormat="1">
      <c r="A93" s="37" t="s">
        <v>142</v>
      </c>
      <c r="B93" s="38"/>
      <c r="C93" s="155">
        <v>0</v>
      </c>
      <c r="D93" s="38"/>
      <c r="E93" s="38"/>
      <c r="F93" s="104"/>
      <c r="G93" s="50">
        <f>SUM(G94,G99)</f>
        <v>270344.98370166373</v>
      </c>
      <c r="H93" s="188"/>
      <c r="J93" s="28"/>
    </row>
    <row r="94" spans="1:10" customFormat="1">
      <c r="A94" s="39" t="s">
        <v>25</v>
      </c>
      <c r="B94" s="47"/>
      <c r="C94" s="156">
        <v>0</v>
      </c>
      <c r="D94" s="45"/>
      <c r="E94" s="45"/>
      <c r="F94" s="105"/>
      <c r="G94" s="51">
        <f>SUM(G95:G98)</f>
        <v>265679.34331695578</v>
      </c>
      <c r="H94" s="184"/>
      <c r="J94" s="28"/>
    </row>
    <row r="95" spans="1:10" customFormat="1" ht="20.399999999999999">
      <c r="A95" s="36">
        <v>1.0599999999999934</v>
      </c>
      <c r="B95" s="29" t="s">
        <v>143</v>
      </c>
      <c r="C95" s="158">
        <v>150.57797664</v>
      </c>
      <c r="D95" s="18" t="s">
        <v>30</v>
      </c>
      <c r="E95" s="18">
        <v>1.1000000000000001</v>
      </c>
      <c r="F95" s="106">
        <f>VLOOKUP(E95,'2024 Cost Schedule for Tool'!$C$9:$F$299,4,0)</f>
        <v>92.29786479442501</v>
      </c>
      <c r="G95" s="51">
        <f>IF(D95="",0,C95*F95)</f>
        <v>13898.025728936807</v>
      </c>
      <c r="H95" s="187" t="s">
        <v>144</v>
      </c>
      <c r="J95" s="28"/>
    </row>
    <row r="96" spans="1:10" customFormat="1" ht="20.399999999999999">
      <c r="A96" s="36">
        <v>1.0609999999999933</v>
      </c>
      <c r="B96" s="29" t="s">
        <v>145</v>
      </c>
      <c r="C96" s="158">
        <v>1.8665920000000003</v>
      </c>
      <c r="D96" s="19" t="s">
        <v>27</v>
      </c>
      <c r="E96" s="18">
        <v>1.29</v>
      </c>
      <c r="F96" s="106">
        <f>VLOOKUP(E96,'2024 Cost Schedule for Tool'!$C$9:$F$299,4,0)</f>
        <v>33794.000664491658</v>
      </c>
      <c r="G96" s="51">
        <f>IF(D96="",0,C96*F96)</f>
        <v>63079.611288334818</v>
      </c>
      <c r="H96" s="187" t="s">
        <v>146</v>
      </c>
      <c r="J96" s="28"/>
    </row>
    <row r="97" spans="1:10" customFormat="1" ht="20.399999999999999">
      <c r="A97" s="36">
        <v>1.0619999999999932</v>
      </c>
      <c r="B97" s="22" t="s">
        <v>137</v>
      </c>
      <c r="C97" s="160">
        <v>1.8665920000000003</v>
      </c>
      <c r="D97" s="19" t="s">
        <v>27</v>
      </c>
      <c r="E97" s="19">
        <v>1.3</v>
      </c>
      <c r="F97" s="107">
        <f>VLOOKUP(E97,'2024 Cost Schedule for Tool'!$C$9:$F$299,4,0)</f>
        <v>72094.243573145141</v>
      </c>
      <c r="G97" s="51">
        <f>IF(D97="",0,C97*F97)</f>
        <v>134570.53829968415</v>
      </c>
      <c r="H97" s="187" t="s">
        <v>146</v>
      </c>
      <c r="J97" s="28"/>
    </row>
    <row r="98" spans="1:10" customFormat="1" ht="20.399999999999999">
      <c r="A98" s="36">
        <v>1.0629999999999931</v>
      </c>
      <c r="B98" s="22" t="s">
        <v>147</v>
      </c>
      <c r="C98" s="160">
        <v>0.93329600000000013</v>
      </c>
      <c r="D98" s="19" t="s">
        <v>27</v>
      </c>
      <c r="E98" s="18" t="s">
        <v>50</v>
      </c>
      <c r="F98" s="106">
        <f>50000*1.16</f>
        <v>57999.999999999993</v>
      </c>
      <c r="G98" s="51">
        <f>IF(D98="",0,C98*F98)</f>
        <v>54131.167999999998</v>
      </c>
      <c r="H98" s="187" t="s">
        <v>148</v>
      </c>
      <c r="J98" s="28"/>
    </row>
    <row r="99" spans="1:10" customFormat="1">
      <c r="A99" s="39" t="s">
        <v>38</v>
      </c>
      <c r="B99" s="44"/>
      <c r="C99" s="157">
        <v>0</v>
      </c>
      <c r="D99" s="45"/>
      <c r="E99" s="45"/>
      <c r="F99" s="105"/>
      <c r="G99" s="51">
        <f>SUM(G100:G101)</f>
        <v>4665.6403847079237</v>
      </c>
      <c r="H99" s="186"/>
      <c r="J99" s="28"/>
    </row>
    <row r="100" spans="1:10" customFormat="1" ht="40.799999999999997">
      <c r="A100" s="36">
        <v>1.063999999999993</v>
      </c>
      <c r="B100" s="29" t="s">
        <v>149</v>
      </c>
      <c r="C100" s="158">
        <v>3011.5595327999999</v>
      </c>
      <c r="D100" s="19" t="s">
        <v>40</v>
      </c>
      <c r="E100" s="19" t="s">
        <v>140</v>
      </c>
      <c r="F100" s="107">
        <f>VLOOKUP(E100,'2024 Cost Schedule for Tool'!$C$9:$F$299,4,0)</f>
        <v>1.5492439494862122</v>
      </c>
      <c r="G100" s="51">
        <f>IF(D100="",0,C100*F100)</f>
        <v>4665.6403847079237</v>
      </c>
      <c r="H100" s="189" t="s">
        <v>150</v>
      </c>
      <c r="J100" s="28"/>
    </row>
    <row r="101" spans="1:10" customFormat="1" ht="20.399999999999999">
      <c r="A101" s="36">
        <v>1.0649999999999928</v>
      </c>
      <c r="B101" s="268" t="s">
        <v>88</v>
      </c>
      <c r="C101" s="269">
        <v>0</v>
      </c>
      <c r="D101" s="270" t="s">
        <v>40</v>
      </c>
      <c r="E101" s="18">
        <v>3.08</v>
      </c>
      <c r="F101" s="106">
        <f>VLOOKUP(E101,'2024 Cost Schedule for Tool'!$C$9:$F$299,4,0)</f>
        <v>5.732190051900929</v>
      </c>
      <c r="G101" s="51">
        <f>IF(D101="",0,C101*F101)</f>
        <v>0</v>
      </c>
      <c r="H101" s="187" t="s">
        <v>89</v>
      </c>
      <c r="J101" s="28"/>
    </row>
    <row r="102" spans="1:10" customFormat="1">
      <c r="A102" s="37" t="s">
        <v>151</v>
      </c>
      <c r="B102" s="38"/>
      <c r="C102" s="155">
        <v>0</v>
      </c>
      <c r="D102" s="38"/>
      <c r="E102" s="38"/>
      <c r="F102" s="104"/>
      <c r="G102" s="50">
        <f>SUM(G103,G106)</f>
        <v>890210.96355169488</v>
      </c>
      <c r="H102" s="188"/>
      <c r="J102" s="28"/>
    </row>
    <row r="103" spans="1:10" customFormat="1">
      <c r="A103" s="39" t="s">
        <v>38</v>
      </c>
      <c r="B103" s="47"/>
      <c r="C103" s="156">
        <v>0</v>
      </c>
      <c r="D103" s="45"/>
      <c r="E103" s="45"/>
      <c r="F103" s="105"/>
      <c r="G103" s="51">
        <f>SUM(G104:G105)</f>
        <v>402522.16004493082</v>
      </c>
      <c r="H103" s="184"/>
      <c r="J103" s="28"/>
    </row>
    <row r="104" spans="1:10" customFormat="1" ht="20.399999999999999">
      <c r="A104" s="36">
        <v>1.0659999999999927</v>
      </c>
      <c r="B104" s="29" t="s">
        <v>88</v>
      </c>
      <c r="C104" s="158">
        <v>32625.228272</v>
      </c>
      <c r="D104" s="19" t="s">
        <v>40</v>
      </c>
      <c r="E104" s="18">
        <v>3.08</v>
      </c>
      <c r="F104" s="106">
        <f>VLOOKUP(E104,'2024 Cost Schedule for Tool'!$C$9:$F$299,4,0)</f>
        <v>5.732190051900929</v>
      </c>
      <c r="G104" s="51">
        <f>IF(D104="",0,C104*F104)</f>
        <v>187014.00894175534</v>
      </c>
      <c r="H104" s="187" t="s">
        <v>152</v>
      </c>
      <c r="J104" s="28"/>
    </row>
    <row r="105" spans="1:10" customFormat="1" ht="30.6">
      <c r="A105" s="36">
        <v>1.0669999999999926</v>
      </c>
      <c r="B105" s="29" t="s">
        <v>153</v>
      </c>
      <c r="C105" s="158">
        <v>194747.51645440003</v>
      </c>
      <c r="D105" s="18" t="s">
        <v>40</v>
      </c>
      <c r="E105" s="18" t="s">
        <v>154</v>
      </c>
      <c r="F105" s="106">
        <f>VLOOKUP(E105,'2024 Cost Schedule for Tool'!$C$9:$F$299,4,0)</f>
        <v>1.1066028210615797</v>
      </c>
      <c r="G105" s="51">
        <f>IF(D105="",0,C105*F105)</f>
        <v>215508.15110317548</v>
      </c>
      <c r="H105" s="189" t="s">
        <v>155</v>
      </c>
      <c r="J105" s="28"/>
    </row>
    <row r="106" spans="1:10" customFormat="1">
      <c r="A106" s="39" t="s">
        <v>156</v>
      </c>
      <c r="B106" s="44"/>
      <c r="C106" s="157">
        <v>0</v>
      </c>
      <c r="D106" s="45"/>
      <c r="E106" s="45"/>
      <c r="F106" s="105"/>
      <c r="G106" s="51">
        <f>SUM(G107)</f>
        <v>487688.80350676406</v>
      </c>
      <c r="H106" s="186"/>
      <c r="J106" s="28"/>
    </row>
    <row r="107" spans="1:10" customFormat="1" ht="40.799999999999997">
      <c r="A107" s="36">
        <v>1.0679999999999925</v>
      </c>
      <c r="B107" s="22" t="s">
        <v>157</v>
      </c>
      <c r="C107" s="160">
        <v>48586.493795839997</v>
      </c>
      <c r="D107" s="19" t="s">
        <v>40</v>
      </c>
      <c r="E107" s="19">
        <v>6.08</v>
      </c>
      <c r="F107" s="107">
        <f>VLOOKUP(E107,'2024 Cost Schedule for Tool'!$C$9:$F$299,4,0)</f>
        <v>10.037538529864451</v>
      </c>
      <c r="G107" s="51">
        <f>IF(D107="",0,C107*F107)</f>
        <v>487688.80350676406</v>
      </c>
      <c r="H107" s="187" t="s">
        <v>158</v>
      </c>
      <c r="J107" s="28"/>
    </row>
    <row r="108" spans="1:10" customFormat="1">
      <c r="A108" s="37" t="s">
        <v>159</v>
      </c>
      <c r="B108" s="38"/>
      <c r="C108" s="155">
        <v>0</v>
      </c>
      <c r="D108" s="38"/>
      <c r="E108" s="38"/>
      <c r="F108" s="104"/>
      <c r="G108" s="27">
        <f>SUM(G109,G112,G119)</f>
        <v>8250592.1496424573</v>
      </c>
      <c r="H108" s="188"/>
      <c r="J108" s="28"/>
    </row>
    <row r="109" spans="1:10" customFormat="1">
      <c r="A109" s="39" t="s">
        <v>78</v>
      </c>
      <c r="B109" s="44"/>
      <c r="C109" s="157">
        <v>0</v>
      </c>
      <c r="D109" s="45"/>
      <c r="E109" s="45"/>
      <c r="F109" s="105"/>
      <c r="G109" s="51">
        <f>SUM(G110:G111)</f>
        <v>3098378.687586498</v>
      </c>
      <c r="H109" s="186"/>
      <c r="J109" s="28"/>
    </row>
    <row r="110" spans="1:10" customFormat="1" ht="20.399999999999999">
      <c r="A110" s="36">
        <v>1.0689999999999924</v>
      </c>
      <c r="B110" s="271" t="s">
        <v>160</v>
      </c>
      <c r="C110" s="272">
        <v>424.73027944256</v>
      </c>
      <c r="D110" s="273" t="s">
        <v>74</v>
      </c>
      <c r="E110" s="18">
        <v>8.08</v>
      </c>
      <c r="F110" s="106">
        <f>VLOOKUP(E110,'2024 Cost Schedule for Tool'!$C$9:$F$299,4,0)</f>
        <v>5193.01143544355</v>
      </c>
      <c r="G110" s="51">
        <f>IF(D110="",0,C110*F110)</f>
        <v>2205629.1981243487</v>
      </c>
      <c r="H110" s="185" t="s">
        <v>161</v>
      </c>
      <c r="J110" s="28"/>
    </row>
    <row r="111" spans="1:10" customFormat="1" ht="20.399999999999999">
      <c r="A111" s="36">
        <v>1.0699999999999923</v>
      </c>
      <c r="B111" s="271" t="s">
        <v>162</v>
      </c>
      <c r="C111" s="272">
        <f>(((C110)*1.0256)*1.0756)*0.91</f>
        <v>426.36684064134977</v>
      </c>
      <c r="D111" s="273" t="s">
        <v>74</v>
      </c>
      <c r="E111" s="18">
        <v>8.09</v>
      </c>
      <c r="F111" s="106">
        <f>VLOOKUP(E111,'2024 Cost Schedule for Tool'!$C$9:$F$299,4,0)</f>
        <v>2093.8530025441405</v>
      </c>
      <c r="G111" s="51">
        <f>IF(D111="",0,C111*F111)</f>
        <v>892749.48946214933</v>
      </c>
      <c r="H111" s="185" t="s">
        <v>161</v>
      </c>
      <c r="J111" s="28"/>
    </row>
    <row r="112" spans="1:10" customFormat="1">
      <c r="A112" s="39" t="s">
        <v>156</v>
      </c>
      <c r="B112" s="44"/>
      <c r="C112" s="157">
        <v>0</v>
      </c>
      <c r="D112" s="45"/>
      <c r="E112" s="45"/>
      <c r="F112" s="105"/>
      <c r="G112" s="51">
        <f>SUM(G113:G118)</f>
        <v>3945161.1114339908</v>
      </c>
      <c r="H112" s="186"/>
      <c r="J112" s="28"/>
    </row>
    <row r="113" spans="1:10" customFormat="1" ht="20.399999999999999">
      <c r="A113" s="36">
        <v>1.0709999999999922</v>
      </c>
      <c r="B113" s="271" t="s">
        <v>163</v>
      </c>
      <c r="C113" s="272">
        <f>(((C110)*1.0256)*1.0756)*0.91</f>
        <v>426.36684064134977</v>
      </c>
      <c r="D113" s="23" t="s">
        <v>74</v>
      </c>
      <c r="E113" s="117">
        <v>6.1</v>
      </c>
      <c r="F113" s="106">
        <f>VLOOKUP(E113,'2024 Cost Schedule for Tool'!$C$9:$F$299,4,0)</f>
        <v>1936.4092033870368</v>
      </c>
      <c r="G113" s="51">
        <f t="shared" ref="G113:G118" si="3">IF(D113="",0,C113*F113)</f>
        <v>825620.67423696374</v>
      </c>
      <c r="H113" s="185" t="s">
        <v>161</v>
      </c>
      <c r="J113" s="28"/>
    </row>
    <row r="114" spans="1:10" customFormat="1" ht="30.6">
      <c r="A114" s="36">
        <v>1.0719999999999921</v>
      </c>
      <c r="B114" s="271" t="s">
        <v>164</v>
      </c>
      <c r="C114" s="272">
        <f>((((C110*10000*0.1)*0.4)*1.0256)*1.0756)*0.91</f>
        <v>170546.73625653997</v>
      </c>
      <c r="D114" s="23" t="s">
        <v>40</v>
      </c>
      <c r="E114" s="18">
        <v>6.03</v>
      </c>
      <c r="F114" s="106">
        <f>VLOOKUP(E114,'2024 Cost Schedule for Tool'!$C$9:$F$299,4,0)</f>
        <v>6.8847724418445342</v>
      </c>
      <c r="G114" s="51">
        <f t="shared" si="3"/>
        <v>1174175.4698255544</v>
      </c>
      <c r="H114" s="185" t="s">
        <v>165</v>
      </c>
      <c r="I114" s="49"/>
      <c r="J114" s="28"/>
    </row>
    <row r="115" spans="1:10" customFormat="1" ht="43.5" customHeight="1">
      <c r="A115" s="36">
        <v>1.072999999999992</v>
      </c>
      <c r="B115" s="271" t="s">
        <v>166</v>
      </c>
      <c r="C115" s="272">
        <f>((((C111)*0.6)*1.0256)*1.0756)*0.91</f>
        <v>256.80582468065501</v>
      </c>
      <c r="D115" s="23" t="s">
        <v>74</v>
      </c>
      <c r="E115" s="18">
        <v>6.23</v>
      </c>
      <c r="F115" s="106">
        <f>VLOOKUP(E115,'2024 Cost Schedule for Tool'!$C$9:$F$299,4,0)</f>
        <v>2182.7635393488581</v>
      </c>
      <c r="G115" s="51">
        <f t="shared" si="3"/>
        <v>560546.39080534887</v>
      </c>
      <c r="H115" s="185" t="s">
        <v>165</v>
      </c>
      <c r="J115" s="28"/>
    </row>
    <row r="116" spans="1:10" customFormat="1" ht="20.399999999999999">
      <c r="A116" s="36">
        <v>1.0739999999999919</v>
      </c>
      <c r="B116" s="271" t="s">
        <v>167</v>
      </c>
      <c r="C116" s="272">
        <f>(((C110)*1.0256)*1.0756)*0.91</f>
        <v>426.36684064134977</v>
      </c>
      <c r="D116" s="23" t="s">
        <v>74</v>
      </c>
      <c r="E116" s="117">
        <v>6.2</v>
      </c>
      <c r="F116" s="106">
        <f>VLOOKUP(E116,'2024 Cost Schedule for Tool'!$C$9:$F$299,4,0)</f>
        <v>1170.5459421328783</v>
      </c>
      <c r="G116" s="51">
        <f t="shared" si="3"/>
        <v>499081.97517274757</v>
      </c>
      <c r="H116" s="185" t="s">
        <v>161</v>
      </c>
      <c r="J116" s="28"/>
    </row>
    <row r="117" spans="1:10" customFormat="1" ht="20.399999999999999">
      <c r="A117" s="36">
        <v>1.0749999999999917</v>
      </c>
      <c r="B117" s="271" t="s">
        <v>168</v>
      </c>
      <c r="C117" s="272">
        <v>13.752788533119999</v>
      </c>
      <c r="D117" s="23" t="s">
        <v>74</v>
      </c>
      <c r="E117" s="18">
        <v>6.15</v>
      </c>
      <c r="F117" s="106">
        <f>VLOOKUP(E117,'2024 Cost Schedule for Tool'!$C$9:$F$299,4,0)</f>
        <v>3427.1095887906167</v>
      </c>
      <c r="G117" s="51">
        <f t="shared" si="3"/>
        <v>47132.313454465184</v>
      </c>
      <c r="H117" s="185" t="s">
        <v>161</v>
      </c>
      <c r="J117" s="28"/>
    </row>
    <row r="118" spans="1:10" customFormat="1" ht="20.399999999999999">
      <c r="A118" s="36">
        <v>1.0759999999999916</v>
      </c>
      <c r="B118" s="271" t="s">
        <v>169</v>
      </c>
      <c r="C118" s="272">
        <v>410.97749090944001</v>
      </c>
      <c r="D118" s="23" t="s">
        <v>74</v>
      </c>
      <c r="E118" s="18">
        <v>6.14</v>
      </c>
      <c r="F118" s="106">
        <f>VLOOKUP(E118,'2024 Cost Schedule for Tool'!$C$9:$F$299,4,0)</f>
        <v>2040.5114793104333</v>
      </c>
      <c r="G118" s="51">
        <f t="shared" si="3"/>
        <v>838604.28793891158</v>
      </c>
      <c r="H118" s="185" t="s">
        <v>161</v>
      </c>
      <c r="J118" s="28"/>
    </row>
    <row r="119" spans="1:10" customFormat="1">
      <c r="A119" s="39" t="s">
        <v>170</v>
      </c>
      <c r="B119" s="44"/>
      <c r="C119" s="157">
        <v>0</v>
      </c>
      <c r="D119" s="45"/>
      <c r="E119" s="45"/>
      <c r="F119" s="105"/>
      <c r="G119" s="51">
        <f>SUM(G120:G123)</f>
        <v>1207052.3506219683</v>
      </c>
      <c r="H119" s="190"/>
      <c r="J119" s="28"/>
    </row>
    <row r="120" spans="1:10" customFormat="1" ht="20.399999999999999">
      <c r="A120" s="36">
        <v>1.0769999999999915</v>
      </c>
      <c r="B120" s="29" t="s">
        <v>171</v>
      </c>
      <c r="C120" s="272">
        <f>(((C110)*1.0256)*1.0756)*0.91</f>
        <v>426.36684064134977</v>
      </c>
      <c r="D120" s="23" t="s">
        <v>74</v>
      </c>
      <c r="E120" s="18">
        <v>7.01</v>
      </c>
      <c r="F120" s="106">
        <f>VLOOKUP(E120,'2024 Cost Schedule for Tool'!$C$9:$F$299,4,0)</f>
        <v>2110.4387981372224</v>
      </c>
      <c r="G120" s="51">
        <f>IF(D120="",0,C120*F120)</f>
        <v>899821.12272869481</v>
      </c>
      <c r="H120" s="185" t="s">
        <v>172</v>
      </c>
      <c r="J120" s="28"/>
    </row>
    <row r="121" spans="1:10" customFormat="1">
      <c r="A121" s="36">
        <v>1.0779999999999914</v>
      </c>
      <c r="B121" s="271" t="s">
        <v>173</v>
      </c>
      <c r="C121" s="272">
        <f>(((C120*0.3)*1.0256)*1.0756)*0.91</f>
        <v>128.4029123403275</v>
      </c>
      <c r="D121" s="23" t="s">
        <v>74</v>
      </c>
      <c r="E121" s="18">
        <v>7.06</v>
      </c>
      <c r="F121" s="106">
        <f>VLOOKUP(E121,'2024 Cost Schedule for Tool'!$C$9:$F$299,4,0)</f>
        <v>1370.3879863418595</v>
      </c>
      <c r="G121" s="51">
        <f>IF(D121="",0,C121*F121)</f>
        <v>175961.8084824917</v>
      </c>
      <c r="H121" s="185" t="s">
        <v>174</v>
      </c>
      <c r="J121" s="28"/>
    </row>
    <row r="122" spans="1:10" customFormat="1">
      <c r="A122" s="36">
        <v>1.0789999999999913</v>
      </c>
      <c r="B122" s="118" t="s">
        <v>175</v>
      </c>
      <c r="C122" s="274">
        <f>(((C120*0.1)*1.0256)*1.0756)*0.91</f>
        <v>42.800970780109182</v>
      </c>
      <c r="D122" s="61" t="s">
        <v>74</v>
      </c>
      <c r="E122" s="18">
        <v>7.08</v>
      </c>
      <c r="F122" s="106">
        <f>VLOOKUP(E122,'2024 Cost Schedule for Tool'!$C$9:$F$299,4,0)</f>
        <v>3066.9729451974572</v>
      </c>
      <c r="G122" s="51">
        <f>IF(D122="",0,C122*F122)</f>
        <v>131269.41941078176</v>
      </c>
      <c r="H122" s="185" t="s">
        <v>176</v>
      </c>
      <c r="J122" s="28"/>
    </row>
    <row r="123" spans="1:10" customFormat="1" ht="20.399999999999999">
      <c r="A123" s="36">
        <v>1.0799999999999912</v>
      </c>
      <c r="B123" s="29" t="s">
        <v>177</v>
      </c>
      <c r="C123" s="158">
        <v>0</v>
      </c>
      <c r="D123" s="19" t="s">
        <v>74</v>
      </c>
      <c r="E123" s="18">
        <v>7.07</v>
      </c>
      <c r="F123" s="106">
        <f>VLOOKUP(E123,'2024 Cost Schedule for Tool'!$C$9:$F$299,4,0)</f>
        <v>1973.465195587605</v>
      </c>
      <c r="G123" s="51">
        <f>IF(D123="",0,C123*F123)</f>
        <v>0</v>
      </c>
      <c r="H123" s="185" t="s">
        <v>178</v>
      </c>
      <c r="J123" s="28"/>
    </row>
    <row r="124" spans="1:10" customFormat="1">
      <c r="A124" s="52" t="s">
        <v>3</v>
      </c>
      <c r="B124" s="52"/>
      <c r="C124" s="154">
        <v>0</v>
      </c>
      <c r="D124" s="52"/>
      <c r="E124" s="52"/>
      <c r="F124" s="103"/>
      <c r="G124" s="53">
        <f>G125</f>
        <v>126403008.3686083</v>
      </c>
      <c r="H124" s="191"/>
    </row>
    <row r="125" spans="1:10" customFormat="1">
      <c r="A125" s="37" t="s">
        <v>179</v>
      </c>
      <c r="B125" s="38"/>
      <c r="C125" s="155">
        <v>0</v>
      </c>
      <c r="D125" s="38"/>
      <c r="E125" s="38"/>
      <c r="F125" s="104"/>
      <c r="G125" s="50">
        <f>SUM(G126,G128,G138,G144)</f>
        <v>126403008.3686083</v>
      </c>
      <c r="H125" s="183"/>
      <c r="J125" s="28"/>
    </row>
    <row r="126" spans="1:10" customFormat="1">
      <c r="A126" s="39" t="s">
        <v>38</v>
      </c>
      <c r="B126" s="47"/>
      <c r="C126" s="156">
        <v>0</v>
      </c>
      <c r="D126" s="45"/>
      <c r="E126" s="45"/>
      <c r="F126" s="105"/>
      <c r="G126" s="51">
        <f>SUM(G127)</f>
        <v>0</v>
      </c>
      <c r="H126" s="184"/>
      <c r="J126" s="28"/>
    </row>
    <row r="127" spans="1:10" customFormat="1" ht="20.399999999999999">
      <c r="A127" s="36">
        <v>2.0009999999999999</v>
      </c>
      <c r="B127" s="29" t="s">
        <v>73</v>
      </c>
      <c r="C127" s="158">
        <v>0</v>
      </c>
      <c r="D127" s="19" t="s">
        <v>74</v>
      </c>
      <c r="E127" s="18">
        <v>3.03</v>
      </c>
      <c r="F127" s="120">
        <f>VLOOKUP(E127,'2024 Cost Schedule for Tool'!$C$9:$F$299,4,0)</f>
        <v>3723.464920000763</v>
      </c>
      <c r="G127" s="51">
        <f>IF(D127="",0,C127*F127)</f>
        <v>0</v>
      </c>
      <c r="H127" s="187" t="s">
        <v>180</v>
      </c>
      <c r="J127" s="28"/>
    </row>
    <row r="128" spans="1:10" customFormat="1">
      <c r="A128" s="39" t="s">
        <v>78</v>
      </c>
      <c r="B128" s="44"/>
      <c r="C128" s="157">
        <v>0</v>
      </c>
      <c r="D128" s="45"/>
      <c r="E128" s="45"/>
      <c r="F128" s="105"/>
      <c r="G128" s="51">
        <f>SUM(G129:G137)</f>
        <v>126088188.91269675</v>
      </c>
      <c r="H128" s="186"/>
      <c r="J128" s="28"/>
    </row>
    <row r="129" spans="1:10" customFormat="1" ht="61.5" customHeight="1">
      <c r="A129" s="36">
        <v>2.0019999999999998</v>
      </c>
      <c r="B129" s="254" t="s">
        <v>181</v>
      </c>
      <c r="C129" s="255">
        <v>1</v>
      </c>
      <c r="D129" s="256" t="s">
        <v>27</v>
      </c>
      <c r="E129" s="256" t="s">
        <v>50</v>
      </c>
      <c r="F129" s="257">
        <f>43824000+3933573.57969522-5756846.42901599-3787648.93977737+1325677.12892199</f>
        <v>39538755.339823857</v>
      </c>
      <c r="G129" s="258">
        <f t="shared" ref="G129:G137" si="4">IF(D129="",0,C129*F129)</f>
        <v>39538755.339823857</v>
      </c>
      <c r="H129" s="259" t="s">
        <v>182</v>
      </c>
      <c r="J129" s="28"/>
    </row>
    <row r="130" spans="1:10" customFormat="1" ht="61.5" customHeight="1">
      <c r="A130" s="178">
        <v>2.0019999999999998</v>
      </c>
      <c r="B130" s="254" t="s">
        <v>181</v>
      </c>
      <c r="C130" s="255">
        <v>1</v>
      </c>
      <c r="D130" s="256" t="s">
        <v>27</v>
      </c>
      <c r="E130" s="256" t="s">
        <v>50</v>
      </c>
      <c r="F130" s="257">
        <v>43824000</v>
      </c>
      <c r="G130" s="258">
        <f t="shared" si="4"/>
        <v>43824000</v>
      </c>
      <c r="H130" s="259" t="s">
        <v>182</v>
      </c>
      <c r="J130" s="28"/>
    </row>
    <row r="131" spans="1:10" customFormat="1" ht="55.2" customHeight="1">
      <c r="A131" s="178">
        <v>2.0029999999999997</v>
      </c>
      <c r="B131" s="246" t="s">
        <v>183</v>
      </c>
      <c r="C131" s="247">
        <v>31.031000000000002</v>
      </c>
      <c r="D131" s="249" t="s">
        <v>74</v>
      </c>
      <c r="E131" s="19" t="s">
        <v>184</v>
      </c>
      <c r="F131" s="250">
        <f>VLOOKUP(E131,'2024 Cost Schedule for Tool'!$C$9:$F$299,4,0)</f>
        <v>384214.61460111226</v>
      </c>
      <c r="G131" s="51">
        <f t="shared" si="4"/>
        <v>11922563.705687115</v>
      </c>
      <c r="H131" s="185" t="s">
        <v>185</v>
      </c>
      <c r="J131" s="28"/>
    </row>
    <row r="132" spans="1:10" customFormat="1" ht="59.55" customHeight="1">
      <c r="A132" s="178">
        <v>2.0039999999999996</v>
      </c>
      <c r="B132" s="246" t="s">
        <v>183</v>
      </c>
      <c r="C132" s="247">
        <v>22.477</v>
      </c>
      <c r="D132" s="249" t="s">
        <v>74</v>
      </c>
      <c r="E132" s="19" t="s">
        <v>184</v>
      </c>
      <c r="F132" s="251">
        <f>VLOOKUP(E132,'2024 Cost Schedule for Tool'!$C$9:$F$299,4,0)</f>
        <v>384214.61460111226</v>
      </c>
      <c r="G132" s="51">
        <f t="shared" si="4"/>
        <v>8635991.8923892006</v>
      </c>
      <c r="H132" s="185" t="s">
        <v>185</v>
      </c>
      <c r="J132" s="28"/>
    </row>
    <row r="133" spans="1:10" customFormat="1" ht="48" customHeight="1">
      <c r="A133" s="36">
        <v>2.0049999999999994</v>
      </c>
      <c r="B133" s="246" t="s">
        <v>183</v>
      </c>
      <c r="C133" s="247">
        <v>28.938000000000002</v>
      </c>
      <c r="D133" s="249" t="s">
        <v>74</v>
      </c>
      <c r="E133" s="19" t="s">
        <v>184</v>
      </c>
      <c r="F133" s="251">
        <f>VLOOKUP(E133,'2024 Cost Schedule for Tool'!$C$9:$F$299,4,0)</f>
        <v>384214.61460111226</v>
      </c>
      <c r="G133" s="51">
        <f t="shared" si="4"/>
        <v>11118402.517326988</v>
      </c>
      <c r="H133" s="185" t="s">
        <v>185</v>
      </c>
      <c r="J133" s="28"/>
    </row>
    <row r="134" spans="1:10" customFormat="1" ht="55.2" customHeight="1">
      <c r="A134" s="36">
        <v>2.0059999999999993</v>
      </c>
      <c r="B134" s="246" t="s">
        <v>183</v>
      </c>
      <c r="C134" s="247">
        <v>28.756000000000004</v>
      </c>
      <c r="D134" s="249" t="s">
        <v>74</v>
      </c>
      <c r="E134" s="19" t="s">
        <v>184</v>
      </c>
      <c r="F134" s="251">
        <f>VLOOKUP(E134,'2024 Cost Schedule for Tool'!$C$9:$F$299,4,0)</f>
        <v>384214.61460111226</v>
      </c>
      <c r="G134" s="51">
        <f t="shared" si="4"/>
        <v>11048475.457469586</v>
      </c>
      <c r="H134" s="185" t="s">
        <v>186</v>
      </c>
      <c r="J134" s="28"/>
    </row>
    <row r="135" spans="1:10" customFormat="1" ht="91.8">
      <c r="A135" s="36">
        <v>2.0069999999999992</v>
      </c>
      <c r="B135" s="22" t="s">
        <v>187</v>
      </c>
      <c r="C135" s="159">
        <v>0</v>
      </c>
      <c r="D135" s="19" t="s">
        <v>74</v>
      </c>
      <c r="E135" s="19">
        <v>6.06</v>
      </c>
      <c r="F135" s="107">
        <f>VLOOKUP(E135,'2024 Cost Schedule for Tool'!$C$9:$F$299,4,0)</f>
        <v>5.7282969560834731</v>
      </c>
      <c r="G135" s="51">
        <f t="shared" si="4"/>
        <v>0</v>
      </c>
      <c r="H135" s="185" t="s">
        <v>188</v>
      </c>
      <c r="J135" s="28"/>
    </row>
    <row r="136" spans="1:10" customFormat="1" ht="18" customHeight="1">
      <c r="A136" s="36">
        <v>2.0079999999999991</v>
      </c>
      <c r="B136" s="22" t="s">
        <v>189</v>
      </c>
      <c r="C136" s="160">
        <v>0</v>
      </c>
      <c r="D136" s="19" t="s">
        <v>74</v>
      </c>
      <c r="E136" s="19">
        <v>8.09</v>
      </c>
      <c r="F136" s="107">
        <f>VLOOKUP(E136,'2024 Cost Schedule for Tool'!$C$9:$F$299,4,0)</f>
        <v>2093.8530025441405</v>
      </c>
      <c r="G136" s="51">
        <f t="shared" si="4"/>
        <v>0</v>
      </c>
      <c r="H136" s="187" t="s">
        <v>190</v>
      </c>
      <c r="J136" s="28"/>
    </row>
    <row r="137" spans="1:10" customFormat="1" ht="20.399999999999999">
      <c r="A137" s="36">
        <v>2.008999999999999</v>
      </c>
      <c r="B137" s="275" t="s">
        <v>160</v>
      </c>
      <c r="C137" s="248">
        <v>0</v>
      </c>
      <c r="D137" s="276" t="s">
        <v>74</v>
      </c>
      <c r="E137" s="19">
        <v>8.08</v>
      </c>
      <c r="F137" s="107">
        <f>VLOOKUP(E137,'2024 Cost Schedule for Tool'!$C$9:$F$299,4,0)</f>
        <v>5193.01143544355</v>
      </c>
      <c r="G137" s="51">
        <f t="shared" si="4"/>
        <v>0</v>
      </c>
      <c r="H137" s="187" t="s">
        <v>190</v>
      </c>
      <c r="J137" s="28"/>
    </row>
    <row r="138" spans="1:10" customFormat="1">
      <c r="A138" s="39" t="s">
        <v>156</v>
      </c>
      <c r="B138" s="44"/>
      <c r="C138" s="157">
        <v>0</v>
      </c>
      <c r="D138" s="45"/>
      <c r="E138" s="45"/>
      <c r="F138" s="105"/>
      <c r="G138" s="51">
        <f>SUM(G139:G143)</f>
        <v>232782.11865207084</v>
      </c>
      <c r="H138" s="186"/>
      <c r="J138" s="28"/>
    </row>
    <row r="139" spans="1:10" customFormat="1" ht="20.399999999999999">
      <c r="A139" s="36">
        <v>2.0099999999999989</v>
      </c>
      <c r="B139" s="29" t="s">
        <v>191</v>
      </c>
      <c r="C139" s="236">
        <f>(((C134)*1.0256)*1.0756)*0.91</f>
        <v>28.866801975065602</v>
      </c>
      <c r="D139" s="19" t="s">
        <v>74</v>
      </c>
      <c r="E139" s="18">
        <v>6.1</v>
      </c>
      <c r="F139" s="106">
        <f>VLOOKUP(E139,'2024 Cost Schedule for Tool'!$C$9:$F$299,4,0)</f>
        <v>1936.4092033870368</v>
      </c>
      <c r="G139" s="51">
        <f>IF(D139="",0,C139*F139)</f>
        <v>55897.941016868121</v>
      </c>
      <c r="H139" s="187" t="s">
        <v>192</v>
      </c>
      <c r="J139" s="28"/>
    </row>
    <row r="140" spans="1:10" customFormat="1" ht="30.6">
      <c r="A140" s="36">
        <v>2.0109999999999988</v>
      </c>
      <c r="B140" s="29" t="s">
        <v>164</v>
      </c>
      <c r="C140" s="236">
        <f>((((C139*10000*0.1)*0.4)*1.0256)*1.0756)*0.91</f>
        <v>11591.212355927828</v>
      </c>
      <c r="D140" s="19" t="s">
        <v>40</v>
      </c>
      <c r="E140" s="18">
        <v>6.03</v>
      </c>
      <c r="F140" s="106">
        <f>VLOOKUP(E140,'2024 Cost Schedule for Tool'!$C$9:$F$299,4,0)</f>
        <v>6.8847724418445342</v>
      </c>
      <c r="G140" s="51">
        <f>IF(D140="",0,C140*F140)</f>
        <v>79802.859395659762</v>
      </c>
      <c r="H140" s="185" t="s">
        <v>165</v>
      </c>
      <c r="J140" s="28"/>
    </row>
    <row r="141" spans="1:10" customFormat="1" ht="43.5" customHeight="1">
      <c r="A141" s="36">
        <v>2.0119999999999987</v>
      </c>
      <c r="B141" s="271" t="s">
        <v>166</v>
      </c>
      <c r="C141" s="272">
        <f>((((C139)*0.6)*1.0256)*1.0756)*0.91</f>
        <v>17.386818533891734</v>
      </c>
      <c r="D141" s="23" t="s">
        <v>74</v>
      </c>
      <c r="E141" s="18">
        <v>6.23</v>
      </c>
      <c r="F141" s="106">
        <f>VLOOKUP(E141,'2024 Cost Schedule for Tool'!$C$9:$F$299,4,0)</f>
        <v>2182.7635393488581</v>
      </c>
      <c r="G141" s="51">
        <f>IF(D141="",0,C141*F141)</f>
        <v>37951.313561053845</v>
      </c>
      <c r="H141" s="185" t="s">
        <v>165</v>
      </c>
      <c r="J141" s="28"/>
    </row>
    <row r="142" spans="1:10" customFormat="1" ht="20.399999999999999">
      <c r="A142" s="36">
        <v>2.0129999999999986</v>
      </c>
      <c r="B142" s="29" t="s">
        <v>169</v>
      </c>
      <c r="C142" s="236">
        <f>(((C139)*1.0256)*1.0756)*0.91</f>
        <v>28.978030889819561</v>
      </c>
      <c r="D142" s="19" t="s">
        <v>74</v>
      </c>
      <c r="E142" s="18">
        <v>6.14</v>
      </c>
      <c r="F142" s="106">
        <f>VLOOKUP(E142,'2024 Cost Schedule for Tool'!$C$9:$F$299,4,0)</f>
        <v>2040.5114793104333</v>
      </c>
      <c r="G142" s="51">
        <f>IF(D142="",0,C142*F142)</f>
        <v>59130.004678489146</v>
      </c>
      <c r="H142" s="187" t="s">
        <v>192</v>
      </c>
      <c r="J142" s="28"/>
    </row>
    <row r="143" spans="1:10" customFormat="1">
      <c r="A143" s="36">
        <v>2.0139999999999985</v>
      </c>
      <c r="B143" s="29" t="s">
        <v>168</v>
      </c>
      <c r="C143" s="236">
        <v>0</v>
      </c>
      <c r="D143" s="19" t="s">
        <v>74</v>
      </c>
      <c r="E143" s="18">
        <v>6.15</v>
      </c>
      <c r="F143" s="106">
        <f>VLOOKUP(E143,'2024 Cost Schedule for Tool'!$C$9:$F$299,4,0)</f>
        <v>3427.1095887906167</v>
      </c>
      <c r="G143" s="51">
        <f>IF(D143="",0,C143*F143)</f>
        <v>0</v>
      </c>
      <c r="H143" s="187" t="s">
        <v>193</v>
      </c>
      <c r="J143" s="28"/>
    </row>
    <row r="144" spans="1:10" customFormat="1">
      <c r="A144" s="39" t="s">
        <v>170</v>
      </c>
      <c r="B144" s="44"/>
      <c r="C144" s="157">
        <v>0</v>
      </c>
      <c r="D144" s="45"/>
      <c r="E144" s="45"/>
      <c r="F144" s="105"/>
      <c r="G144" s="51">
        <f>SUM(G145:G148)</f>
        <v>82037.337259478445</v>
      </c>
      <c r="H144" s="186"/>
      <c r="J144" s="28"/>
    </row>
    <row r="145" spans="1:10" customFormat="1" ht="20.399999999999999">
      <c r="A145" s="36">
        <v>2.0149999999999983</v>
      </c>
      <c r="B145" s="29" t="s">
        <v>171</v>
      </c>
      <c r="C145" s="236">
        <f>(((C139)*1.0256)*1.0756)*0.91</f>
        <v>28.978030889819561</v>
      </c>
      <c r="D145" s="19" t="s">
        <v>74</v>
      </c>
      <c r="E145" s="18">
        <v>7.01</v>
      </c>
      <c r="F145" s="106">
        <f>VLOOKUP(E145,'2024 Cost Schedule for Tool'!$C$9:$F$299,4,0)</f>
        <v>2110.4387981372224</v>
      </c>
      <c r="G145" s="51">
        <f>IF(D145="",0,C145*F145)</f>
        <v>61156.360683494102</v>
      </c>
      <c r="H145" s="187" t="s">
        <v>192</v>
      </c>
      <c r="J145" s="28"/>
    </row>
    <row r="146" spans="1:10" customFormat="1">
      <c r="A146" s="36">
        <v>2.0159999999999982</v>
      </c>
      <c r="B146" s="271" t="s">
        <v>173</v>
      </c>
      <c r="C146" s="272">
        <f>(((C145*0.3)*1.0256)*1.0756)*0.91</f>
        <v>8.726906516800895</v>
      </c>
      <c r="D146" s="23" t="s">
        <v>74</v>
      </c>
      <c r="E146" s="18">
        <v>7.06</v>
      </c>
      <c r="F146" s="106">
        <f>VLOOKUP(E146,'2024 Cost Schedule for Tool'!$C$9:$F$299,4,0)</f>
        <v>1370.3879863418595</v>
      </c>
      <c r="G146" s="51">
        <f>IF(D146="",0,C146*F146)</f>
        <v>11959.24784855243</v>
      </c>
      <c r="H146" s="185" t="s">
        <v>174</v>
      </c>
      <c r="J146" s="28"/>
    </row>
    <row r="147" spans="1:10" customFormat="1">
      <c r="A147" s="36">
        <v>2.0169999999999981</v>
      </c>
      <c r="B147" s="118" t="s">
        <v>175</v>
      </c>
      <c r="C147" s="274">
        <f>(((C145*0.1)*1.0256)*1.0756)*0.91</f>
        <v>2.9089688389336326</v>
      </c>
      <c r="D147" s="61" t="s">
        <v>74</v>
      </c>
      <c r="E147" s="18">
        <v>7.08</v>
      </c>
      <c r="F147" s="106">
        <f>VLOOKUP(E147,'2024 Cost Schedule for Tool'!$C$9:$F$299,4,0)</f>
        <v>3066.9729451974572</v>
      </c>
      <c r="G147" s="51">
        <f>IF(D147="",0,C147*F147)</f>
        <v>8921.7287274319096</v>
      </c>
      <c r="H147" s="185" t="s">
        <v>176</v>
      </c>
      <c r="J147" s="28"/>
    </row>
    <row r="148" spans="1:10" customFormat="1" ht="20.399999999999999">
      <c r="A148" s="36">
        <v>2.017999999999998</v>
      </c>
      <c r="B148" s="29" t="s">
        <v>177</v>
      </c>
      <c r="C148" s="158">
        <v>0</v>
      </c>
      <c r="D148" s="19" t="s">
        <v>74</v>
      </c>
      <c r="E148" s="18">
        <v>7.07</v>
      </c>
      <c r="F148" s="106">
        <f>VLOOKUP(E148,'2024 Cost Schedule for Tool'!$C$9:$F$299,4,0)</f>
        <v>1973.465195587605</v>
      </c>
      <c r="G148" s="51">
        <f>IF(D148="",0,C148*F148)</f>
        <v>0</v>
      </c>
      <c r="H148" s="185" t="s">
        <v>178</v>
      </c>
      <c r="J148" s="28"/>
    </row>
    <row r="149" spans="1:10" customFormat="1">
      <c r="A149" s="52" t="s">
        <v>4</v>
      </c>
      <c r="B149" s="52"/>
      <c r="C149" s="154">
        <v>0</v>
      </c>
      <c r="D149" s="52"/>
      <c r="E149" s="52"/>
      <c r="F149" s="103"/>
      <c r="G149" s="53">
        <f>G150</f>
        <v>26410703.889455151</v>
      </c>
      <c r="H149" s="191"/>
    </row>
    <row r="150" spans="1:10" customFormat="1">
      <c r="A150" s="37" t="s">
        <v>194</v>
      </c>
      <c r="B150" s="38"/>
      <c r="C150" s="155">
        <v>0</v>
      </c>
      <c r="D150" s="38"/>
      <c r="E150" s="38"/>
      <c r="F150" s="104"/>
      <c r="G150" s="27">
        <f>SUM(G151,G154,G162)</f>
        <v>26410703.889455151</v>
      </c>
      <c r="H150" s="188"/>
      <c r="J150" s="28"/>
    </row>
    <row r="151" spans="1:10" customFormat="1">
      <c r="A151" s="39" t="s">
        <v>78</v>
      </c>
      <c r="B151" s="44"/>
      <c r="C151" s="157">
        <v>0</v>
      </c>
      <c r="D151" s="45"/>
      <c r="E151" s="45"/>
      <c r="F151" s="105"/>
      <c r="G151" s="51">
        <f>SUM(G152:G153)</f>
        <v>404231.86848209571</v>
      </c>
      <c r="H151" s="186"/>
      <c r="J151" s="28"/>
    </row>
    <row r="152" spans="1:10" customFormat="1" ht="20.399999999999999">
      <c r="A152" s="36">
        <v>3.0009999999999999</v>
      </c>
      <c r="B152" s="271" t="s">
        <v>160</v>
      </c>
      <c r="C152" s="272">
        <v>55.412695403520004</v>
      </c>
      <c r="D152" s="273" t="s">
        <v>74</v>
      </c>
      <c r="E152" s="18">
        <v>8.08</v>
      </c>
      <c r="F152" s="106">
        <f>VLOOKUP(E152,'2024 Cost Schedule for Tool'!$C$9:$F$299,4,0)</f>
        <v>5193.01143544355</v>
      </c>
      <c r="G152" s="51">
        <f>IF(D152="",0,C152*F152)</f>
        <v>287758.76089922962</v>
      </c>
      <c r="H152" s="185" t="s">
        <v>195</v>
      </c>
      <c r="J152" s="28"/>
    </row>
    <row r="153" spans="1:10" customFormat="1" ht="20.399999999999999">
      <c r="A153" s="36">
        <v>3.0019999999999998</v>
      </c>
      <c r="B153" s="271" t="s">
        <v>162</v>
      </c>
      <c r="C153" s="272">
        <f>(((C152)*1.0256)*1.0756)*0.91</f>
        <v>55.626210360204475</v>
      </c>
      <c r="D153" s="273" t="s">
        <v>74</v>
      </c>
      <c r="E153" s="18">
        <v>8.09</v>
      </c>
      <c r="F153" s="106">
        <f>VLOOKUP(E153,'2024 Cost Schedule for Tool'!$C$9:$F$299,4,0)</f>
        <v>2093.8530025441405</v>
      </c>
      <c r="G153" s="51">
        <f>IF(D153="",0,C153*F153)</f>
        <v>116473.10758286611</v>
      </c>
      <c r="H153" s="185" t="s">
        <v>195</v>
      </c>
      <c r="J153" s="28"/>
    </row>
    <row r="154" spans="1:10" customFormat="1">
      <c r="A154" s="39" t="s">
        <v>156</v>
      </c>
      <c r="B154" s="44"/>
      <c r="C154" s="157">
        <v>0</v>
      </c>
      <c r="D154" s="45"/>
      <c r="E154" s="45"/>
      <c r="F154" s="105"/>
      <c r="G154" s="51">
        <f>SUM(G155:G161)</f>
        <v>25848993.198580399</v>
      </c>
      <c r="H154" s="186"/>
      <c r="J154" s="28"/>
    </row>
    <row r="155" spans="1:10" customFormat="1" ht="20.399999999999999">
      <c r="A155" s="36">
        <v>3.0029999999999997</v>
      </c>
      <c r="B155" s="271" t="s">
        <v>163</v>
      </c>
      <c r="C155" s="272">
        <f>(((C152)*1.0256)*1.0756)*0.91</f>
        <v>55.626210360204475</v>
      </c>
      <c r="D155" s="23" t="s">
        <v>74</v>
      </c>
      <c r="E155" s="18">
        <v>6.1</v>
      </c>
      <c r="F155" s="106">
        <f>VLOOKUP(E155,'2024 Cost Schedule for Tool'!$C$9:$F$299,4,0)</f>
        <v>1936.4092033870368</v>
      </c>
      <c r="G155" s="51">
        <f t="shared" ref="G155:G161" si="5">IF(D155="",0,C155*F155)</f>
        <v>107715.10569104328</v>
      </c>
      <c r="H155" s="185" t="s">
        <v>195</v>
      </c>
      <c r="J155" s="28"/>
    </row>
    <row r="156" spans="1:10" customFormat="1" ht="30.6">
      <c r="A156" s="36">
        <v>3.0039999999999996</v>
      </c>
      <c r="B156" s="271" t="s">
        <v>164</v>
      </c>
      <c r="C156" s="272">
        <f>((((C152*10000*0.1)*0.4)*1.0256)*1.0756)*0.91</f>
        <v>22250.484144081791</v>
      </c>
      <c r="D156" s="23" t="s">
        <v>40</v>
      </c>
      <c r="E156" s="18">
        <v>6.03</v>
      </c>
      <c r="F156" s="106">
        <f>VLOOKUP(E156,'2024 Cost Schedule for Tool'!$C$9:$F$299,4,0)</f>
        <v>6.8847724418445342</v>
      </c>
      <c r="G156" s="51">
        <f t="shared" si="5"/>
        <v>153189.52005287309</v>
      </c>
      <c r="H156" s="185" t="s">
        <v>165</v>
      </c>
      <c r="J156" s="28"/>
    </row>
    <row r="157" spans="1:10" customFormat="1" ht="43.5" customHeight="1">
      <c r="A157" s="36">
        <v>3.0049999999999994</v>
      </c>
      <c r="B157" s="271" t="s">
        <v>166</v>
      </c>
      <c r="C157" s="272">
        <f>((((C155)*0.6)*1.0256)*1.0756)*0.91</f>
        <v>33.504328816762381</v>
      </c>
      <c r="D157" s="23" t="s">
        <v>74</v>
      </c>
      <c r="E157" s="18">
        <v>6.23</v>
      </c>
      <c r="F157" s="106">
        <f>VLOOKUP(E157,'2024 Cost Schedule for Tool'!$C$9:$F$299,4,0)</f>
        <v>2182.7635393488581</v>
      </c>
      <c r="G157" s="51">
        <f t="shared" si="5"/>
        <v>73132.027351584198</v>
      </c>
      <c r="H157" s="185" t="s">
        <v>165</v>
      </c>
      <c r="J157" s="28"/>
    </row>
    <row r="158" spans="1:10" customFormat="1" ht="20.399999999999999">
      <c r="A158" s="36">
        <v>3.0059999999999993</v>
      </c>
      <c r="B158" s="271" t="s">
        <v>167</v>
      </c>
      <c r="C158" s="272">
        <f>(((C152*5)*1.0256)*1.0756)*0.91</f>
        <v>278.13105180102235</v>
      </c>
      <c r="D158" s="23" t="s">
        <v>74</v>
      </c>
      <c r="E158" s="117">
        <v>6.2</v>
      </c>
      <c r="F158" s="106">
        <f>VLOOKUP(E158,'2024 Cost Schedule for Tool'!$C$9:$F$299,4,0)</f>
        <v>1170.5459421328783</v>
      </c>
      <c r="G158" s="51">
        <f t="shared" si="5"/>
        <v>325565.17406683607</v>
      </c>
      <c r="H158" s="185" t="s">
        <v>196</v>
      </c>
      <c r="J158" s="28"/>
    </row>
    <row r="159" spans="1:10" customFormat="1" ht="20.399999999999999">
      <c r="A159" s="36">
        <v>3.0069999999999992</v>
      </c>
      <c r="B159" s="271" t="s">
        <v>168</v>
      </c>
      <c r="C159" s="272">
        <v>3.2223687000959997</v>
      </c>
      <c r="D159" s="23" t="s">
        <v>74</v>
      </c>
      <c r="E159" s="18">
        <v>6.15</v>
      </c>
      <c r="F159" s="106">
        <f>VLOOKUP(E159,'2024 Cost Schedule for Tool'!$C$9:$F$299,4,0)</f>
        <v>3427.1095887906167</v>
      </c>
      <c r="G159" s="51">
        <f t="shared" si="5"/>
        <v>11043.410670717756</v>
      </c>
      <c r="H159" s="185" t="s">
        <v>197</v>
      </c>
      <c r="J159" s="28"/>
    </row>
    <row r="160" spans="1:10" customFormat="1" ht="20.399999999999999">
      <c r="A160" s="36">
        <v>3.0079999999999991</v>
      </c>
      <c r="B160" s="271" t="s">
        <v>169</v>
      </c>
      <c r="C160" s="272">
        <v>52.190326703424006</v>
      </c>
      <c r="D160" s="23" t="s">
        <v>74</v>
      </c>
      <c r="E160" s="18">
        <v>6.14</v>
      </c>
      <c r="F160" s="106">
        <f>VLOOKUP(E160,'2024 Cost Schedule for Tool'!$C$9:$F$299,4,0)</f>
        <v>2040.5114793104333</v>
      </c>
      <c r="G160" s="51">
        <f t="shared" si="5"/>
        <v>106494.96074729852</v>
      </c>
      <c r="H160" s="185" t="s">
        <v>198</v>
      </c>
      <c r="J160" s="28"/>
    </row>
    <row r="161" spans="1:10" customFormat="1" ht="61.2">
      <c r="A161" s="36">
        <v>3.008999999999999</v>
      </c>
      <c r="B161" s="271" t="s">
        <v>199</v>
      </c>
      <c r="C161" s="277">
        <v>0.86406953980893397</v>
      </c>
      <c r="D161" s="23" t="s">
        <v>27</v>
      </c>
      <c r="E161" s="18" t="s">
        <v>50</v>
      </c>
      <c r="F161" s="106">
        <v>29016013</v>
      </c>
      <c r="G161" s="51">
        <f t="shared" si="5"/>
        <v>25071853.000000045</v>
      </c>
      <c r="H161" s="185" t="s">
        <v>200</v>
      </c>
      <c r="J161" s="28"/>
    </row>
    <row r="162" spans="1:10" customFormat="1">
      <c r="A162" s="39" t="s">
        <v>170</v>
      </c>
      <c r="B162" s="44"/>
      <c r="C162" s="157">
        <v>0</v>
      </c>
      <c r="D162" s="45"/>
      <c r="E162" s="45"/>
      <c r="F162" s="105"/>
      <c r="G162" s="51">
        <f>SUM(G163:G165)</f>
        <v>157478.8223926558</v>
      </c>
      <c r="H162" s="186"/>
      <c r="J162" s="28"/>
    </row>
    <row r="163" spans="1:10" customFormat="1" ht="20.399999999999999">
      <c r="A163" s="36">
        <v>3.0099999999999989</v>
      </c>
      <c r="B163" s="29" t="s">
        <v>171</v>
      </c>
      <c r="C163" s="272">
        <f>(((C152)*1.0256)*1.0756)*0.91</f>
        <v>55.626210360204475</v>
      </c>
      <c r="D163" s="23" t="s">
        <v>74</v>
      </c>
      <c r="E163" s="18">
        <v>7.01</v>
      </c>
      <c r="F163" s="106">
        <f>VLOOKUP(E163,'2024 Cost Schedule for Tool'!$C$9:$F$299,4,0)</f>
        <v>2110.4387981372224</v>
      </c>
      <c r="G163" s="51">
        <f>IF(D163="",0,C163*F163)</f>
        <v>117395.71253751824</v>
      </c>
      <c r="H163" s="185" t="s">
        <v>195</v>
      </c>
      <c r="J163" s="28"/>
    </row>
    <row r="164" spans="1:10" customFormat="1">
      <c r="A164" s="36">
        <v>3.0109999999999988</v>
      </c>
      <c r="B164" s="271" t="s">
        <v>173</v>
      </c>
      <c r="C164" s="272">
        <f>(((C163*0.3)*1.0256)*1.0756)*0.91</f>
        <v>16.752164408381191</v>
      </c>
      <c r="D164" s="23" t="s">
        <v>74</v>
      </c>
      <c r="E164" s="18">
        <v>7.06</v>
      </c>
      <c r="F164" s="106">
        <f>VLOOKUP(E164,'2024 Cost Schedule for Tool'!$C$9:$F$299,4,0)</f>
        <v>1370.3879863418595</v>
      </c>
      <c r="G164" s="51">
        <f>IF(D164="",0,C164*F164)</f>
        <v>22956.964850469267</v>
      </c>
      <c r="H164" s="185" t="s">
        <v>174</v>
      </c>
      <c r="J164" s="28"/>
    </row>
    <row r="165" spans="1:10" customFormat="1">
      <c r="A165" s="36">
        <v>3.0119999999999987</v>
      </c>
      <c r="B165" s="118" t="s">
        <v>175</v>
      </c>
      <c r="C165" s="274">
        <f>(((C163*0.1)*1.0256)*1.0756)*0.91</f>
        <v>5.5840548027937302</v>
      </c>
      <c r="D165" s="61" t="s">
        <v>74</v>
      </c>
      <c r="E165" s="18">
        <v>7.08</v>
      </c>
      <c r="F165" s="106">
        <f>VLOOKUP(E165,'2024 Cost Schedule for Tool'!$C$9:$F$299,4,0)</f>
        <v>3066.9729451974572</v>
      </c>
      <c r="G165" s="51">
        <f>IF(D165="",0,C165*F165)</f>
        <v>17126.145004668291</v>
      </c>
      <c r="H165" s="185" t="s">
        <v>176</v>
      </c>
      <c r="J165" s="28"/>
    </row>
    <row r="166" spans="1:10" customFormat="1">
      <c r="A166" s="52" t="s">
        <v>5</v>
      </c>
      <c r="B166" s="52"/>
      <c r="C166" s="154">
        <v>0</v>
      </c>
      <c r="D166" s="52"/>
      <c r="E166" s="52"/>
      <c r="F166" s="103"/>
      <c r="G166" s="53">
        <f>SUM(G167,G175,G183,G189,G197,G207,G216,G222,G228,G234,G240,G248,G256,G259,G262,G268,G274,G283,G288)</f>
        <v>216537686.30336127</v>
      </c>
      <c r="H166" s="191"/>
    </row>
    <row r="167" spans="1:10" customFormat="1">
      <c r="A167" s="37" t="s">
        <v>201</v>
      </c>
      <c r="B167" s="38"/>
      <c r="C167" s="155">
        <v>0</v>
      </c>
      <c r="D167" s="38"/>
      <c r="E167" s="38"/>
      <c r="F167" s="104"/>
      <c r="G167" s="27">
        <f>SUM(G168,G170,G172)</f>
        <v>27642221.697249137</v>
      </c>
      <c r="H167" s="188"/>
      <c r="J167" s="28"/>
    </row>
    <row r="168" spans="1:10" customFormat="1">
      <c r="A168" s="39" t="s">
        <v>38</v>
      </c>
      <c r="B168" s="44"/>
      <c r="C168" s="157">
        <v>0</v>
      </c>
      <c r="D168" s="45"/>
      <c r="E168" s="45"/>
      <c r="F168" s="105"/>
      <c r="G168" s="51">
        <f>SUM(G169:G169)</f>
        <v>0</v>
      </c>
      <c r="H168" s="186"/>
      <c r="J168" s="28"/>
    </row>
    <row r="169" spans="1:10" customFormat="1" ht="20.399999999999999">
      <c r="A169" s="36">
        <v>4.0010000000000003</v>
      </c>
      <c r="B169" s="271" t="s">
        <v>202</v>
      </c>
      <c r="C169" s="278">
        <v>0</v>
      </c>
      <c r="D169" s="23" t="s">
        <v>74</v>
      </c>
      <c r="E169" s="18">
        <v>3.03</v>
      </c>
      <c r="F169" s="106">
        <f>VLOOKUP(E169,'2024 Cost Schedule for Tool'!$C$9:$F$299,4,0)</f>
        <v>3723.464920000763</v>
      </c>
      <c r="G169" s="51">
        <f>IF(D169="",0,C169*F169)</f>
        <v>0</v>
      </c>
      <c r="H169" s="185" t="s">
        <v>203</v>
      </c>
      <c r="J169" s="28"/>
    </row>
    <row r="170" spans="1:10" customFormat="1">
      <c r="A170" s="39" t="s">
        <v>204</v>
      </c>
      <c r="B170" s="44"/>
      <c r="C170" s="157">
        <v>0</v>
      </c>
      <c r="D170" s="45"/>
      <c r="E170" s="45"/>
      <c r="F170" s="105"/>
      <c r="G170" s="51">
        <f>SUM(G171:G171)</f>
        <v>0</v>
      </c>
      <c r="H170" s="186"/>
      <c r="J170" s="28"/>
    </row>
    <row r="171" spans="1:10" customFormat="1" ht="20.399999999999999">
      <c r="A171" s="36">
        <v>4.0020000000000007</v>
      </c>
      <c r="B171" s="271" t="s">
        <v>205</v>
      </c>
      <c r="C171" s="279">
        <v>0</v>
      </c>
      <c r="D171" s="273" t="s">
        <v>40</v>
      </c>
      <c r="E171" s="18">
        <v>5.01</v>
      </c>
      <c r="F171" s="106">
        <f>VLOOKUP(E171,'2024 Cost Schedule for Tool'!$C$9:$F$299,4,0)</f>
        <v>2.9040485978555703</v>
      </c>
      <c r="G171" s="51">
        <f>IF(D171="",0,C171*F171)</f>
        <v>0</v>
      </c>
      <c r="H171" s="185" t="s">
        <v>206</v>
      </c>
      <c r="J171" s="28"/>
    </row>
    <row r="172" spans="1:10" customFormat="1">
      <c r="A172" s="39" t="s">
        <v>78</v>
      </c>
      <c r="B172" s="44"/>
      <c r="C172" s="157">
        <v>0</v>
      </c>
      <c r="D172" s="45"/>
      <c r="E172" s="45"/>
      <c r="F172" s="105"/>
      <c r="G172" s="51">
        <f>SUM(G173:G174)</f>
        <v>27642221.697249137</v>
      </c>
      <c r="H172" s="186"/>
      <c r="J172" s="28"/>
    </row>
    <row r="173" spans="1:10" customFormat="1" ht="20.399999999999999">
      <c r="A173" s="36">
        <v>4.003000000000001</v>
      </c>
      <c r="B173" s="271" t="s">
        <v>207</v>
      </c>
      <c r="C173" s="280">
        <f>(((BulkPush!D18)*1.0256)*1.0756)*0.91</f>
        <v>11539374.69285788</v>
      </c>
      <c r="D173" s="23" t="s">
        <v>40</v>
      </c>
      <c r="E173" s="18" t="s">
        <v>208</v>
      </c>
      <c r="F173" s="106">
        <f>VLOOKUP(E173,'2024 Cost Schedule for Tool'!$C$9:$F$299,4,0)</f>
        <v>2.3954696361803616</v>
      </c>
      <c r="G173" s="51">
        <f>IF(D173="",0,C173*F173)</f>
        <v>27642221.697249137</v>
      </c>
      <c r="H173" s="189" t="s">
        <v>209</v>
      </c>
      <c r="J173" s="28"/>
    </row>
    <row r="174" spans="1:10" customFormat="1">
      <c r="A174" s="36">
        <v>4.0040000000000013</v>
      </c>
      <c r="B174" s="271" t="s">
        <v>210</v>
      </c>
      <c r="C174" s="280">
        <v>0</v>
      </c>
      <c r="D174" s="23" t="s">
        <v>40</v>
      </c>
      <c r="E174" s="18">
        <v>8.1999999999999993</v>
      </c>
      <c r="F174" s="106">
        <f>VLOOKUP(E174,'2024 Cost Schedule for Tool'!$C$9:$F$299,4,0)</f>
        <v>4.5435809947116637</v>
      </c>
      <c r="G174" s="51">
        <f>IF(D174="",0,C174*F174)</f>
        <v>0</v>
      </c>
      <c r="H174" s="189" t="s">
        <v>211</v>
      </c>
      <c r="J174" s="28"/>
    </row>
    <row r="175" spans="1:10" customFormat="1">
      <c r="A175" s="37" t="s">
        <v>212</v>
      </c>
      <c r="B175" s="38"/>
      <c r="C175" s="155">
        <v>0</v>
      </c>
      <c r="D175" s="38"/>
      <c r="E175" s="38"/>
      <c r="F175" s="104"/>
      <c r="G175" s="27">
        <f>SUM(G176,G178,G180)</f>
        <v>14954103.500866726</v>
      </c>
      <c r="H175" s="188"/>
      <c r="J175" s="28"/>
    </row>
    <row r="176" spans="1:10" customFormat="1">
      <c r="A176" s="39" t="s">
        <v>38</v>
      </c>
      <c r="B176" s="44"/>
      <c r="C176" s="157">
        <v>0</v>
      </c>
      <c r="D176" s="45"/>
      <c r="E176" s="45"/>
      <c r="F176" s="105"/>
      <c r="G176" s="51">
        <f>SUM(G177:G177)</f>
        <v>0</v>
      </c>
      <c r="H176" s="186"/>
      <c r="J176" s="28"/>
    </row>
    <row r="177" spans="1:10" customFormat="1" ht="20.399999999999999">
      <c r="A177" s="36">
        <v>4.0050000000000017</v>
      </c>
      <c r="B177" s="281" t="s">
        <v>202</v>
      </c>
      <c r="C177" s="282">
        <v>0</v>
      </c>
      <c r="D177" s="23" t="s">
        <v>74</v>
      </c>
      <c r="E177" s="18">
        <v>3.03</v>
      </c>
      <c r="F177" s="106">
        <f>VLOOKUP(E177,'2024 Cost Schedule for Tool'!$C$9:$F$299,4,0)</f>
        <v>3723.464920000763</v>
      </c>
      <c r="G177" s="51">
        <f>IF(D177="",0,C177*F177)</f>
        <v>0</v>
      </c>
      <c r="H177" s="185" t="s">
        <v>203</v>
      </c>
      <c r="J177" s="28"/>
    </row>
    <row r="178" spans="1:10" customFormat="1">
      <c r="A178" s="39" t="s">
        <v>204</v>
      </c>
      <c r="B178" s="44"/>
      <c r="C178" s="157">
        <v>0</v>
      </c>
      <c r="D178" s="45"/>
      <c r="E178" s="45"/>
      <c r="F178" s="105"/>
      <c r="G178" s="51">
        <f>SUM(G179:G179)</f>
        <v>0</v>
      </c>
      <c r="H178" s="186"/>
      <c r="J178" s="28"/>
    </row>
    <row r="179" spans="1:10" customFormat="1" ht="20.399999999999999">
      <c r="A179" s="36">
        <v>4.006000000000002</v>
      </c>
      <c r="B179" s="281" t="s">
        <v>205</v>
      </c>
      <c r="C179" s="267">
        <v>0</v>
      </c>
      <c r="D179" s="23" t="s">
        <v>40</v>
      </c>
      <c r="E179" s="18">
        <v>5.01</v>
      </c>
      <c r="F179" s="106">
        <f>VLOOKUP(E179,'2024 Cost Schedule for Tool'!$C$9:$F$299,4,0)</f>
        <v>2.9040485978555703</v>
      </c>
      <c r="G179" s="51">
        <f>IF(D179="",0,C179*F179)</f>
        <v>0</v>
      </c>
      <c r="H179" s="185" t="s">
        <v>206</v>
      </c>
      <c r="J179" s="28"/>
    </row>
    <row r="180" spans="1:10" customFormat="1">
      <c r="A180" s="39" t="s">
        <v>78</v>
      </c>
      <c r="B180" s="44"/>
      <c r="C180" s="157">
        <v>0</v>
      </c>
      <c r="D180" s="45"/>
      <c r="E180" s="45"/>
      <c r="F180" s="105"/>
      <c r="G180" s="51">
        <f>SUM(G181:G182)</f>
        <v>14954103.500866726</v>
      </c>
      <c r="H180" s="186"/>
      <c r="J180" s="28"/>
    </row>
    <row r="181" spans="1:10" customFormat="1" ht="20.399999999999999">
      <c r="A181" s="36">
        <v>4.0070000000000023</v>
      </c>
      <c r="B181" s="271" t="s">
        <v>207</v>
      </c>
      <c r="C181" s="239">
        <f>(((BulkPush!H18)*1.0256)*1.0756)*0.91</f>
        <v>3628501.1547786095</v>
      </c>
      <c r="D181" s="23" t="s">
        <v>40</v>
      </c>
      <c r="E181" s="18" t="s">
        <v>208</v>
      </c>
      <c r="F181" s="106">
        <f>VLOOKUP(E181,'2024 Cost Schedule for Tool'!$C$9:$F$299,4,0)</f>
        <v>2.3954696361803616</v>
      </c>
      <c r="G181" s="51">
        <f>IF(D181="",0,C181*F181)</f>
        <v>8691964.3411175366</v>
      </c>
      <c r="H181" s="189" t="s">
        <v>209</v>
      </c>
      <c r="J181" s="28"/>
    </row>
    <row r="182" spans="1:10" customFormat="1" ht="30.6">
      <c r="A182" s="36">
        <v>4.0080000000000027</v>
      </c>
      <c r="B182" s="92" t="s">
        <v>210</v>
      </c>
      <c r="C182" s="280">
        <f>(((Haulage!AK4)*1.0256)*1.0756)*0.91</f>
        <v>1378238.6991753376</v>
      </c>
      <c r="D182" s="23" t="s">
        <v>40</v>
      </c>
      <c r="E182" s="117">
        <v>8.1999999999999993</v>
      </c>
      <c r="F182" s="106">
        <f>VLOOKUP(E182,'2024 Cost Schedule for Tool'!$C$9:$F$299,4,0)</f>
        <v>4.5435809947116637</v>
      </c>
      <c r="G182" s="51">
        <f>IF(D182="",0,C182*F182)</f>
        <v>6262139.1597491894</v>
      </c>
      <c r="H182" s="189" t="s">
        <v>213</v>
      </c>
      <c r="J182" s="28"/>
    </row>
    <row r="183" spans="1:10" customFormat="1">
      <c r="A183" s="37" t="s">
        <v>214</v>
      </c>
      <c r="B183" s="38" t="s">
        <v>215</v>
      </c>
      <c r="C183" s="155">
        <v>0</v>
      </c>
      <c r="D183" s="38"/>
      <c r="E183" s="38"/>
      <c r="F183" s="104"/>
      <c r="G183" s="50">
        <f>SUM(G184,G186)</f>
        <v>19700709.567321531</v>
      </c>
      <c r="H183" s="188"/>
    </row>
    <row r="184" spans="1:10" customFormat="1">
      <c r="A184" s="39" t="s">
        <v>38</v>
      </c>
      <c r="B184" s="44"/>
      <c r="C184" s="157">
        <v>0</v>
      </c>
      <c r="D184" s="46"/>
      <c r="E184" s="46"/>
      <c r="F184" s="105"/>
      <c r="G184" s="51">
        <f>SUM(G185:G185)</f>
        <v>0</v>
      </c>
      <c r="H184" s="192"/>
      <c r="J184" s="28"/>
    </row>
    <row r="185" spans="1:10" customFormat="1" ht="20.399999999999999">
      <c r="A185" s="36">
        <v>4.009000000000003</v>
      </c>
      <c r="B185" s="283" t="s">
        <v>202</v>
      </c>
      <c r="C185" s="284">
        <v>0</v>
      </c>
      <c r="D185" s="285" t="s">
        <v>74</v>
      </c>
      <c r="E185" s="25">
        <v>3.03</v>
      </c>
      <c r="F185" s="108">
        <f>VLOOKUP(E185,'2024 Cost Schedule for Tool'!$C$9:$F$299,4,0)</f>
        <v>3723.464920000763</v>
      </c>
      <c r="G185" s="51">
        <f>IF(D185="",0,C185*F185)</f>
        <v>0</v>
      </c>
      <c r="H185" s="187" t="s">
        <v>216</v>
      </c>
      <c r="J185" s="28"/>
    </row>
    <row r="186" spans="1:10" customFormat="1">
      <c r="A186" s="39" t="s">
        <v>78</v>
      </c>
      <c r="B186" s="44"/>
      <c r="C186" s="157">
        <v>0</v>
      </c>
      <c r="D186" s="45"/>
      <c r="E186" s="45"/>
      <c r="F186" s="105"/>
      <c r="G186" s="51">
        <f>SUM(G187:G188)</f>
        <v>19700709.567321531</v>
      </c>
      <c r="H186" s="186"/>
      <c r="J186" s="28"/>
    </row>
    <row r="187" spans="1:10" customFormat="1" ht="20.399999999999999">
      <c r="A187" s="36">
        <v>4.0100000000000033</v>
      </c>
      <c r="B187" s="118" t="s">
        <v>217</v>
      </c>
      <c r="C187" s="286">
        <f>(((BulkPush!I18)*1.0256)*1.0756)*0.91</f>
        <v>1399625.0908101837</v>
      </c>
      <c r="D187" s="61" t="s">
        <v>40</v>
      </c>
      <c r="E187" s="18" t="s">
        <v>140</v>
      </c>
      <c r="F187" s="106">
        <f>VLOOKUP(E187,'2024 Cost Schedule for Tool'!$C$9:$F$299,4,0)</f>
        <v>1.5492439494862122</v>
      </c>
      <c r="G187" s="51">
        <f>IF(D187="",0,C187*F187)</f>
        <v>2168360.7034867676</v>
      </c>
      <c r="H187" s="189" t="s">
        <v>218</v>
      </c>
      <c r="J187" s="28"/>
    </row>
    <row r="188" spans="1:10" customFormat="1" ht="30.6">
      <c r="A188" s="36">
        <v>4.0110000000000037</v>
      </c>
      <c r="B188" s="92" t="s">
        <v>210</v>
      </c>
      <c r="C188" s="280">
        <f>(((Haulage!AL4)*1.0256)*1.0756)*0.91</f>
        <v>3858707.2364817322</v>
      </c>
      <c r="D188" s="23" t="s">
        <v>40</v>
      </c>
      <c r="E188" s="117">
        <v>8.1999999999999993</v>
      </c>
      <c r="F188" s="106">
        <f>VLOOKUP(E188,'2024 Cost Schedule for Tool'!$C$9:$F$299,4,0)</f>
        <v>4.5435809947116637</v>
      </c>
      <c r="G188" s="51">
        <f>IF(D188="",0,C188*F188)</f>
        <v>17532348.863834765</v>
      </c>
      <c r="H188" s="189" t="s">
        <v>213</v>
      </c>
      <c r="J188" s="28"/>
    </row>
    <row r="189" spans="1:10" customFormat="1">
      <c r="A189" s="37" t="s">
        <v>219</v>
      </c>
      <c r="B189" s="38"/>
      <c r="C189" s="155">
        <v>0</v>
      </c>
      <c r="D189" s="38"/>
      <c r="E189" s="38"/>
      <c r="F189" s="104"/>
      <c r="G189" s="50">
        <f>SUM(G190,G192,G194)</f>
        <v>3547615.5913053295</v>
      </c>
      <c r="H189" s="188"/>
      <c r="J189" s="28"/>
    </row>
    <row r="190" spans="1:10" customFormat="1">
      <c r="A190" s="39" t="s">
        <v>38</v>
      </c>
      <c r="B190" s="44"/>
      <c r="C190" s="157">
        <v>0</v>
      </c>
      <c r="D190" s="116"/>
      <c r="E190" s="45"/>
      <c r="F190" s="105"/>
      <c r="G190" s="51">
        <f>SUM(G191:G191)</f>
        <v>0</v>
      </c>
      <c r="H190" s="186"/>
      <c r="J190" s="28"/>
    </row>
    <row r="191" spans="1:10" customFormat="1" ht="20.399999999999999">
      <c r="A191" s="36">
        <v>4.012000000000004</v>
      </c>
      <c r="B191" s="118" t="s">
        <v>202</v>
      </c>
      <c r="C191" s="162">
        <v>0</v>
      </c>
      <c r="D191" s="61" t="s">
        <v>74</v>
      </c>
      <c r="E191" s="18">
        <v>3.03</v>
      </c>
      <c r="F191" s="106">
        <f>VLOOKUP(E191,'2024 Cost Schedule for Tool'!$C$9:$F$299,4,0)</f>
        <v>3723.464920000763</v>
      </c>
      <c r="G191" s="51">
        <f>IF(D191="",0,C191*F191)</f>
        <v>0</v>
      </c>
      <c r="H191" s="187" t="s">
        <v>216</v>
      </c>
    </row>
    <row r="192" spans="1:10" customFormat="1">
      <c r="A192" s="39" t="s">
        <v>204</v>
      </c>
      <c r="B192" s="44"/>
      <c r="C192" s="157">
        <v>0</v>
      </c>
      <c r="D192" s="45"/>
      <c r="E192" s="45"/>
      <c r="F192" s="105"/>
      <c r="G192" s="51">
        <f>SUM(G193:G193)</f>
        <v>0</v>
      </c>
      <c r="H192" s="186"/>
      <c r="J192" s="28"/>
    </row>
    <row r="193" spans="1:10" customFormat="1" ht="20.399999999999999">
      <c r="A193" s="36">
        <v>4.0130000000000043</v>
      </c>
      <c r="B193" s="118" t="s">
        <v>205</v>
      </c>
      <c r="C193" s="267">
        <v>0</v>
      </c>
      <c r="D193" s="61" t="s">
        <v>40</v>
      </c>
      <c r="E193" s="18">
        <v>5.01</v>
      </c>
      <c r="F193" s="106">
        <f>VLOOKUP(E193,'2024 Cost Schedule for Tool'!$C$9:$F$299,4,0)</f>
        <v>2.9040485978555703</v>
      </c>
      <c r="G193" s="51">
        <f>IF(D193="",0,C193*F193)</f>
        <v>0</v>
      </c>
      <c r="H193" s="185" t="s">
        <v>206</v>
      </c>
    </row>
    <row r="194" spans="1:10" customFormat="1">
      <c r="A194" s="39" t="s">
        <v>78</v>
      </c>
      <c r="B194" s="44"/>
      <c r="C194" s="157">
        <v>0</v>
      </c>
      <c r="D194" s="45"/>
      <c r="E194" s="45"/>
      <c r="F194" s="105"/>
      <c r="G194" s="51">
        <f>SUM(G195:G196)</f>
        <v>3547615.5913053295</v>
      </c>
      <c r="H194" s="186"/>
      <c r="J194" s="28"/>
    </row>
    <row r="195" spans="1:10" customFormat="1" ht="20.399999999999999">
      <c r="A195" s="36">
        <v>4.0140000000000047</v>
      </c>
      <c r="B195" s="271" t="s">
        <v>207</v>
      </c>
      <c r="C195" s="286">
        <f>(((BulkPush!R18)*1.0256)*1.0756)*0.91</f>
        <v>1078858.9789385989</v>
      </c>
      <c r="D195" s="61" t="s">
        <v>40</v>
      </c>
      <c r="E195" s="18" t="s">
        <v>208</v>
      </c>
      <c r="F195" s="106">
        <f>VLOOKUP(E195,'2024 Cost Schedule for Tool'!$C$9:$F$299,4,0)</f>
        <v>2.3954696361803616</v>
      </c>
      <c r="G195" s="51">
        <f>IF(D195="",0,C195*F195)</f>
        <v>2584373.9257679619</v>
      </c>
      <c r="H195" s="189" t="s">
        <v>209</v>
      </c>
    </row>
    <row r="196" spans="1:10" customFormat="1" ht="30.6">
      <c r="A196" s="36">
        <v>4.015000000000005</v>
      </c>
      <c r="B196" s="92" t="s">
        <v>220</v>
      </c>
      <c r="C196" s="280">
        <f>(((Haulage!AU5)*1.0256)*1.0756)*0.91</f>
        <v>168154.98095195668</v>
      </c>
      <c r="D196" s="23" t="s">
        <v>40</v>
      </c>
      <c r="E196" s="18">
        <v>8.2100000000000009</v>
      </c>
      <c r="F196" s="106">
        <f>VLOOKUP(E196,'2024 Cost Schedule for Tool'!$C$9:$F$299,4,0)</f>
        <v>5.7282969560834731</v>
      </c>
      <c r="G196" s="51">
        <f>IF(D196="",0,C196*F196)</f>
        <v>963241.66553736781</v>
      </c>
      <c r="H196" s="189" t="s">
        <v>213</v>
      </c>
      <c r="J196" s="28"/>
    </row>
    <row r="197" spans="1:10" customFormat="1">
      <c r="A197" s="37" t="s">
        <v>221</v>
      </c>
      <c r="B197" s="38"/>
      <c r="C197" s="155">
        <v>0</v>
      </c>
      <c r="D197" s="38"/>
      <c r="E197" s="38"/>
      <c r="F197" s="104"/>
      <c r="G197" s="50">
        <f>SUM(G198,G200,G202,G204)</f>
        <v>9645268.4992969632</v>
      </c>
      <c r="H197" s="188"/>
      <c r="J197" s="28"/>
    </row>
    <row r="198" spans="1:10" customFormat="1">
      <c r="A198" s="39" t="s">
        <v>38</v>
      </c>
      <c r="B198" s="47"/>
      <c r="C198" s="156">
        <v>0</v>
      </c>
      <c r="D198" s="45"/>
      <c r="E198" s="45"/>
      <c r="F198" s="105"/>
      <c r="G198" s="51">
        <f>SUM(G199:G199)</f>
        <v>0</v>
      </c>
      <c r="H198" s="184"/>
      <c r="J198" s="28"/>
    </row>
    <row r="199" spans="1:10" customFormat="1" ht="20.399999999999999">
      <c r="A199" s="36">
        <v>4.0160000000000053</v>
      </c>
      <c r="B199" s="118" t="s">
        <v>202</v>
      </c>
      <c r="C199" s="162">
        <v>0</v>
      </c>
      <c r="D199" s="61" t="s">
        <v>74</v>
      </c>
      <c r="E199" s="18">
        <v>3.03</v>
      </c>
      <c r="F199" s="106">
        <f>VLOOKUP(E199,'2024 Cost Schedule for Tool'!$C$9:$F$299,4,0)</f>
        <v>3723.464920000763</v>
      </c>
      <c r="G199" s="51">
        <f>IF(D199="",0,C199*F199)</f>
        <v>0</v>
      </c>
      <c r="H199" s="187" t="s">
        <v>216</v>
      </c>
      <c r="J199" s="28"/>
    </row>
    <row r="200" spans="1:10" customFormat="1">
      <c r="A200" s="39" t="s">
        <v>42</v>
      </c>
      <c r="B200" s="44"/>
      <c r="C200" s="157">
        <v>0</v>
      </c>
      <c r="D200" s="45"/>
      <c r="E200" s="45"/>
      <c r="F200" s="105"/>
      <c r="G200" s="51">
        <f>SUM(G201)</f>
        <v>0</v>
      </c>
      <c r="H200" s="186"/>
      <c r="J200" s="28"/>
    </row>
    <row r="201" spans="1:10" customFormat="1" ht="20.399999999999999">
      <c r="A201" s="36">
        <v>4.0170000000000057</v>
      </c>
      <c r="B201" s="118" t="s">
        <v>222</v>
      </c>
      <c r="C201" s="162">
        <v>0</v>
      </c>
      <c r="D201" s="61" t="s">
        <v>40</v>
      </c>
      <c r="E201" s="18">
        <v>4.04</v>
      </c>
      <c r="F201" s="106">
        <f>VLOOKUP(E201,'2024 Cost Schedule for Tool'!$C$9:$F$299,4,0)</f>
        <v>5.7282969560834731</v>
      </c>
      <c r="G201" s="51">
        <f>IF(D201="",0,C201*F201)</f>
        <v>0</v>
      </c>
      <c r="H201" s="185" t="s">
        <v>223</v>
      </c>
      <c r="J201" s="28"/>
    </row>
    <row r="202" spans="1:10" customFormat="1">
      <c r="A202" s="39" t="s">
        <v>204</v>
      </c>
      <c r="B202" s="44"/>
      <c r="C202" s="157">
        <v>0</v>
      </c>
      <c r="D202" s="45"/>
      <c r="E202" s="45"/>
      <c r="F202" s="105"/>
      <c r="G202" s="51">
        <f>SUM(G203:G203)</f>
        <v>0</v>
      </c>
      <c r="H202" s="186"/>
      <c r="J202" s="28"/>
    </row>
    <row r="203" spans="1:10" customFormat="1" ht="20.399999999999999">
      <c r="A203" s="36">
        <v>4.018000000000006</v>
      </c>
      <c r="B203" s="118" t="s">
        <v>205</v>
      </c>
      <c r="C203" s="267">
        <v>0</v>
      </c>
      <c r="D203" s="61" t="s">
        <v>40</v>
      </c>
      <c r="E203" s="18">
        <v>5.01</v>
      </c>
      <c r="F203" s="106">
        <f>VLOOKUP(E203,'2024 Cost Schedule for Tool'!$C$9:$F$299,4,0)</f>
        <v>2.9040485978555703</v>
      </c>
      <c r="G203" s="51">
        <f>IF(D203="",0,C203*F203)</f>
        <v>0</v>
      </c>
      <c r="H203" s="185" t="s">
        <v>206</v>
      </c>
      <c r="J203" s="28"/>
    </row>
    <row r="204" spans="1:10" customFormat="1">
      <c r="A204" s="39" t="s">
        <v>78</v>
      </c>
      <c r="B204" s="44"/>
      <c r="C204" s="157">
        <v>0</v>
      </c>
      <c r="D204" s="45"/>
      <c r="E204" s="45"/>
      <c r="F204" s="105"/>
      <c r="G204" s="51">
        <f>SUM(G205:G206)</f>
        <v>9645268.4992969632</v>
      </c>
      <c r="H204" s="186"/>
      <c r="J204" s="28"/>
    </row>
    <row r="205" spans="1:10" customFormat="1" ht="20.399999999999999">
      <c r="A205" s="36">
        <v>4.0190000000000063</v>
      </c>
      <c r="B205" s="271" t="s">
        <v>207</v>
      </c>
      <c r="C205" s="286">
        <f>(((BulkPush!M18)*1.0256)*1.0756)*0.91</f>
        <v>2340682.3461182471</v>
      </c>
      <c r="D205" s="61" t="s">
        <v>40</v>
      </c>
      <c r="E205" s="18" t="s">
        <v>208</v>
      </c>
      <c r="F205" s="106">
        <f>VLOOKUP(E205,'2024 Cost Schedule for Tool'!$C$9:$F$299,4,0)</f>
        <v>2.3954696361803616</v>
      </c>
      <c r="G205" s="51">
        <f>IF(D205="",0,C205*F205)</f>
        <v>5607033.4880696731</v>
      </c>
      <c r="H205" s="189" t="s">
        <v>209</v>
      </c>
      <c r="J205" s="28"/>
    </row>
    <row r="206" spans="1:10" customFormat="1" ht="30.6">
      <c r="A206" s="36">
        <v>4.0200000000000067</v>
      </c>
      <c r="B206" s="92" t="s">
        <v>220</v>
      </c>
      <c r="C206" s="280">
        <f>(((Haulage!AP5)*1.0256)*1.0756)*0.91</f>
        <v>704962.58175628784</v>
      </c>
      <c r="D206" s="23" t="s">
        <v>40</v>
      </c>
      <c r="E206" s="18">
        <v>8.2100000000000009</v>
      </c>
      <c r="F206" s="106">
        <f>VLOOKUP(E206,'2024 Cost Schedule for Tool'!$C$9:$F$299,4,0)</f>
        <v>5.7282969560834731</v>
      </c>
      <c r="G206" s="51">
        <f>IF(D206="",0,C206*F206)</f>
        <v>4038235.0112272901</v>
      </c>
      <c r="H206" s="189" t="s">
        <v>213</v>
      </c>
      <c r="J206" s="28"/>
    </row>
    <row r="207" spans="1:10" customFormat="1">
      <c r="A207" s="37" t="s">
        <v>224</v>
      </c>
      <c r="B207" s="38"/>
      <c r="C207" s="155">
        <v>0</v>
      </c>
      <c r="D207" s="38"/>
      <c r="E207" s="38"/>
      <c r="F207" s="104"/>
      <c r="G207" s="50">
        <f>SUM(G208,G211,G213)</f>
        <v>9669809.549550999</v>
      </c>
      <c r="H207" s="188"/>
      <c r="J207" s="28"/>
    </row>
    <row r="208" spans="1:10" customFormat="1">
      <c r="A208" s="39" t="s">
        <v>38</v>
      </c>
      <c r="B208" s="47"/>
      <c r="C208" s="156">
        <v>0</v>
      </c>
      <c r="D208" s="45"/>
      <c r="E208" s="45"/>
      <c r="F208" s="105"/>
      <c r="G208" s="51">
        <f>SUM(G209:G210)</f>
        <v>0</v>
      </c>
      <c r="H208" s="184"/>
      <c r="J208" s="28"/>
    </row>
    <row r="209" spans="1:10" customFormat="1" ht="20.399999999999999">
      <c r="A209" s="36">
        <v>4.021000000000007</v>
      </c>
      <c r="B209" s="118" t="s">
        <v>202</v>
      </c>
      <c r="C209" s="162">
        <v>0</v>
      </c>
      <c r="D209" s="61" t="s">
        <v>74</v>
      </c>
      <c r="E209" s="18">
        <v>3.03</v>
      </c>
      <c r="F209" s="106">
        <f>VLOOKUP(E209,'2024 Cost Schedule for Tool'!$C$9:$F$299,4,0)</f>
        <v>3723.464920000763</v>
      </c>
      <c r="G209" s="51">
        <f>IF(D209="",0,C209*F209)</f>
        <v>0</v>
      </c>
      <c r="H209" s="187" t="s">
        <v>216</v>
      </c>
      <c r="J209" s="28"/>
    </row>
    <row r="210" spans="1:10" customFormat="1" ht="20.399999999999999">
      <c r="A210" s="36">
        <v>4.0220000000000073</v>
      </c>
      <c r="B210" s="118" t="s">
        <v>225</v>
      </c>
      <c r="C210" s="162">
        <v>0</v>
      </c>
      <c r="D210" s="61" t="s">
        <v>40</v>
      </c>
      <c r="E210" s="18">
        <v>3.07</v>
      </c>
      <c r="F210" s="106">
        <f>VLOOKUP(E210,'2024 Cost Schedule for Tool'!$C$9:$F$299,4,0)</f>
        <v>4.6772144367857358</v>
      </c>
      <c r="G210" s="51">
        <f>IF(D210="",0,C210*F210)</f>
        <v>0</v>
      </c>
      <c r="H210" s="185" t="s">
        <v>226</v>
      </c>
      <c r="J210" s="28"/>
    </row>
    <row r="211" spans="1:10" customFormat="1">
      <c r="A211" s="39" t="s">
        <v>204</v>
      </c>
      <c r="B211" s="44"/>
      <c r="C211" s="157">
        <v>0</v>
      </c>
      <c r="D211" s="45"/>
      <c r="E211" s="45"/>
      <c r="F211" s="105"/>
      <c r="G211" s="51">
        <f>SUM(G212:G212)</f>
        <v>0</v>
      </c>
      <c r="H211" s="186"/>
      <c r="J211" s="28"/>
    </row>
    <row r="212" spans="1:10" customFormat="1" ht="20.399999999999999">
      <c r="A212" s="36">
        <v>4.0230000000000077</v>
      </c>
      <c r="B212" s="118" t="s">
        <v>205</v>
      </c>
      <c r="C212" s="161">
        <v>0</v>
      </c>
      <c r="D212" s="61" t="s">
        <v>40</v>
      </c>
      <c r="E212" s="18">
        <v>5.01</v>
      </c>
      <c r="F212" s="106">
        <f>VLOOKUP(E212,'2024 Cost Schedule for Tool'!$C$9:$F$299,4,0)</f>
        <v>2.9040485978555703</v>
      </c>
      <c r="G212" s="51">
        <f>IF(D212="",0,C212*F212)</f>
        <v>0</v>
      </c>
      <c r="H212" s="185" t="s">
        <v>206</v>
      </c>
      <c r="J212" s="28"/>
    </row>
    <row r="213" spans="1:10" customFormat="1">
      <c r="A213" s="39" t="s">
        <v>78</v>
      </c>
      <c r="B213" s="44"/>
      <c r="C213" s="157">
        <v>0</v>
      </c>
      <c r="D213" s="45"/>
      <c r="E213" s="45"/>
      <c r="F213" s="105"/>
      <c r="G213" s="51">
        <f>SUM(G214:G215)</f>
        <v>9669809.549550999</v>
      </c>
      <c r="H213" s="186"/>
      <c r="J213" s="28"/>
    </row>
    <row r="214" spans="1:10" customFormat="1" ht="20.399999999999999">
      <c r="A214" s="36">
        <v>4.024000000000008</v>
      </c>
      <c r="B214" s="118" t="s">
        <v>207</v>
      </c>
      <c r="C214" s="286">
        <f>(((BulkPush!Q18)*1.0256)*1.0756)*0.91</f>
        <v>3602505.7132978952</v>
      </c>
      <c r="D214" s="61" t="s">
        <v>40</v>
      </c>
      <c r="E214" s="18" t="s">
        <v>208</v>
      </c>
      <c r="F214" s="106">
        <f>VLOOKUP(E214,'2024 Cost Schedule for Tool'!$C$9:$F$299,4,0)</f>
        <v>2.3954696361803616</v>
      </c>
      <c r="G214" s="51">
        <f>IF(D214="",0,C214*F214)</f>
        <v>8629693.0503713824</v>
      </c>
      <c r="H214" s="189" t="s">
        <v>209</v>
      </c>
      <c r="J214" s="28"/>
    </row>
    <row r="215" spans="1:10" customFormat="1" ht="30.6">
      <c r="A215" s="36">
        <v>4.0250000000000083</v>
      </c>
      <c r="B215" s="92" t="s">
        <v>220</v>
      </c>
      <c r="C215" s="280">
        <f>(((Haulage!AT5)*1.0256)*1.0756)*0.91</f>
        <v>181575.17097206498</v>
      </c>
      <c r="D215" s="23" t="s">
        <v>40</v>
      </c>
      <c r="E215" s="18">
        <v>8.2100000000000009</v>
      </c>
      <c r="F215" s="106">
        <f>VLOOKUP(E215,'2024 Cost Schedule for Tool'!$C$9:$F$299,4,0)</f>
        <v>5.7282969560834731</v>
      </c>
      <c r="G215" s="51">
        <f>IF(D215="",0,C215*F215)</f>
        <v>1040116.499179616</v>
      </c>
      <c r="H215" s="189" t="s">
        <v>213</v>
      </c>
      <c r="J215" s="28"/>
    </row>
    <row r="216" spans="1:10" customFormat="1">
      <c r="A216" s="37" t="s">
        <v>227</v>
      </c>
      <c r="B216" s="38"/>
      <c r="C216" s="155">
        <v>0</v>
      </c>
      <c r="D216" s="38"/>
      <c r="E216" s="38"/>
      <c r="F216" s="104"/>
      <c r="G216" s="50">
        <f>SUM(G217,G219)</f>
        <v>11623080.660640126</v>
      </c>
      <c r="H216" s="188"/>
      <c r="J216" s="28"/>
    </row>
    <row r="217" spans="1:10" customFormat="1">
      <c r="A217" s="39" t="s">
        <v>38</v>
      </c>
      <c r="B217" s="47"/>
      <c r="C217" s="156">
        <v>0</v>
      </c>
      <c r="D217" s="45"/>
      <c r="E217" s="45"/>
      <c r="F217" s="105"/>
      <c r="G217" s="51">
        <f>SUM(G218:G218)</f>
        <v>0</v>
      </c>
      <c r="H217" s="184"/>
      <c r="J217" s="28"/>
    </row>
    <row r="218" spans="1:10" customFormat="1" ht="20.399999999999999">
      <c r="A218" s="36">
        <v>4.0260000000000087</v>
      </c>
      <c r="B218" s="118" t="s">
        <v>202</v>
      </c>
      <c r="C218" s="162">
        <v>0</v>
      </c>
      <c r="D218" s="61" t="s">
        <v>74</v>
      </c>
      <c r="E218" s="18">
        <v>3.03</v>
      </c>
      <c r="F218" s="106">
        <f>VLOOKUP(E218,'2024 Cost Schedule for Tool'!$C$9:$F$299,4,0)</f>
        <v>3723.464920000763</v>
      </c>
      <c r="G218" s="51">
        <f>IF(D218="",0,C218*F218)</f>
        <v>0</v>
      </c>
      <c r="H218" s="187" t="s">
        <v>216</v>
      </c>
      <c r="J218" s="28"/>
    </row>
    <row r="219" spans="1:10" customFormat="1">
      <c r="A219" s="39" t="s">
        <v>78</v>
      </c>
      <c r="B219" s="44"/>
      <c r="C219" s="157">
        <v>0</v>
      </c>
      <c r="D219" s="45"/>
      <c r="E219" s="45"/>
      <c r="F219" s="105"/>
      <c r="G219" s="51">
        <f>SUM(G220:G221)</f>
        <v>11623080.660640126</v>
      </c>
      <c r="H219" s="186"/>
      <c r="J219" s="28"/>
    </row>
    <row r="220" spans="1:10" customFormat="1" ht="20.399999999999999">
      <c r="A220" s="36">
        <v>4.027000000000009</v>
      </c>
      <c r="B220" s="118" t="s">
        <v>207</v>
      </c>
      <c r="C220" s="286">
        <f>(((BulkPush!J18)*1.0256)*1.0756)*0.91</f>
        <v>2845411.6929901061</v>
      </c>
      <c r="D220" s="61" t="s">
        <v>40</v>
      </c>
      <c r="E220" s="18" t="s">
        <v>208</v>
      </c>
      <c r="F220" s="106">
        <f>VLOOKUP(E220,'2024 Cost Schedule for Tool'!$C$9:$F$299,4,0)</f>
        <v>2.3954696361803616</v>
      </c>
      <c r="G220" s="51">
        <f>IF(D220="",0,C220*F220)</f>
        <v>6816097.3129903562</v>
      </c>
      <c r="H220" s="189" t="s">
        <v>209</v>
      </c>
      <c r="J220" s="28"/>
    </row>
    <row r="221" spans="1:10" customFormat="1" ht="30.6">
      <c r="A221" s="36">
        <v>4.0280000000000094</v>
      </c>
      <c r="B221" s="92" t="s">
        <v>220</v>
      </c>
      <c r="C221" s="280">
        <f>(((Haulage!AM5)*1.0256)*1.0756)*0.91</f>
        <v>839164.48195737042</v>
      </c>
      <c r="D221" s="23" t="s">
        <v>40</v>
      </c>
      <c r="E221" s="18">
        <v>8.2100000000000009</v>
      </c>
      <c r="F221" s="106">
        <f>VLOOKUP(E221,'2024 Cost Schedule for Tool'!$C$9:$F$299,4,0)</f>
        <v>5.7282969560834731</v>
      </c>
      <c r="G221" s="51">
        <f>IF(D221="",0,C221*F221)</f>
        <v>4806983.3476497699</v>
      </c>
      <c r="H221" s="189" t="s">
        <v>213</v>
      </c>
      <c r="J221" s="28"/>
    </row>
    <row r="222" spans="1:10" customFormat="1">
      <c r="A222" s="37" t="s">
        <v>228</v>
      </c>
      <c r="B222" s="38"/>
      <c r="C222" s="155">
        <v>0</v>
      </c>
      <c r="D222" s="38"/>
      <c r="E222" s="38"/>
      <c r="F222" s="104"/>
      <c r="G222" s="50">
        <f>SUM(G223,G225)</f>
        <v>8271988.2504141396</v>
      </c>
      <c r="H222" s="188"/>
      <c r="J222" s="28"/>
    </row>
    <row r="223" spans="1:10" customFormat="1">
      <c r="A223" s="39" t="s">
        <v>38</v>
      </c>
      <c r="B223" s="47"/>
      <c r="C223" s="156">
        <v>0</v>
      </c>
      <c r="D223" s="45"/>
      <c r="E223" s="45"/>
      <c r="F223" s="105"/>
      <c r="G223" s="51">
        <f>SUM(G224:G224)</f>
        <v>0</v>
      </c>
      <c r="H223" s="184"/>
      <c r="J223" s="28"/>
    </row>
    <row r="224" spans="1:10" customFormat="1" ht="20.399999999999999">
      <c r="A224" s="36">
        <v>4.0290000000000097</v>
      </c>
      <c r="B224" s="118" t="s">
        <v>202</v>
      </c>
      <c r="C224" s="162">
        <v>0</v>
      </c>
      <c r="D224" s="61" t="s">
        <v>74</v>
      </c>
      <c r="E224" s="18">
        <v>3.03</v>
      </c>
      <c r="F224" s="106">
        <f>VLOOKUP(E224,'2024 Cost Schedule for Tool'!$C$9:$F$299,4,0)</f>
        <v>3723.464920000763</v>
      </c>
      <c r="G224" s="51">
        <f>IF(D224="",0,C224*F224)</f>
        <v>0</v>
      </c>
      <c r="H224" s="187" t="s">
        <v>216</v>
      </c>
      <c r="J224" s="28"/>
    </row>
    <row r="225" spans="1:10" customFormat="1">
      <c r="A225" s="39" t="s">
        <v>78</v>
      </c>
      <c r="B225" s="44"/>
      <c r="C225" s="157">
        <v>0</v>
      </c>
      <c r="D225" s="45"/>
      <c r="E225" s="45"/>
      <c r="F225" s="105"/>
      <c r="G225" s="51">
        <f>SUM(G226:G227)</f>
        <v>8271988.2504141396</v>
      </c>
      <c r="H225" s="186"/>
      <c r="J225" s="28"/>
    </row>
    <row r="226" spans="1:10" customFormat="1" ht="20.399999999999999">
      <c r="A226" s="36">
        <v>4.03000000000001</v>
      </c>
      <c r="B226" s="118" t="s">
        <v>207</v>
      </c>
      <c r="C226" s="286">
        <f>(((BulkPush!N18)*1.0256)*1.0756)*0.91</f>
        <v>2088317.6726823177</v>
      </c>
      <c r="D226" s="61" t="s">
        <v>40</v>
      </c>
      <c r="E226" s="18" t="s">
        <v>208</v>
      </c>
      <c r="F226" s="106">
        <f>VLOOKUP(E226,'2024 Cost Schedule for Tool'!$C$9:$F$299,4,0)</f>
        <v>2.3954696361803616</v>
      </c>
      <c r="G226" s="51">
        <f>IF(D226="",0,C226*F226)</f>
        <v>5002501.575609331</v>
      </c>
      <c r="H226" s="189" t="s">
        <v>209</v>
      </c>
      <c r="J226" s="28"/>
    </row>
    <row r="227" spans="1:10" customFormat="1" ht="30.6">
      <c r="A227" s="36">
        <v>4.0310000000000104</v>
      </c>
      <c r="B227" s="92" t="s">
        <v>220</v>
      </c>
      <c r="C227" s="280">
        <f>(((Haulage!AQ5)*1.0256)*1.0756)*0.91</f>
        <v>570760.68155520491</v>
      </c>
      <c r="D227" s="23" t="s">
        <v>40</v>
      </c>
      <c r="E227" s="18">
        <v>8.2100000000000009</v>
      </c>
      <c r="F227" s="106">
        <f>VLOOKUP(E227,'2024 Cost Schedule for Tool'!$C$9:$F$299,4,0)</f>
        <v>5.7282969560834731</v>
      </c>
      <c r="G227" s="51">
        <f>IF(D227="",0,C227*F227)</f>
        <v>3269486.6748048086</v>
      </c>
      <c r="H227" s="189" t="s">
        <v>213</v>
      </c>
      <c r="J227" s="28"/>
    </row>
    <row r="228" spans="1:10" customFormat="1">
      <c r="A228" s="37" t="s">
        <v>229</v>
      </c>
      <c r="B228" s="38"/>
      <c r="C228" s="155">
        <v>0</v>
      </c>
      <c r="D228" s="38"/>
      <c r="E228" s="38"/>
      <c r="F228" s="104"/>
      <c r="G228" s="50">
        <f>SUM(G229,G231)</f>
        <v>4756679.4162260136</v>
      </c>
      <c r="H228" s="188"/>
      <c r="J228" s="28"/>
    </row>
    <row r="229" spans="1:10" customFormat="1">
      <c r="A229" s="39" t="s">
        <v>38</v>
      </c>
      <c r="B229" s="47"/>
      <c r="C229" s="156">
        <v>0</v>
      </c>
      <c r="D229" s="45"/>
      <c r="E229" s="45"/>
      <c r="F229" s="105"/>
      <c r="G229" s="51">
        <f>SUM(G230:G230)</f>
        <v>0</v>
      </c>
      <c r="H229" s="184"/>
      <c r="J229" s="28"/>
    </row>
    <row r="230" spans="1:10" customFormat="1">
      <c r="A230" s="36">
        <v>4.0320000000000107</v>
      </c>
      <c r="B230" s="118" t="s">
        <v>202</v>
      </c>
      <c r="C230" s="162">
        <v>0</v>
      </c>
      <c r="D230" s="61" t="s">
        <v>74</v>
      </c>
      <c r="E230" s="18">
        <v>3.03</v>
      </c>
      <c r="F230" s="106">
        <f>VLOOKUP(E230,'2024 Cost Schedule for Tool'!$C$9:$F$299,4,0)</f>
        <v>3723.464920000763</v>
      </c>
      <c r="G230" s="51">
        <f>IF(D230="",0,C230*F230)</f>
        <v>0</v>
      </c>
      <c r="H230" s="185"/>
      <c r="J230" s="28"/>
    </row>
    <row r="231" spans="1:10" customFormat="1">
      <c r="A231" s="39" t="s">
        <v>78</v>
      </c>
      <c r="B231" s="44"/>
      <c r="C231" s="157">
        <v>0</v>
      </c>
      <c r="D231" s="45"/>
      <c r="E231" s="45"/>
      <c r="F231" s="105"/>
      <c r="G231" s="51">
        <f>SUM(G232:G233)</f>
        <v>4756679.4162260136</v>
      </c>
      <c r="H231" s="186"/>
      <c r="J231" s="28"/>
    </row>
    <row r="232" spans="1:10" customFormat="1" ht="20.399999999999999">
      <c r="A232" s="36">
        <v>4.033000000000011</v>
      </c>
      <c r="B232" s="118" t="s">
        <v>207</v>
      </c>
      <c r="C232" s="286">
        <f>(((BulkPush!P18)*1.0256)*1.0756)*0.91</f>
        <v>1583588.325810458</v>
      </c>
      <c r="D232" s="61" t="s">
        <v>40</v>
      </c>
      <c r="E232" s="18" t="s">
        <v>208</v>
      </c>
      <c r="F232" s="106">
        <f>VLOOKUP(E232,'2024 Cost Schedule for Tool'!$C$9:$F$299,4,0)</f>
        <v>2.3954696361803616</v>
      </c>
      <c r="G232" s="51">
        <f>IF(D232="",0,C232*F232)</f>
        <v>3793437.750688646</v>
      </c>
      <c r="H232" s="189" t="s">
        <v>209</v>
      </c>
      <c r="J232" s="28"/>
    </row>
    <row r="233" spans="1:10" customFormat="1" ht="30.6">
      <c r="A233" s="36">
        <v>4.0340000000000114</v>
      </c>
      <c r="B233" s="92" t="s">
        <v>220</v>
      </c>
      <c r="C233" s="280">
        <f>(((Haulage!AS5)*1.0256)*1.0756)*0.91</f>
        <v>168154.98095195668</v>
      </c>
      <c r="D233" s="23" t="s">
        <v>40</v>
      </c>
      <c r="E233" s="18">
        <v>8.2100000000000009</v>
      </c>
      <c r="F233" s="106">
        <f>VLOOKUP(E233,'2024 Cost Schedule for Tool'!$C$9:$F$299,4,0)</f>
        <v>5.7282969560834731</v>
      </c>
      <c r="G233" s="51">
        <f>IF(D233="",0,C233*F233)</f>
        <v>963241.66553736781</v>
      </c>
      <c r="H233" s="189" t="s">
        <v>213</v>
      </c>
      <c r="J233" s="28"/>
    </row>
    <row r="234" spans="1:10" customFormat="1">
      <c r="A234" s="37" t="s">
        <v>230</v>
      </c>
      <c r="B234" s="38"/>
      <c r="C234" s="155">
        <v>0</v>
      </c>
      <c r="D234" s="38"/>
      <c r="E234" s="38"/>
      <c r="F234" s="104"/>
      <c r="G234" s="50">
        <f>SUM(G235,G237)</f>
        <v>4756679.4162260136</v>
      </c>
      <c r="H234" s="188"/>
      <c r="J234" s="28"/>
    </row>
    <row r="235" spans="1:10" customFormat="1">
      <c r="A235" s="39" t="s">
        <v>38</v>
      </c>
      <c r="B235" s="47"/>
      <c r="C235" s="156">
        <v>0</v>
      </c>
      <c r="D235" s="45"/>
      <c r="E235" s="45"/>
      <c r="F235" s="105"/>
      <c r="G235" s="51">
        <f>SUM(G236:G236)</f>
        <v>0</v>
      </c>
      <c r="H235" s="184"/>
      <c r="J235" s="28"/>
    </row>
    <row r="236" spans="1:10" customFormat="1" ht="20.399999999999999">
      <c r="A236" s="36">
        <v>4.0350000000000117</v>
      </c>
      <c r="B236" s="118" t="s">
        <v>202</v>
      </c>
      <c r="C236" s="162">
        <v>0</v>
      </c>
      <c r="D236" s="61" t="s">
        <v>74</v>
      </c>
      <c r="E236" s="18">
        <v>3.03</v>
      </c>
      <c r="F236" s="106">
        <f>VLOOKUP(E236,'2024 Cost Schedule for Tool'!$C$9:$F$299,4,0)</f>
        <v>3723.464920000763</v>
      </c>
      <c r="G236" s="51">
        <f>IF(D236="",0,C236*F236)</f>
        <v>0</v>
      </c>
      <c r="H236" s="187" t="s">
        <v>216</v>
      </c>
      <c r="J236" s="28"/>
    </row>
    <row r="237" spans="1:10" customFormat="1">
      <c r="A237" s="39" t="s">
        <v>204</v>
      </c>
      <c r="B237" s="44"/>
      <c r="C237" s="157">
        <v>0</v>
      </c>
      <c r="D237" s="45"/>
      <c r="E237" s="45"/>
      <c r="F237" s="105"/>
      <c r="G237" s="51">
        <f>SUM(G238:G239)</f>
        <v>4756679.4162260136</v>
      </c>
      <c r="H237" s="186"/>
      <c r="J237" s="28"/>
    </row>
    <row r="238" spans="1:10" customFormat="1" ht="20.399999999999999">
      <c r="A238" s="36">
        <v>4.036000000000012</v>
      </c>
      <c r="B238" s="118" t="s">
        <v>207</v>
      </c>
      <c r="C238" s="287">
        <f>(((BulkPush!O18)*1.0256)*1.0756)*0.91</f>
        <v>1583588.325810458</v>
      </c>
      <c r="D238" s="61" t="s">
        <v>40</v>
      </c>
      <c r="E238" s="18" t="s">
        <v>208</v>
      </c>
      <c r="F238" s="106">
        <f>VLOOKUP(E238,'2024 Cost Schedule for Tool'!$C$9:$F$299,4,0)</f>
        <v>2.3954696361803616</v>
      </c>
      <c r="G238" s="51">
        <f>IF(D238="",0,C238*F238)</f>
        <v>3793437.750688646</v>
      </c>
      <c r="H238" s="189" t="s">
        <v>209</v>
      </c>
      <c r="J238" s="28"/>
    </row>
    <row r="239" spans="1:10" customFormat="1" ht="30.6">
      <c r="A239" s="36">
        <v>4.0370000000000124</v>
      </c>
      <c r="B239" s="92" t="s">
        <v>210</v>
      </c>
      <c r="C239" s="280">
        <f>(((Haulage!AR5)*1.0256)*1.0756)*0.91</f>
        <v>168154.98095195668</v>
      </c>
      <c r="D239" s="23" t="s">
        <v>40</v>
      </c>
      <c r="E239" s="18">
        <v>8.2100000000000009</v>
      </c>
      <c r="F239" s="106">
        <f>VLOOKUP(E239,'2024 Cost Schedule for Tool'!$C$9:$F$299,4,0)</f>
        <v>5.7282969560834731</v>
      </c>
      <c r="G239" s="51">
        <f>IF(D239="",0,C239*F239)</f>
        <v>963241.66553736781</v>
      </c>
      <c r="H239" s="189" t="s">
        <v>213</v>
      </c>
      <c r="J239" s="28"/>
    </row>
    <row r="240" spans="1:10" customFormat="1">
      <c r="A240" s="37" t="s">
        <v>231</v>
      </c>
      <c r="B240" s="38"/>
      <c r="C240" s="155">
        <v>0</v>
      </c>
      <c r="D240" s="38"/>
      <c r="E240" s="38"/>
      <c r="F240" s="104"/>
      <c r="G240" s="50">
        <f>SUM(G241,G243,G245)</f>
        <v>9645796.2912373152</v>
      </c>
      <c r="H240" s="188"/>
      <c r="J240" s="28"/>
    </row>
    <row r="241" spans="1:10" customFormat="1">
      <c r="A241" s="39" t="s">
        <v>38</v>
      </c>
      <c r="B241" s="47"/>
      <c r="C241" s="156">
        <v>0</v>
      </c>
      <c r="D241" s="45"/>
      <c r="E241" s="45"/>
      <c r="F241" s="105"/>
      <c r="G241" s="51">
        <f>SUM(G242:G242)</f>
        <v>0</v>
      </c>
      <c r="H241" s="184"/>
      <c r="J241" s="28"/>
    </row>
    <row r="242" spans="1:10" customFormat="1" ht="20.399999999999999">
      <c r="A242" s="36">
        <v>4.0380000000000127</v>
      </c>
      <c r="B242" s="118" t="s">
        <v>202</v>
      </c>
      <c r="C242" s="162">
        <v>0</v>
      </c>
      <c r="D242" s="61" t="s">
        <v>74</v>
      </c>
      <c r="E242" s="18">
        <v>3.03</v>
      </c>
      <c r="F242" s="106">
        <f>VLOOKUP(E242,'2024 Cost Schedule for Tool'!$C$9:$F$299,4,0)</f>
        <v>3723.464920000763</v>
      </c>
      <c r="G242" s="51">
        <f>IF(D242="",0,C242*F242)</f>
        <v>0</v>
      </c>
      <c r="H242" s="187" t="s">
        <v>216</v>
      </c>
      <c r="J242" s="28"/>
    </row>
    <row r="243" spans="1:10" customFormat="1">
      <c r="A243" s="39" t="s">
        <v>204</v>
      </c>
      <c r="B243" s="44"/>
      <c r="C243" s="157">
        <v>0</v>
      </c>
      <c r="D243" s="45"/>
      <c r="E243" s="45"/>
      <c r="F243" s="105"/>
      <c r="G243" s="51">
        <f>SUM(G244:G244)</f>
        <v>0</v>
      </c>
      <c r="H243" s="186"/>
      <c r="J243" s="28"/>
    </row>
    <row r="244" spans="1:10" customFormat="1" ht="20.399999999999999">
      <c r="A244" s="36">
        <v>4.039000000000013</v>
      </c>
      <c r="B244" s="118" t="s">
        <v>205</v>
      </c>
      <c r="C244" s="162">
        <v>0</v>
      </c>
      <c r="D244" s="61" t="s">
        <v>40</v>
      </c>
      <c r="E244" s="18">
        <v>5.01</v>
      </c>
      <c r="F244" s="106">
        <f>VLOOKUP(E244,'2024 Cost Schedule for Tool'!$C$9:$F$299,4,0)</f>
        <v>2.9040485978555703</v>
      </c>
      <c r="G244" s="51">
        <f>IF(D244="",0,C244*F244)</f>
        <v>0</v>
      </c>
      <c r="H244" s="185" t="s">
        <v>206</v>
      </c>
      <c r="J244" s="28"/>
    </row>
    <row r="245" spans="1:10" customFormat="1">
      <c r="A245" s="39" t="s">
        <v>78</v>
      </c>
      <c r="B245" s="44"/>
      <c r="C245" s="157">
        <v>0</v>
      </c>
      <c r="D245" s="45"/>
      <c r="E245" s="45"/>
      <c r="F245" s="105"/>
      <c r="G245" s="51">
        <f>SUM(G246:G247)</f>
        <v>9645796.2912373152</v>
      </c>
      <c r="H245" s="186"/>
      <c r="J245" s="28"/>
    </row>
    <row r="246" spans="1:10" customFormat="1" ht="20.399999999999999">
      <c r="A246" s="36">
        <v>4.0400000000000134</v>
      </c>
      <c r="B246" s="118" t="s">
        <v>217</v>
      </c>
      <c r="C246" s="287">
        <f>(((BulkPush!K18)*1.0256)*1.0756)*0.91</f>
        <v>4611964.4070416139</v>
      </c>
      <c r="D246" s="61" t="s">
        <v>40</v>
      </c>
      <c r="E246" s="18" t="s">
        <v>140</v>
      </c>
      <c r="F246" s="106">
        <f>VLOOKUP(E246,'2024 Cost Schedule for Tool'!$C$9:$F$299,4,0)</f>
        <v>1.5492439494862122</v>
      </c>
      <c r="G246" s="51">
        <f>IF(D246="",0,C246*F246)</f>
        <v>7145057.9528549872</v>
      </c>
      <c r="H246" s="189" t="s">
        <v>209</v>
      </c>
      <c r="J246" s="28"/>
    </row>
    <row r="247" spans="1:10" customFormat="1" ht="30.6">
      <c r="A247" s="36">
        <v>4.0410000000000137</v>
      </c>
      <c r="B247" s="92" t="s">
        <v>220</v>
      </c>
      <c r="C247" s="280">
        <f>(((Haulage!AN5)*1.0256)*1.0756)*0.91</f>
        <v>436558.78135412215</v>
      </c>
      <c r="D247" s="23" t="s">
        <v>40</v>
      </c>
      <c r="E247" s="18">
        <v>8.2100000000000009</v>
      </c>
      <c r="F247" s="106">
        <f>VLOOKUP(E247,'2024 Cost Schedule for Tool'!$C$9:$F$299,4,0)</f>
        <v>5.7282969560834731</v>
      </c>
      <c r="G247" s="51">
        <f>IF(D247="",0,C247*F247)</f>
        <v>2500738.3383823284</v>
      </c>
      <c r="H247" s="189" t="s">
        <v>213</v>
      </c>
      <c r="J247" s="28"/>
    </row>
    <row r="248" spans="1:10" customFormat="1">
      <c r="A248" s="37" t="s">
        <v>232</v>
      </c>
      <c r="B248" s="38"/>
      <c r="C248" s="155">
        <v>0</v>
      </c>
      <c r="D248" s="38"/>
      <c r="E248" s="38"/>
      <c r="F248" s="104"/>
      <c r="G248" s="50">
        <f>SUM(G249,G251,G253)</f>
        <v>9783318.0315649938</v>
      </c>
      <c r="H248" s="188"/>
      <c r="J248" s="28"/>
    </row>
    <row r="249" spans="1:10" customFormat="1">
      <c r="A249" s="39" t="s">
        <v>38</v>
      </c>
      <c r="B249" s="47"/>
      <c r="C249" s="156">
        <v>0</v>
      </c>
      <c r="D249" s="45"/>
      <c r="E249" s="45"/>
      <c r="F249" s="105"/>
      <c r="G249" s="51">
        <f>SUM(G250:G250)</f>
        <v>0</v>
      </c>
      <c r="H249" s="184"/>
      <c r="J249" s="28"/>
    </row>
    <row r="250" spans="1:10" customFormat="1" ht="20.399999999999999">
      <c r="A250" s="36">
        <v>4.042000000000014</v>
      </c>
      <c r="B250" s="118" t="s">
        <v>202</v>
      </c>
      <c r="C250" s="162">
        <v>0</v>
      </c>
      <c r="D250" s="61" t="s">
        <v>74</v>
      </c>
      <c r="E250" s="18">
        <v>3.03</v>
      </c>
      <c r="F250" s="106">
        <f>VLOOKUP(E250,'2024 Cost Schedule for Tool'!$C$9:$F$299,4,0)</f>
        <v>3723.464920000763</v>
      </c>
      <c r="G250" s="51">
        <f>IF(D250="",0,C250*F250)</f>
        <v>0</v>
      </c>
      <c r="H250" s="187" t="s">
        <v>216</v>
      </c>
      <c r="J250" s="28"/>
    </row>
    <row r="251" spans="1:10" customFormat="1">
      <c r="A251" s="39" t="s">
        <v>204</v>
      </c>
      <c r="B251" s="44"/>
      <c r="C251" s="157">
        <v>0</v>
      </c>
      <c r="D251" s="45"/>
      <c r="E251" s="45"/>
      <c r="F251" s="105"/>
      <c r="G251" s="51">
        <f>SUM(G252:G252)</f>
        <v>0</v>
      </c>
      <c r="H251" s="186"/>
      <c r="J251" s="28"/>
    </row>
    <row r="252" spans="1:10" customFormat="1" ht="20.399999999999999">
      <c r="A252" s="36">
        <v>4.0430000000000144</v>
      </c>
      <c r="B252" s="118" t="s">
        <v>205</v>
      </c>
      <c r="C252" s="162">
        <v>0</v>
      </c>
      <c r="D252" s="61" t="s">
        <v>40</v>
      </c>
      <c r="E252" s="18">
        <v>5.01</v>
      </c>
      <c r="F252" s="106">
        <f>VLOOKUP(E252,'2024 Cost Schedule for Tool'!$C$9:$F$299,4,0)</f>
        <v>2.9040485978555703</v>
      </c>
      <c r="G252" s="51">
        <f>IF(D252="",0,C252*F252)</f>
        <v>0</v>
      </c>
      <c r="H252" s="185" t="s">
        <v>206</v>
      </c>
      <c r="J252" s="28"/>
    </row>
    <row r="253" spans="1:10" customFormat="1">
      <c r="A253" s="39" t="s">
        <v>78</v>
      </c>
      <c r="B253" s="44"/>
      <c r="C253" s="157">
        <v>0</v>
      </c>
      <c r="D253" s="45"/>
      <c r="E253" s="45"/>
      <c r="F253" s="105"/>
      <c r="G253" s="51">
        <f>SUM(G254:G255)</f>
        <v>9783318.0315649938</v>
      </c>
      <c r="H253" s="186"/>
      <c r="J253" s="28"/>
    </row>
    <row r="254" spans="1:10" customFormat="1" ht="20.399999999999999">
      <c r="A254" s="36">
        <v>4.0440000000000147</v>
      </c>
      <c r="B254" s="118" t="s">
        <v>207</v>
      </c>
      <c r="C254" s="287">
        <f>(((BulkPush!L18)*1.0256)*1.0756)*0.91</f>
        <v>2719229.3562721414</v>
      </c>
      <c r="D254" s="61" t="s">
        <v>40</v>
      </c>
      <c r="E254" s="18" t="s">
        <v>208</v>
      </c>
      <c r="F254" s="106">
        <f>VLOOKUP(E254,'2024 Cost Schedule for Tool'!$C$9:$F$299,4,0)</f>
        <v>2.3954696361803616</v>
      </c>
      <c r="G254" s="51">
        <f>IF(D254="",0,C254*F254)</f>
        <v>6513831.3567601852</v>
      </c>
      <c r="H254" s="189" t="s">
        <v>209</v>
      </c>
      <c r="J254" s="28"/>
    </row>
    <row r="255" spans="1:10" customFormat="1" ht="30.6">
      <c r="A255" s="36">
        <v>4.045000000000015</v>
      </c>
      <c r="B255" s="92" t="s">
        <v>220</v>
      </c>
      <c r="C255" s="280">
        <f>(((Haulage!AO5)*1.0256)*1.0756)*0.91</f>
        <v>570760.68155520491</v>
      </c>
      <c r="D255" s="23" t="s">
        <v>40</v>
      </c>
      <c r="E255" s="18">
        <v>8.2100000000000009</v>
      </c>
      <c r="F255" s="106">
        <f>VLOOKUP(E255,'2024 Cost Schedule for Tool'!$C$9:$F$299,4,0)</f>
        <v>5.7282969560834731</v>
      </c>
      <c r="G255" s="51">
        <f>IF(D255="",0,C255*F255)</f>
        <v>3269486.6748048086</v>
      </c>
      <c r="H255" s="189" t="s">
        <v>213</v>
      </c>
      <c r="J255" s="28"/>
    </row>
    <row r="256" spans="1:10" customFormat="1">
      <c r="A256" s="37" t="s">
        <v>233</v>
      </c>
      <c r="B256" s="38"/>
      <c r="C256" s="155">
        <v>0</v>
      </c>
      <c r="D256" s="38"/>
      <c r="E256" s="38"/>
      <c r="F256" s="104"/>
      <c r="G256" s="50">
        <f>SUM(G257)</f>
        <v>0</v>
      </c>
      <c r="H256" s="188"/>
      <c r="J256" s="28"/>
    </row>
    <row r="257" spans="1:10" customFormat="1">
      <c r="A257" s="39" t="s">
        <v>78</v>
      </c>
      <c r="B257" s="44"/>
      <c r="C257" s="157">
        <v>0</v>
      </c>
      <c r="D257" s="45"/>
      <c r="E257" s="45"/>
      <c r="F257" s="105"/>
      <c r="G257" s="51">
        <f>SUM(G258:G258)</f>
        <v>0</v>
      </c>
      <c r="H257" s="186"/>
      <c r="J257" s="28"/>
    </row>
    <row r="258" spans="1:10" customFormat="1" ht="20.399999999999999">
      <c r="A258" s="36">
        <v>4.0470000000000157</v>
      </c>
      <c r="B258" s="118" t="s">
        <v>217</v>
      </c>
      <c r="C258" s="162">
        <v>0</v>
      </c>
      <c r="D258" s="61" t="s">
        <v>40</v>
      </c>
      <c r="E258" s="18" t="s">
        <v>140</v>
      </c>
      <c r="F258" s="106">
        <f>VLOOKUP(E258,'2024 Cost Schedule for Tool'!$C$9:$F$299,4,0)</f>
        <v>1.5492439494862122</v>
      </c>
      <c r="G258" s="51">
        <f>IF(D258="",0,C258*F258)</f>
        <v>0</v>
      </c>
      <c r="H258" s="189" t="s">
        <v>218</v>
      </c>
      <c r="J258" s="28"/>
    </row>
    <row r="259" spans="1:10" customFormat="1">
      <c r="A259" s="37" t="s">
        <v>234</v>
      </c>
      <c r="B259" s="38"/>
      <c r="C259" s="155">
        <v>0</v>
      </c>
      <c r="D259" s="38"/>
      <c r="E259" s="38"/>
      <c r="F259" s="104"/>
      <c r="G259" s="50">
        <f>G260</f>
        <v>0</v>
      </c>
      <c r="H259" s="188"/>
      <c r="J259" s="28"/>
    </row>
    <row r="260" spans="1:10" customFormat="1">
      <c r="A260" s="39" t="s">
        <v>78</v>
      </c>
      <c r="B260" s="44"/>
      <c r="C260" s="157">
        <v>0</v>
      </c>
      <c r="D260" s="45"/>
      <c r="E260" s="45"/>
      <c r="F260" s="45"/>
      <c r="G260" s="51">
        <f>SUM(G261)</f>
        <v>0</v>
      </c>
      <c r="H260" s="186"/>
      <c r="J260" s="28"/>
    </row>
    <row r="261" spans="1:10" customFormat="1" ht="20.399999999999999">
      <c r="A261" s="36">
        <v>4.048000000000016</v>
      </c>
      <c r="B261" s="118" t="s">
        <v>217</v>
      </c>
      <c r="C261" s="162">
        <v>0</v>
      </c>
      <c r="D261" s="61" t="s">
        <v>40</v>
      </c>
      <c r="E261" s="18" t="s">
        <v>140</v>
      </c>
      <c r="F261" s="18"/>
      <c r="G261" s="51">
        <f>IF(D261="",0,C261*F261)</f>
        <v>0</v>
      </c>
      <c r="H261" s="185" t="s">
        <v>31</v>
      </c>
      <c r="J261" s="28"/>
    </row>
    <row r="262" spans="1:10" customFormat="1">
      <c r="A262" s="37" t="s">
        <v>235</v>
      </c>
      <c r="B262" s="38"/>
      <c r="C262" s="155">
        <v>0</v>
      </c>
      <c r="D262" s="38"/>
      <c r="E262" s="38"/>
      <c r="F262" s="104"/>
      <c r="G262" s="50">
        <f>SUM(G263,G265)</f>
        <v>21868577.654307123</v>
      </c>
      <c r="H262" s="188"/>
      <c r="J262" s="28"/>
    </row>
    <row r="263" spans="1:10" customFormat="1">
      <c r="A263" s="39" t="s">
        <v>38</v>
      </c>
      <c r="B263" s="47"/>
      <c r="C263" s="156">
        <v>0</v>
      </c>
      <c r="D263" s="45"/>
      <c r="E263" s="45"/>
      <c r="F263" s="105"/>
      <c r="G263" s="51">
        <f>SUM(G264:G264)</f>
        <v>0</v>
      </c>
      <c r="H263" s="184"/>
      <c r="J263" s="28"/>
    </row>
    <row r="264" spans="1:10" customFormat="1" ht="20.399999999999999">
      <c r="A264" s="36">
        <v>4.0490000000000164</v>
      </c>
      <c r="B264" s="118" t="s">
        <v>202</v>
      </c>
      <c r="C264" s="162">
        <v>0</v>
      </c>
      <c r="D264" s="61" t="s">
        <v>74</v>
      </c>
      <c r="E264" s="18">
        <v>3.03</v>
      </c>
      <c r="F264" s="106">
        <f>VLOOKUP(E264,'2024 Cost Schedule for Tool'!$C$9:$F$299,4,0)</f>
        <v>3723.464920000763</v>
      </c>
      <c r="G264" s="51">
        <f>IF(D264="",0,C264*F264)</f>
        <v>0</v>
      </c>
      <c r="H264" s="187" t="s">
        <v>216</v>
      </c>
      <c r="J264" s="28"/>
    </row>
    <row r="265" spans="1:10" customFormat="1">
      <c r="A265" s="39" t="s">
        <v>78</v>
      </c>
      <c r="B265" s="44"/>
      <c r="C265" s="157">
        <v>0</v>
      </c>
      <c r="D265" s="45"/>
      <c r="E265" s="45"/>
      <c r="F265" s="105"/>
      <c r="G265" s="51">
        <f>SUM(G266:G267)</f>
        <v>21868577.654307123</v>
      </c>
      <c r="H265" s="186"/>
      <c r="J265" s="28"/>
    </row>
    <row r="266" spans="1:10" customFormat="1" ht="20.399999999999999">
      <c r="A266" s="36">
        <v>4.0500000000000167</v>
      </c>
      <c r="B266" s="118" t="s">
        <v>207</v>
      </c>
      <c r="C266" s="287">
        <f>(((BulkPush!G18)*1.0256)*1.0756)*0.91</f>
        <v>7003575.4963019658</v>
      </c>
      <c r="D266" s="61" t="s">
        <v>40</v>
      </c>
      <c r="E266" s="18" t="s">
        <v>208</v>
      </c>
      <c r="F266" s="106">
        <f>VLOOKUP(E266,'2024 Cost Schedule for Tool'!$C$9:$F$299,4,0)</f>
        <v>2.3954696361803616</v>
      </c>
      <c r="G266" s="51">
        <f>IF(D266="",0,C266*F266)</f>
        <v>16776852.446088165</v>
      </c>
      <c r="H266" s="189" t="s">
        <v>209</v>
      </c>
      <c r="J266" s="28"/>
    </row>
    <row r="267" spans="1:10" customFormat="1" ht="30.6">
      <c r="A267" s="36">
        <v>4.051000000000017</v>
      </c>
      <c r="B267" s="92" t="s">
        <v>210</v>
      </c>
      <c r="C267" s="280">
        <f>(((Haulage!AJ4)*1.0256)*1.0756)*0.91</f>
        <v>1120641.4531061042</v>
      </c>
      <c r="D267" s="23" t="s">
        <v>40</v>
      </c>
      <c r="E267" s="117">
        <v>8.1999999999999993</v>
      </c>
      <c r="F267" s="106">
        <f>VLOOKUP(E267,'2024 Cost Schedule for Tool'!$C$9:$F$299,4,0)</f>
        <v>4.5435809947116637</v>
      </c>
      <c r="G267" s="51">
        <f>IF(D267="",0,C267*F267)</f>
        <v>5091725.2082189573</v>
      </c>
      <c r="H267" s="189" t="s">
        <v>213</v>
      </c>
      <c r="J267" s="28"/>
    </row>
    <row r="268" spans="1:10" customFormat="1">
      <c r="A268" s="37" t="s">
        <v>236</v>
      </c>
      <c r="B268" s="38"/>
      <c r="C268" s="155">
        <v>0</v>
      </c>
      <c r="D268" s="38"/>
      <c r="E268" s="38"/>
      <c r="F268" s="104"/>
      <c r="G268" s="50">
        <f>SUM(G269,G271)</f>
        <v>58077221.624292478</v>
      </c>
      <c r="H268" s="188"/>
      <c r="J268" s="28"/>
    </row>
    <row r="269" spans="1:10" customFormat="1">
      <c r="A269" s="39" t="s">
        <v>38</v>
      </c>
      <c r="B269" s="47"/>
      <c r="C269" s="156">
        <v>0</v>
      </c>
      <c r="D269" s="45"/>
      <c r="E269" s="45"/>
      <c r="F269" s="105"/>
      <c r="G269" s="51">
        <f>SUM(G270:G270)</f>
        <v>0</v>
      </c>
      <c r="H269" s="184"/>
      <c r="J269" s="28"/>
    </row>
    <row r="270" spans="1:10" customFormat="1" ht="20.399999999999999">
      <c r="A270" s="36">
        <v>4.0520000000000174</v>
      </c>
      <c r="B270" s="118" t="s">
        <v>202</v>
      </c>
      <c r="C270" s="162">
        <v>0</v>
      </c>
      <c r="D270" s="61" t="s">
        <v>74</v>
      </c>
      <c r="E270" s="18">
        <v>3.03</v>
      </c>
      <c r="F270" s="106">
        <f>VLOOKUP(E270,'2024 Cost Schedule for Tool'!$C$9:$F$299,4,0)</f>
        <v>3723.464920000763</v>
      </c>
      <c r="G270" s="51">
        <f>IF(D270="",0,C270*F270)</f>
        <v>0</v>
      </c>
      <c r="H270" s="187" t="s">
        <v>216</v>
      </c>
      <c r="J270" s="28"/>
    </row>
    <row r="271" spans="1:10" customFormat="1">
      <c r="A271" s="39" t="s">
        <v>78</v>
      </c>
      <c r="B271" s="44"/>
      <c r="C271" s="157">
        <v>0</v>
      </c>
      <c r="D271" s="45"/>
      <c r="E271" s="45"/>
      <c r="F271" s="105"/>
      <c r="G271" s="51">
        <f>SUM(G272:G273)</f>
        <v>58077221.624292478</v>
      </c>
      <c r="H271" s="186"/>
      <c r="J271" s="28"/>
    </row>
    <row r="272" spans="1:10" customFormat="1" ht="20.399999999999999">
      <c r="A272" s="36">
        <v>4.0530000000000177</v>
      </c>
      <c r="B272" s="118" t="s">
        <v>207</v>
      </c>
      <c r="C272" s="287">
        <f>(((BulkPush!E18+BulkPush!F18)*1.0256)*1.0756)*0.91</f>
        <v>13178042.22693919</v>
      </c>
      <c r="D272" s="61" t="s">
        <v>40</v>
      </c>
      <c r="E272" s="18" t="s">
        <v>208</v>
      </c>
      <c r="F272" s="106">
        <f>VLOOKUP(E272,'2024 Cost Schedule for Tool'!$C$9:$F$299,4,0)</f>
        <v>2.3954696361803616</v>
      </c>
      <c r="G272" s="51">
        <f>IF(D272="",0,C272*F272)</f>
        <v>31567600.018935464</v>
      </c>
      <c r="H272" s="189" t="s">
        <v>209</v>
      </c>
      <c r="J272" s="28"/>
    </row>
    <row r="273" spans="1:10" customFormat="1" ht="30.6">
      <c r="A273" s="36">
        <v>4.054000000000018</v>
      </c>
      <c r="B273" s="92" t="s">
        <v>210</v>
      </c>
      <c r="C273" s="280">
        <f>(((Haulage!AI4)*1.0256)*1.0756)*0.91</f>
        <v>5834521.6330933534</v>
      </c>
      <c r="D273" s="23" t="s">
        <v>40</v>
      </c>
      <c r="E273" s="117">
        <v>8.1999999999999993</v>
      </c>
      <c r="F273" s="106">
        <f>VLOOKUP(E273,'2024 Cost Schedule for Tool'!$C$9:$F$299,4,0)</f>
        <v>4.5435809947116637</v>
      </c>
      <c r="G273" s="51">
        <f>IF(D273="",0,C273*F273)</f>
        <v>26509621.605357017</v>
      </c>
      <c r="H273" s="189" t="s">
        <v>213</v>
      </c>
      <c r="J273" s="28"/>
    </row>
    <row r="274" spans="1:10" customFormat="1">
      <c r="A274" s="37" t="s">
        <v>237</v>
      </c>
      <c r="B274" s="38"/>
      <c r="C274" s="155">
        <v>0</v>
      </c>
      <c r="D274" s="38"/>
      <c r="E274" s="38"/>
      <c r="F274" s="104"/>
      <c r="G274" s="50">
        <f>SUM(G275,G281)</f>
        <v>0</v>
      </c>
      <c r="H274" s="188"/>
      <c r="J274" s="28"/>
    </row>
    <row r="275" spans="1:10" customFormat="1">
      <c r="A275" s="39" t="s">
        <v>204</v>
      </c>
      <c r="B275" s="44"/>
      <c r="C275" s="157">
        <v>0</v>
      </c>
      <c r="D275" s="45"/>
      <c r="E275" s="45"/>
      <c r="F275" s="105"/>
      <c r="G275" s="51">
        <f>SUM(G276:G280)</f>
        <v>0</v>
      </c>
      <c r="H275" s="186"/>
      <c r="J275" s="28"/>
    </row>
    <row r="276" spans="1:10" customFormat="1">
      <c r="A276" s="36">
        <v>4.0550000000000184</v>
      </c>
      <c r="B276" s="118" t="s">
        <v>238</v>
      </c>
      <c r="C276" s="162">
        <v>0</v>
      </c>
      <c r="D276" s="61" t="s">
        <v>40</v>
      </c>
      <c r="E276" s="18">
        <v>5.0199999999999996</v>
      </c>
      <c r="F276" s="106">
        <f>VLOOKUP(E276,'2024 Cost Schedule for Tool'!$C$9:$F$299,4,0)</f>
        <v>2.1253753655447989</v>
      </c>
      <c r="G276" s="51">
        <f>IF(D276="",0,C276*F276)</f>
        <v>0</v>
      </c>
      <c r="H276" s="185" t="s">
        <v>31</v>
      </c>
      <c r="J276" s="28"/>
    </row>
    <row r="277" spans="1:10" customFormat="1">
      <c r="A277" s="36">
        <v>4.0560000000000187</v>
      </c>
      <c r="B277" s="118" t="s">
        <v>239</v>
      </c>
      <c r="C277" s="162">
        <v>0</v>
      </c>
      <c r="D277" s="61" t="s">
        <v>62</v>
      </c>
      <c r="E277" s="18">
        <v>5.03</v>
      </c>
      <c r="F277" s="106">
        <f>VLOOKUP(E277,'2024 Cost Schedule for Tool'!$C$9:$F$299,4,0)</f>
        <v>130.18856718371532</v>
      </c>
      <c r="G277" s="51">
        <f>IF(D277="",0,C277*F277)</f>
        <v>0</v>
      </c>
      <c r="H277" s="185" t="s">
        <v>31</v>
      </c>
      <c r="J277" s="28"/>
    </row>
    <row r="278" spans="1:10" customFormat="1">
      <c r="A278" s="36">
        <v>4.057000000000019</v>
      </c>
      <c r="B278" s="118" t="s">
        <v>240</v>
      </c>
      <c r="C278" s="162">
        <v>0</v>
      </c>
      <c r="D278" s="61" t="s">
        <v>62</v>
      </c>
      <c r="E278" s="18">
        <v>5.04</v>
      </c>
      <c r="F278" s="106">
        <f>VLOOKUP(E278,'2024 Cost Schedule for Tool'!$C$9:$F$299,4,0)</f>
        <v>143.23861347472305</v>
      </c>
      <c r="G278" s="51">
        <f>IF(D278="",0,C278*F278)</f>
        <v>0</v>
      </c>
      <c r="H278" s="185" t="s">
        <v>31</v>
      </c>
      <c r="J278" s="28"/>
    </row>
    <row r="279" spans="1:10" customFormat="1">
      <c r="A279" s="36">
        <v>4.0580000000000194</v>
      </c>
      <c r="B279" s="118" t="s">
        <v>241</v>
      </c>
      <c r="C279" s="162">
        <v>0</v>
      </c>
      <c r="D279" s="61" t="s">
        <v>27</v>
      </c>
      <c r="E279" s="18">
        <v>5.05</v>
      </c>
      <c r="F279" s="106">
        <f>VLOOKUP(E279,'2024 Cost Schedule for Tool'!$C$9:$F$299,4,0)</f>
        <v>242.88911788006581</v>
      </c>
      <c r="G279" s="51">
        <f>IF(D279="",0,C279*F279)</f>
        <v>0</v>
      </c>
      <c r="H279" s="185" t="s">
        <v>31</v>
      </c>
      <c r="J279" s="28"/>
    </row>
    <row r="280" spans="1:10" customFormat="1">
      <c r="A280" s="36">
        <v>4.0590000000000197</v>
      </c>
      <c r="B280" s="118" t="s">
        <v>205</v>
      </c>
      <c r="C280" s="162">
        <v>0</v>
      </c>
      <c r="D280" s="61" t="s">
        <v>40</v>
      </c>
      <c r="E280" s="18">
        <v>5.01</v>
      </c>
      <c r="F280" s="106">
        <f>VLOOKUP(E280,'2024 Cost Schedule for Tool'!$C$9:$F$299,4,0)</f>
        <v>2.9040485978555703</v>
      </c>
      <c r="G280" s="51">
        <f>IF(D280="",0,C280*F280)</f>
        <v>0</v>
      </c>
      <c r="H280" s="185" t="s">
        <v>31</v>
      </c>
      <c r="J280" s="28"/>
    </row>
    <row r="281" spans="1:10" customFormat="1">
      <c r="A281" s="39" t="s">
        <v>78</v>
      </c>
      <c r="B281" s="44"/>
      <c r="C281" s="157">
        <v>0</v>
      </c>
      <c r="D281" s="45"/>
      <c r="E281" s="45"/>
      <c r="F281" s="105"/>
      <c r="G281" s="51">
        <f>SUM(G282:G282)</f>
        <v>0</v>
      </c>
      <c r="H281" s="186"/>
      <c r="J281" s="28"/>
    </row>
    <row r="282" spans="1:10" customFormat="1" ht="20.399999999999999">
      <c r="A282" s="36">
        <v>4.06000000000002</v>
      </c>
      <c r="B282" s="118" t="s">
        <v>217</v>
      </c>
      <c r="C282" s="162">
        <v>0</v>
      </c>
      <c r="D282" s="61" t="s">
        <v>40</v>
      </c>
      <c r="E282" s="18" t="s">
        <v>140</v>
      </c>
      <c r="F282" s="106">
        <f>VLOOKUP(E282,'2024 Cost Schedule for Tool'!$C$9:$F$299,4,0)</f>
        <v>1.5492439494862122</v>
      </c>
      <c r="G282" s="51">
        <f>IF(D282="",0,C282*F282)</f>
        <v>0</v>
      </c>
      <c r="H282" s="185" t="s">
        <v>31</v>
      </c>
      <c r="J282" s="28"/>
    </row>
    <row r="283" spans="1:10" customFormat="1">
      <c r="A283" s="37" t="s">
        <v>242</v>
      </c>
      <c r="B283" s="38"/>
      <c r="C283" s="155">
        <v>0</v>
      </c>
      <c r="D283" s="38"/>
      <c r="E283" s="38"/>
      <c r="F283" s="104"/>
      <c r="G283" s="50">
        <f>SUM(G284,G286)</f>
        <v>62459.748974741458</v>
      </c>
      <c r="H283" s="188"/>
      <c r="J283" s="28"/>
    </row>
    <row r="284" spans="1:10" customFormat="1">
      <c r="A284" s="39" t="s">
        <v>25</v>
      </c>
      <c r="B284" s="47"/>
      <c r="C284" s="156">
        <v>0</v>
      </c>
      <c r="D284" s="45"/>
      <c r="E284" s="45"/>
      <c r="F284" s="105"/>
      <c r="G284" s="51">
        <f>SUM(G285)</f>
        <v>62459.748974741458</v>
      </c>
      <c r="H284" s="184"/>
      <c r="J284" s="28"/>
    </row>
    <row r="285" spans="1:10" customFormat="1" ht="20.399999999999999">
      <c r="A285" s="36">
        <v>4.0610000000000204</v>
      </c>
      <c r="B285" s="118" t="s">
        <v>243</v>
      </c>
      <c r="C285" s="162">
        <v>1386.1872169600001</v>
      </c>
      <c r="D285" s="61" t="s">
        <v>30</v>
      </c>
      <c r="E285" s="18">
        <v>1.08</v>
      </c>
      <c r="F285" s="106">
        <f>VLOOKUP(E285,'2024 Cost Schedule for Tool'!$C$9:$F$299,4,0)</f>
        <v>45.05866755265555</v>
      </c>
      <c r="G285" s="51">
        <f>IF(D285="",0,C285*F285)</f>
        <v>62459.748974741458</v>
      </c>
      <c r="H285" s="185" t="s">
        <v>244</v>
      </c>
      <c r="J285" s="28"/>
    </row>
    <row r="286" spans="1:10" customFormat="1">
      <c r="A286" s="39" t="s">
        <v>38</v>
      </c>
      <c r="B286" s="44"/>
      <c r="C286" s="157">
        <v>0</v>
      </c>
      <c r="D286" s="45"/>
      <c r="E286" s="45"/>
      <c r="F286" s="105"/>
      <c r="G286" s="51">
        <f>SUM(G287)</f>
        <v>0</v>
      </c>
      <c r="H286" s="186"/>
      <c r="J286" s="28"/>
    </row>
    <row r="287" spans="1:10" customFormat="1" ht="20.399999999999999">
      <c r="A287" s="36">
        <v>4.0620000000000207</v>
      </c>
      <c r="B287" s="118" t="s">
        <v>202</v>
      </c>
      <c r="C287" s="162">
        <v>0</v>
      </c>
      <c r="D287" s="61" t="s">
        <v>74</v>
      </c>
      <c r="E287" s="18">
        <v>3.03</v>
      </c>
      <c r="F287" s="106">
        <f>VLOOKUP(E287,'2024 Cost Schedule for Tool'!$C$9:$F$299,4,0)</f>
        <v>3723.464920000763</v>
      </c>
      <c r="G287" s="51">
        <f>IF(D287="",0,C287*F287)</f>
        <v>0</v>
      </c>
      <c r="H287" s="187" t="s">
        <v>216</v>
      </c>
      <c r="J287" s="28"/>
    </row>
    <row r="288" spans="1:10" customFormat="1">
      <c r="A288" s="37" t="s">
        <v>245</v>
      </c>
      <c r="B288" s="38"/>
      <c r="C288" s="155">
        <v>0</v>
      </c>
      <c r="D288" s="38"/>
      <c r="E288" s="38"/>
      <c r="F288" s="104"/>
      <c r="G288" s="27">
        <f>SUM(G289,G292,G299)</f>
        <v>2532156.8038876331</v>
      </c>
      <c r="H288" s="188"/>
      <c r="J288" s="28"/>
    </row>
    <row r="289" spans="1:10" customFormat="1">
      <c r="A289" s="39" t="s">
        <v>78</v>
      </c>
      <c r="B289" s="39"/>
      <c r="C289" s="163">
        <v>0</v>
      </c>
      <c r="D289" s="39"/>
      <c r="E289" s="39"/>
      <c r="F289" s="109"/>
      <c r="G289" s="64">
        <f>SUM(G290:G291)</f>
        <v>952727.64654928714</v>
      </c>
      <c r="H289" s="192"/>
      <c r="J289" s="28"/>
    </row>
    <row r="290" spans="1:10" customFormat="1">
      <c r="A290" s="36">
        <v>4.063000000000021</v>
      </c>
      <c r="B290" s="271" t="s">
        <v>160</v>
      </c>
      <c r="C290" s="272">
        <v>130.60129840575999</v>
      </c>
      <c r="D290" s="273" t="s">
        <v>74</v>
      </c>
      <c r="E290" s="18">
        <v>8.08</v>
      </c>
      <c r="F290" s="106">
        <f>VLOOKUP(E290,'2024 Cost Schedule for Tool'!$C$9:$F$299,4,0)</f>
        <v>5193.01143544355</v>
      </c>
      <c r="G290" s="51">
        <f>IF(D290="",0,C290*F290)</f>
        <v>678214.03610488714</v>
      </c>
      <c r="H290" s="185" t="s">
        <v>246</v>
      </c>
      <c r="J290" s="28"/>
    </row>
    <row r="291" spans="1:10" customFormat="1">
      <c r="A291" s="36">
        <v>4.0640000000000214</v>
      </c>
      <c r="B291" s="271" t="s">
        <v>162</v>
      </c>
      <c r="C291" s="272">
        <f>(((C290)*1.0256)*1.0756)*0.91</f>
        <v>131.104528403308</v>
      </c>
      <c r="D291" s="273" t="s">
        <v>74</v>
      </c>
      <c r="E291" s="18">
        <v>8.09</v>
      </c>
      <c r="F291" s="106">
        <f>VLOOKUP(E291,'2024 Cost Schedule for Tool'!$C$9:$F$299,4,0)</f>
        <v>2093.8530025441405</v>
      </c>
      <c r="G291" s="51">
        <f>IF(D291="",0,C291*F291)</f>
        <v>274513.61044439999</v>
      </c>
      <c r="H291" s="185" t="s">
        <v>246</v>
      </c>
      <c r="J291" s="28"/>
    </row>
    <row r="292" spans="1:10" customFormat="1">
      <c r="A292" s="39" t="s">
        <v>156</v>
      </c>
      <c r="B292" s="44"/>
      <c r="C292" s="157">
        <v>0</v>
      </c>
      <c r="D292" s="45"/>
      <c r="E292" s="45"/>
      <c r="F292" s="105"/>
      <c r="G292" s="51">
        <f>SUM(G293:G298)</f>
        <v>1208269.8313730469</v>
      </c>
      <c r="H292" s="186"/>
      <c r="J292" s="28"/>
    </row>
    <row r="293" spans="1:10" customFormat="1">
      <c r="A293" s="36">
        <v>4.0650000000000217</v>
      </c>
      <c r="B293" s="271" t="s">
        <v>163</v>
      </c>
      <c r="C293" s="272">
        <f>(((C290)*1.0256)*1.0756)*0.91</f>
        <v>131.104528403308</v>
      </c>
      <c r="D293" s="23" t="s">
        <v>74</v>
      </c>
      <c r="E293" s="117">
        <v>6.1</v>
      </c>
      <c r="F293" s="106">
        <f>VLOOKUP(E293,'2024 Cost Schedule for Tool'!$C$9:$F$299,4,0)</f>
        <v>1936.4092033870368</v>
      </c>
      <c r="G293" s="51">
        <f t="shared" ref="G293:G298" si="6">IF(D293="",0,C293*F293)</f>
        <v>253872.01540588276</v>
      </c>
      <c r="H293" s="185" t="s">
        <v>246</v>
      </c>
      <c r="J293" s="28"/>
    </row>
    <row r="294" spans="1:10" customFormat="1" ht="30.6">
      <c r="A294" s="36">
        <v>4.066000000000022</v>
      </c>
      <c r="B294" s="271" t="s">
        <v>164</v>
      </c>
      <c r="C294" s="272">
        <f>((((C290*10000*0.1)*0.4)*1.0256)*1.0756)*0.91</f>
        <v>52441.811361323198</v>
      </c>
      <c r="D294" s="23" t="s">
        <v>40</v>
      </c>
      <c r="E294" s="18">
        <v>6.03</v>
      </c>
      <c r="F294" s="106">
        <f>VLOOKUP(E294,'2024 Cost Schedule for Tool'!$C$9:$F$299,4,0)</f>
        <v>6.8847724418445342</v>
      </c>
      <c r="G294" s="51">
        <f t="shared" si="6"/>
        <v>361049.93766084756</v>
      </c>
      <c r="H294" s="185" t="s">
        <v>165</v>
      </c>
      <c r="J294" s="28"/>
    </row>
    <row r="295" spans="1:10" customFormat="1" ht="43.5" customHeight="1">
      <c r="A295" s="36">
        <v>4.0670000000000224</v>
      </c>
      <c r="B295" s="271" t="s">
        <v>166</v>
      </c>
      <c r="C295" s="272">
        <f>((((C293)*0.6)*1.0256)*1.0756)*0.91</f>
        <v>78.965818461246116</v>
      </c>
      <c r="D295" s="23" t="s">
        <v>74</v>
      </c>
      <c r="E295" s="18">
        <v>6.23</v>
      </c>
      <c r="F295" s="106">
        <f>VLOOKUP(E295,'2024 Cost Schedule for Tool'!$C$9:$F$299,4,0)</f>
        <v>2182.7635393488581</v>
      </c>
      <c r="G295" s="51">
        <f t="shared" si="6"/>
        <v>172363.70939204897</v>
      </c>
      <c r="H295" s="185" t="s">
        <v>165</v>
      </c>
      <c r="J295" s="28"/>
    </row>
    <row r="296" spans="1:10" customFormat="1">
      <c r="A296" s="36">
        <v>4.0680000000000227</v>
      </c>
      <c r="B296" s="271" t="s">
        <v>167</v>
      </c>
      <c r="C296" s="272">
        <f>(((C290)*1.0256)*1.0756)*0.91</f>
        <v>131.104528403308</v>
      </c>
      <c r="D296" s="23" t="s">
        <v>74</v>
      </c>
      <c r="E296" s="117">
        <v>6.2</v>
      </c>
      <c r="F296" s="106">
        <f>VLOOKUP(E296,'2024 Cost Schedule for Tool'!$C$9:$F$299,4,0)</f>
        <v>1170.5459421328783</v>
      </c>
      <c r="G296" s="51">
        <f t="shared" si="6"/>
        <v>153463.87371773686</v>
      </c>
      <c r="H296" s="185" t="s">
        <v>246</v>
      </c>
      <c r="J296" s="28"/>
    </row>
    <row r="297" spans="1:10" customFormat="1">
      <c r="A297" s="36">
        <v>4.069000000000023</v>
      </c>
      <c r="B297" s="271" t="s">
        <v>168</v>
      </c>
      <c r="C297" s="272">
        <v>0</v>
      </c>
      <c r="D297" s="23" t="s">
        <v>74</v>
      </c>
      <c r="E297" s="18">
        <v>6.15</v>
      </c>
      <c r="F297" s="106">
        <f>VLOOKUP(E297,'2024 Cost Schedule for Tool'!$C$9:$F$299,4,0)</f>
        <v>3427.1095887906167</v>
      </c>
      <c r="G297" s="51">
        <f t="shared" si="6"/>
        <v>0</v>
      </c>
      <c r="H297" s="185" t="s">
        <v>246</v>
      </c>
      <c r="J297" s="28"/>
    </row>
    <row r="298" spans="1:10" customFormat="1">
      <c r="A298" s="36">
        <v>4.0700000000000234</v>
      </c>
      <c r="B298" s="271" t="s">
        <v>169</v>
      </c>
      <c r="C298" s="272">
        <f>(((C290)*1.0256)*1.0756)*0.91</f>
        <v>131.104528403308</v>
      </c>
      <c r="D298" s="23" t="s">
        <v>74</v>
      </c>
      <c r="E298" s="18">
        <v>6.14</v>
      </c>
      <c r="F298" s="106">
        <f>VLOOKUP(E298,'2024 Cost Schedule for Tool'!$C$9:$F$299,4,0)</f>
        <v>2040.5114793104333</v>
      </c>
      <c r="G298" s="51">
        <f t="shared" si="6"/>
        <v>267520.2951965307</v>
      </c>
      <c r="H298" s="185" t="s">
        <v>246</v>
      </c>
      <c r="J298" s="28"/>
    </row>
    <row r="299" spans="1:10" customFormat="1">
      <c r="A299" s="39" t="s">
        <v>170</v>
      </c>
      <c r="B299" s="44"/>
      <c r="C299" s="157">
        <v>0</v>
      </c>
      <c r="D299" s="45"/>
      <c r="E299" s="45"/>
      <c r="F299" s="105"/>
      <c r="G299" s="51">
        <f>SUM(G300:G303)</f>
        <v>371159.32596529927</v>
      </c>
      <c r="H299" s="186"/>
      <c r="J299" s="28"/>
    </row>
    <row r="300" spans="1:10" customFormat="1">
      <c r="A300" s="36">
        <v>4.0710000000000237</v>
      </c>
      <c r="B300" s="29" t="s">
        <v>171</v>
      </c>
      <c r="C300" s="272">
        <f>(((C290)*1.0256)*1.0756)*0.91</f>
        <v>131.104528403308</v>
      </c>
      <c r="D300" s="23" t="s">
        <v>74</v>
      </c>
      <c r="E300" s="18">
        <v>7.01</v>
      </c>
      <c r="F300" s="106">
        <f>VLOOKUP(E300,'2024 Cost Schedule for Tool'!$C$9:$F$299,4,0)</f>
        <v>2110.4387981372224</v>
      </c>
      <c r="G300" s="51">
        <f>IF(D300="",0,C300*F300)</f>
        <v>276688.08335382468</v>
      </c>
      <c r="H300" s="185" t="s">
        <v>246</v>
      </c>
      <c r="J300" s="28"/>
    </row>
    <row r="301" spans="1:10" customFormat="1">
      <c r="A301" s="36">
        <v>4.072000000000024</v>
      </c>
      <c r="B301" s="271" t="s">
        <v>173</v>
      </c>
      <c r="C301" s="272">
        <f>(((C300*0.3)*1.0256)*1.0756)*0.91</f>
        <v>39.482909230623058</v>
      </c>
      <c r="D301" s="23" t="s">
        <v>74</v>
      </c>
      <c r="E301" s="18">
        <v>7.06</v>
      </c>
      <c r="F301" s="106">
        <f>VLOOKUP(E301,'2024 Cost Schedule for Tool'!$C$9:$F$299,4,0)</f>
        <v>1370.3879863418595</v>
      </c>
      <c r="G301" s="51">
        <f>IF(D301="",0,C301*F301)</f>
        <v>54106.904475471951</v>
      </c>
      <c r="H301" s="185" t="s">
        <v>174</v>
      </c>
      <c r="J301" s="28"/>
    </row>
    <row r="302" spans="1:10" customFormat="1">
      <c r="A302" s="36">
        <v>4.0730000000000244</v>
      </c>
      <c r="B302" s="118" t="s">
        <v>175</v>
      </c>
      <c r="C302" s="274">
        <f>(((C300*0.1)*1.0256)*1.0756)*0.91</f>
        <v>13.16096974354102</v>
      </c>
      <c r="D302" s="61" t="s">
        <v>74</v>
      </c>
      <c r="E302" s="18">
        <v>7.08</v>
      </c>
      <c r="F302" s="106">
        <f>VLOOKUP(E302,'2024 Cost Schedule for Tool'!$C$9:$F$299,4,0)</f>
        <v>3066.9729451974572</v>
      </c>
      <c r="G302" s="51">
        <f>IF(D302="",0,C302*F302)</f>
        <v>40364.338136002625</v>
      </c>
      <c r="H302" s="185" t="s">
        <v>176</v>
      </c>
      <c r="J302" s="28"/>
    </row>
    <row r="303" spans="1:10" customFormat="1" ht="20.399999999999999">
      <c r="A303" s="36">
        <v>4.0740000000000247</v>
      </c>
      <c r="B303" s="118" t="s">
        <v>177</v>
      </c>
      <c r="C303" s="162">
        <v>0</v>
      </c>
      <c r="D303" s="61" t="s">
        <v>74</v>
      </c>
      <c r="E303" s="18">
        <v>7.07</v>
      </c>
      <c r="F303" s="106">
        <f>VLOOKUP(E303,'2024 Cost Schedule for Tool'!$C$9:$F$299,4,0)</f>
        <v>1973.465195587605</v>
      </c>
      <c r="G303" s="51">
        <f>IF(D303="",0,C303*F303)</f>
        <v>0</v>
      </c>
      <c r="H303" s="185" t="s">
        <v>178</v>
      </c>
      <c r="J303" s="28"/>
    </row>
    <row r="304" spans="1:10" customFormat="1">
      <c r="A304" s="52" t="s">
        <v>6</v>
      </c>
      <c r="B304" s="52"/>
      <c r="C304" s="154">
        <v>0</v>
      </c>
      <c r="D304" s="52"/>
      <c r="E304" s="52"/>
      <c r="F304" s="103"/>
      <c r="G304" s="54">
        <f>SUM(G305,G321,G332,G339,G325)</f>
        <v>5720137.5230354937</v>
      </c>
      <c r="H304" s="182"/>
    </row>
    <row r="305" spans="1:10" customFormat="1">
      <c r="A305" s="39" t="s">
        <v>247</v>
      </c>
      <c r="B305" s="47"/>
      <c r="C305" s="156">
        <v>0</v>
      </c>
      <c r="D305" s="45"/>
      <c r="E305" s="45"/>
      <c r="F305" s="105"/>
      <c r="G305" s="51">
        <f>SUM(G306:G320)</f>
        <v>759326.73137017176</v>
      </c>
      <c r="H305" s="184"/>
      <c r="J305" s="28"/>
    </row>
    <row r="306" spans="1:10" customFormat="1" ht="20.399999999999999">
      <c r="A306" s="36">
        <v>5.0010000000000003</v>
      </c>
      <c r="B306" s="29" t="s">
        <v>248</v>
      </c>
      <c r="C306" s="234">
        <v>3.7331840000000005</v>
      </c>
      <c r="D306" s="61" t="s">
        <v>27</v>
      </c>
      <c r="E306" s="18">
        <v>9.0299999999999994</v>
      </c>
      <c r="F306" s="106">
        <f>VLOOKUP(E306,'2024 Cost Schedule for Tool'!$C$9:$F$299,4,0)</f>
        <v>3097.7833942450679</v>
      </c>
      <c r="G306" s="51">
        <f t="shared" ref="G306:G320" si="7">IF(D306="",0,C306*F306)</f>
        <v>11564.595402861381</v>
      </c>
      <c r="H306" s="185" t="s">
        <v>249</v>
      </c>
      <c r="J306" s="28"/>
    </row>
    <row r="307" spans="1:10" customFormat="1" ht="20.399999999999999">
      <c r="A307" s="36">
        <v>5.0020000000000007</v>
      </c>
      <c r="B307" s="118" t="s">
        <v>250</v>
      </c>
      <c r="C307" s="288">
        <v>2.7998880000000006</v>
      </c>
      <c r="D307" s="61" t="s">
        <v>27</v>
      </c>
      <c r="E307" s="18">
        <v>9.0299999999999994</v>
      </c>
      <c r="F307" s="106">
        <f>VLOOKUP(E307,'2024 Cost Schedule for Tool'!$C$9:$F$299,4,0)</f>
        <v>3097.7833942450679</v>
      </c>
      <c r="G307" s="51">
        <f t="shared" si="7"/>
        <v>8673.446552146037</v>
      </c>
      <c r="H307" s="185" t="s">
        <v>251</v>
      </c>
      <c r="J307" s="28"/>
    </row>
    <row r="308" spans="1:10" customFormat="1" ht="20.399999999999999">
      <c r="A308" s="36">
        <v>5.003000000000001</v>
      </c>
      <c r="B308" s="118" t="s">
        <v>252</v>
      </c>
      <c r="C308" s="288">
        <v>2.7998880000000006</v>
      </c>
      <c r="D308" s="61" t="s">
        <v>27</v>
      </c>
      <c r="E308" s="18" t="s">
        <v>253</v>
      </c>
      <c r="F308" s="106">
        <f>VLOOKUP(E308,'2024 Cost Schedule for Tool'!$C$9:$F$299,4,0)</f>
        <v>11827.900232572079</v>
      </c>
      <c r="G308" s="51">
        <f t="shared" si="7"/>
        <v>33116.79592637578</v>
      </c>
      <c r="H308" s="185" t="s">
        <v>251</v>
      </c>
      <c r="J308" s="28"/>
    </row>
    <row r="309" spans="1:10" customFormat="1" ht="20.399999999999999">
      <c r="A309" s="36">
        <v>5.0040000000000013</v>
      </c>
      <c r="B309" s="118" t="s">
        <v>254</v>
      </c>
      <c r="C309" s="288">
        <v>3.7331840000000005</v>
      </c>
      <c r="D309" s="61" t="s">
        <v>27</v>
      </c>
      <c r="E309" s="18">
        <v>9.0299999999999994</v>
      </c>
      <c r="F309" s="106">
        <f>VLOOKUP(E309,'2024 Cost Schedule for Tool'!$C$9:$F$299,4,0)</f>
        <v>3097.7833942450679</v>
      </c>
      <c r="G309" s="51">
        <f t="shared" si="7"/>
        <v>11564.595402861381</v>
      </c>
      <c r="H309" s="185" t="s">
        <v>255</v>
      </c>
      <c r="J309" s="28"/>
    </row>
    <row r="310" spans="1:10" customFormat="1" ht="20.399999999999999">
      <c r="A310" s="36">
        <v>5.0050000000000017</v>
      </c>
      <c r="B310" s="118" t="s">
        <v>256</v>
      </c>
      <c r="C310" s="288">
        <v>0.93329600000000013</v>
      </c>
      <c r="D310" s="61" t="s">
        <v>27</v>
      </c>
      <c r="E310" s="18">
        <v>9.0299999999999994</v>
      </c>
      <c r="F310" s="106">
        <f>VLOOKUP(E310,'2024 Cost Schedule for Tool'!$C$9:$F$299,4,0)</f>
        <v>3097.7833942450679</v>
      </c>
      <c r="G310" s="51">
        <f t="shared" si="7"/>
        <v>2891.1488507153454</v>
      </c>
      <c r="H310" s="185" t="s">
        <v>251</v>
      </c>
      <c r="J310" s="28"/>
    </row>
    <row r="311" spans="1:10" customFormat="1" ht="20.399999999999999">
      <c r="A311" s="36">
        <v>5.006000000000002</v>
      </c>
      <c r="B311" s="29" t="s">
        <v>257</v>
      </c>
      <c r="C311" s="234">
        <v>1.8665920000000003</v>
      </c>
      <c r="D311" s="19" t="s">
        <v>27</v>
      </c>
      <c r="E311" s="19" t="s">
        <v>253</v>
      </c>
      <c r="F311" s="107">
        <f>VLOOKUP(E311,'2024 Cost Schedule for Tool'!$C$9:$F$299,4,0)</f>
        <v>11827.900232572079</v>
      </c>
      <c r="G311" s="51">
        <f t="shared" si="7"/>
        <v>22077.863950917184</v>
      </c>
      <c r="H311" s="185" t="s">
        <v>258</v>
      </c>
      <c r="J311" s="28"/>
    </row>
    <row r="312" spans="1:10" customFormat="1" ht="30.6">
      <c r="A312" s="36">
        <v>5.0070000000000023</v>
      </c>
      <c r="B312" s="29" t="s">
        <v>259</v>
      </c>
      <c r="C312" s="158">
        <v>101448.39827507841</v>
      </c>
      <c r="D312" s="19" t="s">
        <v>40</v>
      </c>
      <c r="E312" s="18">
        <v>9.0399999999999991</v>
      </c>
      <c r="F312" s="106">
        <f>VLOOKUP(E312,'2024 Cost Schedule for Tool'!$C$9:$F$299,4,0)</f>
        <v>4.5435809947116637</v>
      </c>
      <c r="G312" s="51">
        <f t="shared" si="7"/>
        <v>460939.01434658578</v>
      </c>
      <c r="H312" s="185" t="s">
        <v>260</v>
      </c>
      <c r="J312" s="28"/>
    </row>
    <row r="313" spans="1:10" customFormat="1" ht="30.6">
      <c r="A313" s="36">
        <v>5.0080000000000027</v>
      </c>
      <c r="B313" s="29" t="s">
        <v>261</v>
      </c>
      <c r="C313" s="158">
        <v>10038.531776</v>
      </c>
      <c r="D313" s="19" t="s">
        <v>40</v>
      </c>
      <c r="E313" s="18">
        <v>9.0500000000000007</v>
      </c>
      <c r="F313" s="106">
        <f>VLOOKUP(E313,'2024 Cost Schedule for Tool'!$C$9:$F$299,4,0)</f>
        <v>5.7282969560834731</v>
      </c>
      <c r="G313" s="51">
        <f t="shared" si="7"/>
        <v>57503.691016008022</v>
      </c>
      <c r="H313" s="185" t="s">
        <v>262</v>
      </c>
      <c r="J313" s="28"/>
    </row>
    <row r="314" spans="1:10" customFormat="1" ht="20.399999999999999">
      <c r="A314" s="36">
        <v>5.009000000000003</v>
      </c>
      <c r="B314" s="29" t="s">
        <v>263</v>
      </c>
      <c r="C314" s="234">
        <v>2.0077063552000003</v>
      </c>
      <c r="D314" s="19" t="s">
        <v>27</v>
      </c>
      <c r="E314" s="18" t="s">
        <v>253</v>
      </c>
      <c r="F314" s="106">
        <f>VLOOKUP(E314,'2024 Cost Schedule for Tool'!$C$9:$F$299,4,0)</f>
        <v>11827.900232572079</v>
      </c>
      <c r="G314" s="51">
        <f t="shared" si="7"/>
        <v>23746.950465606526</v>
      </c>
      <c r="H314" s="185" t="s">
        <v>264</v>
      </c>
      <c r="J314" s="28"/>
    </row>
    <row r="315" spans="1:10" customFormat="1" ht="20.399999999999999">
      <c r="A315" s="36">
        <v>5.0100000000000033</v>
      </c>
      <c r="B315" s="118" t="s">
        <v>265</v>
      </c>
      <c r="C315" s="288">
        <v>1.0038531776000001</v>
      </c>
      <c r="D315" s="61" t="s">
        <v>27</v>
      </c>
      <c r="E315" s="18">
        <v>9.0299999999999994</v>
      </c>
      <c r="F315" s="106">
        <f>VLOOKUP(E315,'2024 Cost Schedule for Tool'!$C$9:$F$299,4,0)</f>
        <v>3097.7833942450679</v>
      </c>
      <c r="G315" s="51">
        <f t="shared" si="7"/>
        <v>3109.7197038294253</v>
      </c>
      <c r="H315" s="185" t="s">
        <v>266</v>
      </c>
      <c r="J315" s="28"/>
    </row>
    <row r="316" spans="1:10" customFormat="1" ht="20.399999999999999">
      <c r="A316" s="36">
        <v>5.0110000000000037</v>
      </c>
      <c r="B316" s="29" t="s">
        <v>267</v>
      </c>
      <c r="C316" s="234">
        <v>1.0038531776000001</v>
      </c>
      <c r="D316" s="18" t="s">
        <v>27</v>
      </c>
      <c r="E316" s="18" t="s">
        <v>50</v>
      </c>
      <c r="F316" s="106">
        <f>50000*1.16</f>
        <v>57999.999999999993</v>
      </c>
      <c r="G316" s="51">
        <f t="shared" si="7"/>
        <v>58223.484300800003</v>
      </c>
      <c r="H316" s="187" t="s">
        <v>148</v>
      </c>
      <c r="J316" s="28"/>
    </row>
    <row r="317" spans="1:10" customFormat="1" ht="20.399999999999999">
      <c r="A317" s="36">
        <v>5.012000000000004</v>
      </c>
      <c r="B317" s="29" t="s">
        <v>268</v>
      </c>
      <c r="C317" s="234">
        <v>2.0077063552000003</v>
      </c>
      <c r="D317" s="18" t="s">
        <v>27</v>
      </c>
      <c r="E317" s="18">
        <v>9.0299999999999994</v>
      </c>
      <c r="F317" s="106">
        <f>VLOOKUP(E317,'2024 Cost Schedule for Tool'!$C$9:$F$299,4,0)</f>
        <v>3097.7833942450679</v>
      </c>
      <c r="G317" s="51">
        <f t="shared" si="7"/>
        <v>6219.4394076588505</v>
      </c>
      <c r="H317" s="187" t="s">
        <v>269</v>
      </c>
      <c r="J317" s="28"/>
    </row>
    <row r="318" spans="1:10" customFormat="1" ht="20.399999999999999">
      <c r="A318" s="36">
        <v>5.0130000000000043</v>
      </c>
      <c r="B318" s="29" t="s">
        <v>270</v>
      </c>
      <c r="C318" s="234">
        <v>2.0077063552000003</v>
      </c>
      <c r="D318" s="18" t="s">
        <v>27</v>
      </c>
      <c r="E318" s="18" t="s">
        <v>253</v>
      </c>
      <c r="F318" s="106">
        <f>VLOOKUP(E318,'2024 Cost Schedule for Tool'!$C$9:$F$299,4,0)</f>
        <v>11827.900232572079</v>
      </c>
      <c r="G318" s="51">
        <f t="shared" si="7"/>
        <v>23746.950465606526</v>
      </c>
      <c r="H318" s="187" t="s">
        <v>269</v>
      </c>
      <c r="J318" s="28"/>
    </row>
    <row r="319" spans="1:10" customFormat="1" ht="40.799999999999997">
      <c r="A319" s="36">
        <v>5.0140000000000047</v>
      </c>
      <c r="B319" s="29" t="s">
        <v>271</v>
      </c>
      <c r="C319" s="158">
        <v>2429.3246897920003</v>
      </c>
      <c r="D319" s="19" t="s">
        <v>40</v>
      </c>
      <c r="E319" s="19">
        <v>9.07</v>
      </c>
      <c r="F319" s="107">
        <f>VLOOKUP(E319,'2024 Cost Schedule for Tool'!$C$9:$F$299,4,0)</f>
        <v>10.037538529864451</v>
      </c>
      <c r="G319" s="51">
        <f t="shared" si="7"/>
        <v>24384.440175338208</v>
      </c>
      <c r="H319" s="187" t="s">
        <v>272</v>
      </c>
      <c r="J319" s="28"/>
    </row>
    <row r="320" spans="1:10" customFormat="1" ht="20.399999999999999">
      <c r="A320" s="36">
        <v>5.015000000000005</v>
      </c>
      <c r="B320" s="29" t="s">
        <v>273</v>
      </c>
      <c r="C320" s="234">
        <v>3.7331840000000005</v>
      </c>
      <c r="D320" s="18" t="s">
        <v>27</v>
      </c>
      <c r="E320" s="18">
        <v>9.0299999999999994</v>
      </c>
      <c r="F320" s="106">
        <f>VLOOKUP(E320,'2024 Cost Schedule for Tool'!$C$9:$F$299,4,0)</f>
        <v>3097.7833942450679</v>
      </c>
      <c r="G320" s="51">
        <f t="shared" si="7"/>
        <v>11564.595402861381</v>
      </c>
      <c r="H320" s="185" t="s">
        <v>269</v>
      </c>
      <c r="J320" s="28"/>
    </row>
    <row r="321" spans="1:10" customFormat="1">
      <c r="A321" s="39" t="s">
        <v>78</v>
      </c>
      <c r="B321" s="39"/>
      <c r="C321" s="163">
        <v>0</v>
      </c>
      <c r="D321" s="39"/>
      <c r="E321" s="39"/>
      <c r="F321" s="109"/>
      <c r="G321" s="64">
        <f>SUM(G322:G324)</f>
        <v>977064.93910018087</v>
      </c>
      <c r="H321" s="192"/>
      <c r="J321" s="28"/>
    </row>
    <row r="322" spans="1:10" customFormat="1" ht="30.6">
      <c r="A322" s="36">
        <v>5.0160000000000053</v>
      </c>
      <c r="B322" s="29" t="s">
        <v>274</v>
      </c>
      <c r="C322" s="235">
        <f>(((C323*10000*2)*1.0256)*1.0756)*0.91</f>
        <v>664692.90495635604</v>
      </c>
      <c r="D322" s="18" t="s">
        <v>74</v>
      </c>
      <c r="E322" s="18" t="s">
        <v>154</v>
      </c>
      <c r="F322" s="111">
        <f>VLOOKUP(E322,'2024 Cost Schedule for Tool'!$C$9:$F$299,4,0)</f>
        <v>1.1066028210615797</v>
      </c>
      <c r="G322" s="51">
        <f>IF(D322="",0,C322*F322)</f>
        <v>735551.04376432009</v>
      </c>
      <c r="H322" s="185" t="s">
        <v>275</v>
      </c>
      <c r="J322" s="28"/>
    </row>
    <row r="323" spans="1:10" customFormat="1" ht="12" customHeight="1">
      <c r="A323" s="36">
        <v>5.0170000000000057</v>
      </c>
      <c r="B323" s="271" t="s">
        <v>160</v>
      </c>
      <c r="C323" s="272">
        <v>33.107077797247989</v>
      </c>
      <c r="D323" s="273" t="s">
        <v>74</v>
      </c>
      <c r="E323" s="18">
        <v>8.08</v>
      </c>
      <c r="F323" s="106">
        <f>VLOOKUP(E323,'2024 Cost Schedule for Tool'!$C$9:$F$299,4,0)</f>
        <v>5193.01143544355</v>
      </c>
      <c r="G323" s="51">
        <f>IF(D323="",0,C323*F323)</f>
        <v>171925.43359522807</v>
      </c>
      <c r="H323" s="185" t="s">
        <v>276</v>
      </c>
      <c r="J323" s="28"/>
    </row>
    <row r="324" spans="1:10" customFormat="1" ht="15.75" customHeight="1">
      <c r="A324" s="36">
        <v>5.018000000000006</v>
      </c>
      <c r="B324" s="271" t="s">
        <v>162</v>
      </c>
      <c r="C324" s="272">
        <f>(((C323)*1.0256)*1.0756)*0.91</f>
        <v>33.234645247817802</v>
      </c>
      <c r="D324" s="273" t="s">
        <v>74</v>
      </c>
      <c r="E324" s="18">
        <v>8.09</v>
      </c>
      <c r="F324" s="106">
        <f>VLOOKUP(E324,'2024 Cost Schedule for Tool'!$C$9:$F$299,4,0)</f>
        <v>2093.8530025441405</v>
      </c>
      <c r="G324" s="51">
        <f>IF(D324="",0,C324*F324)</f>
        <v>69588.461740632658</v>
      </c>
      <c r="H324" s="185" t="s">
        <v>276</v>
      </c>
      <c r="J324" s="28"/>
    </row>
    <row r="325" spans="1:10" customFormat="1">
      <c r="A325" s="39" t="s">
        <v>277</v>
      </c>
      <c r="B325" s="47"/>
      <c r="C325" s="156">
        <v>0</v>
      </c>
      <c r="D325" s="45"/>
      <c r="E325" s="45"/>
      <c r="F325" s="105"/>
      <c r="G325" s="51">
        <f>SUM(G326:G331)</f>
        <v>3582240.5272287061</v>
      </c>
      <c r="H325" s="184"/>
      <c r="J325" s="28"/>
    </row>
    <row r="326" spans="1:10" customFormat="1" ht="30.6">
      <c r="A326" s="36">
        <v>5.0190000000000063</v>
      </c>
      <c r="B326" s="22" t="s">
        <v>278</v>
      </c>
      <c r="C326" s="160">
        <v>428.54492151743995</v>
      </c>
      <c r="D326" s="19" t="s">
        <v>62</v>
      </c>
      <c r="E326" s="19">
        <v>10.029999999999999</v>
      </c>
      <c r="F326" s="107">
        <f>VLOOKUP(E326,'2024 Cost Schedule for Tool'!$C$9:$F$299,4,0)</f>
        <v>844.85001661229148</v>
      </c>
      <c r="G326" s="51">
        <f t="shared" ref="G326:G331" si="8">IF(D326="",0,C326*F326)</f>
        <v>362056.18406312232</v>
      </c>
      <c r="H326" s="187" t="s">
        <v>279</v>
      </c>
      <c r="J326" s="28"/>
    </row>
    <row r="327" spans="1:10" customFormat="1" ht="30.6">
      <c r="A327" s="36">
        <v>5.0200000000000067</v>
      </c>
      <c r="B327" s="29" t="s">
        <v>280</v>
      </c>
      <c r="C327" s="158">
        <v>1153.12614510912</v>
      </c>
      <c r="D327" s="18" t="s">
        <v>62</v>
      </c>
      <c r="E327" s="18">
        <v>10.029999999999999</v>
      </c>
      <c r="F327" s="106">
        <f>VLOOKUP(E327,'2024 Cost Schedule for Tool'!$C$9:$F$299,4,0)</f>
        <v>844.85001661229148</v>
      </c>
      <c r="G327" s="51">
        <f t="shared" si="8"/>
        <v>974218.64285150764</v>
      </c>
      <c r="H327" s="187" t="s">
        <v>279</v>
      </c>
      <c r="J327" s="28"/>
    </row>
    <row r="328" spans="1:10" customFormat="1" ht="30.6">
      <c r="A328" s="36">
        <v>5.021000000000007</v>
      </c>
      <c r="B328" s="29" t="s">
        <v>281</v>
      </c>
      <c r="C328" s="158">
        <v>1388.0277886675201</v>
      </c>
      <c r="D328" s="18" t="s">
        <v>62</v>
      </c>
      <c r="E328" s="18">
        <v>10.029999999999999</v>
      </c>
      <c r="F328" s="106">
        <f>VLOOKUP(E328,'2024 Cost Schedule for Tool'!$C$9:$F$299,4,0)</f>
        <v>844.85001661229148</v>
      </c>
      <c r="G328" s="51">
        <f t="shared" si="8"/>
        <v>1172675.3003140765</v>
      </c>
      <c r="H328" s="187" t="s">
        <v>279</v>
      </c>
      <c r="J328" s="28"/>
    </row>
    <row r="329" spans="1:10" customFormat="1" ht="20.399999999999999">
      <c r="A329" s="36">
        <v>5.0220000000000073</v>
      </c>
      <c r="B329" s="29" t="s">
        <v>281</v>
      </c>
      <c r="C329" s="234">
        <v>0.93329600000000013</v>
      </c>
      <c r="D329" s="18" t="s">
        <v>27</v>
      </c>
      <c r="E329" s="18" t="s">
        <v>50</v>
      </c>
      <c r="F329" s="106">
        <v>700000</v>
      </c>
      <c r="G329" s="51">
        <f t="shared" si="8"/>
        <v>653307.20000000007</v>
      </c>
      <c r="H329" s="187" t="s">
        <v>282</v>
      </c>
      <c r="J329" s="28"/>
    </row>
    <row r="330" spans="1:10" customFormat="1" ht="20.399999999999999">
      <c r="A330" s="36">
        <v>5.0230000000000077</v>
      </c>
      <c r="B330" s="29" t="s">
        <v>281</v>
      </c>
      <c r="C330" s="234">
        <v>0.93329600000000013</v>
      </c>
      <c r="D330" s="18" t="s">
        <v>27</v>
      </c>
      <c r="E330" s="18" t="s">
        <v>50</v>
      </c>
      <c r="F330" s="106">
        <v>300000</v>
      </c>
      <c r="G330" s="51">
        <f t="shared" si="8"/>
        <v>279988.80000000005</v>
      </c>
      <c r="H330" s="187" t="s">
        <v>282</v>
      </c>
      <c r="J330" s="28"/>
    </row>
    <row r="331" spans="1:10" customFormat="1" ht="20.399999999999999">
      <c r="A331" s="36">
        <v>5.024000000000008</v>
      </c>
      <c r="B331" s="29" t="s">
        <v>281</v>
      </c>
      <c r="C331" s="234">
        <v>0.93329600000000013</v>
      </c>
      <c r="D331" s="18" t="s">
        <v>27</v>
      </c>
      <c r="E331" s="18" t="s">
        <v>50</v>
      </c>
      <c r="F331" s="106">
        <v>150000</v>
      </c>
      <c r="G331" s="51">
        <f t="shared" si="8"/>
        <v>139994.40000000002</v>
      </c>
      <c r="H331" s="187" t="s">
        <v>282</v>
      </c>
      <c r="J331" s="28"/>
    </row>
    <row r="332" spans="1:10" customFormat="1">
      <c r="A332" s="39" t="s">
        <v>156</v>
      </c>
      <c r="B332" s="44"/>
      <c r="C332" s="157">
        <v>0</v>
      </c>
      <c r="D332" s="45"/>
      <c r="E332" s="45"/>
      <c r="F332" s="105"/>
      <c r="G332" s="51">
        <f>SUM(G333:G338)</f>
        <v>307417.43471125746</v>
      </c>
      <c r="H332" s="186"/>
      <c r="J332" s="28"/>
    </row>
    <row r="333" spans="1:10" customFormat="1" ht="24.75" customHeight="1">
      <c r="A333" s="36">
        <v>5.0250000000000083</v>
      </c>
      <c r="B333" s="271" t="s">
        <v>163</v>
      </c>
      <c r="C333" s="272">
        <f>(((C323)*1.0256)*1.0756)*0.91</f>
        <v>33.234645247817802</v>
      </c>
      <c r="D333" s="23" t="s">
        <v>74</v>
      </c>
      <c r="E333" s="117">
        <v>6.1</v>
      </c>
      <c r="F333" s="106">
        <f>VLOOKUP(E333,'2024 Cost Schedule for Tool'!$C$9:$F$299,4,0)</f>
        <v>1936.4092033870368</v>
      </c>
      <c r="G333" s="51">
        <f t="shared" ref="G333:G338" si="9">IF(D333="",0,C333*F333)</f>
        <v>64355.87292917764</v>
      </c>
      <c r="H333" s="185" t="s">
        <v>276</v>
      </c>
      <c r="J333" s="28"/>
    </row>
    <row r="334" spans="1:10" customFormat="1" ht="36" customHeight="1">
      <c r="A334" s="36">
        <v>5.0260000000000087</v>
      </c>
      <c r="B334" s="271" t="s">
        <v>164</v>
      </c>
      <c r="C334" s="272">
        <f>((((C323*10000*0.1)*0.4)*1.0256)*1.0756)*0.91</f>
        <v>13293.858099127123</v>
      </c>
      <c r="D334" s="23" t="s">
        <v>40</v>
      </c>
      <c r="E334" s="18">
        <v>6.03</v>
      </c>
      <c r="F334" s="111">
        <f>VLOOKUP(E334,'2024 Cost Schedule for Tool'!$C$9:$F$299,4,0)</f>
        <v>6.8847724418445342</v>
      </c>
      <c r="G334" s="51">
        <f t="shared" si="9"/>
        <v>91525.187886662185</v>
      </c>
      <c r="H334" s="185" t="s">
        <v>165</v>
      </c>
      <c r="J334" s="28"/>
    </row>
    <row r="335" spans="1:10" customFormat="1" ht="43.5" customHeight="1">
      <c r="A335" s="36">
        <v>5.027000000000009</v>
      </c>
      <c r="B335" s="271" t="s">
        <v>166</v>
      </c>
      <c r="C335" s="272">
        <f>((((C333)*0.6)*1.0256)*1.0756)*0.91</f>
        <v>20.017622543058383</v>
      </c>
      <c r="D335" s="23" t="s">
        <v>74</v>
      </c>
      <c r="E335" s="18">
        <v>6.23</v>
      </c>
      <c r="F335" s="111">
        <f>VLOOKUP(E335,'2024 Cost Schedule for Tool'!$C$9:$F$299,4,0)</f>
        <v>2182.7635393488581</v>
      </c>
      <c r="G335" s="51">
        <f t="shared" si="9"/>
        <v>43693.736631435604</v>
      </c>
      <c r="H335" s="185" t="s">
        <v>165</v>
      </c>
      <c r="J335" s="28"/>
    </row>
    <row r="336" spans="1:10" customFormat="1" ht="30.6">
      <c r="A336" s="36">
        <v>5.0280000000000094</v>
      </c>
      <c r="B336" s="271" t="s">
        <v>167</v>
      </c>
      <c r="C336" s="272">
        <f>(((C323)*1.0256)*1.0756)*0.91</f>
        <v>33.234645247817802</v>
      </c>
      <c r="D336" s="23" t="s">
        <v>74</v>
      </c>
      <c r="E336" s="117">
        <v>6.2</v>
      </c>
      <c r="F336" s="106">
        <f>VLOOKUP(E336,'2024 Cost Schedule for Tool'!$C$9:$F$299,4,0)</f>
        <v>1170.5459421328783</v>
      </c>
      <c r="G336" s="51">
        <f t="shared" si="9"/>
        <v>38902.679133058875</v>
      </c>
      <c r="H336" s="185" t="s">
        <v>283</v>
      </c>
      <c r="J336" s="28"/>
    </row>
    <row r="337" spans="1:10" customFormat="1" ht="15.75" customHeight="1">
      <c r="A337" s="36">
        <v>5.0290000000000097</v>
      </c>
      <c r="B337" s="271" t="s">
        <v>169</v>
      </c>
      <c r="C337" s="272">
        <v>32.133340214975995</v>
      </c>
      <c r="D337" s="23" t="s">
        <v>74</v>
      </c>
      <c r="E337" s="18">
        <v>6.14</v>
      </c>
      <c r="F337" s="106">
        <f>VLOOKUP(E337,'2024 Cost Schedule for Tool'!$C$9:$F$299,4,0)</f>
        <v>2040.5114793104333</v>
      </c>
      <c r="G337" s="51">
        <f t="shared" si="9"/>
        <v>65568.449577246109</v>
      </c>
      <c r="H337" s="185" t="s">
        <v>276</v>
      </c>
      <c r="J337" s="28"/>
    </row>
    <row r="338" spans="1:10" customFormat="1">
      <c r="A338" s="36">
        <v>5.03000000000001</v>
      </c>
      <c r="B338" s="271" t="s">
        <v>168</v>
      </c>
      <c r="C338" s="272">
        <v>0.98377611404799992</v>
      </c>
      <c r="D338" s="23" t="s">
        <v>74</v>
      </c>
      <c r="E338" s="18">
        <v>6.15</v>
      </c>
      <c r="F338" s="106">
        <f>VLOOKUP(E338,'2024 Cost Schedule for Tool'!$C$9:$F$299,4,0)</f>
        <v>3427.1095887906167</v>
      </c>
      <c r="G338" s="51">
        <f t="shared" si="9"/>
        <v>3371.5085536770716</v>
      </c>
      <c r="H338" s="185" t="s">
        <v>246</v>
      </c>
      <c r="J338" s="28"/>
    </row>
    <row r="339" spans="1:10" customFormat="1">
      <c r="A339" s="39" t="s">
        <v>170</v>
      </c>
      <c r="B339" s="44"/>
      <c r="C339" s="157">
        <v>0</v>
      </c>
      <c r="D339" s="45"/>
      <c r="E339" s="45"/>
      <c r="F339" s="105"/>
      <c r="G339" s="51">
        <f>SUM(G340:G342)</f>
        <v>94087.890625177286</v>
      </c>
      <c r="H339" s="186"/>
      <c r="J339" s="28"/>
    </row>
    <row r="340" spans="1:10" customFormat="1" ht="15.75" customHeight="1">
      <c r="A340" s="36">
        <v>5.0310000000000104</v>
      </c>
      <c r="B340" s="29" t="s">
        <v>171</v>
      </c>
      <c r="C340" s="274">
        <f>(((C323)*1.0256)*1.0756)*0.91</f>
        <v>33.234645247817802</v>
      </c>
      <c r="D340" s="61" t="s">
        <v>74</v>
      </c>
      <c r="E340" s="18">
        <v>7.01</v>
      </c>
      <c r="F340" s="106">
        <f>VLOOKUP(E340,'2024 Cost Schedule for Tool'!$C$9:$F$299,4,0)</f>
        <v>2110.4387981372224</v>
      </c>
      <c r="G340" s="51">
        <f>IF(D340="",0,C340*F340)</f>
        <v>70139.684773321555</v>
      </c>
      <c r="H340" s="185" t="s">
        <v>276</v>
      </c>
      <c r="J340" s="28"/>
    </row>
    <row r="341" spans="1:10" customFormat="1">
      <c r="A341" s="36">
        <v>5.0320000000000107</v>
      </c>
      <c r="B341" s="271" t="s">
        <v>173</v>
      </c>
      <c r="C341" s="272">
        <f>(((C340*0.3)*1.0256)*1.0756)*0.91</f>
        <v>10.008811271529192</v>
      </c>
      <c r="D341" s="23" t="s">
        <v>74</v>
      </c>
      <c r="E341" s="18">
        <v>7.06</v>
      </c>
      <c r="F341" s="106">
        <f>VLOOKUP(E341,'2024 Cost Schedule for Tool'!$C$9:$F$299,4,0)</f>
        <v>1370.3879863418595</v>
      </c>
      <c r="G341" s="51">
        <f>IF(D341="",0,C341*F341)</f>
        <v>13715.954724066594</v>
      </c>
      <c r="H341" s="185" t="s">
        <v>174</v>
      </c>
      <c r="J341" s="28"/>
    </row>
    <row r="342" spans="1:10" customFormat="1">
      <c r="A342" s="36">
        <v>5.033000000000011</v>
      </c>
      <c r="B342" s="118" t="s">
        <v>175</v>
      </c>
      <c r="C342" s="274">
        <f>(((C340*0.1)*1.0256)*1.0756)*0.91</f>
        <v>3.336270423843064</v>
      </c>
      <c r="D342" s="61" t="s">
        <v>74</v>
      </c>
      <c r="E342" s="18">
        <v>7.08</v>
      </c>
      <c r="F342" s="106">
        <f>VLOOKUP(E342,'2024 Cost Schedule for Tool'!$C$9:$F$299,4,0)</f>
        <v>3066.9729451974572</v>
      </c>
      <c r="G342" s="51">
        <f>IF(D342="",0,C342*F342)</f>
        <v>10232.251127789132</v>
      </c>
      <c r="H342" s="185" t="s">
        <v>176</v>
      </c>
      <c r="J342" s="28"/>
    </row>
    <row r="343" spans="1:10" customFormat="1">
      <c r="A343" s="52" t="s">
        <v>7</v>
      </c>
      <c r="B343" s="52"/>
      <c r="C343" s="154">
        <v>0</v>
      </c>
      <c r="D343" s="52"/>
      <c r="E343" s="52"/>
      <c r="F343" s="103"/>
      <c r="G343" s="54">
        <f>SUM(G344:G346)</f>
        <v>23229568.37607855</v>
      </c>
      <c r="H343" s="182"/>
    </row>
    <row r="344" spans="1:10" customFormat="1" ht="30.6">
      <c r="A344" s="36">
        <v>6.0010000000000003</v>
      </c>
      <c r="B344" s="271" t="s">
        <v>171</v>
      </c>
      <c r="C344" s="272">
        <f>(((7511.83+662.05)*1.0256)*1.0756)*0.91</f>
        <v>8205.3754113210889</v>
      </c>
      <c r="D344" s="23" t="s">
        <v>74</v>
      </c>
      <c r="E344" s="18">
        <v>7.01</v>
      </c>
      <c r="F344" s="106">
        <f>VLOOKUP(E344,'2024 Cost Schedule for Tool'!$C$9:$F$299,4,0)</f>
        <v>2110.4387981372224</v>
      </c>
      <c r="G344" s="51">
        <f>IF(D344="",0,C344*F344)</f>
        <v>17316942.621333197</v>
      </c>
      <c r="H344" s="185" t="s">
        <v>284</v>
      </c>
      <c r="J344" s="28"/>
    </row>
    <row r="345" spans="1:10" customFormat="1">
      <c r="A345" s="36">
        <v>6.0020000000000007</v>
      </c>
      <c r="B345" s="271" t="s">
        <v>173</v>
      </c>
      <c r="C345" s="272">
        <f>(((C344*0.3)*1.0256)*1.0756)*0.91</f>
        <v>2471.0976540166744</v>
      </c>
      <c r="D345" s="23" t="s">
        <v>74</v>
      </c>
      <c r="E345" s="18">
        <v>7.06</v>
      </c>
      <c r="F345" s="106">
        <f>VLOOKUP(E345,'2024 Cost Schedule for Tool'!$C$9:$F$299,4,0)</f>
        <v>1370.3879863418595</v>
      </c>
      <c r="G345" s="51">
        <f>IF(D345="",0,C345*F345)</f>
        <v>3386362.5381420031</v>
      </c>
      <c r="H345" s="185" t="s">
        <v>174</v>
      </c>
      <c r="J345" s="28"/>
    </row>
    <row r="346" spans="1:10" customFormat="1">
      <c r="A346" s="36">
        <v>6.003000000000001</v>
      </c>
      <c r="B346" s="118" t="s">
        <v>175</v>
      </c>
      <c r="C346" s="274">
        <f>(((C344*0.1)*1.0256)*1.0756)*0.91</f>
        <v>823.69921800555824</v>
      </c>
      <c r="D346" s="61" t="s">
        <v>74</v>
      </c>
      <c r="E346" s="18">
        <v>7.08</v>
      </c>
      <c r="F346" s="106">
        <f>VLOOKUP(E346,'2024 Cost Schedule for Tool'!$C$9:$F$299,4,0)</f>
        <v>3066.9729451974572</v>
      </c>
      <c r="G346" s="51">
        <f>IF(D346="",0,C346*F346)</f>
        <v>2526263.2166033494</v>
      </c>
      <c r="H346" s="185" t="s">
        <v>176</v>
      </c>
      <c r="J346" s="28"/>
    </row>
    <row r="347" spans="1:10" customFormat="1">
      <c r="A347" s="52" t="s">
        <v>8</v>
      </c>
      <c r="B347" s="52"/>
      <c r="C347" s="154">
        <v>0</v>
      </c>
      <c r="D347" s="52"/>
      <c r="E347" s="52"/>
      <c r="F347" s="103"/>
      <c r="G347" s="54"/>
      <c r="H347" s="182"/>
    </row>
    <row r="348" spans="1:10" customFormat="1">
      <c r="A348" s="37" t="s">
        <v>285</v>
      </c>
      <c r="B348" s="38"/>
      <c r="C348" s="155">
        <v>0</v>
      </c>
      <c r="D348" s="38"/>
      <c r="E348" s="38"/>
      <c r="F348" s="104"/>
      <c r="G348" s="50"/>
      <c r="H348" s="188"/>
      <c r="J348" s="28"/>
    </row>
    <row r="349" spans="1:10" customFormat="1">
      <c r="A349" s="39" t="s">
        <v>285</v>
      </c>
      <c r="B349" s="47"/>
      <c r="C349" s="156">
        <v>0</v>
      </c>
      <c r="D349" s="45"/>
      <c r="E349" s="45"/>
      <c r="F349" s="105"/>
      <c r="G349" s="51"/>
      <c r="H349" s="184"/>
      <c r="J349" s="28"/>
    </row>
    <row r="350" spans="1:10" customFormat="1">
      <c r="A350" s="36">
        <v>7.0010000000000003</v>
      </c>
      <c r="B350" s="289"/>
      <c r="C350" s="290">
        <v>0</v>
      </c>
      <c r="D350" s="291"/>
      <c r="E350" s="18"/>
      <c r="F350" s="106"/>
      <c r="G350" s="51"/>
      <c r="H350" s="185"/>
      <c r="J350" s="28"/>
    </row>
    <row r="351" spans="1:10" customFormat="1">
      <c r="A351" s="52" t="s">
        <v>9</v>
      </c>
      <c r="B351" s="52"/>
      <c r="C351" s="154">
        <v>0</v>
      </c>
      <c r="D351" s="52"/>
      <c r="E351" s="52"/>
      <c r="F351" s="103"/>
      <c r="G351" s="62">
        <f>SUM(G352,G364,G376,G386,G392,G389)</f>
        <v>18102519.693420276</v>
      </c>
      <c r="H351" s="182"/>
    </row>
    <row r="352" spans="1:10" customFormat="1">
      <c r="A352" s="37" t="s">
        <v>286</v>
      </c>
      <c r="B352" s="38"/>
      <c r="C352" s="155">
        <v>0</v>
      </c>
      <c r="D352" s="38"/>
      <c r="E352" s="38"/>
      <c r="F352" s="104"/>
      <c r="G352" s="50">
        <f>SUM(G353,G356,G358,G360)</f>
        <v>1842289.9857014215</v>
      </c>
      <c r="H352" s="188"/>
      <c r="J352" s="28"/>
    </row>
    <row r="353" spans="1:10" customFormat="1">
      <c r="A353" s="39" t="s">
        <v>25</v>
      </c>
      <c r="B353" s="47"/>
      <c r="C353" s="156">
        <v>0</v>
      </c>
      <c r="D353" s="45"/>
      <c r="E353" s="45"/>
      <c r="F353" s="105"/>
      <c r="G353" s="51">
        <f>SUM(G354:G355)</f>
        <v>175781.85012349303</v>
      </c>
      <c r="H353" s="184"/>
      <c r="J353" s="28"/>
    </row>
    <row r="354" spans="1:10" customFormat="1" ht="20.399999999999999">
      <c r="A354" s="36">
        <v>8.0009999999999994</v>
      </c>
      <c r="B354" s="289" t="s">
        <v>287</v>
      </c>
      <c r="C354" s="292">
        <v>3.7331840000000005</v>
      </c>
      <c r="D354" s="291" t="s">
        <v>27</v>
      </c>
      <c r="E354" s="18">
        <v>1.02</v>
      </c>
      <c r="F354" s="106">
        <f>VLOOKUP(E354,'2024 Cost Schedule for Tool'!$C$9:$F$299,4,0)</f>
        <v>9490.48185327807</v>
      </c>
      <c r="G354" s="51">
        <f>IF(D354="",0,C354*F354)</f>
        <v>35429.715006948041</v>
      </c>
      <c r="H354" s="185" t="s">
        <v>28</v>
      </c>
      <c r="J354" s="28"/>
    </row>
    <row r="355" spans="1:10" customFormat="1" ht="20.399999999999999">
      <c r="A355" s="36">
        <v>8.0019999999999989</v>
      </c>
      <c r="B355" s="293" t="s">
        <v>288</v>
      </c>
      <c r="C355" s="292">
        <v>2.7998880000000006</v>
      </c>
      <c r="D355" s="291" t="s">
        <v>27</v>
      </c>
      <c r="E355" s="18">
        <v>1.27</v>
      </c>
      <c r="F355" s="106">
        <f>VLOOKUP(E355,'2024 Cost Schedule for Tool'!$C$9:$F$299,4,0)</f>
        <v>50127.76765232929</v>
      </c>
      <c r="G355" s="51">
        <f>IF(D355="",0,C355*F355)</f>
        <v>140352.13511654499</v>
      </c>
      <c r="H355" s="185" t="s">
        <v>289</v>
      </c>
      <c r="J355" s="28"/>
    </row>
    <row r="356" spans="1:10" customFormat="1">
      <c r="A356" s="39" t="s">
        <v>204</v>
      </c>
      <c r="B356" s="44"/>
      <c r="C356" s="157">
        <v>0</v>
      </c>
      <c r="D356" s="45"/>
      <c r="E356" s="45"/>
      <c r="F356" s="105"/>
      <c r="G356" s="51">
        <f>SUM(G357)</f>
        <v>1666508.1355779285</v>
      </c>
      <c r="H356" s="186"/>
      <c r="J356" s="28"/>
    </row>
    <row r="357" spans="1:10" customFormat="1" ht="20.399999999999999">
      <c r="A357" s="36">
        <v>8.0029999999999983</v>
      </c>
      <c r="B357" s="293" t="s">
        <v>290</v>
      </c>
      <c r="C357" s="292">
        <v>8.3996640000000014</v>
      </c>
      <c r="D357" s="291" t="s">
        <v>27</v>
      </c>
      <c r="E357" s="18">
        <v>5.08</v>
      </c>
      <c r="F357" s="106">
        <f>VLOOKUP(E357,'2024 Cost Schedule for Tool'!$C$9:$F$299,4,0)</f>
        <v>198401.76173450844</v>
      </c>
      <c r="G357" s="51">
        <f>IF(D357="",0,C357*F357)</f>
        <v>1666508.1355779285</v>
      </c>
      <c r="H357" s="185" t="s">
        <v>291</v>
      </c>
      <c r="J357" s="28"/>
    </row>
    <row r="358" spans="1:10" customFormat="1">
      <c r="A358" s="39" t="s">
        <v>78</v>
      </c>
      <c r="B358" s="44"/>
      <c r="C358" s="157">
        <v>0</v>
      </c>
      <c r="D358" s="45"/>
      <c r="E358" s="45"/>
      <c r="F358" s="105"/>
      <c r="G358" s="51">
        <f>SUM(G359)</f>
        <v>0</v>
      </c>
      <c r="H358" s="186"/>
      <c r="J358" s="28"/>
    </row>
    <row r="359" spans="1:10" customFormat="1" ht="20.399999999999999">
      <c r="A359" s="36">
        <v>8.0039999999999978</v>
      </c>
      <c r="B359" s="29" t="s">
        <v>160</v>
      </c>
      <c r="C359" s="158">
        <v>0</v>
      </c>
      <c r="D359" s="18" t="s">
        <v>74</v>
      </c>
      <c r="E359" s="18">
        <v>8.08</v>
      </c>
      <c r="F359" s="106">
        <f>VLOOKUP(E359,'2024 Cost Schedule for Tool'!$C$9:$F$299,4,0)</f>
        <v>5193.01143544355</v>
      </c>
      <c r="G359" s="51">
        <f>IF(D359="",0,C359*F359)</f>
        <v>0</v>
      </c>
      <c r="H359" s="187" t="s">
        <v>292</v>
      </c>
      <c r="J359" s="28"/>
    </row>
    <row r="360" spans="1:10" customFormat="1">
      <c r="A360" s="39" t="s">
        <v>156</v>
      </c>
      <c r="B360" s="44"/>
      <c r="C360" s="157">
        <v>0</v>
      </c>
      <c r="D360" s="45"/>
      <c r="E360" s="45"/>
      <c r="F360" s="105"/>
      <c r="G360" s="51">
        <f>SUM(G361:G363)</f>
        <v>0</v>
      </c>
      <c r="H360" s="186"/>
      <c r="J360" s="28"/>
    </row>
    <row r="361" spans="1:10" customFormat="1" ht="20.399999999999999">
      <c r="A361" s="36">
        <v>8.0049999999999972</v>
      </c>
      <c r="B361" s="289" t="s">
        <v>293</v>
      </c>
      <c r="C361" s="290">
        <v>0</v>
      </c>
      <c r="D361" s="291" t="s">
        <v>74</v>
      </c>
      <c r="E361" s="18">
        <v>6.1</v>
      </c>
      <c r="F361" s="106">
        <f>VLOOKUP(E361,'2024 Cost Schedule for Tool'!$C$9:$F$299,4,0)</f>
        <v>1936.4092033870368</v>
      </c>
      <c r="G361" s="51">
        <f>IF(D361="",0,C361*F361)</f>
        <v>0</v>
      </c>
      <c r="H361" s="187" t="s">
        <v>292</v>
      </c>
      <c r="J361" s="28"/>
    </row>
    <row r="362" spans="1:10" customFormat="1" ht="20.399999999999999">
      <c r="A362" s="36">
        <v>8.0059999999999967</v>
      </c>
      <c r="B362" s="289" t="s">
        <v>164</v>
      </c>
      <c r="C362" s="290">
        <v>0</v>
      </c>
      <c r="D362" s="61" t="s">
        <v>40</v>
      </c>
      <c r="E362" s="18">
        <v>6.03</v>
      </c>
      <c r="F362" s="106">
        <f>VLOOKUP(E362,'2024 Cost Schedule for Tool'!$C$9:$F$299,4,0)</f>
        <v>6.8847724418445342</v>
      </c>
      <c r="G362" s="51">
        <f>IF(D362="",0,C362*F362)</f>
        <v>0</v>
      </c>
      <c r="H362" s="187" t="s">
        <v>292</v>
      </c>
      <c r="J362" s="28"/>
    </row>
    <row r="363" spans="1:10" customFormat="1" ht="20.399999999999999">
      <c r="A363" s="36">
        <v>8.0069999999999961</v>
      </c>
      <c r="B363" s="293" t="s">
        <v>169</v>
      </c>
      <c r="C363" s="290">
        <v>0</v>
      </c>
      <c r="D363" s="61" t="s">
        <v>74</v>
      </c>
      <c r="E363" s="18">
        <v>6.14</v>
      </c>
      <c r="F363" s="106">
        <f>VLOOKUP(E363,'2024 Cost Schedule for Tool'!$C$9:$F$299,4,0)</f>
        <v>2040.5114793104333</v>
      </c>
      <c r="G363" s="51">
        <f>IF(D363="",0,C363*F363)</f>
        <v>0</v>
      </c>
      <c r="H363" s="187" t="s">
        <v>292</v>
      </c>
      <c r="J363" s="28"/>
    </row>
    <row r="364" spans="1:10" customFormat="1">
      <c r="A364" s="37" t="s">
        <v>294</v>
      </c>
      <c r="B364" s="38"/>
      <c r="C364" s="155">
        <v>0</v>
      </c>
      <c r="D364" s="38"/>
      <c r="E364" s="38"/>
      <c r="F364" s="104"/>
      <c r="G364" s="50">
        <f>SUM(G365,G367,G370,G372)</f>
        <v>1978304.8078367223</v>
      </c>
      <c r="H364" s="188"/>
      <c r="J364" s="28"/>
    </row>
    <row r="365" spans="1:10" customFormat="1">
      <c r="A365" s="39" t="s">
        <v>25</v>
      </c>
      <c r="B365" s="47"/>
      <c r="C365" s="156">
        <v>0</v>
      </c>
      <c r="D365" s="45"/>
      <c r="E365" s="45"/>
      <c r="F365" s="105"/>
      <c r="G365" s="51">
        <f>SUM(G366)</f>
        <v>384891.29561183602</v>
      </c>
      <c r="H365" s="184"/>
      <c r="J365" s="28"/>
    </row>
    <row r="366" spans="1:10" customFormat="1">
      <c r="A366" s="36">
        <v>8.0079999999999956</v>
      </c>
      <c r="B366" s="17" t="s">
        <v>295</v>
      </c>
      <c r="C366" s="158">
        <v>45557.351961142922</v>
      </c>
      <c r="D366" s="18" t="s">
        <v>30</v>
      </c>
      <c r="E366" s="18">
        <v>1.41</v>
      </c>
      <c r="F366" s="106">
        <f>VLOOKUP(E366,'2024 Cost Schedule for Tool'!$C$9:$F$299,4,0)</f>
        <v>8.4485001661229138</v>
      </c>
      <c r="G366" s="51">
        <f>IF(D366="",0,C366*F366)</f>
        <v>384891.29561183602</v>
      </c>
      <c r="H366" s="185" t="s">
        <v>31</v>
      </c>
      <c r="J366" s="28"/>
    </row>
    <row r="367" spans="1:10" customFormat="1">
      <c r="A367" s="39" t="s">
        <v>204</v>
      </c>
      <c r="B367" s="44"/>
      <c r="C367" s="157">
        <v>0</v>
      </c>
      <c r="D367" s="45"/>
      <c r="E367" s="45"/>
      <c r="F367" s="105"/>
      <c r="G367" s="51">
        <f>SUM(G368:G369)</f>
        <v>1593413.5122248863</v>
      </c>
      <c r="H367" s="186"/>
      <c r="J367" s="28"/>
    </row>
    <row r="368" spans="1:10" customFormat="1" ht="20.399999999999999">
      <c r="A368" s="36">
        <v>8.008999999999995</v>
      </c>
      <c r="B368" s="17" t="s">
        <v>296</v>
      </c>
      <c r="C368" s="234">
        <v>3.7331840000000005</v>
      </c>
      <c r="D368" s="18" t="s">
        <v>27</v>
      </c>
      <c r="E368" s="18">
        <v>5.0599999999999996</v>
      </c>
      <c r="F368" s="106">
        <f>VLOOKUP(E368,'2024 Cost Schedule for Tool'!$C$9:$F$299,4,0)</f>
        <v>310824.26374507288</v>
      </c>
      <c r="G368" s="51">
        <f>IF(D368="",0,C368*F368)</f>
        <v>1160364.1682248863</v>
      </c>
      <c r="H368" s="185" t="s">
        <v>297</v>
      </c>
      <c r="J368" s="28"/>
    </row>
    <row r="369" spans="1:10" customFormat="1">
      <c r="A369" s="36">
        <v>8.0099999999999945</v>
      </c>
      <c r="B369" s="29" t="s">
        <v>298</v>
      </c>
      <c r="C369" s="234">
        <v>3.7331840000000005</v>
      </c>
      <c r="D369" s="18" t="s">
        <v>27</v>
      </c>
      <c r="E369" s="18" t="s">
        <v>50</v>
      </c>
      <c r="F369" s="106">
        <f>100000*1.16</f>
        <v>115999.99999999999</v>
      </c>
      <c r="G369" s="51">
        <f>IF(D369="",0,C369*F369)</f>
        <v>433049.34399999998</v>
      </c>
      <c r="H369" s="185" t="s">
        <v>299</v>
      </c>
      <c r="J369" s="28"/>
    </row>
    <row r="370" spans="1:10" customFormat="1">
      <c r="A370" s="39" t="s">
        <v>78</v>
      </c>
      <c r="B370" s="44"/>
      <c r="C370" s="157">
        <v>0</v>
      </c>
      <c r="D370" s="45"/>
      <c r="E370" s="45"/>
      <c r="F370" s="105"/>
      <c r="G370" s="51">
        <f>SUM(G371)</f>
        <v>0</v>
      </c>
      <c r="H370" s="186"/>
      <c r="J370" s="28"/>
    </row>
    <row r="371" spans="1:10" customFormat="1" ht="20.399999999999999">
      <c r="A371" s="36">
        <v>8.0109999999999939</v>
      </c>
      <c r="B371" s="29" t="s">
        <v>160</v>
      </c>
      <c r="C371" s="158">
        <v>0</v>
      </c>
      <c r="D371" s="18" t="s">
        <v>74</v>
      </c>
      <c r="E371" s="18">
        <v>8.08</v>
      </c>
      <c r="F371" s="106">
        <f>VLOOKUP(E371,'2024 Cost Schedule for Tool'!$C$9:$F$299,4,0)</f>
        <v>5193.01143544355</v>
      </c>
      <c r="G371" s="51">
        <f>IF(D371="",0,C371*F371)</f>
        <v>0</v>
      </c>
      <c r="H371" s="187" t="s">
        <v>292</v>
      </c>
      <c r="J371" s="28"/>
    </row>
    <row r="372" spans="1:10" customFormat="1">
      <c r="A372" s="39" t="s">
        <v>156</v>
      </c>
      <c r="B372" s="44"/>
      <c r="C372" s="157">
        <v>0</v>
      </c>
      <c r="D372" s="45"/>
      <c r="E372" s="45"/>
      <c r="F372" s="105"/>
      <c r="G372" s="51">
        <f>SUM(G373:G375)</f>
        <v>0</v>
      </c>
      <c r="H372" s="186"/>
      <c r="J372" s="28"/>
    </row>
    <row r="373" spans="1:10" customFormat="1" ht="20.399999999999999">
      <c r="A373" s="36">
        <v>8.0119999999999933</v>
      </c>
      <c r="B373" s="29" t="s">
        <v>163</v>
      </c>
      <c r="C373" s="158">
        <v>0</v>
      </c>
      <c r="D373" s="18" t="s">
        <v>74</v>
      </c>
      <c r="E373" s="18">
        <v>6.1</v>
      </c>
      <c r="F373" s="106">
        <f>VLOOKUP(E373,'2024 Cost Schedule for Tool'!$C$9:$F$299,4,0)</f>
        <v>1936.4092033870368</v>
      </c>
      <c r="G373" s="51">
        <f>IF(D373="",0,C373*F373)</f>
        <v>0</v>
      </c>
      <c r="H373" s="187" t="s">
        <v>292</v>
      </c>
      <c r="J373" s="28"/>
    </row>
    <row r="374" spans="1:10" customFormat="1" ht="20.399999999999999">
      <c r="A374" s="36">
        <v>8.0129999999999928</v>
      </c>
      <c r="B374" s="29" t="s">
        <v>164</v>
      </c>
      <c r="C374" s="158">
        <v>0</v>
      </c>
      <c r="D374" s="61" t="s">
        <v>40</v>
      </c>
      <c r="E374" s="18">
        <v>6.03</v>
      </c>
      <c r="F374" s="106">
        <f>VLOOKUP(E374,'2024 Cost Schedule for Tool'!$C$9:$F$299,4,0)</f>
        <v>6.8847724418445342</v>
      </c>
      <c r="G374" s="51">
        <f>IF(D374="",0,C374*F374)</f>
        <v>0</v>
      </c>
      <c r="H374" s="187" t="s">
        <v>292</v>
      </c>
      <c r="J374" s="28"/>
    </row>
    <row r="375" spans="1:10" customFormat="1" ht="20.399999999999999">
      <c r="A375" s="36">
        <v>8.0139999999999922</v>
      </c>
      <c r="B375" s="29" t="s">
        <v>169</v>
      </c>
      <c r="C375" s="158">
        <v>0</v>
      </c>
      <c r="D375" s="61" t="s">
        <v>74</v>
      </c>
      <c r="E375" s="18">
        <v>6.14</v>
      </c>
      <c r="F375" s="106">
        <f>VLOOKUP(E375,'2024 Cost Schedule for Tool'!$C$9:$F$299,4,0)</f>
        <v>2040.5114793104333</v>
      </c>
      <c r="G375" s="51">
        <f>IF(D375="",0,C375*F375)</f>
        <v>0</v>
      </c>
      <c r="H375" s="187" t="s">
        <v>292</v>
      </c>
      <c r="J375" s="28"/>
    </row>
    <row r="376" spans="1:10" customFormat="1">
      <c r="A376" s="37" t="s">
        <v>300</v>
      </c>
      <c r="B376" s="38"/>
      <c r="C376" s="155">
        <v>0</v>
      </c>
      <c r="D376" s="38"/>
      <c r="E376" s="38"/>
      <c r="F376" s="104"/>
      <c r="G376" s="50">
        <f>SUM(G377,G380,G384)</f>
        <v>14110090.000237618</v>
      </c>
      <c r="H376" s="188"/>
      <c r="J376" s="28"/>
    </row>
    <row r="377" spans="1:10" customFormat="1">
      <c r="A377" s="39" t="s">
        <v>25</v>
      </c>
      <c r="B377" s="47"/>
      <c r="C377" s="156">
        <v>0</v>
      </c>
      <c r="D377" s="45"/>
      <c r="E377" s="45"/>
      <c r="F377" s="105"/>
      <c r="G377" s="51">
        <f>SUM(G378:G379)</f>
        <v>2615305.2306343312</v>
      </c>
      <c r="H377" s="184"/>
      <c r="J377" s="28"/>
    </row>
    <row r="378" spans="1:10" customFormat="1" ht="20.399999999999999">
      <c r="A378" s="36">
        <v>8.0149999999999917</v>
      </c>
      <c r="B378" s="29" t="s">
        <v>301</v>
      </c>
      <c r="C378" s="164">
        <v>70107.878156162376</v>
      </c>
      <c r="D378" s="18" t="s">
        <v>62</v>
      </c>
      <c r="E378" s="18">
        <v>1.35</v>
      </c>
      <c r="F378" s="106">
        <f>VLOOKUP(E378,'2024 Cost Schedule for Tool'!$C$9:$F$299,4,0)</f>
        <v>29.198016574120796</v>
      </c>
      <c r="G378" s="51">
        <f>IF(D378="",0,C378*F378)</f>
        <v>2047010.9883800703</v>
      </c>
      <c r="H378" s="185" t="s">
        <v>302</v>
      </c>
      <c r="J378" s="28"/>
    </row>
    <row r="379" spans="1:10" customFormat="1" ht="20.399999999999999">
      <c r="A379" s="36">
        <v>8.0159999999999911</v>
      </c>
      <c r="B379" s="17" t="s">
        <v>303</v>
      </c>
      <c r="C379" s="164">
        <v>42041.059883402944</v>
      </c>
      <c r="D379" s="61" t="s">
        <v>62</v>
      </c>
      <c r="E379" s="18">
        <v>1.38</v>
      </c>
      <c r="F379" s="106">
        <f>VLOOKUP(E379,'2024 Cost Schedule for Tool'!$C$9:$F$299,4,0)</f>
        <v>13.517600265796661</v>
      </c>
      <c r="G379" s="51">
        <f>IF(D379="",0,C379*F379)</f>
        <v>568294.24225426093</v>
      </c>
      <c r="H379" s="185" t="s">
        <v>304</v>
      </c>
      <c r="J379" s="28"/>
    </row>
    <row r="380" spans="1:10" customFormat="1">
      <c r="A380" s="39" t="s">
        <v>204</v>
      </c>
      <c r="B380" s="44"/>
      <c r="C380" s="157">
        <v>0</v>
      </c>
      <c r="D380" s="45"/>
      <c r="E380" s="45"/>
      <c r="F380" s="105"/>
      <c r="G380" s="51">
        <f>SUM(G381:G383)</f>
        <v>11494784.769603286</v>
      </c>
      <c r="H380" s="186"/>
      <c r="J380" s="28"/>
    </row>
    <row r="381" spans="1:10" customFormat="1" ht="30.6">
      <c r="A381" s="36">
        <v>8.0169999999999906</v>
      </c>
      <c r="B381" s="17" t="s">
        <v>305</v>
      </c>
      <c r="C381" s="158">
        <v>275.32232000000005</v>
      </c>
      <c r="D381" s="18" t="s">
        <v>27</v>
      </c>
      <c r="E381" s="18" t="s">
        <v>306</v>
      </c>
      <c r="F381" s="106">
        <f>VLOOKUP(E381,'2024 Cost Schedule for Tool'!$C$9:$F$299,4,0)</f>
        <v>5378.5029502019843</v>
      </c>
      <c r="G381" s="51">
        <f>IF(D381="",0,C381*F381)</f>
        <v>1480821.9103764549</v>
      </c>
      <c r="H381" s="185" t="s">
        <v>307</v>
      </c>
      <c r="J381" s="28"/>
    </row>
    <row r="382" spans="1:10" customFormat="1" ht="30.6">
      <c r="A382" s="36">
        <v>8.01799999999999</v>
      </c>
      <c r="B382" s="29" t="s">
        <v>308</v>
      </c>
      <c r="C382" s="158">
        <v>864.23209600000018</v>
      </c>
      <c r="D382" s="18" t="s">
        <v>27</v>
      </c>
      <c r="E382" s="18" t="s">
        <v>309</v>
      </c>
      <c r="F382" s="106">
        <f>VLOOKUP(E382,'2024 Cost Schedule for Tool'!$C$9:$F$299,4,0)</f>
        <v>10371.36533347881</v>
      </c>
      <c r="G382" s="51">
        <f>IF(D382="",0,C382*F382)</f>
        <v>8963266.8005341329</v>
      </c>
      <c r="H382" s="185" t="s">
        <v>310</v>
      </c>
      <c r="J382" s="28"/>
    </row>
    <row r="383" spans="1:10" customFormat="1" ht="30.6">
      <c r="A383" s="36">
        <v>8.0189999999999895</v>
      </c>
      <c r="B383" s="29" t="s">
        <v>311</v>
      </c>
      <c r="C383" s="158">
        <v>70.930496000000005</v>
      </c>
      <c r="D383" s="18" t="s">
        <v>27</v>
      </c>
      <c r="E383" s="18" t="s">
        <v>312</v>
      </c>
      <c r="F383" s="106">
        <f>VLOOKUP(E383,'2024 Cost Schedule for Tool'!$C$9:$F$299,4,0)</f>
        <v>14813.036957935507</v>
      </c>
      <c r="G383" s="51">
        <f>IF(D383="",0,C383*F383)</f>
        <v>1050696.0586926967</v>
      </c>
      <c r="H383" s="185" t="s">
        <v>313</v>
      </c>
      <c r="J383" s="28"/>
    </row>
    <row r="384" spans="1:10" customFormat="1">
      <c r="A384" s="39" t="s">
        <v>170</v>
      </c>
      <c r="B384" s="44"/>
      <c r="C384" s="157">
        <v>0</v>
      </c>
      <c r="D384" s="45"/>
      <c r="E384" s="45"/>
      <c r="F384" s="105"/>
      <c r="G384" s="51">
        <f>SUM(G385)</f>
        <v>0</v>
      </c>
      <c r="H384" s="186"/>
      <c r="J384" s="28"/>
    </row>
    <row r="385" spans="1:10" customFormat="1" ht="20.399999999999999">
      <c r="A385" s="36">
        <v>8.0199999999999889</v>
      </c>
      <c r="B385" s="17" t="s">
        <v>314</v>
      </c>
      <c r="C385" s="158">
        <v>0</v>
      </c>
      <c r="D385" s="18" t="s">
        <v>74</v>
      </c>
      <c r="E385" s="18">
        <v>7.03</v>
      </c>
      <c r="F385" s="106">
        <f>VLOOKUP(E385,'2024 Cost Schedule for Tool'!$C$9:$F$299,4,0)</f>
        <v>450.58667552655544</v>
      </c>
      <c r="G385" s="51">
        <f>IF(D385="",0,C385*F385)</f>
        <v>0</v>
      </c>
      <c r="H385" s="187" t="s">
        <v>292</v>
      </c>
      <c r="J385" s="28"/>
    </row>
    <row r="386" spans="1:10" customFormat="1">
      <c r="A386" s="37" t="s">
        <v>315</v>
      </c>
      <c r="B386" s="38"/>
      <c r="C386" s="155">
        <v>0</v>
      </c>
      <c r="D386" s="38"/>
      <c r="E386" s="38"/>
      <c r="F386" s="104"/>
      <c r="G386" s="50">
        <f>SUM(G387)</f>
        <v>53617.669595084604</v>
      </c>
      <c r="H386" s="188"/>
      <c r="J386" s="28"/>
    </row>
    <row r="387" spans="1:10" customFormat="1">
      <c r="A387" s="39" t="s">
        <v>170</v>
      </c>
      <c r="B387" s="47"/>
      <c r="C387" s="156">
        <v>0</v>
      </c>
      <c r="D387" s="45"/>
      <c r="E387" s="45"/>
      <c r="F387" s="105"/>
      <c r="G387" s="51">
        <f>SUM(G388:G388)</f>
        <v>53617.669595084604</v>
      </c>
      <c r="H387" s="184"/>
      <c r="J387" s="28"/>
    </row>
    <row r="388" spans="1:10" customFormat="1">
      <c r="A388" s="36">
        <v>8.0209999999999884</v>
      </c>
      <c r="B388" s="17" t="s">
        <v>316</v>
      </c>
      <c r="C388" s="234">
        <v>15.866032000000002</v>
      </c>
      <c r="D388" s="18" t="s">
        <v>27</v>
      </c>
      <c r="E388" s="18">
        <v>7.05</v>
      </c>
      <c r="F388" s="106">
        <f>VLOOKUP(E388,'2024 Cost Schedule for Tool'!$C$9:$F$299,4,0)</f>
        <v>3379.4000664491659</v>
      </c>
      <c r="G388" s="51">
        <f>IF(D388="",0,C388*F388)</f>
        <v>53617.669595084604</v>
      </c>
      <c r="H388" s="185" t="s">
        <v>31</v>
      </c>
      <c r="J388" s="28"/>
    </row>
    <row r="389" spans="1:10" customFormat="1">
      <c r="A389" s="37" t="s">
        <v>317</v>
      </c>
      <c r="B389" s="38"/>
      <c r="C389" s="155">
        <v>0</v>
      </c>
      <c r="D389" s="38"/>
      <c r="E389" s="38"/>
      <c r="F389" s="104"/>
      <c r="G389" s="50">
        <f>G390</f>
        <v>37020.478049432029</v>
      </c>
      <c r="H389" s="188"/>
      <c r="J389" s="28"/>
    </row>
    <row r="390" spans="1:10" customFormat="1">
      <c r="A390" s="39" t="s">
        <v>170</v>
      </c>
      <c r="B390" s="47"/>
      <c r="C390" s="156">
        <v>0</v>
      </c>
      <c r="D390" s="45"/>
      <c r="E390" s="45"/>
      <c r="F390" s="105"/>
      <c r="G390" s="51">
        <f>SUM(G391)</f>
        <v>37020.478049432029</v>
      </c>
      <c r="H390" s="184"/>
      <c r="J390" s="28"/>
    </row>
    <row r="391" spans="1:10" customFormat="1">
      <c r="A391" s="36">
        <v>8.0219999999999878</v>
      </c>
      <c r="B391" s="29" t="s">
        <v>318</v>
      </c>
      <c r="C391" s="158">
        <v>20.077063551999998</v>
      </c>
      <c r="D391" s="18" t="s">
        <v>74</v>
      </c>
      <c r="E391" s="18">
        <v>7.04</v>
      </c>
      <c r="F391" s="106">
        <f>VLOOKUP(E391,'2024 Cost Schedule for Tool'!$C$9:$F$299,4,0)</f>
        <v>1843.9189552569901</v>
      </c>
      <c r="G391" s="51">
        <f>IF(D391="",0,C391*F391)</f>
        <v>37020.478049432029</v>
      </c>
      <c r="H391" s="187" t="s">
        <v>31</v>
      </c>
      <c r="J391" s="28"/>
    </row>
    <row r="392" spans="1:10" customFormat="1">
      <c r="A392" s="37" t="s">
        <v>319</v>
      </c>
      <c r="B392" s="38"/>
      <c r="C392" s="155">
        <v>0</v>
      </c>
      <c r="D392" s="38"/>
      <c r="E392" s="38"/>
      <c r="F392" s="104"/>
      <c r="G392" s="50">
        <f>SUM(G393,G397,G401)</f>
        <v>81196.752000000008</v>
      </c>
      <c r="H392" s="188"/>
      <c r="J392" s="28"/>
    </row>
    <row r="393" spans="1:10" customFormat="1">
      <c r="A393" s="39" t="s">
        <v>38</v>
      </c>
      <c r="B393" s="47"/>
      <c r="C393" s="156">
        <v>0</v>
      </c>
      <c r="D393" s="45"/>
      <c r="E393" s="45"/>
      <c r="F393" s="105"/>
      <c r="G393" s="51">
        <f>SUM(G394:G396)</f>
        <v>81196.752000000008</v>
      </c>
      <c r="H393" s="184"/>
      <c r="J393" s="28"/>
    </row>
    <row r="394" spans="1:10" customFormat="1" ht="20.399999999999999">
      <c r="A394" s="36">
        <v>8.0229999999999873</v>
      </c>
      <c r="B394" s="17" t="s">
        <v>320</v>
      </c>
      <c r="C394" s="234">
        <v>0.93329600000000013</v>
      </c>
      <c r="D394" s="18" t="s">
        <v>27</v>
      </c>
      <c r="E394" s="18" t="s">
        <v>50</v>
      </c>
      <c r="F394" s="106">
        <f>75000*1.16</f>
        <v>87000</v>
      </c>
      <c r="G394" s="51">
        <f>IF(D394="",0,C394*F394)</f>
        <v>81196.752000000008</v>
      </c>
      <c r="H394" s="185" t="s">
        <v>321</v>
      </c>
      <c r="J394" s="28"/>
    </row>
    <row r="395" spans="1:10" customFormat="1" ht="20.399999999999999">
      <c r="A395" s="36">
        <v>8.0239999999999867</v>
      </c>
      <c r="B395" s="29" t="s">
        <v>225</v>
      </c>
      <c r="C395" s="158">
        <v>0</v>
      </c>
      <c r="D395" s="18" t="s">
        <v>40</v>
      </c>
      <c r="E395" s="18">
        <v>3.07</v>
      </c>
      <c r="F395" s="106">
        <f>VLOOKUP(E395,'2024 Cost Schedule for Tool'!$C$9:$F$299,4,0)</f>
        <v>4.6772144367857358</v>
      </c>
      <c r="G395" s="51">
        <f>IF(D395="",0,C395*F395)</f>
        <v>0</v>
      </c>
      <c r="H395" s="185" t="s">
        <v>322</v>
      </c>
      <c r="J395" s="28"/>
    </row>
    <row r="396" spans="1:10" customFormat="1" ht="20.399999999999999">
      <c r="A396" s="36">
        <v>8.0249999999999861</v>
      </c>
      <c r="B396" s="29" t="s">
        <v>202</v>
      </c>
      <c r="C396" s="158">
        <v>0</v>
      </c>
      <c r="D396" s="18" t="s">
        <v>74</v>
      </c>
      <c r="E396" s="18">
        <v>3.03</v>
      </c>
      <c r="F396" s="106">
        <f>VLOOKUP(E396,'2024 Cost Schedule for Tool'!$C$9:$F$299,4,0)</f>
        <v>3723.464920000763</v>
      </c>
      <c r="G396" s="51">
        <f>IF(D396="",0,C396*F396)</f>
        <v>0</v>
      </c>
      <c r="H396" s="187" t="s">
        <v>292</v>
      </c>
      <c r="J396" s="28"/>
    </row>
    <row r="397" spans="1:10" customFormat="1">
      <c r="A397" s="39" t="s">
        <v>156</v>
      </c>
      <c r="B397" s="44"/>
      <c r="C397" s="157">
        <v>0</v>
      </c>
      <c r="D397" s="45"/>
      <c r="E397" s="45"/>
      <c r="F397" s="105"/>
      <c r="G397" s="51">
        <f>SUM(G398:G400)</f>
        <v>0</v>
      </c>
      <c r="H397" s="186"/>
      <c r="J397" s="28"/>
    </row>
    <row r="398" spans="1:10" customFormat="1" ht="20.399999999999999">
      <c r="A398" s="36">
        <v>8.0259999999999856</v>
      </c>
      <c r="B398" s="29" t="s">
        <v>163</v>
      </c>
      <c r="C398" s="158">
        <v>0</v>
      </c>
      <c r="D398" s="18" t="s">
        <v>74</v>
      </c>
      <c r="E398" s="18">
        <v>6.1</v>
      </c>
      <c r="F398" s="106">
        <f>VLOOKUP(E398,'2024 Cost Schedule for Tool'!$C$9:$F$299,4,0)</f>
        <v>1936.4092033870368</v>
      </c>
      <c r="G398" s="51">
        <f>IF(D398="",0,C398*F398)</f>
        <v>0</v>
      </c>
      <c r="H398" s="187" t="s">
        <v>292</v>
      </c>
      <c r="J398" s="28"/>
    </row>
    <row r="399" spans="1:10" customFormat="1" ht="20.399999999999999">
      <c r="A399" s="36">
        <v>8.026999999999985</v>
      </c>
      <c r="B399" s="29" t="s">
        <v>164</v>
      </c>
      <c r="C399" s="158">
        <v>0</v>
      </c>
      <c r="D399" s="18" t="s">
        <v>40</v>
      </c>
      <c r="E399" s="18">
        <v>6.03</v>
      </c>
      <c r="F399" s="106">
        <f>VLOOKUP(E399,'2024 Cost Schedule for Tool'!$C$9:$F$299,4,0)</f>
        <v>6.8847724418445342</v>
      </c>
      <c r="G399" s="51">
        <f>IF(D399="",0,C399*F399)</f>
        <v>0</v>
      </c>
      <c r="H399" s="187" t="s">
        <v>292</v>
      </c>
      <c r="J399" s="28"/>
    </row>
    <row r="400" spans="1:10" customFormat="1" ht="20.399999999999999">
      <c r="A400" s="36">
        <v>8.0279999999999845</v>
      </c>
      <c r="B400" s="29" t="s">
        <v>169</v>
      </c>
      <c r="C400" s="158">
        <v>0</v>
      </c>
      <c r="D400" s="18" t="s">
        <v>74</v>
      </c>
      <c r="E400" s="18">
        <v>6.14</v>
      </c>
      <c r="F400" s="106">
        <f>VLOOKUP(E400,'2024 Cost Schedule for Tool'!$C$9:$F$299,4,0)</f>
        <v>2040.5114793104333</v>
      </c>
      <c r="G400" s="51">
        <f>IF(D400="",0,C400*F400)</f>
        <v>0</v>
      </c>
      <c r="H400" s="187" t="s">
        <v>292</v>
      </c>
      <c r="J400" s="28"/>
    </row>
    <row r="401" spans="1:10" customFormat="1">
      <c r="A401" s="39" t="s">
        <v>170</v>
      </c>
      <c r="B401" s="44"/>
      <c r="C401" s="157">
        <v>0</v>
      </c>
      <c r="D401" s="45"/>
      <c r="E401" s="45"/>
      <c r="F401" s="105"/>
      <c r="G401" s="51">
        <f>SUM(G402:G403)</f>
        <v>0</v>
      </c>
      <c r="H401" s="186"/>
      <c r="J401" s="28"/>
    </row>
    <row r="402" spans="1:10" customFormat="1" ht="20.399999999999999">
      <c r="A402" s="36">
        <v>8.0289999999999839</v>
      </c>
      <c r="B402" s="29" t="s">
        <v>171</v>
      </c>
      <c r="C402" s="158">
        <v>0</v>
      </c>
      <c r="D402" s="18" t="s">
        <v>74</v>
      </c>
      <c r="E402" s="18">
        <v>7.01</v>
      </c>
      <c r="F402" s="106">
        <f>VLOOKUP(E402,'2024 Cost Schedule for Tool'!$C$9:$F$299,4,0)</f>
        <v>2110.4387981372224</v>
      </c>
      <c r="G402" s="51">
        <f>IF(D402="",0,C402*F402)</f>
        <v>0</v>
      </c>
      <c r="H402" s="187" t="s">
        <v>292</v>
      </c>
      <c r="J402" s="28"/>
    </row>
    <row r="403" spans="1:10" customFormat="1" ht="20.399999999999999">
      <c r="A403" s="36">
        <v>8.0299999999999834</v>
      </c>
      <c r="B403" s="29" t="s">
        <v>177</v>
      </c>
      <c r="C403" s="158">
        <v>0</v>
      </c>
      <c r="D403" s="18" t="s">
        <v>74</v>
      </c>
      <c r="E403" s="18">
        <v>7.07</v>
      </c>
      <c r="F403" s="106">
        <f>VLOOKUP(E403,'2024 Cost Schedule for Tool'!$C$9:$F$299,4,0)</f>
        <v>1973.465195587605</v>
      </c>
      <c r="G403" s="51">
        <f>IF(D403="",0,C403*F403)</f>
        <v>0</v>
      </c>
      <c r="H403" s="187" t="s">
        <v>292</v>
      </c>
      <c r="J403" s="28"/>
    </row>
    <row r="404" spans="1:10" customFormat="1">
      <c r="A404" s="52" t="s">
        <v>10</v>
      </c>
      <c r="B404" s="52"/>
      <c r="C404" s="154">
        <v>0</v>
      </c>
      <c r="D404" s="52"/>
      <c r="E404" s="52"/>
      <c r="F404" s="103"/>
      <c r="G404" s="62">
        <f>SUM(G405,G408,G416,G420,G438,G429,G432,G435)</f>
        <v>1137592.0080190552</v>
      </c>
      <c r="H404" s="182"/>
    </row>
    <row r="405" spans="1:10" customFormat="1">
      <c r="A405" s="37" t="s">
        <v>323</v>
      </c>
      <c r="B405" s="38"/>
      <c r="C405" s="155">
        <v>0</v>
      </c>
      <c r="D405" s="38"/>
      <c r="E405" s="38"/>
      <c r="F405" s="104"/>
      <c r="G405" s="50">
        <f>G406</f>
        <v>1137592.0080190552</v>
      </c>
      <c r="H405" s="188"/>
      <c r="J405" s="28"/>
    </row>
    <row r="406" spans="1:10" customFormat="1">
      <c r="A406" s="39" t="s">
        <v>170</v>
      </c>
      <c r="B406" s="47"/>
      <c r="C406" s="156">
        <v>0</v>
      </c>
      <c r="D406" s="45"/>
      <c r="E406" s="45"/>
      <c r="F406" s="105"/>
      <c r="G406" s="51">
        <f>SUM(G407)</f>
        <v>1137592.0080190552</v>
      </c>
      <c r="H406" s="184"/>
      <c r="J406" s="28"/>
    </row>
    <row r="407" spans="1:10" customFormat="1" ht="30.6">
      <c r="A407" s="36">
        <v>9.0009999999999994</v>
      </c>
      <c r="B407" s="29" t="s">
        <v>314</v>
      </c>
      <c r="C407" s="158">
        <v>2524.6907416639997</v>
      </c>
      <c r="D407" s="18" t="s">
        <v>74</v>
      </c>
      <c r="E407" s="18">
        <v>7.03</v>
      </c>
      <c r="F407" s="106">
        <f>VLOOKUP(E407,'2024 Cost Schedule for Tool'!$C$9:$F$299,4,0)</f>
        <v>450.58667552655544</v>
      </c>
      <c r="G407" s="51">
        <f>C407*F407</f>
        <v>1137592.0080190552</v>
      </c>
      <c r="H407" s="187" t="s">
        <v>324</v>
      </c>
      <c r="J407" s="28"/>
    </row>
    <row r="408" spans="1:10" customFormat="1">
      <c r="A408" s="37" t="s">
        <v>325</v>
      </c>
      <c r="B408" s="38"/>
      <c r="C408" s="155">
        <v>0</v>
      </c>
      <c r="D408" s="38"/>
      <c r="E408" s="38"/>
      <c r="F408" s="104"/>
      <c r="G408" s="50">
        <f>SUM(G409,G411)</f>
        <v>0</v>
      </c>
      <c r="H408" s="188"/>
      <c r="J408" s="28"/>
    </row>
    <row r="409" spans="1:10" customFormat="1">
      <c r="A409" s="39" t="s">
        <v>78</v>
      </c>
      <c r="B409" s="44"/>
      <c r="C409" s="157">
        <v>0</v>
      </c>
      <c r="D409" s="45"/>
      <c r="E409" s="45"/>
      <c r="F409" s="105"/>
      <c r="G409" s="51">
        <f>SUM(G410)</f>
        <v>0</v>
      </c>
      <c r="H409" s="186"/>
      <c r="J409" s="28"/>
    </row>
    <row r="410" spans="1:10" customFormat="1" ht="20.399999999999999">
      <c r="A410" s="36">
        <v>9.0019999999999989</v>
      </c>
      <c r="B410" s="29" t="s">
        <v>189</v>
      </c>
      <c r="C410" s="158">
        <v>0</v>
      </c>
      <c r="D410" s="18" t="s">
        <v>74</v>
      </c>
      <c r="E410" s="18">
        <v>8.09</v>
      </c>
      <c r="F410" s="106">
        <f>VLOOKUP(E410,'2024 Cost Schedule for Tool'!$C$9:$F$299,4,0)</f>
        <v>2093.8530025441405</v>
      </c>
      <c r="G410" s="51">
        <f>IF(D410="",0,C410*F410)</f>
        <v>0</v>
      </c>
      <c r="H410" s="187" t="s">
        <v>104</v>
      </c>
      <c r="J410" s="28"/>
    </row>
    <row r="411" spans="1:10" customFormat="1">
      <c r="A411" s="39" t="s">
        <v>156</v>
      </c>
      <c r="B411" s="44"/>
      <c r="C411" s="157">
        <v>0</v>
      </c>
      <c r="D411" s="45"/>
      <c r="E411" s="45"/>
      <c r="F411" s="105"/>
      <c r="G411" s="51">
        <f>SUM(G412:G415)</f>
        <v>0</v>
      </c>
      <c r="H411" s="186"/>
      <c r="J411" s="28"/>
    </row>
    <row r="412" spans="1:10" customFormat="1" ht="20.399999999999999">
      <c r="A412" s="36">
        <v>9.0029999999999983</v>
      </c>
      <c r="B412" s="29" t="s">
        <v>163</v>
      </c>
      <c r="C412" s="158">
        <v>0</v>
      </c>
      <c r="D412" s="18" t="s">
        <v>74</v>
      </c>
      <c r="E412" s="18">
        <v>6.1</v>
      </c>
      <c r="F412" s="106">
        <f>VLOOKUP(E412,'2024 Cost Schedule for Tool'!$C$9:$F$299,4,0)</f>
        <v>1936.4092033870368</v>
      </c>
      <c r="G412" s="51">
        <f>IF(D412="",0,C412*F412)</f>
        <v>0</v>
      </c>
      <c r="H412" s="187" t="s">
        <v>104</v>
      </c>
      <c r="J412" s="28"/>
    </row>
    <row r="413" spans="1:10" customFormat="1" ht="20.399999999999999">
      <c r="A413" s="36">
        <v>9.0039999999999978</v>
      </c>
      <c r="B413" s="29" t="s">
        <v>326</v>
      </c>
      <c r="C413" s="158">
        <v>0</v>
      </c>
      <c r="D413" s="18" t="s">
        <v>74</v>
      </c>
      <c r="E413" s="117">
        <v>6.2</v>
      </c>
      <c r="F413" s="106">
        <f>VLOOKUP(E413,'2024 Cost Schedule for Tool'!$C$9:$F$299,4,0)</f>
        <v>1170.5459421328783</v>
      </c>
      <c r="G413" s="51">
        <f>IF(D413="",0,C413*F413)</f>
        <v>0</v>
      </c>
      <c r="H413" s="187" t="s">
        <v>104</v>
      </c>
      <c r="J413" s="28"/>
    </row>
    <row r="414" spans="1:10" customFormat="1" ht="20.399999999999999">
      <c r="A414" s="36">
        <v>9.0049999999999972</v>
      </c>
      <c r="B414" s="29" t="s">
        <v>164</v>
      </c>
      <c r="C414" s="158">
        <v>0</v>
      </c>
      <c r="D414" s="18" t="s">
        <v>40</v>
      </c>
      <c r="E414" s="18">
        <v>6.03</v>
      </c>
      <c r="F414" s="106">
        <f>VLOOKUP(E414,'2024 Cost Schedule for Tool'!$C$9:$F$299,4,0)</f>
        <v>6.8847724418445342</v>
      </c>
      <c r="G414" s="51">
        <f>IF(D414="",0,C414*F414)</f>
        <v>0</v>
      </c>
      <c r="H414" s="187" t="s">
        <v>104</v>
      </c>
      <c r="J414" s="28"/>
    </row>
    <row r="415" spans="1:10" customFormat="1" ht="20.399999999999999">
      <c r="A415" s="36">
        <v>9.0059999999999967</v>
      </c>
      <c r="B415" s="29" t="s">
        <v>169</v>
      </c>
      <c r="C415" s="158">
        <v>0</v>
      </c>
      <c r="D415" s="18" t="s">
        <v>74</v>
      </c>
      <c r="E415" s="18">
        <v>6.14</v>
      </c>
      <c r="F415" s="106">
        <f>VLOOKUP(E415,'2024 Cost Schedule for Tool'!$C$9:$F$299,4,0)</f>
        <v>2040.5114793104333</v>
      </c>
      <c r="G415" s="51">
        <f>IF(D415="",0,C415*F415)</f>
        <v>0</v>
      </c>
      <c r="H415" s="187" t="s">
        <v>104</v>
      </c>
      <c r="J415" s="28"/>
    </row>
    <row r="416" spans="1:10" customFormat="1">
      <c r="A416" s="37" t="s">
        <v>327</v>
      </c>
      <c r="B416" s="38"/>
      <c r="C416" s="155">
        <v>0</v>
      </c>
      <c r="D416" s="38"/>
      <c r="E416" s="38"/>
      <c r="F416" s="104"/>
      <c r="G416" s="50">
        <f>SUM(G417)</f>
        <v>0</v>
      </c>
      <c r="H416" s="188"/>
      <c r="J416" s="28"/>
    </row>
    <row r="417" spans="1:10" customFormat="1">
      <c r="A417" s="39" t="s">
        <v>156</v>
      </c>
      <c r="B417" s="47"/>
      <c r="C417" s="156">
        <v>0</v>
      </c>
      <c r="D417" s="45"/>
      <c r="E417" s="45"/>
      <c r="F417" s="105"/>
      <c r="G417" s="51">
        <f>SUM(G418:G419)</f>
        <v>0</v>
      </c>
      <c r="H417" s="184"/>
      <c r="J417" s="28"/>
    </row>
    <row r="418" spans="1:10" customFormat="1" ht="20.399999999999999">
      <c r="A418" s="36">
        <v>9.0069999999999961</v>
      </c>
      <c r="B418" s="29" t="s">
        <v>163</v>
      </c>
      <c r="C418" s="158">
        <v>0</v>
      </c>
      <c r="D418" s="18" t="s">
        <v>74</v>
      </c>
      <c r="E418" s="18">
        <v>6.1</v>
      </c>
      <c r="F418" s="106">
        <f>VLOOKUP(E418,'2024 Cost Schedule for Tool'!$C$9:$F$299,4,0)</f>
        <v>1936.4092033870368</v>
      </c>
      <c r="G418" s="51">
        <f>IF(D418="",0,C418*F418)</f>
        <v>0</v>
      </c>
      <c r="H418" s="187" t="s">
        <v>104</v>
      </c>
      <c r="J418" s="28"/>
    </row>
    <row r="419" spans="1:10" customFormat="1" ht="20.399999999999999">
      <c r="A419" s="36">
        <v>9.0079999999999956</v>
      </c>
      <c r="B419" s="29" t="s">
        <v>328</v>
      </c>
      <c r="C419" s="158">
        <v>0</v>
      </c>
      <c r="D419" s="18" t="s">
        <v>74</v>
      </c>
      <c r="E419" s="18">
        <v>6.14</v>
      </c>
      <c r="F419" s="106">
        <f>VLOOKUP(E419,'2024 Cost Schedule for Tool'!$C$9:$F$299,4,0)</f>
        <v>2040.5114793104333</v>
      </c>
      <c r="G419" s="51">
        <f>IF(D419="",0,C419*F419)</f>
        <v>0</v>
      </c>
      <c r="H419" s="187" t="s">
        <v>104</v>
      </c>
      <c r="J419" s="28"/>
    </row>
    <row r="420" spans="1:10" customFormat="1">
      <c r="A420" s="37" t="s">
        <v>329</v>
      </c>
      <c r="B420" s="38"/>
      <c r="C420" s="155">
        <v>0</v>
      </c>
      <c r="D420" s="38"/>
      <c r="E420" s="38"/>
      <c r="F420" s="104"/>
      <c r="G420" s="50">
        <f>SUM(G421,G423,G426)</f>
        <v>0</v>
      </c>
      <c r="H420" s="188"/>
      <c r="J420" s="28"/>
    </row>
    <row r="421" spans="1:10" customFormat="1">
      <c r="A421" s="39" t="s">
        <v>78</v>
      </c>
      <c r="B421" s="44"/>
      <c r="C421" s="157">
        <v>0</v>
      </c>
      <c r="D421" s="45"/>
      <c r="E421" s="45"/>
      <c r="F421" s="105"/>
      <c r="G421" s="51">
        <f>SUM(G422)</f>
        <v>0</v>
      </c>
      <c r="H421" s="186"/>
      <c r="J421" s="28"/>
    </row>
    <row r="422" spans="1:10" customFormat="1" ht="20.399999999999999">
      <c r="A422" s="36">
        <v>9.008999999999995</v>
      </c>
      <c r="B422" s="29" t="s">
        <v>160</v>
      </c>
      <c r="C422" s="158">
        <v>0</v>
      </c>
      <c r="D422" s="18" t="s">
        <v>74</v>
      </c>
      <c r="E422" s="18">
        <v>8.08</v>
      </c>
      <c r="F422" s="106">
        <f>VLOOKUP(E422,'2024 Cost Schedule for Tool'!$C$9:$F$299,4,0)</f>
        <v>5193.01143544355</v>
      </c>
      <c r="G422" s="51">
        <f>IF(D422="",0,C422*F422)</f>
        <v>0</v>
      </c>
      <c r="H422" s="187" t="s">
        <v>104</v>
      </c>
      <c r="J422" s="28"/>
    </row>
    <row r="423" spans="1:10" customFormat="1">
      <c r="A423" s="39" t="s">
        <v>156</v>
      </c>
      <c r="B423" s="44"/>
      <c r="C423" s="157">
        <v>0</v>
      </c>
      <c r="D423" s="45"/>
      <c r="E423" s="45"/>
      <c r="F423" s="105"/>
      <c r="G423" s="51">
        <f>SUM(G424:G425)</f>
        <v>0</v>
      </c>
      <c r="H423" s="186"/>
      <c r="J423" s="28"/>
    </row>
    <row r="424" spans="1:10" customFormat="1" ht="30.6">
      <c r="A424" s="36">
        <v>9.0099999999999945</v>
      </c>
      <c r="B424" s="29" t="s">
        <v>163</v>
      </c>
      <c r="C424" s="158">
        <v>0</v>
      </c>
      <c r="D424" s="18" t="s">
        <v>74</v>
      </c>
      <c r="E424" s="18">
        <v>6.1</v>
      </c>
      <c r="F424" s="106">
        <f>VLOOKUP(E424,'2024 Cost Schedule for Tool'!$C$9:$F$299,4,0)</f>
        <v>1936.4092033870368</v>
      </c>
      <c r="G424" s="51">
        <f>IF(D424="",0,C424*F424)</f>
        <v>0</v>
      </c>
      <c r="H424" s="187" t="s">
        <v>330</v>
      </c>
      <c r="J424" s="28"/>
    </row>
    <row r="425" spans="1:10" customFormat="1">
      <c r="A425" s="36">
        <v>9.0109999999999939</v>
      </c>
      <c r="B425" s="29" t="s">
        <v>169</v>
      </c>
      <c r="C425" s="158">
        <v>0</v>
      </c>
      <c r="D425" s="18" t="s">
        <v>74</v>
      </c>
      <c r="E425" s="18">
        <v>6.14</v>
      </c>
      <c r="F425" s="106">
        <f>VLOOKUP(E425,'2024 Cost Schedule for Tool'!$C$9:$F$299,4,0)</f>
        <v>2040.5114793104333</v>
      </c>
      <c r="G425" s="51">
        <f>IF(D425="",0,C425*F425)</f>
        <v>0</v>
      </c>
      <c r="H425" s="187" t="s">
        <v>31</v>
      </c>
      <c r="J425" s="28"/>
    </row>
    <row r="426" spans="1:10" customFormat="1">
      <c r="A426" s="39" t="s">
        <v>170</v>
      </c>
      <c r="B426" s="44"/>
      <c r="C426" s="157">
        <v>0</v>
      </c>
      <c r="D426" s="45"/>
      <c r="E426" s="45"/>
      <c r="F426" s="105"/>
      <c r="G426" s="51">
        <f>SUM(G427:G428)</f>
        <v>0</v>
      </c>
      <c r="H426" s="186"/>
      <c r="J426" s="28"/>
    </row>
    <row r="427" spans="1:10" customFormat="1" ht="20.399999999999999">
      <c r="A427" s="36">
        <v>9.0119999999999933</v>
      </c>
      <c r="B427" s="29" t="s">
        <v>171</v>
      </c>
      <c r="C427" s="158">
        <v>0</v>
      </c>
      <c r="D427" s="18" t="s">
        <v>74</v>
      </c>
      <c r="E427" s="18">
        <v>7.01</v>
      </c>
      <c r="F427" s="106">
        <f>VLOOKUP(E427,'2024 Cost Schedule for Tool'!$C$9:$F$299,4,0)</f>
        <v>2110.4387981372224</v>
      </c>
      <c r="G427" s="51">
        <f>IF(D427="",0,C427*F427)</f>
        <v>0</v>
      </c>
      <c r="H427" s="187" t="s">
        <v>104</v>
      </c>
      <c r="J427" s="28"/>
    </row>
    <row r="428" spans="1:10" customFormat="1" ht="20.399999999999999">
      <c r="A428" s="36">
        <v>9.0129999999999928</v>
      </c>
      <c r="B428" s="29" t="s">
        <v>177</v>
      </c>
      <c r="C428" s="158">
        <v>0</v>
      </c>
      <c r="D428" s="18" t="s">
        <v>74</v>
      </c>
      <c r="E428" s="18">
        <v>7.07</v>
      </c>
      <c r="F428" s="106">
        <f>VLOOKUP(E428,'2024 Cost Schedule for Tool'!$C$9:$F$299,4,0)</f>
        <v>1973.465195587605</v>
      </c>
      <c r="G428" s="51">
        <f>IF(D428="",0,C428*F428)</f>
        <v>0</v>
      </c>
      <c r="H428" s="187" t="s">
        <v>104</v>
      </c>
      <c r="J428" s="28"/>
    </row>
    <row r="429" spans="1:10" customFormat="1">
      <c r="A429" s="37" t="s">
        <v>133</v>
      </c>
      <c r="B429" s="38"/>
      <c r="C429" s="155">
        <v>0</v>
      </c>
      <c r="D429" s="38"/>
      <c r="E429" s="38"/>
      <c r="F429" s="104"/>
      <c r="G429" s="50">
        <f>G430</f>
        <v>0</v>
      </c>
      <c r="H429" s="188"/>
      <c r="J429" s="28"/>
    </row>
    <row r="430" spans="1:10" customFormat="1">
      <c r="A430" s="39" t="s">
        <v>78</v>
      </c>
      <c r="B430" s="44"/>
      <c r="C430" s="157">
        <v>0</v>
      </c>
      <c r="D430" s="45"/>
      <c r="E430" s="45"/>
      <c r="F430" s="105"/>
      <c r="G430" s="51">
        <f>SUM(G431:G431)</f>
        <v>0</v>
      </c>
      <c r="H430" s="186"/>
      <c r="J430" s="28"/>
    </row>
    <row r="431" spans="1:10" customFormat="1" ht="20.399999999999999">
      <c r="A431" s="36">
        <v>9.0139999999999922</v>
      </c>
      <c r="B431" s="17" t="s">
        <v>160</v>
      </c>
      <c r="C431" s="158">
        <v>0</v>
      </c>
      <c r="D431" s="19" t="s">
        <v>74</v>
      </c>
      <c r="E431" s="18">
        <v>8.08</v>
      </c>
      <c r="F431" s="106">
        <f>VLOOKUP(E431,'2024 Cost Schedule for Tool'!$C$9:$F$299,4,0)</f>
        <v>5193.01143544355</v>
      </c>
      <c r="G431" s="51">
        <f>IF(D431="",0,C431*F431)</f>
        <v>0</v>
      </c>
      <c r="H431" s="187" t="s">
        <v>104</v>
      </c>
      <c r="J431" s="28"/>
    </row>
    <row r="432" spans="1:10" customFormat="1">
      <c r="A432" s="37" t="s">
        <v>331</v>
      </c>
      <c r="B432" s="38"/>
      <c r="C432" s="155">
        <v>0</v>
      </c>
      <c r="D432" s="38"/>
      <c r="E432" s="38"/>
      <c r="F432" s="104"/>
      <c r="G432" s="50">
        <f>G433</f>
        <v>0</v>
      </c>
      <c r="H432" s="188"/>
      <c r="J432" s="28"/>
    </row>
    <row r="433" spans="1:10" customFormat="1">
      <c r="A433" s="39" t="s">
        <v>78</v>
      </c>
      <c r="B433" s="44"/>
      <c r="C433" s="157">
        <v>0</v>
      </c>
      <c r="D433" s="45"/>
      <c r="E433" s="45"/>
      <c r="F433" s="105"/>
      <c r="G433" s="51">
        <f>G434</f>
        <v>0</v>
      </c>
      <c r="H433" s="186"/>
      <c r="J433" s="28"/>
    </row>
    <row r="434" spans="1:10" customFormat="1" ht="20.399999999999999">
      <c r="A434" s="36">
        <v>9.0149999999999917</v>
      </c>
      <c r="B434" s="17" t="s">
        <v>160</v>
      </c>
      <c r="C434" s="158">
        <v>0</v>
      </c>
      <c r="D434" s="19" t="s">
        <v>74</v>
      </c>
      <c r="E434" s="18">
        <v>8.08</v>
      </c>
      <c r="F434" s="106">
        <f>VLOOKUP(E434,'2024 Cost Schedule for Tool'!$C$9:$F$299,4,0)</f>
        <v>5193.01143544355</v>
      </c>
      <c r="G434" s="51">
        <f>IF(D434="",0,C434*F434)</f>
        <v>0</v>
      </c>
      <c r="H434" s="187" t="s">
        <v>104</v>
      </c>
      <c r="J434" s="28"/>
    </row>
    <row r="435" spans="1:10" customFormat="1">
      <c r="A435" s="37" t="s">
        <v>332</v>
      </c>
      <c r="B435" s="38"/>
      <c r="C435" s="155">
        <v>0</v>
      </c>
      <c r="D435" s="38"/>
      <c r="E435" s="38"/>
      <c r="F435" s="104"/>
      <c r="G435" s="50">
        <f>G436</f>
        <v>0</v>
      </c>
      <c r="H435" s="188"/>
      <c r="J435" s="28"/>
    </row>
    <row r="436" spans="1:10" customFormat="1">
      <c r="A436" s="39" t="s">
        <v>78</v>
      </c>
      <c r="B436" s="44"/>
      <c r="C436" s="157">
        <v>0</v>
      </c>
      <c r="D436" s="45"/>
      <c r="E436" s="45"/>
      <c r="F436" s="105"/>
      <c r="G436" s="51">
        <f>G437</f>
        <v>0</v>
      </c>
      <c r="H436" s="186"/>
      <c r="J436" s="28"/>
    </row>
    <row r="437" spans="1:10" customFormat="1" ht="20.399999999999999">
      <c r="A437" s="36">
        <v>9.0159999999999911</v>
      </c>
      <c r="B437" s="118" t="s">
        <v>160</v>
      </c>
      <c r="C437" s="162">
        <v>0</v>
      </c>
      <c r="D437" s="18" t="s">
        <v>74</v>
      </c>
      <c r="E437" s="18">
        <v>8.08</v>
      </c>
      <c r="F437" s="106">
        <f>VLOOKUP(E437,'2024 Cost Schedule for Tool'!$C$9:$F$299,4,0)</f>
        <v>5193.01143544355</v>
      </c>
      <c r="G437" s="51">
        <f>IF(D437="",0,C437*F437)</f>
        <v>0</v>
      </c>
      <c r="H437" s="187" t="s">
        <v>104</v>
      </c>
      <c r="J437" s="28"/>
    </row>
    <row r="438" spans="1:10" customFormat="1">
      <c r="A438" s="37" t="s">
        <v>333</v>
      </c>
      <c r="B438" s="38"/>
      <c r="C438" s="155">
        <v>0</v>
      </c>
      <c r="D438" s="38"/>
      <c r="E438" s="38"/>
      <c r="F438" s="104"/>
      <c r="G438" s="50">
        <f>SUM(G439,G441,G446)</f>
        <v>0</v>
      </c>
      <c r="H438" s="188"/>
      <c r="J438" s="28"/>
    </row>
    <row r="439" spans="1:10" customFormat="1">
      <c r="A439" s="39" t="s">
        <v>78</v>
      </c>
      <c r="B439" s="47"/>
      <c r="C439" s="156">
        <v>0</v>
      </c>
      <c r="D439" s="45"/>
      <c r="E439" s="45"/>
      <c r="F439" s="105"/>
      <c r="G439" s="51">
        <f>SUM(G440)</f>
        <v>0</v>
      </c>
      <c r="H439" s="184"/>
      <c r="J439" s="28"/>
    </row>
    <row r="440" spans="1:10" customFormat="1" ht="20.399999999999999">
      <c r="A440" s="36">
        <v>9.0169999999999906</v>
      </c>
      <c r="B440" s="29" t="s">
        <v>162</v>
      </c>
      <c r="C440" s="158">
        <v>0</v>
      </c>
      <c r="D440" s="18" t="s">
        <v>74</v>
      </c>
      <c r="E440" s="18">
        <v>8.09</v>
      </c>
      <c r="F440" s="106">
        <f>VLOOKUP(E440,'2024 Cost Schedule for Tool'!$C$9:$F$299,4,0)</f>
        <v>2093.8530025441405</v>
      </c>
      <c r="G440" s="51">
        <f>IF(D440="",0,C440*F440)</f>
        <v>0</v>
      </c>
      <c r="H440" s="187" t="s">
        <v>104</v>
      </c>
      <c r="J440" s="28"/>
    </row>
    <row r="441" spans="1:10" customFormat="1">
      <c r="A441" s="39" t="s">
        <v>156</v>
      </c>
      <c r="B441" s="44"/>
      <c r="C441" s="157">
        <v>0</v>
      </c>
      <c r="D441" s="45"/>
      <c r="E441" s="45"/>
      <c r="F441" s="105"/>
      <c r="G441" s="51">
        <f>SUM(G442:G445)</f>
        <v>0</v>
      </c>
      <c r="H441" s="186"/>
      <c r="J441" s="28"/>
    </row>
    <row r="442" spans="1:10" customFormat="1" ht="20.399999999999999">
      <c r="A442" s="36">
        <v>9.01799999999999</v>
      </c>
      <c r="B442" s="118" t="s">
        <v>163</v>
      </c>
      <c r="C442" s="162">
        <v>0</v>
      </c>
      <c r="D442" s="18" t="s">
        <v>74</v>
      </c>
      <c r="E442" s="18">
        <v>6.1</v>
      </c>
      <c r="F442" s="106">
        <f>VLOOKUP(E442,'2024 Cost Schedule for Tool'!$C$9:$F$299,4,0)</f>
        <v>1936.4092033870368</v>
      </c>
      <c r="G442" s="51">
        <f>IF(D442="",0,C442*F442)</f>
        <v>0</v>
      </c>
      <c r="H442" s="187" t="s">
        <v>104</v>
      </c>
      <c r="J442" s="28"/>
    </row>
    <row r="443" spans="1:10" customFormat="1" ht="20.399999999999999">
      <c r="A443" s="36">
        <v>9.0189999999999895</v>
      </c>
      <c r="B443" s="29" t="s">
        <v>164</v>
      </c>
      <c r="C443" s="158">
        <v>0</v>
      </c>
      <c r="D443" s="19" t="s">
        <v>40</v>
      </c>
      <c r="E443" s="18">
        <v>6.03</v>
      </c>
      <c r="F443" s="106">
        <f>VLOOKUP(E443,'2024 Cost Schedule for Tool'!$C$9:$F$299,4,0)</f>
        <v>6.8847724418445342</v>
      </c>
      <c r="G443" s="51">
        <f>IF(D443="",0,C443*F443)</f>
        <v>0</v>
      </c>
      <c r="H443" s="187" t="s">
        <v>104</v>
      </c>
      <c r="J443" s="28"/>
    </row>
    <row r="444" spans="1:10" customFormat="1" ht="20.399999999999999">
      <c r="A444" s="36">
        <v>9.0199999999999889</v>
      </c>
      <c r="B444" s="22" t="s">
        <v>167</v>
      </c>
      <c r="C444" s="160">
        <v>0</v>
      </c>
      <c r="D444" s="19" t="s">
        <v>74</v>
      </c>
      <c r="E444" s="119">
        <v>6.2</v>
      </c>
      <c r="F444" s="107">
        <f>VLOOKUP(E444,'2024 Cost Schedule for Tool'!$C$9:$F$299,4,0)</f>
        <v>1170.5459421328783</v>
      </c>
      <c r="G444" s="51">
        <f>IF(D444="",0,C444*F444)</f>
        <v>0</v>
      </c>
      <c r="H444" s="187" t="s">
        <v>104</v>
      </c>
      <c r="J444" s="28"/>
    </row>
    <row r="445" spans="1:10" customFormat="1" ht="20.399999999999999">
      <c r="A445" s="36">
        <v>9.0209999999999884</v>
      </c>
      <c r="B445" s="29" t="s">
        <v>169</v>
      </c>
      <c r="C445" s="158">
        <v>0</v>
      </c>
      <c r="D445" s="19" t="s">
        <v>74</v>
      </c>
      <c r="E445" s="19">
        <v>6.14</v>
      </c>
      <c r="F445" s="107">
        <f>VLOOKUP(E445,'2024 Cost Schedule for Tool'!$C$9:$F$299,4,0)</f>
        <v>2040.5114793104333</v>
      </c>
      <c r="G445" s="51">
        <f>IF(D445="",0,C445*F445)</f>
        <v>0</v>
      </c>
      <c r="H445" s="187" t="s">
        <v>104</v>
      </c>
      <c r="J445" s="28"/>
    </row>
    <row r="446" spans="1:10" customFormat="1">
      <c r="A446" s="39" t="s">
        <v>170</v>
      </c>
      <c r="B446" s="44"/>
      <c r="C446" s="157">
        <v>0</v>
      </c>
      <c r="D446" s="45"/>
      <c r="E446" s="45"/>
      <c r="F446" s="105"/>
      <c r="G446" s="51">
        <f>SUM(G447:G448)</f>
        <v>0</v>
      </c>
      <c r="H446" s="186"/>
      <c r="J446" s="28"/>
    </row>
    <row r="447" spans="1:10" customFormat="1" ht="20.399999999999999">
      <c r="A447" s="36">
        <v>9.0219999999999878</v>
      </c>
      <c r="B447" s="268" t="s">
        <v>334</v>
      </c>
      <c r="C447" s="269">
        <v>0</v>
      </c>
      <c r="D447" s="270" t="s">
        <v>74</v>
      </c>
      <c r="E447" s="18">
        <v>7.01</v>
      </c>
      <c r="F447" s="106">
        <f>VLOOKUP(E447,'2024 Cost Schedule for Tool'!$C$9:$F$299,4,0)</f>
        <v>2110.4387981372224</v>
      </c>
      <c r="G447" s="51">
        <f>IF(D447="",0,C447*F447)</f>
        <v>0</v>
      </c>
      <c r="H447" s="187" t="s">
        <v>104</v>
      </c>
      <c r="J447" s="28"/>
    </row>
    <row r="448" spans="1:10" customFormat="1" ht="20.399999999999999">
      <c r="A448" s="36">
        <v>9.0229999999999873</v>
      </c>
      <c r="B448" s="118" t="s">
        <v>177</v>
      </c>
      <c r="C448" s="162">
        <v>0</v>
      </c>
      <c r="D448" s="18" t="s">
        <v>74</v>
      </c>
      <c r="E448" s="18">
        <v>7.07</v>
      </c>
      <c r="F448" s="106">
        <f>VLOOKUP(E448,'2024 Cost Schedule for Tool'!$C$9:$F$299,4,0)</f>
        <v>1973.465195587605</v>
      </c>
      <c r="G448" s="51">
        <f>IF(D448="",0,C448*F448)</f>
        <v>0</v>
      </c>
      <c r="H448" s="187" t="s">
        <v>104</v>
      </c>
      <c r="J448" s="28"/>
    </row>
    <row r="449" spans="1:12" customFormat="1">
      <c r="A449" s="52" t="s">
        <v>11</v>
      </c>
      <c r="B449" s="52"/>
      <c r="C449" s="154"/>
      <c r="D449" s="52"/>
      <c r="E449" s="52"/>
      <c r="F449" s="103"/>
      <c r="G449" s="62">
        <f>SUM(G450)</f>
        <v>2130821.2976986319</v>
      </c>
      <c r="H449" s="182"/>
    </row>
    <row r="450" spans="1:12">
      <c r="A450" s="37" t="s">
        <v>335</v>
      </c>
      <c r="B450" s="38"/>
      <c r="C450" s="155"/>
      <c r="D450" s="38"/>
      <c r="E450" s="38"/>
      <c r="F450" s="104"/>
      <c r="G450" s="27">
        <f>SUM(G451,G453,G455,G457,G461)</f>
        <v>2130821.2976986319</v>
      </c>
      <c r="H450" s="193"/>
      <c r="J450" s="198"/>
      <c r="K450" s="199"/>
      <c r="L450"/>
    </row>
    <row r="451" spans="1:12" customFormat="1">
      <c r="A451" s="59" t="s">
        <v>25</v>
      </c>
      <c r="B451" s="47"/>
      <c r="C451" s="156"/>
      <c r="D451" s="45"/>
      <c r="E451" s="45"/>
      <c r="F451" s="105"/>
      <c r="G451" s="51">
        <f>SUM(G452)</f>
        <v>22651.839133494934</v>
      </c>
      <c r="H451" s="184"/>
      <c r="J451" s="28"/>
    </row>
    <row r="452" spans="1:12" customFormat="1">
      <c r="A452" s="294" t="s">
        <v>336</v>
      </c>
      <c r="B452" s="283" t="s">
        <v>337</v>
      </c>
      <c r="C452" s="295">
        <v>1</v>
      </c>
      <c r="D452" s="296" t="s">
        <v>338</v>
      </c>
      <c r="E452" s="18">
        <v>1.49</v>
      </c>
      <c r="F452" s="106">
        <f>VLOOKUP(E452,'2024 Cost Schedule for Tool'!$C$9:$F$299,4,0)</f>
        <v>22651.839133494934</v>
      </c>
      <c r="G452" s="51">
        <f>IF(D452="",0,C452*F452)</f>
        <v>22651.839133494934</v>
      </c>
      <c r="H452" s="187" t="s">
        <v>31</v>
      </c>
      <c r="J452" s="28"/>
    </row>
    <row r="453" spans="1:12" customFormat="1">
      <c r="A453" s="39" t="s">
        <v>42</v>
      </c>
      <c r="B453" s="44"/>
      <c r="C453" s="157"/>
      <c r="D453" s="45"/>
      <c r="E453" s="45"/>
      <c r="F453" s="105"/>
      <c r="G453" s="51">
        <f>SUM(G454:G454)</f>
        <v>340044.76503209223</v>
      </c>
      <c r="H453" s="186"/>
      <c r="J453" s="28"/>
    </row>
    <row r="454" spans="1:12" customFormat="1" ht="20.399999999999999">
      <c r="A454" s="294" t="s">
        <v>339</v>
      </c>
      <c r="B454" s="283" t="s">
        <v>340</v>
      </c>
      <c r="C454" s="295">
        <v>1</v>
      </c>
      <c r="D454" s="296" t="s">
        <v>27</v>
      </c>
      <c r="E454" s="18">
        <v>4.2</v>
      </c>
      <c r="F454" s="106">
        <f>VLOOKUP(E454,'2024 Cost Schedule for Tool'!$C$9:$F$299,4,0)</f>
        <v>340044.76503209223</v>
      </c>
      <c r="G454" s="51">
        <f>IF(D454="",0,C454*F454)</f>
        <v>340044.76503209223</v>
      </c>
      <c r="H454" s="187" t="s">
        <v>31</v>
      </c>
      <c r="J454" s="28"/>
    </row>
    <row r="455" spans="1:12" customFormat="1">
      <c r="A455" s="39" t="s">
        <v>341</v>
      </c>
      <c r="B455" s="44"/>
      <c r="C455" s="157"/>
      <c r="D455" s="45"/>
      <c r="E455" s="45"/>
      <c r="F455" s="105"/>
      <c r="G455" s="51">
        <f>SUM(G456)</f>
        <v>14573.34707280395</v>
      </c>
      <c r="H455" s="186"/>
      <c r="J455" s="28"/>
    </row>
    <row r="456" spans="1:12" customFormat="1" ht="20.399999999999999">
      <c r="A456" s="294" t="s">
        <v>342</v>
      </c>
      <c r="B456" s="283" t="s">
        <v>343</v>
      </c>
      <c r="C456" s="295">
        <v>1</v>
      </c>
      <c r="D456" s="296" t="s">
        <v>27</v>
      </c>
      <c r="E456" s="18">
        <v>11.01</v>
      </c>
      <c r="F456" s="106">
        <f>VLOOKUP(E456,'2024 Cost Schedule for Tool'!$C$9:$F$299,4,0)</f>
        <v>14573.34707280395</v>
      </c>
      <c r="G456" s="51">
        <f>IF(D456="",0,C456*F456)</f>
        <v>14573.34707280395</v>
      </c>
      <c r="H456" s="187" t="s">
        <v>31</v>
      </c>
      <c r="J456" s="28"/>
    </row>
    <row r="457" spans="1:12" customFormat="1">
      <c r="A457" s="39" t="s">
        <v>344</v>
      </c>
      <c r="B457" s="44"/>
      <c r="C457" s="157"/>
      <c r="D457" s="45"/>
      <c r="E457" s="45"/>
      <c r="F457" s="105"/>
      <c r="G457" s="51">
        <f>G458+G459+G460</f>
        <v>1190318.0020520468</v>
      </c>
      <c r="H457" s="186"/>
      <c r="J457" s="28"/>
    </row>
    <row r="458" spans="1:12" customFormat="1">
      <c r="A458" s="294" t="s">
        <v>345</v>
      </c>
      <c r="B458" s="283" t="s">
        <v>346</v>
      </c>
      <c r="C458" s="297">
        <v>1</v>
      </c>
      <c r="D458" s="296" t="s">
        <v>27</v>
      </c>
      <c r="E458" s="18">
        <v>12.01</v>
      </c>
      <c r="F458" s="26">
        <v>50000</v>
      </c>
      <c r="G458" s="115">
        <f>IF(D458="",0,C458*F458)</f>
        <v>50000</v>
      </c>
      <c r="H458" s="187" t="s">
        <v>31</v>
      </c>
      <c r="J458" s="28"/>
    </row>
    <row r="459" spans="1:12" customFormat="1">
      <c r="A459" s="294" t="s">
        <v>347</v>
      </c>
      <c r="B459" s="298" t="s">
        <v>348</v>
      </c>
      <c r="C459" s="295">
        <v>1</v>
      </c>
      <c r="D459" s="296" t="s">
        <v>27</v>
      </c>
      <c r="E459" s="18" t="s">
        <v>349</v>
      </c>
      <c r="F459" s="106">
        <f>VLOOKUP(E459,'2024 Cost Schedule for Tool'!$C$9:$F$299,4,0)</f>
        <v>1018873.4431120137</v>
      </c>
      <c r="G459" s="115">
        <f>IF(D459="",0,C459*F459)</f>
        <v>1018873.4431120137</v>
      </c>
      <c r="H459" s="187" t="s">
        <v>350</v>
      </c>
      <c r="J459" s="28"/>
    </row>
    <row r="460" spans="1:12" customFormat="1" ht="30.6">
      <c r="A460" s="294" t="s">
        <v>351</v>
      </c>
      <c r="B460" s="283" t="s">
        <v>352</v>
      </c>
      <c r="C460" s="297">
        <v>5</v>
      </c>
      <c r="D460" s="296" t="s">
        <v>27</v>
      </c>
      <c r="E460" s="18">
        <v>12.09</v>
      </c>
      <c r="F460" s="106">
        <f>VLOOKUP(E460,'2024 Cost Schedule for Tool'!$C$9:$F$299,4,0)</f>
        <v>24288.911788006586</v>
      </c>
      <c r="G460" s="115">
        <f>IF(D460="",0,C460*F460)</f>
        <v>121444.55894003293</v>
      </c>
      <c r="H460" s="187" t="s">
        <v>353</v>
      </c>
      <c r="J460" s="28"/>
    </row>
    <row r="461" spans="1:12" customFormat="1">
      <c r="A461" s="39" t="s">
        <v>354</v>
      </c>
      <c r="B461" s="44"/>
      <c r="C461" s="157"/>
      <c r="D461" s="45"/>
      <c r="E461" s="45"/>
      <c r="F461" s="105"/>
      <c r="G461" s="51">
        <f>SUM(G462)</f>
        <v>563233.3444081943</v>
      </c>
      <c r="H461" s="186"/>
      <c r="J461" s="28"/>
    </row>
    <row r="462" spans="1:12" customFormat="1" ht="20.399999999999999">
      <c r="A462" s="294" t="s">
        <v>62</v>
      </c>
      <c r="B462" s="283" t="s">
        <v>355</v>
      </c>
      <c r="C462" s="297">
        <v>1</v>
      </c>
      <c r="D462" s="296" t="s">
        <v>27</v>
      </c>
      <c r="E462" s="18">
        <v>13.03</v>
      </c>
      <c r="F462" s="106">
        <f>VLOOKUP(E462,'2024 Cost Schedule for Tool'!$C$9:$F$299,4,0)</f>
        <v>563233.3444081943</v>
      </c>
      <c r="G462" s="51">
        <f>IF(D462="",0,C462*F462)</f>
        <v>563233.3444081943</v>
      </c>
      <c r="H462" s="187" t="s">
        <v>356</v>
      </c>
      <c r="J462" s="28"/>
    </row>
    <row r="463" spans="1:12">
      <c r="A463" s="55" t="s">
        <v>357</v>
      </c>
      <c r="B463" s="55"/>
      <c r="C463" s="165"/>
      <c r="D463" s="55"/>
      <c r="E463" s="55"/>
      <c r="F463" s="110"/>
      <c r="G463" s="56">
        <f>SUM(G449,G404,G351,G347,G343,G304,G166,G149,G124,G6)</f>
        <v>494115195.01350445</v>
      </c>
      <c r="H463" s="194"/>
    </row>
    <row r="464" spans="1:12" customFormat="1">
      <c r="A464" s="52" t="s">
        <v>12</v>
      </c>
      <c r="B464" s="52"/>
      <c r="C464" s="154"/>
      <c r="D464" s="52"/>
      <c r="E464" s="52"/>
      <c r="F464" s="103"/>
      <c r="G464" s="53">
        <f>SUM(G465:G467)</f>
        <v>172940318.25472656</v>
      </c>
      <c r="H464" s="195"/>
    </row>
    <row r="465" spans="1:33" customFormat="1">
      <c r="A465" s="299" t="s">
        <v>336</v>
      </c>
      <c r="B465" s="300" t="s">
        <v>358</v>
      </c>
      <c r="C465" s="202">
        <v>0.1</v>
      </c>
      <c r="D465" s="301" t="s">
        <v>14</v>
      </c>
      <c r="E465" s="13">
        <v>13.07</v>
      </c>
      <c r="F465" s="111">
        <f>G463</f>
        <v>494115195.01350445</v>
      </c>
      <c r="G465" s="60">
        <f>F465*C465</f>
        <v>49411519.501350448</v>
      </c>
      <c r="H465" s="185"/>
      <c r="J465" s="28"/>
    </row>
    <row r="466" spans="1:33" customFormat="1" ht="20.399999999999999">
      <c r="A466" s="179" t="s">
        <v>359</v>
      </c>
      <c r="B466" s="302" t="s">
        <v>360</v>
      </c>
      <c r="C466" s="202">
        <v>0.1</v>
      </c>
      <c r="D466" s="301" t="s">
        <v>14</v>
      </c>
      <c r="E466" s="13">
        <v>13.06</v>
      </c>
      <c r="F466" s="111">
        <f>G463</f>
        <v>494115195.01350445</v>
      </c>
      <c r="G466" s="60">
        <f>F466*C466</f>
        <v>49411519.501350448</v>
      </c>
      <c r="H466" s="185" t="s">
        <v>361</v>
      </c>
      <c r="J466" s="28"/>
    </row>
    <row r="467" spans="1:33" customFormat="1" ht="20.399999999999999">
      <c r="A467" s="179" t="s">
        <v>362</v>
      </c>
      <c r="B467" s="300" t="s">
        <v>363</v>
      </c>
      <c r="C467" s="202">
        <v>0.15</v>
      </c>
      <c r="D467" s="301" t="s">
        <v>14</v>
      </c>
      <c r="E467" s="13">
        <v>13.05</v>
      </c>
      <c r="F467" s="111">
        <f>G463</f>
        <v>494115195.01350445</v>
      </c>
      <c r="G467" s="60">
        <f>F467*C467</f>
        <v>74117279.252025664</v>
      </c>
      <c r="H467" s="185" t="s">
        <v>364</v>
      </c>
      <c r="J467" s="28"/>
    </row>
    <row r="468" spans="1:33" ht="13.8" thickBot="1">
      <c r="A468" s="57" t="s">
        <v>365</v>
      </c>
      <c r="B468" s="57"/>
      <c r="C468" s="166"/>
      <c r="D468" s="57"/>
      <c r="E468" s="57"/>
      <c r="F468" s="112"/>
      <c r="G468" s="58">
        <f>SUM(G463,G464)</f>
        <v>667055513.26823103</v>
      </c>
      <c r="H468" s="196"/>
      <c r="J468" s="24"/>
    </row>
    <row r="469" spans="1:33" customFormat="1">
      <c r="A469" s="52" t="s">
        <v>13</v>
      </c>
      <c r="B469" s="52"/>
      <c r="C469" s="154"/>
      <c r="D469" s="52"/>
      <c r="E469" s="52"/>
      <c r="F469" s="103"/>
      <c r="G469" s="53">
        <f>SUM(G470:G471)</f>
        <v>232944486.73176911</v>
      </c>
      <c r="H469" s="195"/>
    </row>
    <row r="470" spans="1:33" customFormat="1">
      <c r="A470" s="179"/>
      <c r="B470" s="303" t="s">
        <v>366</v>
      </c>
      <c r="C470" s="233">
        <v>1</v>
      </c>
      <c r="D470" s="301" t="s">
        <v>27</v>
      </c>
      <c r="E470" s="13"/>
      <c r="F470" s="111">
        <f>'Holding Costs'!G16</f>
        <v>97977763.685714304</v>
      </c>
      <c r="G470" s="60">
        <f>F470*C470</f>
        <v>97977763.685714304</v>
      </c>
      <c r="H470" s="185" t="s">
        <v>367</v>
      </c>
      <c r="J470" s="28"/>
    </row>
    <row r="471" spans="1:33" customFormat="1">
      <c r="A471" s="179"/>
      <c r="B471" s="303" t="s">
        <v>368</v>
      </c>
      <c r="C471" s="233">
        <v>1</v>
      </c>
      <c r="D471" s="301" t="s">
        <v>27</v>
      </c>
      <c r="E471" s="13"/>
      <c r="F471" s="111">
        <f>'Holding Costs'!H16</f>
        <v>134966723.04605481</v>
      </c>
      <c r="G471" s="60">
        <f>F471*C471</f>
        <v>134966723.04605481</v>
      </c>
      <c r="H471" s="185" t="s">
        <v>367</v>
      </c>
      <c r="J471" s="28"/>
    </row>
    <row r="472" spans="1:33" ht="13.8" thickBot="1">
      <c r="A472" s="57" t="s">
        <v>365</v>
      </c>
      <c r="B472" s="57"/>
      <c r="C472" s="166"/>
      <c r="D472" s="57"/>
      <c r="E472" s="57"/>
      <c r="F472" s="112"/>
      <c r="G472" s="58">
        <f>G469+G468</f>
        <v>900000000.00000012</v>
      </c>
      <c r="H472" s="196"/>
      <c r="J472" s="24"/>
    </row>
    <row r="473" spans="1:33" customFormat="1" ht="13.8" thickBot="1">
      <c r="C473" s="167"/>
      <c r="F473" s="113"/>
      <c r="G473" s="5"/>
      <c r="H473" s="197"/>
    </row>
    <row r="474" spans="1:33" customFormat="1" ht="13.8" thickBot="1">
      <c r="C474" s="167"/>
      <c r="D474" s="40" t="s">
        <v>369</v>
      </c>
      <c r="E474" s="40"/>
      <c r="F474" s="114"/>
      <c r="G474" s="6">
        <f>G472</f>
        <v>900000000.00000012</v>
      </c>
      <c r="H474" s="253"/>
    </row>
    <row r="476" spans="1:33">
      <c r="G476" s="48"/>
    </row>
    <row r="477" spans="1:33">
      <c r="G477" s="48"/>
    </row>
    <row r="478" spans="1:33">
      <c r="G478" s="48"/>
    </row>
    <row r="479" spans="1:33">
      <c r="G479" s="48"/>
    </row>
    <row r="480" spans="1:33">
      <c r="G480" s="48"/>
      <c r="I480" s="180"/>
      <c r="J480" s="180"/>
      <c r="K480" s="180"/>
      <c r="L480" s="180"/>
      <c r="M480" s="180"/>
      <c r="N480" s="180"/>
      <c r="O480" s="180"/>
      <c r="P480" s="180"/>
      <c r="Q480" s="180"/>
      <c r="R480" s="180"/>
      <c r="S480" s="180"/>
      <c r="T480" s="180"/>
      <c r="U480" s="180"/>
      <c r="V480" s="180"/>
      <c r="W480" s="180"/>
      <c r="X480" s="180"/>
      <c r="Y480" s="180"/>
      <c r="Z480" s="180"/>
      <c r="AA480" s="180"/>
      <c r="AB480" s="180"/>
      <c r="AC480" s="180"/>
      <c r="AD480" s="180"/>
      <c r="AE480" s="180"/>
      <c r="AF480" s="180"/>
      <c r="AG480" s="180"/>
    </row>
    <row r="481" spans="2:33">
      <c r="F481" s="48"/>
      <c r="H481" s="242"/>
      <c r="I481" s="242"/>
      <c r="J481" s="242"/>
      <c r="K481" s="242"/>
      <c r="L481" s="242"/>
      <c r="M481" s="242"/>
    </row>
    <row r="482" spans="2:33">
      <c r="G482" s="48"/>
      <c r="H482" s="243"/>
      <c r="I482" s="243"/>
      <c r="J482" s="243"/>
      <c r="K482" s="243"/>
      <c r="L482" s="243"/>
      <c r="M482" s="243"/>
      <c r="N482" s="243"/>
      <c r="O482" s="243"/>
      <c r="P482" s="243"/>
      <c r="Q482" s="243"/>
      <c r="R482" s="243"/>
      <c r="S482" s="243"/>
      <c r="T482" s="243"/>
      <c r="U482" s="243"/>
      <c r="V482" s="243"/>
      <c r="W482" s="243"/>
      <c r="X482" s="243"/>
      <c r="Y482" s="243"/>
      <c r="Z482" s="243"/>
      <c r="AA482" s="243"/>
      <c r="AB482" s="243"/>
      <c r="AC482" s="243"/>
      <c r="AD482" s="243"/>
      <c r="AE482" s="243"/>
      <c r="AF482" s="243"/>
      <c r="AG482" s="243"/>
    </row>
    <row r="483" spans="2:33">
      <c r="B483"/>
      <c r="H483" s="243"/>
      <c r="I483" s="243"/>
      <c r="J483" s="243"/>
      <c r="K483" s="243"/>
      <c r="L483" s="243"/>
      <c r="M483" s="243"/>
      <c r="N483" s="243"/>
      <c r="O483" s="243"/>
      <c r="P483" s="243"/>
      <c r="Q483" s="243"/>
      <c r="R483" s="243"/>
      <c r="S483" s="243"/>
      <c r="T483" s="243"/>
      <c r="U483" s="243"/>
      <c r="V483" s="243"/>
      <c r="W483" s="243"/>
      <c r="X483" s="243"/>
      <c r="Y483" s="243"/>
      <c r="Z483" s="243"/>
      <c r="AA483" s="243"/>
      <c r="AB483" s="243"/>
      <c r="AC483" s="243"/>
      <c r="AD483" s="243"/>
      <c r="AE483" s="243"/>
      <c r="AF483" s="243"/>
      <c r="AG483" s="243"/>
    </row>
    <row r="484" spans="2:33">
      <c r="B484"/>
      <c r="G484" s="252"/>
      <c r="H484" s="243"/>
      <c r="I484" s="243"/>
      <c r="J484" s="243"/>
      <c r="K484" s="243"/>
      <c r="L484" s="243"/>
      <c r="M484" s="243"/>
      <c r="N484" s="243"/>
      <c r="O484" s="243"/>
      <c r="P484" s="243"/>
      <c r="Q484" s="243"/>
      <c r="R484" s="243"/>
      <c r="S484" s="243"/>
      <c r="T484" s="243"/>
      <c r="U484" s="243"/>
      <c r="V484" s="243"/>
      <c r="W484" s="243"/>
      <c r="X484" s="243"/>
      <c r="Y484" s="243"/>
      <c r="Z484" s="243"/>
      <c r="AA484" s="243"/>
      <c r="AB484" s="243"/>
      <c r="AC484" s="243"/>
      <c r="AD484" s="243"/>
      <c r="AE484" s="243"/>
      <c r="AF484" s="243"/>
      <c r="AG484" s="243"/>
    </row>
    <row r="485" spans="2:33">
      <c r="B485"/>
      <c r="H485" s="243"/>
      <c r="I485" s="243"/>
      <c r="J485" s="243"/>
      <c r="K485" s="243"/>
      <c r="L485" s="243"/>
      <c r="M485" s="243"/>
      <c r="N485" s="243"/>
      <c r="O485" s="243"/>
      <c r="P485" s="243"/>
      <c r="Q485" s="243"/>
      <c r="R485" s="243"/>
      <c r="S485" s="243"/>
      <c r="T485" s="243"/>
      <c r="U485" s="243"/>
      <c r="V485" s="243"/>
      <c r="W485" s="243"/>
      <c r="X485" s="243"/>
      <c r="Y485" s="243"/>
      <c r="Z485" s="243"/>
      <c r="AA485" s="243"/>
      <c r="AB485" s="243"/>
      <c r="AC485" s="243"/>
      <c r="AD485" s="243"/>
      <c r="AE485" s="243"/>
      <c r="AF485" s="243"/>
      <c r="AG485" s="243"/>
    </row>
    <row r="488" spans="2:33">
      <c r="G488" s="48"/>
    </row>
    <row r="489" spans="2:33">
      <c r="G489" s="48"/>
      <c r="H489" s="244"/>
      <c r="I489" s="244"/>
      <c r="J489" s="244"/>
      <c r="K489" s="244"/>
      <c r="L489" s="244"/>
      <c r="M489" s="244"/>
      <c r="N489" s="244"/>
      <c r="O489" s="244"/>
      <c r="P489" s="244"/>
      <c r="Q489" s="244"/>
      <c r="R489" s="244"/>
      <c r="S489" s="244"/>
      <c r="T489" s="244"/>
      <c r="U489" s="244"/>
      <c r="V489" s="244"/>
      <c r="W489" s="244"/>
      <c r="X489" s="244"/>
      <c r="Y489" s="244"/>
      <c r="Z489" s="244"/>
      <c r="AA489" s="244"/>
      <c r="AB489" s="244"/>
      <c r="AC489" s="244"/>
      <c r="AD489" s="244"/>
      <c r="AE489" s="244"/>
    </row>
    <row r="490" spans="2:33">
      <c r="G490" s="48"/>
      <c r="H490" s="244"/>
      <c r="I490" s="244"/>
      <c r="J490" s="244"/>
      <c r="K490" s="244"/>
      <c r="L490" s="244"/>
      <c r="M490" s="244"/>
      <c r="N490" s="244"/>
      <c r="O490" s="244"/>
      <c r="P490" s="244"/>
      <c r="Q490" s="244"/>
      <c r="R490" s="244"/>
      <c r="S490" s="244"/>
      <c r="T490" s="244"/>
      <c r="U490" s="244"/>
      <c r="V490" s="244"/>
      <c r="W490" s="244"/>
      <c r="X490" s="244"/>
      <c r="Y490" s="244"/>
      <c r="Z490" s="244"/>
      <c r="AA490" s="244"/>
      <c r="AB490" s="244"/>
      <c r="AC490" s="244"/>
      <c r="AD490" s="244"/>
      <c r="AE490" s="244"/>
    </row>
    <row r="491" spans="2:33">
      <c r="B491"/>
      <c r="G491" s="48"/>
      <c r="H491" s="244"/>
      <c r="I491" s="244"/>
      <c r="J491" s="244"/>
      <c r="K491" s="244"/>
      <c r="L491" s="244"/>
      <c r="M491" s="244"/>
      <c r="N491" s="244"/>
      <c r="O491" s="244"/>
      <c r="P491" s="244"/>
      <c r="Q491" s="244"/>
      <c r="R491" s="244"/>
      <c r="S491" s="244"/>
      <c r="T491" s="244"/>
      <c r="U491" s="244"/>
      <c r="V491" s="244"/>
      <c r="W491" s="244"/>
      <c r="X491" s="244"/>
      <c r="Y491" s="244"/>
      <c r="Z491" s="244"/>
      <c r="AA491" s="244"/>
      <c r="AB491" s="244"/>
      <c r="AC491" s="244"/>
      <c r="AD491" s="244"/>
      <c r="AE491" s="244"/>
    </row>
    <row r="492" spans="2:33">
      <c r="B492"/>
      <c r="G492" s="48"/>
      <c r="H492" s="244"/>
      <c r="I492" s="244"/>
      <c r="J492" s="244"/>
      <c r="K492" s="244"/>
      <c r="L492" s="244"/>
      <c r="M492" s="244"/>
      <c r="N492" s="244"/>
      <c r="O492" s="244"/>
      <c r="P492" s="244"/>
      <c r="Q492" s="244"/>
      <c r="R492" s="244"/>
      <c r="S492" s="244"/>
      <c r="T492" s="244"/>
      <c r="U492" s="244"/>
      <c r="V492" s="244"/>
      <c r="W492" s="244"/>
      <c r="X492" s="244"/>
      <c r="Y492" s="244"/>
      <c r="Z492" s="244"/>
      <c r="AA492" s="244"/>
      <c r="AB492" s="244"/>
      <c r="AC492" s="244"/>
      <c r="AD492" s="244"/>
      <c r="AE492" s="244"/>
    </row>
    <row r="493" spans="2:33">
      <c r="B493"/>
      <c r="G493" s="48"/>
      <c r="H493" s="244"/>
      <c r="I493" s="244"/>
      <c r="J493" s="244"/>
      <c r="K493" s="244"/>
      <c r="L493" s="244"/>
      <c r="M493" s="244"/>
      <c r="N493" s="244"/>
      <c r="O493" s="244"/>
      <c r="P493" s="244"/>
      <c r="Q493" s="244"/>
      <c r="R493" s="244"/>
      <c r="S493" s="244"/>
      <c r="T493" s="244"/>
      <c r="U493" s="244"/>
      <c r="V493" s="244"/>
      <c r="W493" s="244"/>
      <c r="X493" s="244"/>
      <c r="Y493" s="244"/>
      <c r="Z493" s="244"/>
      <c r="AA493" s="244"/>
      <c r="AB493" s="244"/>
      <c r="AC493" s="244"/>
      <c r="AD493" s="244"/>
      <c r="AE493" s="244"/>
    </row>
    <row r="494" spans="2:33">
      <c r="G494" s="48"/>
      <c r="H494" s="245"/>
      <c r="I494" s="245"/>
      <c r="J494" s="245"/>
      <c r="K494" s="245"/>
      <c r="L494" s="245"/>
      <c r="M494" s="245"/>
      <c r="N494" s="245"/>
      <c r="O494" s="245"/>
      <c r="P494" s="245"/>
      <c r="Q494" s="245"/>
      <c r="R494" s="245"/>
      <c r="S494" s="245"/>
      <c r="T494" s="245"/>
      <c r="U494" s="245"/>
      <c r="V494" s="245"/>
      <c r="W494" s="245"/>
      <c r="X494" s="245"/>
      <c r="Y494" s="245"/>
      <c r="Z494" s="245"/>
      <c r="AA494" s="245"/>
      <c r="AB494" s="245"/>
      <c r="AC494" s="245"/>
      <c r="AD494" s="245"/>
      <c r="AE494" s="245"/>
    </row>
    <row r="495" spans="2:33">
      <c r="G495" s="48"/>
      <c r="H495" s="243"/>
      <c r="I495" s="243"/>
      <c r="J495" s="243"/>
      <c r="K495" s="243"/>
      <c r="L495" s="243"/>
      <c r="M495" s="243"/>
      <c r="N495" s="243"/>
      <c r="O495" s="243"/>
      <c r="P495" s="243"/>
      <c r="Q495" s="243"/>
      <c r="R495" s="243"/>
      <c r="S495" s="243"/>
      <c r="T495" s="243"/>
      <c r="U495" s="243"/>
      <c r="V495" s="243"/>
      <c r="W495" s="243"/>
      <c r="X495" s="243"/>
      <c r="Y495" s="243"/>
      <c r="Z495" s="243"/>
      <c r="AA495" s="243"/>
      <c r="AB495" s="243"/>
      <c r="AC495" s="243"/>
      <c r="AD495" s="243"/>
      <c r="AE495" s="243"/>
    </row>
    <row r="496" spans="2:33">
      <c r="G496" s="48"/>
      <c r="H496" s="243"/>
      <c r="I496" s="243"/>
      <c r="J496" s="243"/>
      <c r="K496" s="243"/>
      <c r="L496" s="243"/>
      <c r="M496" s="243"/>
      <c r="N496" s="243"/>
      <c r="O496" s="243"/>
      <c r="P496" s="243"/>
      <c r="Q496" s="243"/>
      <c r="R496" s="243"/>
      <c r="S496" s="243"/>
      <c r="T496" s="243"/>
      <c r="U496" s="243"/>
      <c r="V496" s="243"/>
      <c r="W496" s="243"/>
      <c r="X496" s="243"/>
      <c r="Y496" s="243"/>
      <c r="Z496" s="243"/>
      <c r="AA496" s="243"/>
      <c r="AB496" s="243"/>
      <c r="AC496" s="243"/>
      <c r="AD496" s="243"/>
      <c r="AE496" s="243"/>
    </row>
    <row r="497" spans="7:7">
      <c r="G497" s="48"/>
    </row>
    <row r="498" spans="7:7">
      <c r="G498" s="48"/>
    </row>
    <row r="499" spans="7:7">
      <c r="G499" s="48"/>
    </row>
    <row r="500" spans="7:7">
      <c r="G500" s="48"/>
    </row>
    <row r="501" spans="7:7">
      <c r="G501" s="48"/>
    </row>
    <row r="502" spans="7:7">
      <c r="G502" s="48"/>
    </row>
    <row r="503" spans="7:7">
      <c r="G503" s="48"/>
    </row>
    <row r="504" spans="7:7">
      <c r="G504" s="48"/>
    </row>
    <row r="505" spans="7:7">
      <c r="G505" s="48"/>
    </row>
    <row r="506" spans="7:7">
      <c r="G506" s="48"/>
    </row>
    <row r="507" spans="7:7">
      <c r="G507" s="48"/>
    </row>
    <row r="508" spans="7:7">
      <c r="G508" s="48"/>
    </row>
    <row r="509" spans="7:7">
      <c r="G509" s="48"/>
    </row>
    <row r="510" spans="7:7">
      <c r="G510" s="48"/>
    </row>
    <row r="511" spans="7:7">
      <c r="G511" s="48"/>
    </row>
    <row r="512" spans="7:7">
      <c r="G512" s="48"/>
    </row>
    <row r="513" spans="7:7">
      <c r="G513" s="48"/>
    </row>
    <row r="514" spans="7:7">
      <c r="G514" s="48"/>
    </row>
    <row r="515" spans="7:7">
      <c r="G515" s="48"/>
    </row>
    <row r="516" spans="7:7">
      <c r="G516" s="48"/>
    </row>
    <row r="517" spans="7:7">
      <c r="G517" s="48"/>
    </row>
    <row r="518" spans="7:7">
      <c r="G518" s="48"/>
    </row>
    <row r="519" spans="7:7">
      <c r="G519" s="48"/>
    </row>
    <row r="520" spans="7:7">
      <c r="G520" s="48"/>
    </row>
    <row r="521" spans="7:7">
      <c r="G521" s="48"/>
    </row>
    <row r="522" spans="7:7">
      <c r="G522" s="48"/>
    </row>
    <row r="523" spans="7:7">
      <c r="G523" s="48"/>
    </row>
    <row r="524" spans="7:7">
      <c r="G524" s="48"/>
    </row>
    <row r="525" spans="7:7">
      <c r="G525" s="48"/>
    </row>
    <row r="526" spans="7:7">
      <c r="G526" s="48"/>
    </row>
    <row r="527" spans="7:7">
      <c r="G527" s="48"/>
    </row>
    <row r="528" spans="7:7">
      <c r="G528" s="48"/>
    </row>
    <row r="529" spans="7:7">
      <c r="G529" s="48"/>
    </row>
    <row r="530" spans="7:7">
      <c r="G530" s="48"/>
    </row>
    <row r="531" spans="7:7">
      <c r="G531" s="48"/>
    </row>
    <row r="532" spans="7:7">
      <c r="G532" s="48"/>
    </row>
    <row r="533" spans="7:7">
      <c r="G533" s="48"/>
    </row>
    <row r="534" spans="7:7">
      <c r="G534" s="48"/>
    </row>
    <row r="535" spans="7:7">
      <c r="G535" s="48"/>
    </row>
    <row r="536" spans="7:7">
      <c r="G536" s="48"/>
    </row>
    <row r="537" spans="7:7">
      <c r="G537" s="48"/>
    </row>
    <row r="538" spans="7:7">
      <c r="G538" s="48"/>
    </row>
    <row r="539" spans="7:7">
      <c r="G539" s="48"/>
    </row>
    <row r="540" spans="7:7">
      <c r="G540" s="48"/>
    </row>
    <row r="541" spans="7:7">
      <c r="G541" s="48"/>
    </row>
    <row r="542" spans="7:7">
      <c r="G542" s="48"/>
    </row>
    <row r="543" spans="7:7">
      <c r="G543" s="48"/>
    </row>
    <row r="544" spans="7:7">
      <c r="G544" s="48"/>
    </row>
    <row r="545" spans="7:7">
      <c r="G545" s="48"/>
    </row>
    <row r="546" spans="7:7">
      <c r="G546" s="48"/>
    </row>
    <row r="547" spans="7:7">
      <c r="G547" s="48"/>
    </row>
    <row r="548" spans="7:7">
      <c r="G548" s="48"/>
    </row>
    <row r="549" spans="7:7">
      <c r="G549" s="48"/>
    </row>
    <row r="550" spans="7:7">
      <c r="G550" s="48"/>
    </row>
    <row r="551" spans="7:7">
      <c r="G551" s="48"/>
    </row>
    <row r="552" spans="7:7">
      <c r="G552" s="48"/>
    </row>
    <row r="553" spans="7:7">
      <c r="G553" s="48"/>
    </row>
    <row r="554" spans="7:7">
      <c r="G554" s="48"/>
    </row>
    <row r="555" spans="7:7">
      <c r="G555" s="48"/>
    </row>
    <row r="556" spans="7:7">
      <c r="G556" s="48"/>
    </row>
    <row r="557" spans="7:7">
      <c r="G557" s="48"/>
    </row>
    <row r="558" spans="7:7">
      <c r="G558" s="48"/>
    </row>
    <row r="559" spans="7:7">
      <c r="G559" s="48"/>
    </row>
    <row r="560" spans="7:7">
      <c r="G560" s="48"/>
    </row>
    <row r="561" spans="7:7">
      <c r="G561" s="48"/>
    </row>
    <row r="562" spans="7:7">
      <c r="G562" s="48"/>
    </row>
    <row r="563" spans="7:7">
      <c r="G563" s="48"/>
    </row>
    <row r="564" spans="7:7">
      <c r="G564" s="48"/>
    </row>
    <row r="565" spans="7:7">
      <c r="G565" s="48"/>
    </row>
    <row r="566" spans="7:7">
      <c r="G566" s="48"/>
    </row>
    <row r="567" spans="7:7">
      <c r="G567" s="48"/>
    </row>
    <row r="568" spans="7:7">
      <c r="G568" s="48"/>
    </row>
    <row r="569" spans="7:7">
      <c r="G569" s="48"/>
    </row>
    <row r="570" spans="7:7">
      <c r="G570" s="48"/>
    </row>
    <row r="571" spans="7:7">
      <c r="G571" s="48"/>
    </row>
    <row r="572" spans="7:7">
      <c r="G572" s="48"/>
    </row>
    <row r="573" spans="7:7">
      <c r="G573" s="48"/>
    </row>
    <row r="574" spans="7:7">
      <c r="G574" s="48"/>
    </row>
    <row r="575" spans="7:7">
      <c r="G575" s="48"/>
    </row>
    <row r="576" spans="7:7">
      <c r="G576" s="48"/>
    </row>
    <row r="577" spans="7:7">
      <c r="G577" s="48"/>
    </row>
    <row r="578" spans="7:7">
      <c r="G578" s="48"/>
    </row>
    <row r="579" spans="7:7">
      <c r="G579" s="48"/>
    </row>
    <row r="580" spans="7:7">
      <c r="G580" s="48"/>
    </row>
    <row r="581" spans="7:7">
      <c r="G581" s="48"/>
    </row>
    <row r="582" spans="7:7">
      <c r="G582" s="48"/>
    </row>
    <row r="583" spans="7:7">
      <c r="G583" s="48"/>
    </row>
    <row r="584" spans="7:7">
      <c r="G584" s="48"/>
    </row>
    <row r="585" spans="7:7">
      <c r="G585" s="48"/>
    </row>
    <row r="586" spans="7:7">
      <c r="G586" s="48"/>
    </row>
    <row r="587" spans="7:7">
      <c r="G587" s="48"/>
    </row>
    <row r="588" spans="7:7">
      <c r="G588" s="48"/>
    </row>
    <row r="589" spans="7:7">
      <c r="G589" s="48"/>
    </row>
    <row r="590" spans="7:7">
      <c r="G590" s="48"/>
    </row>
    <row r="591" spans="7:7">
      <c r="G591" s="48"/>
    </row>
    <row r="592" spans="7:7">
      <c r="G592" s="48"/>
    </row>
    <row r="593" spans="7:7">
      <c r="G593" s="48"/>
    </row>
    <row r="594" spans="7:7">
      <c r="G594" s="48"/>
    </row>
    <row r="595" spans="7:7">
      <c r="G595" s="48"/>
    </row>
    <row r="596" spans="7:7">
      <c r="G596" s="48"/>
    </row>
    <row r="597" spans="7:7">
      <c r="G597" s="48"/>
    </row>
    <row r="598" spans="7:7">
      <c r="G598" s="48"/>
    </row>
    <row r="599" spans="7:7">
      <c r="G599" s="48"/>
    </row>
    <row r="600" spans="7:7">
      <c r="G600" s="48"/>
    </row>
    <row r="601" spans="7:7">
      <c r="G601" s="48"/>
    </row>
    <row r="602" spans="7:7">
      <c r="G602" s="48"/>
    </row>
    <row r="603" spans="7:7">
      <c r="G603" s="48"/>
    </row>
    <row r="604" spans="7:7">
      <c r="G604" s="48"/>
    </row>
    <row r="605" spans="7:7">
      <c r="G605" s="48"/>
    </row>
    <row r="606" spans="7:7">
      <c r="G606" s="48"/>
    </row>
    <row r="607" spans="7:7">
      <c r="G607" s="48"/>
    </row>
    <row r="608" spans="7:7">
      <c r="G608" s="48"/>
    </row>
    <row r="609" spans="7:7">
      <c r="G609" s="48"/>
    </row>
    <row r="610" spans="7:7">
      <c r="G610" s="48"/>
    </row>
    <row r="611" spans="7:7">
      <c r="G611" s="48"/>
    </row>
    <row r="612" spans="7:7">
      <c r="G612" s="48"/>
    </row>
    <row r="613" spans="7:7">
      <c r="G613" s="48"/>
    </row>
    <row r="614" spans="7:7">
      <c r="G614" s="48"/>
    </row>
    <row r="615" spans="7:7">
      <c r="G615" s="48"/>
    </row>
    <row r="616" spans="7:7">
      <c r="G616" s="48"/>
    </row>
    <row r="617" spans="7:7">
      <c r="G617" s="48"/>
    </row>
    <row r="618" spans="7:7">
      <c r="G618" s="48"/>
    </row>
    <row r="619" spans="7:7">
      <c r="G619" s="48"/>
    </row>
    <row r="620" spans="7:7">
      <c r="G620" s="48"/>
    </row>
    <row r="621" spans="7:7">
      <c r="G621" s="48"/>
    </row>
    <row r="622" spans="7:7">
      <c r="G622" s="48"/>
    </row>
    <row r="623" spans="7:7">
      <c r="G623" s="48"/>
    </row>
    <row r="624" spans="7:7">
      <c r="G624" s="48"/>
    </row>
    <row r="625" spans="7:7">
      <c r="G625" s="48"/>
    </row>
    <row r="626" spans="7:7">
      <c r="G626" s="48"/>
    </row>
    <row r="627" spans="7:7">
      <c r="G627" s="48"/>
    </row>
    <row r="628" spans="7:7">
      <c r="G628" s="48"/>
    </row>
    <row r="629" spans="7:7">
      <c r="G629" s="48"/>
    </row>
    <row r="630" spans="7:7">
      <c r="G630" s="48"/>
    </row>
    <row r="631" spans="7:7">
      <c r="G631" s="48"/>
    </row>
    <row r="632" spans="7:7">
      <c r="G632" s="48"/>
    </row>
    <row r="633" spans="7:7">
      <c r="G633" s="48"/>
    </row>
    <row r="634" spans="7:7">
      <c r="G634" s="48"/>
    </row>
    <row r="635" spans="7:7">
      <c r="G635" s="48"/>
    </row>
    <row r="636" spans="7:7">
      <c r="G636" s="48"/>
    </row>
    <row r="637" spans="7:7">
      <c r="G637" s="48"/>
    </row>
    <row r="638" spans="7:7">
      <c r="G638" s="48"/>
    </row>
    <row r="639" spans="7:7">
      <c r="G639" s="48"/>
    </row>
    <row r="640" spans="7:7">
      <c r="G640" s="48"/>
    </row>
    <row r="641" spans="7:7">
      <c r="G641" s="48"/>
    </row>
    <row r="642" spans="7:7">
      <c r="G642" s="48"/>
    </row>
    <row r="643" spans="7:7">
      <c r="G643" s="48"/>
    </row>
    <row r="644" spans="7:7">
      <c r="G644" s="48"/>
    </row>
    <row r="645" spans="7:7">
      <c r="G645" s="48"/>
    </row>
    <row r="646" spans="7:7">
      <c r="G646" s="48"/>
    </row>
    <row r="647" spans="7:7">
      <c r="G647" s="48"/>
    </row>
    <row r="648" spans="7:7">
      <c r="G648" s="48"/>
    </row>
    <row r="649" spans="7:7">
      <c r="G649" s="48"/>
    </row>
    <row r="650" spans="7:7">
      <c r="G650" s="48"/>
    </row>
    <row r="651" spans="7:7">
      <c r="G651" s="48"/>
    </row>
    <row r="652" spans="7:7">
      <c r="G652" s="48"/>
    </row>
    <row r="653" spans="7:7">
      <c r="G653" s="48"/>
    </row>
    <row r="654" spans="7:7">
      <c r="G654" s="48"/>
    </row>
    <row r="655" spans="7:7">
      <c r="G655" s="48"/>
    </row>
    <row r="656" spans="7:7">
      <c r="G656" s="48"/>
    </row>
    <row r="657" spans="7:7">
      <c r="G657" s="48"/>
    </row>
    <row r="658" spans="7:7">
      <c r="G658" s="48"/>
    </row>
    <row r="659" spans="7:7">
      <c r="G659" s="48"/>
    </row>
    <row r="660" spans="7:7">
      <c r="G660" s="48"/>
    </row>
    <row r="661" spans="7:7">
      <c r="G661" s="48"/>
    </row>
    <row r="662" spans="7:7">
      <c r="G662" s="48"/>
    </row>
    <row r="663" spans="7:7">
      <c r="G663" s="48"/>
    </row>
    <row r="664" spans="7:7">
      <c r="G664" s="48"/>
    </row>
    <row r="665" spans="7:7">
      <c r="G665" s="48"/>
    </row>
    <row r="666" spans="7:7">
      <c r="G666" s="48"/>
    </row>
    <row r="667" spans="7:7">
      <c r="G667" s="48"/>
    </row>
    <row r="668" spans="7:7">
      <c r="G668" s="48"/>
    </row>
    <row r="669" spans="7:7">
      <c r="G669" s="48"/>
    </row>
    <row r="670" spans="7:7">
      <c r="G670" s="48"/>
    </row>
    <row r="671" spans="7:7">
      <c r="G671" s="48"/>
    </row>
    <row r="672" spans="7:7">
      <c r="G672" s="48"/>
    </row>
    <row r="673" spans="7:7">
      <c r="G673" s="48"/>
    </row>
    <row r="674" spans="7:7">
      <c r="G674" s="48"/>
    </row>
    <row r="675" spans="7:7">
      <c r="G675" s="48"/>
    </row>
    <row r="676" spans="7:7">
      <c r="G676" s="48"/>
    </row>
    <row r="677" spans="7:7">
      <c r="G677" s="48"/>
    </row>
    <row r="678" spans="7:7">
      <c r="G678" s="48"/>
    </row>
    <row r="679" spans="7:7">
      <c r="G679" s="48"/>
    </row>
    <row r="680" spans="7:7">
      <c r="G680" s="48"/>
    </row>
    <row r="681" spans="7:7">
      <c r="G681" s="48"/>
    </row>
    <row r="682" spans="7:7">
      <c r="G682" s="48"/>
    </row>
    <row r="683" spans="7:7">
      <c r="G683" s="48"/>
    </row>
    <row r="684" spans="7:7">
      <c r="G684" s="48"/>
    </row>
    <row r="685" spans="7:7">
      <c r="G685" s="48"/>
    </row>
    <row r="686" spans="7:7">
      <c r="G686" s="48"/>
    </row>
    <row r="687" spans="7:7">
      <c r="G687" s="48"/>
    </row>
    <row r="688" spans="7:7">
      <c r="G688" s="48"/>
    </row>
    <row r="689" spans="7:7">
      <c r="G689" s="48"/>
    </row>
    <row r="690" spans="7:7">
      <c r="G690" s="48"/>
    </row>
    <row r="691" spans="7:7">
      <c r="G691" s="48"/>
    </row>
    <row r="692" spans="7:7">
      <c r="G692" s="48"/>
    </row>
    <row r="693" spans="7:7">
      <c r="G693" s="48"/>
    </row>
    <row r="694" spans="7:7">
      <c r="G694" s="48"/>
    </row>
    <row r="695" spans="7:7">
      <c r="G695" s="48"/>
    </row>
    <row r="696" spans="7:7">
      <c r="G696" s="48"/>
    </row>
    <row r="697" spans="7:7">
      <c r="G697" s="48"/>
    </row>
    <row r="698" spans="7:7">
      <c r="G698" s="48"/>
    </row>
    <row r="699" spans="7:7">
      <c r="G699" s="48"/>
    </row>
    <row r="700" spans="7:7">
      <c r="G700" s="48"/>
    </row>
    <row r="701" spans="7:7">
      <c r="G701" s="48"/>
    </row>
    <row r="702" spans="7:7">
      <c r="G702" s="48"/>
    </row>
    <row r="703" spans="7:7">
      <c r="G703" s="48"/>
    </row>
    <row r="704" spans="7:7">
      <c r="G704" s="48"/>
    </row>
    <row r="705" spans="7:7">
      <c r="G705" s="48"/>
    </row>
    <row r="706" spans="7:7">
      <c r="G706" s="48"/>
    </row>
    <row r="707" spans="7:7">
      <c r="G707" s="48"/>
    </row>
    <row r="708" spans="7:7">
      <c r="G708" s="48"/>
    </row>
    <row r="709" spans="7:7">
      <c r="G709" s="48"/>
    </row>
    <row r="710" spans="7:7">
      <c r="G710" s="48"/>
    </row>
    <row r="711" spans="7:7">
      <c r="G711" s="48"/>
    </row>
    <row r="712" spans="7:7">
      <c r="G712" s="48"/>
    </row>
    <row r="713" spans="7:7">
      <c r="G713" s="48"/>
    </row>
    <row r="714" spans="7:7">
      <c r="G714" s="48"/>
    </row>
    <row r="715" spans="7:7">
      <c r="G715" s="48"/>
    </row>
    <row r="716" spans="7:7">
      <c r="G716" s="48"/>
    </row>
    <row r="717" spans="7:7">
      <c r="G717" s="48"/>
    </row>
    <row r="718" spans="7:7">
      <c r="G718" s="48"/>
    </row>
    <row r="719" spans="7:7">
      <c r="G719" s="48"/>
    </row>
    <row r="720" spans="7:7">
      <c r="G720" s="48"/>
    </row>
    <row r="721" spans="7:7">
      <c r="G721" s="48"/>
    </row>
    <row r="722" spans="7:7">
      <c r="G722" s="48"/>
    </row>
    <row r="723" spans="7:7">
      <c r="G723" s="48"/>
    </row>
    <row r="724" spans="7:7">
      <c r="G724" s="48"/>
    </row>
    <row r="725" spans="7:7">
      <c r="G725" s="48"/>
    </row>
    <row r="726" spans="7:7">
      <c r="G726" s="48"/>
    </row>
    <row r="727" spans="7:7">
      <c r="G727" s="48"/>
    </row>
    <row r="728" spans="7:7">
      <c r="G728" s="48"/>
    </row>
    <row r="729" spans="7:7">
      <c r="G729" s="48"/>
    </row>
    <row r="730" spans="7:7">
      <c r="G730" s="48"/>
    </row>
    <row r="731" spans="7:7">
      <c r="G731" s="48"/>
    </row>
    <row r="732" spans="7:7">
      <c r="G732" s="48"/>
    </row>
    <row r="733" spans="7:7">
      <c r="G733" s="48"/>
    </row>
    <row r="734" spans="7:7">
      <c r="G734" s="48"/>
    </row>
    <row r="735" spans="7:7">
      <c r="G735" s="48"/>
    </row>
    <row r="736" spans="7:7">
      <c r="G736" s="48"/>
    </row>
    <row r="737" spans="7:7">
      <c r="G737" s="48"/>
    </row>
    <row r="738" spans="7:7">
      <c r="G738" s="48"/>
    </row>
    <row r="739" spans="7:7">
      <c r="G739" s="48"/>
    </row>
    <row r="740" spans="7:7">
      <c r="G740" s="48"/>
    </row>
    <row r="741" spans="7:7">
      <c r="G741" s="48"/>
    </row>
    <row r="742" spans="7:7">
      <c r="G742" s="48"/>
    </row>
    <row r="743" spans="7:7">
      <c r="G743" s="48"/>
    </row>
    <row r="744" spans="7:7">
      <c r="G744" s="48"/>
    </row>
    <row r="745" spans="7:7">
      <c r="G745" s="48"/>
    </row>
    <row r="746" spans="7:7">
      <c r="G746" s="48"/>
    </row>
    <row r="747" spans="7:7">
      <c r="G747" s="48"/>
    </row>
    <row r="748" spans="7:7">
      <c r="G748" s="48"/>
    </row>
    <row r="749" spans="7:7">
      <c r="G749" s="48"/>
    </row>
    <row r="750" spans="7:7">
      <c r="G750" s="48"/>
    </row>
    <row r="751" spans="7:7">
      <c r="G751" s="48"/>
    </row>
    <row r="752" spans="7:7">
      <c r="G752" s="48"/>
    </row>
    <row r="753" spans="7:7">
      <c r="G753" s="48"/>
    </row>
    <row r="754" spans="7:7">
      <c r="G754" s="48"/>
    </row>
    <row r="755" spans="7:7">
      <c r="G755" s="48"/>
    </row>
    <row r="756" spans="7:7">
      <c r="G756" s="48"/>
    </row>
    <row r="757" spans="7:7">
      <c r="G757" s="48"/>
    </row>
    <row r="758" spans="7:7">
      <c r="G758" s="48"/>
    </row>
    <row r="759" spans="7:7">
      <c r="G759" s="48"/>
    </row>
    <row r="760" spans="7:7">
      <c r="G760" s="48"/>
    </row>
    <row r="761" spans="7:7">
      <c r="G761" s="48"/>
    </row>
    <row r="762" spans="7:7">
      <c r="G762" s="48"/>
    </row>
    <row r="763" spans="7:7">
      <c r="G763" s="48"/>
    </row>
    <row r="764" spans="7:7">
      <c r="G764" s="48"/>
    </row>
    <row r="765" spans="7:7">
      <c r="G765" s="48"/>
    </row>
    <row r="766" spans="7:7">
      <c r="G766" s="48"/>
    </row>
    <row r="767" spans="7:7">
      <c r="G767" s="48"/>
    </row>
    <row r="768" spans="7:7">
      <c r="G768" s="48"/>
    </row>
    <row r="769" spans="7:7">
      <c r="G769" s="48"/>
    </row>
    <row r="770" spans="7:7">
      <c r="G770" s="48"/>
    </row>
    <row r="771" spans="7:7">
      <c r="G771" s="48"/>
    </row>
    <row r="772" spans="7:7">
      <c r="G772" s="48"/>
    </row>
    <row r="773" spans="7:7">
      <c r="G773" s="48"/>
    </row>
    <row r="774" spans="7:7">
      <c r="G774" s="48"/>
    </row>
    <row r="775" spans="7:7">
      <c r="G775" s="48"/>
    </row>
    <row r="776" spans="7:7">
      <c r="G776" s="48"/>
    </row>
    <row r="777" spans="7:7">
      <c r="G777" s="48"/>
    </row>
    <row r="778" spans="7:7">
      <c r="G778" s="48"/>
    </row>
    <row r="779" spans="7:7">
      <c r="G779" s="48"/>
    </row>
    <row r="780" spans="7:7">
      <c r="G780" s="48"/>
    </row>
    <row r="781" spans="7:7">
      <c r="G781" s="48"/>
    </row>
    <row r="782" spans="7:7">
      <c r="G782" s="48"/>
    </row>
    <row r="783" spans="7:7">
      <c r="G783" s="48"/>
    </row>
    <row r="785" spans="7:7">
      <c r="G785" s="48"/>
    </row>
    <row r="786" spans="7:7">
      <c r="G786" s="48"/>
    </row>
    <row r="787" spans="7:7">
      <c r="G787" s="48"/>
    </row>
    <row r="788" spans="7:7">
      <c r="G788" s="48"/>
    </row>
    <row r="789" spans="7:7">
      <c r="G789" s="48"/>
    </row>
    <row r="790" spans="7:7">
      <c r="G790" s="48"/>
    </row>
    <row r="791" spans="7:7">
      <c r="G791" s="48"/>
    </row>
  </sheetData>
  <autoFilter ref="E1:E791" xr:uid="{A5C3C448-5847-47CF-AA6C-3C8ED12AF1C2}"/>
  <mergeCells count="1">
    <mergeCell ref="F1:F2"/>
  </mergeCells>
  <conditionalFormatting sqref="A130:A131">
    <cfRule type="duplicateValues" dxfId="26" priority="200"/>
    <cfRule type="duplicateValues" dxfId="25" priority="201"/>
  </conditionalFormatting>
  <conditionalFormatting sqref="A136">
    <cfRule type="duplicateValues" dxfId="24" priority="198"/>
    <cfRule type="duplicateValues" dxfId="23" priority="199"/>
  </conditionalFormatting>
  <conditionalFormatting sqref="A261">
    <cfRule type="duplicateValues" dxfId="22" priority="136"/>
    <cfRule type="duplicateValues" dxfId="21" priority="137"/>
  </conditionalFormatting>
  <conditionalFormatting sqref="A309">
    <cfRule type="duplicateValues" dxfId="20" priority="202"/>
    <cfRule type="duplicateValues" dxfId="19" priority="203"/>
  </conditionalFormatting>
  <conditionalFormatting sqref="A359">
    <cfRule type="duplicateValues" dxfId="18" priority="204"/>
    <cfRule type="duplicateValues" dxfId="17" priority="205"/>
  </conditionalFormatting>
  <conditionalFormatting sqref="A431">
    <cfRule type="duplicateValues" dxfId="16" priority="126"/>
    <cfRule type="duplicateValues" dxfId="15" priority="127"/>
  </conditionalFormatting>
  <conditionalFormatting sqref="A434">
    <cfRule type="duplicateValues" dxfId="14" priority="128"/>
    <cfRule type="duplicateValues" dxfId="13" priority="129"/>
  </conditionalFormatting>
  <conditionalFormatting sqref="A465:A467 A391 A361:A363 A127 A368:A369 A373:A375 A378:A379 A381:A383 A394:A396 A402:A403 A388 A385 A371 A366 A169 A171 A27:A28 A31:A38 A44:A45 A48:A50 A52:A53 A129 A42 A40 A442:A445 A447:A448 A440 A107 A95:A98 A100:A101 A276:A280 A282 A354:A355 A357 A287 A285 A179 A185 A193 A199 A203 A209:A210 A212 A218 A224 A230 A236 A242 A244 A250 A252 A201 A454 A458:A460 A462 A456 A258 A264 A270 A55:A56 A412:A415 A418:A419 A424:A425 A398:A400 A427:A428 A73:A80 A82:A83 A86:A88 A90 A92 A422 A410 A407 A59 A350 A306:A308 A310:A320 A344:A346 A137 A110:A111 A290:A291 A191 A152:A153 A322:A324 A437 A104:A105 A340:A342 A300:A303 A163:A165 A145:A148 A120:A123 A173:A174 A181:A182 A187:A188 A195:A196 A205:A206 A214:A215 A220:A221 A226:A227 A232:A233 A238:A239 A246:A247 A254:A255 A266:A267 A272:A273 A61:A70 A113:A118 A139:A143 A293:A298 A333:A338 A9:A13 A15 A17:A18 A21:A24 A326:A331 A155:A161 A132:A135">
    <cfRule type="duplicateValues" dxfId="12" priority="215"/>
  </conditionalFormatting>
  <conditionalFormatting sqref="A465:A467 A391 A454 A361:A363 A127 A442:A445 A447:A448 A440 A107 A368:A369 A373:A375 A378:A379 A381:A383 A394:A396 A402:A403 A388 A385 A371 A366 A4:A5 A169 A171 A27:A28 A31:A38 A44:A45 A48:A50 A52:A53 A129 A42 A40 A95:A98 A100:A101 A276:A280 A282 A354:A355 A357 A287 A285 A179 A185 A193 A199 A203 A209:A210 A212 A218 A224 A230 A236 A242 A244 A250 A252 A201 A458:A460 A462 A456 A258 A264 A270 A55:A56 A412:A415 A418:A419 A424:A425 A398:A400 A427:A428 A73:A80 A82:A83 A86:A88 A90 A92 A422 A410 A407 A59 A350 A306:A308 A310:A320 A344:A346 A137 A110:A111 A290:A291 A191 A152:A153 A322:A324 A437 A104:A105 A340:A342 A300:A303 A163:A165 A145:A148 A120:A123 A173:A174 A181:A182 A187:A188 A195:A196 A205:A206 A214:A215 A220:A221 A226:A227 A232:A233 A238:A239 A246:A247 A254:A255 A266:A267 A272:A273 A61:A70 A113:A118 A139:A143 A293:A298 A333:A338 A9:A13 A15 A17:A18 A21:A24 A326:A331 A155:A161 A470:A471 A473:A1048576 A132:A135">
    <cfRule type="duplicateValues" dxfId="11" priority="216"/>
  </conditionalFormatting>
  <conditionalFormatting sqref="A470:A471">
    <cfRule type="duplicateValues" dxfId="10" priority="98"/>
  </conditionalFormatting>
  <conditionalFormatting sqref="D1:D1048576">
    <cfRule type="cellIs" dxfId="9" priority="1" operator="equal">
      <formula>"SS"</formula>
    </cfRule>
  </conditionalFormatting>
  <conditionalFormatting sqref="D184 F184">
    <cfRule type="cellIs" dxfId="8" priority="211" operator="lessThan">
      <formula>0</formula>
    </cfRule>
    <cfRule type="cellIs" dxfId="7" priority="212" operator="greaterThan">
      <formula>0</formula>
    </cfRule>
  </conditionalFormatting>
  <conditionalFormatting sqref="H8:H13 H15 H17:H38 H40 H42 H44:H50 H52:H107 H110:H111 H113:H118 H120:H123 H125:H148 H151:H165 H169 H171 H173:H174 H177 H179 H181:H185 H187:H189 H191 H193 H195:H197 H199 H201 H203 H205:H210 H212 H214:H218 H220:H224 H226:H230 H232:H236 H238:H242 H244 H246:H250 H252 H254:H256 H258:H259 H261:H264 H266:H270 H272:H274 H276:H280 H282:H285 H287 H290:H291 H293:H298 H300:H320 H322:H331 H333:H338 H340:H448 H451:H452 H454 H456 H458:H460 H462 H465:H467 H470:H471">
    <cfRule type="cellIs" dxfId="6" priority="206" operator="equal">
      <formula>5</formula>
    </cfRule>
    <cfRule type="cellIs" dxfId="5" priority="207" operator="equal">
      <formula>4</formula>
    </cfRule>
    <cfRule type="cellIs" dxfId="4" priority="208" operator="equal">
      <formula>3</formula>
    </cfRule>
    <cfRule type="cellIs" dxfId="3" priority="209" operator="equal">
      <formula>2</formula>
    </cfRule>
    <cfRule type="cellIs" dxfId="2" priority="210" operator="equal">
      <formula>1</formula>
    </cfRule>
  </conditionalFormatting>
  <conditionalFormatting sqref="K450">
    <cfRule type="cellIs" dxfId="1" priority="213" operator="lessThan">
      <formula>0</formula>
    </cfRule>
    <cfRule type="cellIs" dxfId="0" priority="214" operator="greaterThan">
      <formula>0</formula>
    </cfRule>
  </conditionalFormatting>
  <pageMargins left="0.7" right="0.7" top="0.75" bottom="0.75" header="0.3" footer="0.3"/>
  <pageSetup paperSize="8" scale="32" fitToHeight="0" orientation="landscape" r:id="rId1"/>
  <headerFooter>
    <oddFooter>&amp;L&amp;5\\AU079L\H:\Projects-SLR\630-SrvNTL\630-NTL\630.12501 Glencore Triennial RCE Review (2018)\04 Reports\NSW Sites\2. Bulga Complex\630.12501 Bulga Complex Glencore RCE Workbook.xlsx_x000D_&amp;A Printed &amp;D &amp;T&amp;R&amp;5SLR Consulting Australia Pty Ltd</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23E65-D794-4F71-A37E-E8B4C599C462}">
  <dimension ref="B1:Y51"/>
  <sheetViews>
    <sheetView zoomScale="85" zoomScaleNormal="85" workbookViewId="0">
      <selection activeCell="Q54" sqref="Q54"/>
    </sheetView>
  </sheetViews>
  <sheetFormatPr defaultRowHeight="13.2"/>
  <cols>
    <col min="1" max="1" width="4.21875" customWidth="1"/>
    <col min="2" max="2" width="15.21875" customWidth="1"/>
    <col min="3" max="3" width="35.21875" customWidth="1"/>
    <col min="4" max="4" width="13.5546875" bestFit="1" customWidth="1"/>
    <col min="5" max="5" width="12" bestFit="1" customWidth="1"/>
    <col min="6" max="6" width="14.44140625" bestFit="1" customWidth="1"/>
    <col min="7" max="7" width="13.44140625" bestFit="1" customWidth="1"/>
    <col min="8" max="8" width="16.21875" bestFit="1" customWidth="1"/>
    <col min="9" max="9" width="13.21875" bestFit="1" customWidth="1"/>
    <col min="10" max="10" width="13.5546875" bestFit="1" customWidth="1"/>
    <col min="11" max="11" width="12.5546875" customWidth="1"/>
    <col min="12" max="16" width="13.44140625" bestFit="1" customWidth="1"/>
    <col min="17" max="17" width="13.5546875" bestFit="1" customWidth="1"/>
    <col min="18" max="18" width="12" bestFit="1" customWidth="1"/>
    <col min="19" max="19" width="10.44140625" style="121" customWidth="1"/>
    <col min="20" max="23" width="10.44140625" customWidth="1"/>
    <col min="24" max="24" width="13.21875" customWidth="1"/>
    <col min="25" max="25" width="40.5546875" style="121" customWidth="1"/>
  </cols>
  <sheetData>
    <row r="1" spans="2:25">
      <c r="C1" s="135"/>
      <c r="D1" s="135"/>
      <c r="E1" s="135"/>
      <c r="F1" s="135"/>
      <c r="G1" s="135"/>
      <c r="H1" s="135"/>
      <c r="I1" s="135"/>
      <c r="J1" s="135"/>
      <c r="K1" s="135"/>
      <c r="L1" s="135"/>
      <c r="M1" s="135"/>
      <c r="N1" s="135"/>
      <c r="O1" s="135"/>
      <c r="P1" s="135"/>
      <c r="Q1" s="135"/>
      <c r="R1" s="135"/>
      <c r="S1" s="135"/>
      <c r="T1" s="135"/>
      <c r="U1" s="135"/>
      <c r="V1" s="135"/>
      <c r="W1" s="135"/>
      <c r="X1" s="142"/>
    </row>
    <row r="3" spans="2:25" ht="18">
      <c r="B3" s="122" t="s">
        <v>370</v>
      </c>
      <c r="C3" s="122"/>
      <c r="D3" s="123"/>
      <c r="E3" s="123"/>
      <c r="F3" s="123"/>
      <c r="G3" s="123"/>
      <c r="H3" s="123"/>
      <c r="I3" s="123"/>
      <c r="J3" s="123"/>
      <c r="K3" s="123"/>
      <c r="L3" s="123"/>
      <c r="M3" s="123"/>
      <c r="N3" s="123"/>
      <c r="O3" s="123"/>
      <c r="P3" s="123"/>
      <c r="Q3" s="123"/>
      <c r="R3" s="123"/>
      <c r="S3" s="143"/>
      <c r="T3" s="144"/>
    </row>
    <row r="4" spans="2:25" ht="15.75" customHeight="1">
      <c r="B4" s="317" t="s">
        <v>371</v>
      </c>
      <c r="C4" s="323" t="s">
        <v>372</v>
      </c>
      <c r="D4" s="324" t="s">
        <v>373</v>
      </c>
      <c r="E4" s="325"/>
      <c r="F4" s="325"/>
      <c r="G4" s="325"/>
      <c r="H4" s="325"/>
      <c r="I4" s="325"/>
      <c r="J4" s="325"/>
      <c r="K4" s="325"/>
      <c r="L4" s="325"/>
      <c r="M4" s="325"/>
      <c r="N4" s="325"/>
      <c r="O4" s="325"/>
      <c r="P4" s="325"/>
      <c r="Q4" s="325"/>
      <c r="R4" s="326"/>
      <c r="S4" s="320" t="s">
        <v>374</v>
      </c>
      <c r="T4" s="321"/>
      <c r="U4" s="321"/>
      <c r="V4" s="321"/>
      <c r="W4" s="321"/>
      <c r="X4" s="322"/>
      <c r="Y4" s="317" t="s">
        <v>375</v>
      </c>
    </row>
    <row r="5" spans="2:25" ht="28.8">
      <c r="B5" s="317"/>
      <c r="C5" s="323"/>
      <c r="D5" s="125" t="s">
        <v>376</v>
      </c>
      <c r="E5" s="125" t="s">
        <v>377</v>
      </c>
      <c r="F5" s="125" t="s">
        <v>378</v>
      </c>
      <c r="G5" s="125" t="s">
        <v>379</v>
      </c>
      <c r="H5" s="125" t="s">
        <v>380</v>
      </c>
      <c r="I5" s="125" t="s">
        <v>215</v>
      </c>
      <c r="J5" s="125" t="s">
        <v>381</v>
      </c>
      <c r="K5" s="125" t="s">
        <v>382</v>
      </c>
      <c r="L5" s="125" t="s">
        <v>383</v>
      </c>
      <c r="M5" s="125" t="s">
        <v>384</v>
      </c>
      <c r="N5" s="125" t="s">
        <v>385</v>
      </c>
      <c r="O5" s="125" t="s">
        <v>386</v>
      </c>
      <c r="P5" s="125" t="s">
        <v>387</v>
      </c>
      <c r="Q5" s="125" t="s">
        <v>388</v>
      </c>
      <c r="R5" s="125" t="s">
        <v>389</v>
      </c>
      <c r="S5" s="124" t="s">
        <v>390</v>
      </c>
      <c r="T5" s="126" t="s">
        <v>391</v>
      </c>
      <c r="U5" s="126" t="s">
        <v>392</v>
      </c>
      <c r="V5" s="126" t="s">
        <v>393</v>
      </c>
      <c r="W5" s="126" t="s">
        <v>394</v>
      </c>
      <c r="X5" s="126" t="s">
        <v>14</v>
      </c>
      <c r="Y5" s="317"/>
    </row>
    <row r="6" spans="2:25" ht="22.5" customHeight="1">
      <c r="B6" s="313" t="s">
        <v>395</v>
      </c>
      <c r="C6" s="80" t="s">
        <v>205</v>
      </c>
      <c r="D6" s="80"/>
      <c r="E6" s="80"/>
      <c r="F6" s="80"/>
      <c r="G6" s="80"/>
      <c r="H6" s="80"/>
      <c r="I6" s="80"/>
      <c r="J6" s="80"/>
      <c r="K6" s="80"/>
      <c r="L6" s="80"/>
      <c r="M6" s="80"/>
      <c r="N6" s="80"/>
      <c r="O6" s="80"/>
      <c r="P6" s="80"/>
      <c r="Q6" s="80"/>
      <c r="R6" s="80"/>
      <c r="S6" s="127"/>
      <c r="T6" s="128"/>
      <c r="U6" s="128"/>
      <c r="V6" s="128"/>
      <c r="W6" s="128"/>
      <c r="X6" s="129">
        <f t="shared" ref="X6:X17" si="0">SUM(S6:W6)</f>
        <v>0</v>
      </c>
      <c r="Y6" s="130"/>
    </row>
    <row r="7" spans="2:25" ht="14.4">
      <c r="B7" s="313"/>
      <c r="C7" s="80" t="s">
        <v>396</v>
      </c>
      <c r="D7" s="80"/>
      <c r="E7" s="80"/>
      <c r="F7" s="80"/>
      <c r="G7" s="80"/>
      <c r="H7" s="80"/>
      <c r="I7" s="80"/>
      <c r="J7" s="80"/>
      <c r="K7" s="80"/>
      <c r="L7" s="80"/>
      <c r="M7" s="80"/>
      <c r="N7" s="80"/>
      <c r="O7" s="80"/>
      <c r="P7" s="80"/>
      <c r="Q7" s="80"/>
      <c r="R7" s="80"/>
      <c r="S7" s="127"/>
      <c r="T7" s="128"/>
      <c r="U7" s="128"/>
      <c r="V7" s="128"/>
      <c r="W7" s="128"/>
      <c r="X7" s="129">
        <f t="shared" si="0"/>
        <v>0</v>
      </c>
      <c r="Y7" s="130"/>
    </row>
    <row r="8" spans="2:25" ht="20.399999999999999">
      <c r="B8" s="313"/>
      <c r="C8" s="80" t="s">
        <v>397</v>
      </c>
      <c r="D8" s="80"/>
      <c r="E8" s="80"/>
      <c r="F8" s="80"/>
      <c r="G8" s="80"/>
      <c r="H8" s="80"/>
      <c r="I8" s="80"/>
      <c r="J8" s="80"/>
      <c r="K8" s="80"/>
      <c r="L8" s="80"/>
      <c r="M8" s="80"/>
      <c r="N8" s="80"/>
      <c r="O8" s="80"/>
      <c r="P8" s="80"/>
      <c r="Q8" s="80"/>
      <c r="R8" s="80"/>
      <c r="S8" s="127"/>
      <c r="T8" s="128"/>
      <c r="U8" s="128"/>
      <c r="V8" s="128"/>
      <c r="W8" s="128"/>
      <c r="X8" s="129">
        <f t="shared" si="0"/>
        <v>0</v>
      </c>
      <c r="Y8" s="130"/>
    </row>
    <row r="9" spans="2:25" ht="30.6">
      <c r="B9" s="313"/>
      <c r="C9" s="80" t="s">
        <v>398</v>
      </c>
      <c r="D9" s="80"/>
      <c r="E9" s="80"/>
      <c r="F9" s="80"/>
      <c r="G9" s="80"/>
      <c r="H9" s="80"/>
      <c r="I9" s="80"/>
      <c r="J9" s="80"/>
      <c r="K9" s="80"/>
      <c r="L9" s="80"/>
      <c r="M9" s="80"/>
      <c r="N9" s="80"/>
      <c r="O9" s="80"/>
      <c r="P9" s="80"/>
      <c r="Q9" s="80"/>
      <c r="R9" s="80"/>
      <c r="S9" s="127"/>
      <c r="T9" s="128"/>
      <c r="U9" s="128"/>
      <c r="V9" s="128"/>
      <c r="W9" s="128"/>
      <c r="X9" s="129">
        <f t="shared" si="0"/>
        <v>0</v>
      </c>
      <c r="Y9" s="130"/>
    </row>
    <row r="10" spans="2:25" ht="23.25" customHeight="1">
      <c r="B10" s="313" t="s">
        <v>399</v>
      </c>
      <c r="C10" s="80" t="s">
        <v>400</v>
      </c>
      <c r="D10" s="80"/>
      <c r="E10" s="80"/>
      <c r="F10" s="80"/>
      <c r="G10" s="80"/>
      <c r="H10" s="80"/>
      <c r="I10" s="80"/>
      <c r="J10" s="80"/>
      <c r="K10" s="80"/>
      <c r="L10" s="80"/>
      <c r="M10" s="80"/>
      <c r="N10" s="80"/>
      <c r="O10" s="80"/>
      <c r="P10" s="80"/>
      <c r="Q10" s="80"/>
      <c r="R10" s="80"/>
      <c r="S10" s="80"/>
      <c r="T10" s="80"/>
      <c r="U10" s="80"/>
      <c r="V10" s="80"/>
      <c r="W10" s="80"/>
      <c r="X10" s="129">
        <f t="shared" si="0"/>
        <v>0</v>
      </c>
      <c r="Y10" s="130"/>
    </row>
    <row r="11" spans="2:25" ht="23.25" customHeight="1">
      <c r="B11" s="313"/>
      <c r="C11" s="80" t="s">
        <v>401</v>
      </c>
      <c r="D11" s="80"/>
      <c r="E11" s="80"/>
      <c r="F11" s="80"/>
      <c r="G11" s="80"/>
      <c r="H11" s="80"/>
      <c r="I11" s="80"/>
      <c r="J11" s="80"/>
      <c r="K11" s="80"/>
      <c r="L11" s="80"/>
      <c r="M11" s="80"/>
      <c r="N11" s="80"/>
      <c r="O11" s="80"/>
      <c r="P11" s="80"/>
      <c r="Q11" s="80"/>
      <c r="R11" s="80"/>
      <c r="S11" s="80"/>
      <c r="T11" s="80"/>
      <c r="U11" s="80"/>
      <c r="V11" s="80"/>
      <c r="W11" s="80"/>
      <c r="X11" s="129">
        <f t="shared" si="0"/>
        <v>0</v>
      </c>
      <c r="Y11" s="130"/>
    </row>
    <row r="12" spans="2:25" ht="23.25" customHeight="1">
      <c r="B12" s="313"/>
      <c r="C12" s="80" t="s">
        <v>402</v>
      </c>
      <c r="D12" s="80"/>
      <c r="E12" s="80"/>
      <c r="F12" s="80"/>
      <c r="G12" s="80"/>
      <c r="H12" s="80"/>
      <c r="I12" s="80"/>
      <c r="J12" s="80"/>
      <c r="K12" s="80"/>
      <c r="L12" s="80"/>
      <c r="M12" s="80"/>
      <c r="N12" s="80"/>
      <c r="O12" s="80"/>
      <c r="P12" s="80"/>
      <c r="Q12" s="80"/>
      <c r="R12" s="80"/>
      <c r="S12" s="80"/>
      <c r="T12" s="80"/>
      <c r="U12" s="80"/>
      <c r="V12" s="80"/>
      <c r="W12" s="80"/>
      <c r="X12" s="129">
        <f t="shared" si="0"/>
        <v>0</v>
      </c>
      <c r="Y12" s="130"/>
    </row>
    <row r="13" spans="2:25" ht="23.25" customHeight="1">
      <c r="B13" s="313"/>
      <c r="C13" s="80" t="s">
        <v>403</v>
      </c>
      <c r="D13" s="80"/>
      <c r="E13" s="80"/>
      <c r="F13" s="80"/>
      <c r="G13" s="80"/>
      <c r="H13" s="80"/>
      <c r="I13" s="80"/>
      <c r="J13" s="80"/>
      <c r="K13" s="80"/>
      <c r="L13" s="80"/>
      <c r="M13" s="80"/>
      <c r="N13" s="80"/>
      <c r="O13" s="80"/>
      <c r="P13" s="80"/>
      <c r="Q13" s="80"/>
      <c r="R13" s="80"/>
      <c r="S13" s="80"/>
      <c r="T13" s="80"/>
      <c r="U13" s="80"/>
      <c r="V13" s="80"/>
      <c r="W13" s="80"/>
      <c r="X13" s="129">
        <f t="shared" si="0"/>
        <v>0</v>
      </c>
      <c r="Y13" s="130"/>
    </row>
    <row r="14" spans="2:25" ht="23.25" customHeight="1">
      <c r="B14" s="313"/>
      <c r="C14" s="80" t="s">
        <v>404</v>
      </c>
      <c r="D14" s="80"/>
      <c r="E14" s="80"/>
      <c r="F14" s="80"/>
      <c r="G14" s="80"/>
      <c r="H14" s="80"/>
      <c r="I14" s="80"/>
      <c r="J14" s="80"/>
      <c r="K14" s="80"/>
      <c r="L14" s="80"/>
      <c r="M14" s="80"/>
      <c r="N14" s="80"/>
      <c r="O14" s="80"/>
      <c r="P14" s="80"/>
      <c r="Q14" s="80"/>
      <c r="R14" s="80"/>
      <c r="S14" s="80"/>
      <c r="T14" s="80"/>
      <c r="U14" s="80"/>
      <c r="V14" s="80"/>
      <c r="W14" s="80"/>
      <c r="X14" s="129">
        <f t="shared" si="0"/>
        <v>0</v>
      </c>
      <c r="Y14" s="130"/>
    </row>
    <row r="15" spans="2:25" ht="23.25" customHeight="1">
      <c r="B15" s="313"/>
      <c r="C15" s="80" t="s">
        <v>405</v>
      </c>
      <c r="D15" s="95"/>
      <c r="E15" s="95"/>
      <c r="F15" s="95"/>
      <c r="G15" s="95"/>
      <c r="H15" s="95"/>
      <c r="I15" s="95"/>
      <c r="J15" s="95"/>
      <c r="K15" s="95"/>
      <c r="L15" s="95"/>
      <c r="M15" s="95"/>
      <c r="N15" s="95"/>
      <c r="O15" s="95"/>
      <c r="P15" s="95"/>
      <c r="Q15" s="95"/>
      <c r="R15" s="95"/>
      <c r="S15" s="314" t="s">
        <v>406</v>
      </c>
      <c r="T15" s="315"/>
      <c r="U15" s="315"/>
      <c r="V15" s="315"/>
      <c r="W15" s="316"/>
      <c r="X15" s="129">
        <f t="shared" si="0"/>
        <v>0</v>
      </c>
      <c r="Y15" s="130"/>
    </row>
    <row r="16" spans="2:25" ht="23.25" customHeight="1">
      <c r="B16" s="313" t="s">
        <v>407</v>
      </c>
      <c r="C16" s="80" t="s">
        <v>400</v>
      </c>
      <c r="D16" s="80"/>
      <c r="E16" s="80"/>
      <c r="F16" s="80"/>
      <c r="G16" s="80"/>
      <c r="H16" s="80"/>
      <c r="I16" s="80"/>
      <c r="J16" s="80"/>
      <c r="K16" s="80"/>
      <c r="L16" s="80"/>
      <c r="M16" s="80"/>
      <c r="N16" s="80"/>
      <c r="O16" s="80"/>
      <c r="P16" s="80"/>
      <c r="Q16" s="80"/>
      <c r="R16" s="80"/>
      <c r="S16" s="80"/>
      <c r="T16" s="80"/>
      <c r="U16" s="80"/>
      <c r="V16" s="80"/>
      <c r="W16" s="80"/>
      <c r="X16" s="129">
        <f t="shared" si="0"/>
        <v>0</v>
      </c>
      <c r="Y16" s="130"/>
    </row>
    <row r="17" spans="2:25" ht="23.25" customHeight="1">
      <c r="B17" s="313"/>
      <c r="C17" s="80" t="s">
        <v>401</v>
      </c>
      <c r="D17" s="80"/>
      <c r="E17" s="80"/>
      <c r="F17" s="80"/>
      <c r="G17" s="80"/>
      <c r="H17" s="80"/>
      <c r="I17" s="80"/>
      <c r="J17" s="80"/>
      <c r="K17" s="80"/>
      <c r="L17" s="80"/>
      <c r="M17" s="80"/>
      <c r="N17" s="80"/>
      <c r="O17" s="80"/>
      <c r="P17" s="80"/>
      <c r="Q17" s="80"/>
      <c r="R17" s="80"/>
      <c r="S17" s="80"/>
      <c r="T17" s="80"/>
      <c r="U17" s="80"/>
      <c r="V17" s="80"/>
      <c r="W17" s="80"/>
      <c r="X17" s="129">
        <f t="shared" si="0"/>
        <v>0</v>
      </c>
      <c r="Y17" s="130"/>
    </row>
    <row r="18" spans="2:25" s="133" customFormat="1" ht="23.25" customHeight="1">
      <c r="B18" s="313"/>
      <c r="C18" s="131" t="s">
        <v>402</v>
      </c>
      <c r="D18" s="237">
        <v>11495082.100000001</v>
      </c>
      <c r="E18" s="237">
        <v>1099857.5</v>
      </c>
      <c r="F18" s="237">
        <v>12027602.292920209</v>
      </c>
      <c r="G18" s="237">
        <v>6976693.0588853937</v>
      </c>
      <c r="H18" s="237">
        <v>3614573.5609001969</v>
      </c>
      <c r="I18" s="237">
        <v>1394252.7872018002</v>
      </c>
      <c r="J18" s="237">
        <v>2834489.9</v>
      </c>
      <c r="K18" s="237">
        <v>4594261.9000000004</v>
      </c>
      <c r="L18" s="237">
        <v>2708791.9</v>
      </c>
      <c r="M18" s="237">
        <v>2331697.9</v>
      </c>
      <c r="N18" s="237">
        <v>2080301.9</v>
      </c>
      <c r="O18" s="237">
        <v>1577509.9</v>
      </c>
      <c r="P18" s="237">
        <v>1577509.9</v>
      </c>
      <c r="Q18" s="237">
        <v>3588677.9</v>
      </c>
      <c r="R18" s="237">
        <v>1074717.8999999999</v>
      </c>
      <c r="S18" s="131"/>
      <c r="T18" s="131"/>
      <c r="U18" s="131"/>
      <c r="V18" s="131"/>
      <c r="W18" s="131"/>
      <c r="X18" s="132">
        <f>SUM(D18:W18)</f>
        <v>58976020.399907589</v>
      </c>
      <c r="Y18" s="145"/>
    </row>
    <row r="19" spans="2:25" ht="23.25" customHeight="1">
      <c r="B19" s="313"/>
      <c r="C19" s="80" t="s">
        <v>403</v>
      </c>
      <c r="D19" s="80"/>
      <c r="E19" s="80"/>
      <c r="F19" s="80"/>
      <c r="G19" s="80"/>
      <c r="H19" s="80"/>
      <c r="I19" s="80"/>
      <c r="J19" s="80"/>
      <c r="K19" s="80"/>
      <c r="L19" s="80"/>
      <c r="M19" s="80"/>
      <c r="N19" s="80"/>
      <c r="O19" s="80"/>
      <c r="P19" s="80"/>
      <c r="Q19" s="80"/>
      <c r="R19" s="80"/>
      <c r="S19" s="80"/>
      <c r="T19" s="80"/>
      <c r="U19" s="80"/>
      <c r="V19" s="80"/>
      <c r="W19" s="80"/>
      <c r="X19" s="129">
        <f>SUM(S19:W19)</f>
        <v>0</v>
      </c>
      <c r="Y19" s="130"/>
    </row>
    <row r="20" spans="2:25" ht="23.25" customHeight="1">
      <c r="B20" s="313"/>
      <c r="C20" s="80" t="s">
        <v>404</v>
      </c>
      <c r="D20" s="80"/>
      <c r="E20" s="80"/>
      <c r="F20" s="80"/>
      <c r="G20" s="80"/>
      <c r="H20" s="80"/>
      <c r="I20" s="80"/>
      <c r="J20" s="80"/>
      <c r="K20" s="80"/>
      <c r="L20" s="80"/>
      <c r="M20" s="80"/>
      <c r="N20" s="80"/>
      <c r="O20" s="80"/>
      <c r="P20" s="80"/>
      <c r="Q20" s="80"/>
      <c r="R20" s="80"/>
      <c r="S20" s="80"/>
      <c r="T20" s="80"/>
      <c r="U20" s="80"/>
      <c r="V20" s="80"/>
      <c r="W20" s="80"/>
      <c r="X20" s="129">
        <f>SUM(S20:W20)</f>
        <v>0</v>
      </c>
      <c r="Y20" s="130"/>
    </row>
    <row r="21" spans="2:25" ht="23.25" customHeight="1">
      <c r="B21" s="313"/>
      <c r="C21" s="80" t="s">
        <v>405</v>
      </c>
      <c r="D21" s="95"/>
      <c r="E21" s="95"/>
      <c r="F21" s="95"/>
      <c r="G21" s="95"/>
      <c r="H21" s="95"/>
      <c r="I21" s="95"/>
      <c r="J21" s="95"/>
      <c r="K21" s="95"/>
      <c r="L21" s="95"/>
      <c r="M21" s="95"/>
      <c r="N21" s="95"/>
      <c r="O21" s="95"/>
      <c r="P21" s="95"/>
      <c r="Q21" s="95"/>
      <c r="R21" s="95"/>
      <c r="S21" s="314" t="s">
        <v>406</v>
      </c>
      <c r="T21" s="315"/>
      <c r="U21" s="315"/>
      <c r="V21" s="315"/>
      <c r="W21" s="316"/>
      <c r="X21" s="129">
        <f>SUM(S21:W21)</f>
        <v>0</v>
      </c>
      <c r="Y21" s="130"/>
    </row>
    <row r="22" spans="2:25" ht="23.25" customHeight="1">
      <c r="B22" s="134"/>
      <c r="C22" s="135"/>
      <c r="D22" s="135"/>
      <c r="E22" s="135"/>
      <c r="F22" s="135"/>
      <c r="G22" s="135"/>
      <c r="H22" s="135"/>
      <c r="I22" s="135"/>
      <c r="J22" s="135"/>
      <c r="K22" s="135"/>
      <c r="L22" s="135"/>
      <c r="M22" s="135"/>
      <c r="N22" s="135"/>
      <c r="O22" s="135"/>
      <c r="P22" s="135"/>
      <c r="Q22" s="135"/>
      <c r="R22" s="135"/>
      <c r="S22" s="135"/>
      <c r="T22" s="135"/>
      <c r="U22" s="135"/>
      <c r="V22" s="135"/>
      <c r="W22" s="135"/>
      <c r="X22" s="136"/>
    </row>
    <row r="23" spans="2:25" ht="21.75" hidden="1" customHeight="1">
      <c r="B23" s="317" t="s">
        <v>371</v>
      </c>
      <c r="C23" s="323" t="s">
        <v>408</v>
      </c>
      <c r="D23" s="125"/>
      <c r="E23" s="125"/>
      <c r="F23" s="125"/>
      <c r="G23" s="125"/>
      <c r="H23" s="125"/>
      <c r="I23" s="125"/>
      <c r="J23" s="125"/>
      <c r="K23" s="125"/>
      <c r="L23" s="125"/>
      <c r="M23" s="125"/>
      <c r="N23" s="125"/>
      <c r="O23" s="125"/>
      <c r="P23" s="125"/>
      <c r="Q23" s="125"/>
      <c r="R23" s="125"/>
      <c r="S23" s="320" t="s">
        <v>374</v>
      </c>
      <c r="T23" s="321"/>
      <c r="U23" s="321"/>
      <c r="V23" s="321"/>
      <c r="W23" s="321"/>
      <c r="X23" s="322"/>
      <c r="Y23" s="317" t="s">
        <v>375</v>
      </c>
    </row>
    <row r="24" spans="2:25" ht="57.6" hidden="1">
      <c r="B24" s="317"/>
      <c r="C24" s="323"/>
      <c r="D24" s="125"/>
      <c r="E24" s="125"/>
      <c r="F24" s="125"/>
      <c r="G24" s="125"/>
      <c r="H24" s="125"/>
      <c r="I24" s="125"/>
      <c r="J24" s="125"/>
      <c r="K24" s="125"/>
      <c r="L24" s="125"/>
      <c r="M24" s="125"/>
      <c r="N24" s="125"/>
      <c r="O24" s="125"/>
      <c r="P24" s="125"/>
      <c r="Q24" s="125"/>
      <c r="R24" s="125"/>
      <c r="S24" s="124" t="s">
        <v>409</v>
      </c>
      <c r="T24" s="126" t="s">
        <v>410</v>
      </c>
      <c r="U24" s="126" t="s">
        <v>411</v>
      </c>
      <c r="V24" s="126" t="s">
        <v>412</v>
      </c>
      <c r="W24" s="126" t="s">
        <v>413</v>
      </c>
      <c r="X24" s="126" t="s">
        <v>14</v>
      </c>
      <c r="Y24" s="317"/>
    </row>
    <row r="25" spans="2:25" ht="23.25" hidden="1" customHeight="1">
      <c r="B25" s="313" t="s">
        <v>399</v>
      </c>
      <c r="C25" s="80" t="s">
        <v>400</v>
      </c>
      <c r="D25" s="80"/>
      <c r="E25" s="80"/>
      <c r="F25" s="80"/>
      <c r="G25" s="80"/>
      <c r="H25" s="80"/>
      <c r="I25" s="80"/>
      <c r="J25" s="80"/>
      <c r="K25" s="80"/>
      <c r="L25" s="80"/>
      <c r="M25" s="80"/>
      <c r="N25" s="80"/>
      <c r="O25" s="80"/>
      <c r="P25" s="80"/>
      <c r="Q25" s="80"/>
      <c r="R25" s="80"/>
      <c r="S25" s="80"/>
      <c r="T25" s="80"/>
      <c r="U25" s="80"/>
      <c r="V25" s="80"/>
      <c r="W25" s="80"/>
      <c r="X25" s="129">
        <f t="shared" ref="X25:X36" si="1">SUM(S25:W25)</f>
        <v>0</v>
      </c>
      <c r="Y25" s="130"/>
    </row>
    <row r="26" spans="2:25" ht="23.25" hidden="1" customHeight="1">
      <c r="B26" s="313"/>
      <c r="C26" s="80" t="s">
        <v>401</v>
      </c>
      <c r="D26" s="80"/>
      <c r="E26" s="80"/>
      <c r="F26" s="80"/>
      <c r="G26" s="80"/>
      <c r="H26" s="80"/>
      <c r="I26" s="80"/>
      <c r="J26" s="80"/>
      <c r="K26" s="80"/>
      <c r="L26" s="80"/>
      <c r="M26" s="80"/>
      <c r="N26" s="80"/>
      <c r="O26" s="80"/>
      <c r="P26" s="80"/>
      <c r="Q26" s="80"/>
      <c r="R26" s="80"/>
      <c r="S26" s="80"/>
      <c r="T26" s="80"/>
      <c r="U26" s="80"/>
      <c r="V26" s="80"/>
      <c r="W26" s="80"/>
      <c r="X26" s="129">
        <f t="shared" si="1"/>
        <v>0</v>
      </c>
      <c r="Y26" s="130"/>
    </row>
    <row r="27" spans="2:25" ht="23.25" hidden="1" customHeight="1">
      <c r="B27" s="313"/>
      <c r="C27" s="80" t="s">
        <v>402</v>
      </c>
      <c r="D27" s="80"/>
      <c r="E27" s="80"/>
      <c r="F27" s="80"/>
      <c r="G27" s="80"/>
      <c r="H27" s="80"/>
      <c r="I27" s="80"/>
      <c r="J27" s="80"/>
      <c r="K27" s="80"/>
      <c r="L27" s="80"/>
      <c r="M27" s="80"/>
      <c r="N27" s="80"/>
      <c r="O27" s="80"/>
      <c r="P27" s="80"/>
      <c r="Q27" s="80"/>
      <c r="R27" s="80"/>
      <c r="S27" s="80"/>
      <c r="T27" s="80"/>
      <c r="U27" s="80"/>
      <c r="V27" s="80"/>
      <c r="W27" s="80"/>
      <c r="X27" s="129">
        <f t="shared" si="1"/>
        <v>0</v>
      </c>
      <c r="Y27" s="130"/>
    </row>
    <row r="28" spans="2:25" ht="23.25" hidden="1" customHeight="1">
      <c r="B28" s="313"/>
      <c r="C28" s="80" t="s">
        <v>403</v>
      </c>
      <c r="D28" s="80"/>
      <c r="E28" s="80"/>
      <c r="F28" s="80"/>
      <c r="G28" s="80"/>
      <c r="H28" s="80"/>
      <c r="I28" s="80"/>
      <c r="J28" s="80"/>
      <c r="K28" s="80"/>
      <c r="L28" s="80"/>
      <c r="M28" s="80"/>
      <c r="N28" s="80"/>
      <c r="O28" s="80"/>
      <c r="P28" s="80"/>
      <c r="Q28" s="80"/>
      <c r="R28" s="80"/>
      <c r="S28" s="80"/>
      <c r="T28" s="80"/>
      <c r="U28" s="80"/>
      <c r="V28" s="80"/>
      <c r="W28" s="80"/>
      <c r="X28" s="129">
        <f t="shared" si="1"/>
        <v>0</v>
      </c>
      <c r="Y28" s="130"/>
    </row>
    <row r="29" spans="2:25" ht="23.25" hidden="1" customHeight="1">
      <c r="B29" s="313"/>
      <c r="C29" s="80" t="s">
        <v>404</v>
      </c>
      <c r="D29" s="80"/>
      <c r="E29" s="80"/>
      <c r="F29" s="80"/>
      <c r="G29" s="80"/>
      <c r="H29" s="80"/>
      <c r="I29" s="80"/>
      <c r="J29" s="80"/>
      <c r="K29" s="80"/>
      <c r="L29" s="80"/>
      <c r="M29" s="80"/>
      <c r="N29" s="80"/>
      <c r="O29" s="80"/>
      <c r="P29" s="80"/>
      <c r="Q29" s="80"/>
      <c r="R29" s="80"/>
      <c r="S29" s="80"/>
      <c r="T29" s="80"/>
      <c r="U29" s="80"/>
      <c r="V29" s="80"/>
      <c r="W29" s="80"/>
      <c r="X29" s="129">
        <f t="shared" si="1"/>
        <v>0</v>
      </c>
      <c r="Y29" s="130"/>
    </row>
    <row r="30" spans="2:25" ht="23.25" hidden="1" customHeight="1">
      <c r="B30" s="313"/>
      <c r="C30" s="80" t="s">
        <v>405</v>
      </c>
      <c r="D30" s="95"/>
      <c r="E30" s="95"/>
      <c r="F30" s="95"/>
      <c r="G30" s="95"/>
      <c r="H30" s="95"/>
      <c r="I30" s="95"/>
      <c r="J30" s="95"/>
      <c r="K30" s="95"/>
      <c r="L30" s="95"/>
      <c r="M30" s="95"/>
      <c r="N30" s="95"/>
      <c r="O30" s="95"/>
      <c r="P30" s="95"/>
      <c r="Q30" s="95"/>
      <c r="R30" s="95"/>
      <c r="S30" s="314" t="s">
        <v>406</v>
      </c>
      <c r="T30" s="315"/>
      <c r="U30" s="315"/>
      <c r="V30" s="315"/>
      <c r="W30" s="316"/>
      <c r="X30" s="129">
        <f t="shared" si="1"/>
        <v>0</v>
      </c>
      <c r="Y30" s="130"/>
    </row>
    <row r="31" spans="2:25" ht="23.25" hidden="1" customHeight="1">
      <c r="B31" s="313" t="s">
        <v>407</v>
      </c>
      <c r="C31" s="80" t="s">
        <v>400</v>
      </c>
      <c r="D31" s="80"/>
      <c r="E31" s="80"/>
      <c r="F31" s="80"/>
      <c r="G31" s="80"/>
      <c r="H31" s="80"/>
      <c r="I31" s="80"/>
      <c r="J31" s="80"/>
      <c r="K31" s="80"/>
      <c r="L31" s="80"/>
      <c r="M31" s="80"/>
      <c r="N31" s="80"/>
      <c r="O31" s="80"/>
      <c r="P31" s="80"/>
      <c r="Q31" s="80"/>
      <c r="R31" s="80"/>
      <c r="S31" s="80"/>
      <c r="T31" s="80"/>
      <c r="U31" s="80"/>
      <c r="V31" s="80"/>
      <c r="W31" s="80"/>
      <c r="X31" s="129">
        <f t="shared" si="1"/>
        <v>0</v>
      </c>
      <c r="Y31" s="130"/>
    </row>
    <row r="32" spans="2:25" ht="23.25" hidden="1" customHeight="1">
      <c r="B32" s="313"/>
      <c r="C32" s="80" t="s">
        <v>401</v>
      </c>
      <c r="D32" s="80"/>
      <c r="E32" s="80"/>
      <c r="F32" s="80"/>
      <c r="G32" s="80"/>
      <c r="H32" s="80"/>
      <c r="I32" s="80"/>
      <c r="J32" s="80"/>
      <c r="K32" s="80"/>
      <c r="L32" s="80"/>
      <c r="M32" s="80"/>
      <c r="N32" s="80"/>
      <c r="O32" s="80"/>
      <c r="P32" s="80"/>
      <c r="Q32" s="80"/>
      <c r="R32" s="80"/>
      <c r="S32" s="80"/>
      <c r="T32" s="80"/>
      <c r="U32" s="80"/>
      <c r="V32" s="80"/>
      <c r="W32" s="80"/>
      <c r="X32" s="129">
        <f t="shared" si="1"/>
        <v>0</v>
      </c>
      <c r="Y32" s="130"/>
    </row>
    <row r="33" spans="2:25" ht="23.25" hidden="1" customHeight="1">
      <c r="B33" s="313"/>
      <c r="C33" s="80" t="s">
        <v>402</v>
      </c>
      <c r="D33" s="80"/>
      <c r="E33" s="80"/>
      <c r="F33" s="80"/>
      <c r="G33" s="80"/>
      <c r="H33" s="80"/>
      <c r="I33" s="80"/>
      <c r="J33" s="80"/>
      <c r="K33" s="80"/>
      <c r="L33" s="80"/>
      <c r="M33" s="80"/>
      <c r="N33" s="80"/>
      <c r="O33" s="80"/>
      <c r="P33" s="80"/>
      <c r="Q33" s="80"/>
      <c r="R33" s="80"/>
      <c r="S33" s="80"/>
      <c r="T33" s="80"/>
      <c r="U33" s="80"/>
      <c r="V33" s="80"/>
      <c r="W33" s="80"/>
      <c r="X33" s="129">
        <f t="shared" si="1"/>
        <v>0</v>
      </c>
      <c r="Y33" s="130"/>
    </row>
    <row r="34" spans="2:25" ht="23.25" hidden="1" customHeight="1">
      <c r="B34" s="313"/>
      <c r="C34" s="80" t="s">
        <v>403</v>
      </c>
      <c r="D34" s="80"/>
      <c r="E34" s="80"/>
      <c r="F34" s="80"/>
      <c r="G34" s="80"/>
      <c r="H34" s="80"/>
      <c r="I34" s="80"/>
      <c r="J34" s="80"/>
      <c r="K34" s="80"/>
      <c r="L34" s="80"/>
      <c r="M34" s="80"/>
      <c r="N34" s="80"/>
      <c r="O34" s="80"/>
      <c r="P34" s="80"/>
      <c r="Q34" s="80"/>
      <c r="R34" s="80"/>
      <c r="S34" s="80"/>
      <c r="T34" s="80"/>
      <c r="U34" s="80"/>
      <c r="V34" s="80"/>
      <c r="W34" s="80"/>
      <c r="X34" s="129">
        <f t="shared" si="1"/>
        <v>0</v>
      </c>
      <c r="Y34" s="130"/>
    </row>
    <row r="35" spans="2:25" ht="23.25" hidden="1" customHeight="1">
      <c r="B35" s="313"/>
      <c r="C35" s="80" t="s">
        <v>404</v>
      </c>
      <c r="D35" s="80"/>
      <c r="E35" s="80"/>
      <c r="F35" s="80"/>
      <c r="G35" s="80"/>
      <c r="H35" s="80"/>
      <c r="I35" s="80"/>
      <c r="J35" s="80"/>
      <c r="K35" s="80"/>
      <c r="L35" s="80"/>
      <c r="M35" s="80"/>
      <c r="N35" s="80"/>
      <c r="O35" s="80"/>
      <c r="P35" s="80"/>
      <c r="Q35" s="80"/>
      <c r="R35" s="80"/>
      <c r="S35" s="80"/>
      <c r="T35" s="80"/>
      <c r="U35" s="80"/>
      <c r="V35" s="80"/>
      <c r="W35" s="80"/>
      <c r="X35" s="129">
        <f t="shared" si="1"/>
        <v>0</v>
      </c>
      <c r="Y35" s="130"/>
    </row>
    <row r="36" spans="2:25" ht="23.25" hidden="1" customHeight="1">
      <c r="B36" s="313"/>
      <c r="C36" s="80" t="s">
        <v>405</v>
      </c>
      <c r="D36" s="95"/>
      <c r="E36" s="95"/>
      <c r="F36" s="95"/>
      <c r="G36" s="95"/>
      <c r="H36" s="95"/>
      <c r="I36" s="95"/>
      <c r="J36" s="95"/>
      <c r="K36" s="95"/>
      <c r="L36" s="95"/>
      <c r="M36" s="95"/>
      <c r="N36" s="95"/>
      <c r="O36" s="95"/>
      <c r="P36" s="95"/>
      <c r="Q36" s="95"/>
      <c r="R36" s="95"/>
      <c r="S36" s="314" t="s">
        <v>406</v>
      </c>
      <c r="T36" s="315"/>
      <c r="U36" s="315"/>
      <c r="V36" s="315"/>
      <c r="W36" s="316"/>
      <c r="X36" s="129">
        <f t="shared" si="1"/>
        <v>0</v>
      </c>
      <c r="Y36" s="130"/>
    </row>
    <row r="37" spans="2:25" ht="27.75" hidden="1" customHeight="1">
      <c r="B37" s="134"/>
      <c r="C37" s="140"/>
      <c r="D37" s="135"/>
      <c r="E37" s="135"/>
      <c r="F37" s="135"/>
      <c r="G37" s="135"/>
      <c r="H37" s="135"/>
      <c r="I37" s="135"/>
      <c r="J37" s="135"/>
      <c r="K37" s="135"/>
      <c r="L37" s="135"/>
      <c r="M37" s="135"/>
      <c r="N37" s="135"/>
      <c r="O37" s="135"/>
      <c r="P37" s="135"/>
      <c r="Q37" s="135"/>
      <c r="R37" s="135"/>
      <c r="S37" s="135"/>
      <c r="T37" s="135"/>
      <c r="U37" s="135"/>
      <c r="V37" s="135"/>
      <c r="W37" s="135"/>
      <c r="X37" s="136"/>
    </row>
    <row r="38" spans="2:25" ht="26.25" hidden="1" customHeight="1">
      <c r="B38" s="317" t="s">
        <v>371</v>
      </c>
      <c r="C38" s="318" t="s">
        <v>414</v>
      </c>
      <c r="D38" s="137"/>
      <c r="E38" s="137"/>
      <c r="F38" s="137"/>
      <c r="G38" s="137"/>
      <c r="H38" s="137"/>
      <c r="I38" s="137"/>
      <c r="J38" s="137"/>
      <c r="K38" s="137"/>
      <c r="L38" s="137"/>
      <c r="M38" s="137"/>
      <c r="N38" s="137"/>
      <c r="O38" s="137"/>
      <c r="P38" s="137"/>
      <c r="Q38" s="137"/>
      <c r="R38" s="137"/>
      <c r="S38" s="320" t="s">
        <v>374</v>
      </c>
      <c r="T38" s="321"/>
      <c r="U38" s="321"/>
      <c r="V38" s="321"/>
      <c r="W38" s="321"/>
      <c r="X38" s="322"/>
      <c r="Y38" s="317" t="s">
        <v>375</v>
      </c>
    </row>
    <row r="39" spans="2:25" ht="62.25" hidden="1" customHeight="1">
      <c r="B39" s="317"/>
      <c r="C39" s="319"/>
      <c r="D39" s="146"/>
      <c r="E39" s="146"/>
      <c r="F39" s="146"/>
      <c r="G39" s="146"/>
      <c r="H39" s="146"/>
      <c r="I39" s="146"/>
      <c r="J39" s="146"/>
      <c r="K39" s="146"/>
      <c r="L39" s="146"/>
      <c r="M39" s="146"/>
      <c r="N39" s="146"/>
      <c r="O39" s="146"/>
      <c r="P39" s="146"/>
      <c r="Q39" s="146"/>
      <c r="R39" s="146"/>
      <c r="S39" s="147" t="s">
        <v>415</v>
      </c>
      <c r="T39" s="147" t="s">
        <v>416</v>
      </c>
      <c r="U39" s="147" t="s">
        <v>417</v>
      </c>
      <c r="V39" s="147" t="s">
        <v>418</v>
      </c>
      <c r="W39" s="147" t="s">
        <v>419</v>
      </c>
      <c r="X39" s="148" t="s">
        <v>14</v>
      </c>
      <c r="Y39" s="317"/>
    </row>
    <row r="40" spans="2:25" ht="23.25" hidden="1" customHeight="1">
      <c r="B40" s="313" t="s">
        <v>399</v>
      </c>
      <c r="C40" s="141" t="s">
        <v>400</v>
      </c>
      <c r="D40" s="141"/>
      <c r="E40" s="141"/>
      <c r="F40" s="141"/>
      <c r="G40" s="141"/>
      <c r="H40" s="141"/>
      <c r="I40" s="141"/>
      <c r="J40" s="141"/>
      <c r="K40" s="141"/>
      <c r="L40" s="141"/>
      <c r="M40" s="141"/>
      <c r="N40" s="141"/>
      <c r="O40" s="141"/>
      <c r="P40" s="141"/>
      <c r="Q40" s="141"/>
      <c r="R40" s="141"/>
      <c r="S40" s="80"/>
      <c r="T40" s="80"/>
      <c r="U40" s="80"/>
      <c r="V40" s="80"/>
      <c r="W40" s="80"/>
      <c r="X40" s="149">
        <f t="shared" ref="X40:X51" si="2">SUM(S40:W40)</f>
        <v>0</v>
      </c>
      <c r="Y40" s="130"/>
    </row>
    <row r="41" spans="2:25" ht="23.25" hidden="1" customHeight="1">
      <c r="B41" s="313"/>
      <c r="C41" s="141" t="s">
        <v>401</v>
      </c>
      <c r="D41" s="141"/>
      <c r="E41" s="141"/>
      <c r="F41" s="141"/>
      <c r="G41" s="141"/>
      <c r="H41" s="141"/>
      <c r="I41" s="141"/>
      <c r="J41" s="141"/>
      <c r="K41" s="141"/>
      <c r="L41" s="141"/>
      <c r="M41" s="141"/>
      <c r="N41" s="141"/>
      <c r="O41" s="141"/>
      <c r="P41" s="141"/>
      <c r="Q41" s="141"/>
      <c r="R41" s="141"/>
      <c r="S41" s="80"/>
      <c r="T41" s="80"/>
      <c r="U41" s="80"/>
      <c r="V41" s="80"/>
      <c r="W41" s="80"/>
      <c r="X41" s="149">
        <f t="shared" si="2"/>
        <v>0</v>
      </c>
      <c r="Y41" s="130"/>
    </row>
    <row r="42" spans="2:25" ht="23.25" hidden="1" customHeight="1">
      <c r="B42" s="313"/>
      <c r="C42" s="141" t="s">
        <v>402</v>
      </c>
      <c r="D42" s="141"/>
      <c r="E42" s="141"/>
      <c r="F42" s="141"/>
      <c r="G42" s="141"/>
      <c r="H42" s="141"/>
      <c r="I42" s="141"/>
      <c r="J42" s="141"/>
      <c r="K42" s="141"/>
      <c r="L42" s="141"/>
      <c r="M42" s="141"/>
      <c r="N42" s="141"/>
      <c r="O42" s="141"/>
      <c r="P42" s="141"/>
      <c r="Q42" s="141"/>
      <c r="R42" s="141"/>
      <c r="S42" s="80"/>
      <c r="T42" s="80"/>
      <c r="U42" s="80"/>
      <c r="V42" s="80"/>
      <c r="W42" s="80"/>
      <c r="X42" s="149">
        <f t="shared" si="2"/>
        <v>0</v>
      </c>
      <c r="Y42" s="130"/>
    </row>
    <row r="43" spans="2:25" ht="23.25" hidden="1" customHeight="1">
      <c r="B43" s="313"/>
      <c r="C43" s="141" t="s">
        <v>403</v>
      </c>
      <c r="D43" s="141"/>
      <c r="E43" s="141"/>
      <c r="F43" s="141"/>
      <c r="G43" s="141"/>
      <c r="H43" s="141"/>
      <c r="I43" s="141"/>
      <c r="J43" s="141"/>
      <c r="K43" s="141"/>
      <c r="L43" s="141"/>
      <c r="M43" s="141"/>
      <c r="N43" s="141"/>
      <c r="O43" s="141"/>
      <c r="P43" s="141"/>
      <c r="Q43" s="141"/>
      <c r="R43" s="141"/>
      <c r="S43" s="80"/>
      <c r="T43" s="80"/>
      <c r="U43" s="80"/>
      <c r="V43" s="80"/>
      <c r="W43" s="80"/>
      <c r="X43" s="149">
        <f t="shared" si="2"/>
        <v>0</v>
      </c>
      <c r="Y43" s="130"/>
    </row>
    <row r="44" spans="2:25" ht="23.25" hidden="1" customHeight="1">
      <c r="B44" s="313"/>
      <c r="C44" s="80" t="s">
        <v>404</v>
      </c>
      <c r="D44" s="80"/>
      <c r="E44" s="80"/>
      <c r="F44" s="80"/>
      <c r="G44" s="80"/>
      <c r="H44" s="80"/>
      <c r="I44" s="80"/>
      <c r="J44" s="80"/>
      <c r="K44" s="80"/>
      <c r="L44" s="80"/>
      <c r="M44" s="80"/>
      <c r="N44" s="80"/>
      <c r="O44" s="80"/>
      <c r="P44" s="80"/>
      <c r="Q44" s="80"/>
      <c r="R44" s="80"/>
      <c r="S44" s="80"/>
      <c r="T44" s="80"/>
      <c r="U44" s="80"/>
      <c r="V44" s="80"/>
      <c r="W44" s="80"/>
      <c r="X44" s="149">
        <f t="shared" si="2"/>
        <v>0</v>
      </c>
      <c r="Y44" s="130"/>
    </row>
    <row r="45" spans="2:25" ht="23.25" hidden="1" customHeight="1">
      <c r="B45" s="313"/>
      <c r="C45" s="80" t="s">
        <v>405</v>
      </c>
      <c r="D45" s="95"/>
      <c r="E45" s="95"/>
      <c r="F45" s="95"/>
      <c r="G45" s="95"/>
      <c r="H45" s="95"/>
      <c r="I45" s="95"/>
      <c r="J45" s="95"/>
      <c r="K45" s="95"/>
      <c r="L45" s="95"/>
      <c r="M45" s="95"/>
      <c r="N45" s="95"/>
      <c r="O45" s="95"/>
      <c r="P45" s="95"/>
      <c r="Q45" s="95"/>
      <c r="R45" s="95"/>
      <c r="S45" s="314" t="s">
        <v>406</v>
      </c>
      <c r="T45" s="315"/>
      <c r="U45" s="315"/>
      <c r="V45" s="315"/>
      <c r="W45" s="316"/>
      <c r="X45" s="149">
        <f t="shared" si="2"/>
        <v>0</v>
      </c>
      <c r="Y45" s="130"/>
    </row>
    <row r="46" spans="2:25" ht="23.25" hidden="1" customHeight="1">
      <c r="B46" s="313" t="s">
        <v>407</v>
      </c>
      <c r="C46" s="141" t="s">
        <v>400</v>
      </c>
      <c r="D46" s="141"/>
      <c r="E46" s="141"/>
      <c r="F46" s="141"/>
      <c r="G46" s="141"/>
      <c r="H46" s="141"/>
      <c r="I46" s="141"/>
      <c r="J46" s="141"/>
      <c r="K46" s="141"/>
      <c r="L46" s="141"/>
      <c r="M46" s="141"/>
      <c r="N46" s="141"/>
      <c r="O46" s="141"/>
      <c r="P46" s="141"/>
      <c r="Q46" s="141"/>
      <c r="R46" s="141"/>
      <c r="S46" s="80"/>
      <c r="T46" s="80"/>
      <c r="U46" s="80"/>
      <c r="V46" s="80"/>
      <c r="W46" s="80"/>
      <c r="X46" s="149">
        <f t="shared" si="2"/>
        <v>0</v>
      </c>
      <c r="Y46" s="130"/>
    </row>
    <row r="47" spans="2:25" ht="23.25" hidden="1" customHeight="1">
      <c r="B47" s="313"/>
      <c r="C47" s="141" t="s">
        <v>401</v>
      </c>
      <c r="D47" s="141"/>
      <c r="E47" s="141"/>
      <c r="F47" s="141"/>
      <c r="G47" s="141"/>
      <c r="H47" s="141"/>
      <c r="I47" s="141"/>
      <c r="J47" s="141"/>
      <c r="K47" s="141"/>
      <c r="L47" s="141"/>
      <c r="M47" s="141"/>
      <c r="N47" s="141"/>
      <c r="O47" s="141"/>
      <c r="P47" s="141"/>
      <c r="Q47" s="141"/>
      <c r="R47" s="141"/>
      <c r="S47" s="80"/>
      <c r="T47" s="80"/>
      <c r="U47" s="80"/>
      <c r="V47" s="80"/>
      <c r="W47" s="80"/>
      <c r="X47" s="149">
        <f t="shared" si="2"/>
        <v>0</v>
      </c>
      <c r="Y47" s="130"/>
    </row>
    <row r="48" spans="2:25" ht="23.25" hidden="1" customHeight="1">
      <c r="B48" s="313"/>
      <c r="C48" s="141" t="s">
        <v>402</v>
      </c>
      <c r="D48" s="141"/>
      <c r="E48" s="141"/>
      <c r="F48" s="141"/>
      <c r="G48" s="141"/>
      <c r="H48" s="141"/>
      <c r="I48" s="141"/>
      <c r="J48" s="141"/>
      <c r="K48" s="141"/>
      <c r="L48" s="141"/>
      <c r="M48" s="141"/>
      <c r="N48" s="141"/>
      <c r="O48" s="141"/>
      <c r="P48" s="141"/>
      <c r="Q48" s="141"/>
      <c r="R48" s="141"/>
      <c r="S48" s="80"/>
      <c r="T48" s="80"/>
      <c r="U48" s="80"/>
      <c r="V48" s="80"/>
      <c r="W48" s="80"/>
      <c r="X48" s="149">
        <f t="shared" si="2"/>
        <v>0</v>
      </c>
      <c r="Y48" s="130"/>
    </row>
    <row r="49" spans="2:25" ht="23.25" hidden="1" customHeight="1">
      <c r="B49" s="313"/>
      <c r="C49" s="141" t="s">
        <v>403</v>
      </c>
      <c r="D49" s="141"/>
      <c r="E49" s="141"/>
      <c r="F49" s="141"/>
      <c r="G49" s="141"/>
      <c r="H49" s="141"/>
      <c r="I49" s="141"/>
      <c r="J49" s="141"/>
      <c r="K49" s="141"/>
      <c r="L49" s="141"/>
      <c r="M49" s="141"/>
      <c r="N49" s="141"/>
      <c r="O49" s="141"/>
      <c r="P49" s="141"/>
      <c r="Q49" s="141"/>
      <c r="R49" s="141"/>
      <c r="S49" s="80"/>
      <c r="T49" s="80"/>
      <c r="U49" s="80"/>
      <c r="V49" s="80"/>
      <c r="W49" s="80"/>
      <c r="X49" s="149">
        <f t="shared" si="2"/>
        <v>0</v>
      </c>
      <c r="Y49" s="130"/>
    </row>
    <row r="50" spans="2:25" ht="23.25" hidden="1" customHeight="1">
      <c r="B50" s="313"/>
      <c r="C50" s="80" t="s">
        <v>404</v>
      </c>
      <c r="D50" s="80"/>
      <c r="E50" s="80"/>
      <c r="F50" s="80"/>
      <c r="G50" s="80"/>
      <c r="H50" s="80"/>
      <c r="I50" s="80"/>
      <c r="J50" s="80"/>
      <c r="K50" s="80"/>
      <c r="L50" s="80"/>
      <c r="M50" s="80"/>
      <c r="N50" s="80"/>
      <c r="O50" s="80"/>
      <c r="P50" s="80"/>
      <c r="Q50" s="80"/>
      <c r="R50" s="80"/>
      <c r="S50" s="80"/>
      <c r="T50" s="80"/>
      <c r="U50" s="80"/>
      <c r="V50" s="80"/>
      <c r="W50" s="80"/>
      <c r="X50" s="149">
        <f t="shared" si="2"/>
        <v>0</v>
      </c>
      <c r="Y50" s="130"/>
    </row>
    <row r="51" spans="2:25" ht="23.25" hidden="1" customHeight="1">
      <c r="B51" s="313"/>
      <c r="C51" s="80" t="s">
        <v>405</v>
      </c>
      <c r="D51" s="95"/>
      <c r="E51" s="95"/>
      <c r="F51" s="95"/>
      <c r="G51" s="95"/>
      <c r="H51" s="95"/>
      <c r="I51" s="95"/>
      <c r="J51" s="95"/>
      <c r="K51" s="95"/>
      <c r="L51" s="95"/>
      <c r="M51" s="95"/>
      <c r="N51" s="95"/>
      <c r="O51" s="95"/>
      <c r="P51" s="95"/>
      <c r="Q51" s="95"/>
      <c r="R51" s="95"/>
      <c r="S51" s="314" t="s">
        <v>406</v>
      </c>
      <c r="T51" s="315"/>
      <c r="U51" s="315"/>
      <c r="V51" s="315"/>
      <c r="W51" s="316"/>
      <c r="X51" s="149">
        <f t="shared" si="2"/>
        <v>0</v>
      </c>
      <c r="Y51" s="130"/>
    </row>
  </sheetData>
  <mergeCells count="26">
    <mergeCell ref="Y4:Y5"/>
    <mergeCell ref="B6:B9"/>
    <mergeCell ref="B10:B15"/>
    <mergeCell ref="S15:W15"/>
    <mergeCell ref="B16:B21"/>
    <mergeCell ref="S21:W21"/>
    <mergeCell ref="S4:X4"/>
    <mergeCell ref="B4:B5"/>
    <mergeCell ref="C4:C5"/>
    <mergeCell ref="D4:R4"/>
    <mergeCell ref="Y38:Y39"/>
    <mergeCell ref="B23:B24"/>
    <mergeCell ref="C23:C24"/>
    <mergeCell ref="S23:X23"/>
    <mergeCell ref="Y23:Y24"/>
    <mergeCell ref="B25:B30"/>
    <mergeCell ref="S30:W30"/>
    <mergeCell ref="B40:B45"/>
    <mergeCell ref="S45:W45"/>
    <mergeCell ref="B46:B51"/>
    <mergeCell ref="S51:W51"/>
    <mergeCell ref="B31:B36"/>
    <mergeCell ref="S36:W36"/>
    <mergeCell ref="B38:B39"/>
    <mergeCell ref="C38:C39"/>
    <mergeCell ref="S38:X38"/>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6AE1-B549-40A4-88DE-57FDCB337759}">
  <dimension ref="B1:AW52"/>
  <sheetViews>
    <sheetView workbookViewId="0">
      <selection activeCell="AY14" sqref="AY14"/>
    </sheetView>
  </sheetViews>
  <sheetFormatPr defaultRowHeight="13.2"/>
  <cols>
    <col min="2" max="2" width="36.21875" hidden="1" customWidth="1"/>
    <col min="3" max="3" width="9.5546875" hidden="1" customWidth="1"/>
    <col min="4" max="4" width="8.5546875" hidden="1" customWidth="1"/>
    <col min="5" max="5" width="14.77734375" hidden="1" customWidth="1"/>
    <col min="6" max="6" width="12.77734375" hidden="1" customWidth="1"/>
    <col min="7" max="7" width="10.21875" hidden="1" customWidth="1"/>
    <col min="8" max="8" width="13.21875" hidden="1" customWidth="1"/>
    <col min="9" max="9" width="8.77734375" hidden="1" customWidth="1"/>
    <col min="10" max="13" width="0" hidden="1" customWidth="1"/>
    <col min="14" max="14" width="8.21875" hidden="1" customWidth="1"/>
    <col min="15" max="15" width="8.77734375" hidden="1" customWidth="1"/>
    <col min="16" max="16" width="9.5546875" hidden="1" customWidth="1"/>
    <col min="17" max="17" width="8.77734375" hidden="1" customWidth="1"/>
    <col min="18" max="18" width="10" hidden="1" customWidth="1"/>
    <col min="19" max="23" width="36.21875" hidden="1" customWidth="1"/>
    <col min="24" max="26" width="15.44140625" hidden="1" customWidth="1"/>
    <col min="27" max="27" width="13.77734375" hidden="1" customWidth="1"/>
    <col min="28" max="28" width="26.21875" style="121" hidden="1" customWidth="1"/>
    <col min="29" max="31" width="0" hidden="1" customWidth="1"/>
    <col min="32" max="32" width="38.77734375" customWidth="1"/>
    <col min="33" max="34" width="8.77734375" bestFit="1" customWidth="1"/>
    <col min="35" max="35" width="14.77734375" bestFit="1" customWidth="1"/>
    <col min="36" max="36" width="13" bestFit="1" customWidth="1"/>
    <col min="37" max="37" width="10.77734375" bestFit="1" customWidth="1"/>
    <col min="38" max="38" width="13.44140625" bestFit="1" customWidth="1"/>
    <col min="39" max="47" width="9.5546875" bestFit="1" customWidth="1"/>
    <col min="48" max="48" width="10" bestFit="1" customWidth="1"/>
    <col min="49" max="49" width="10.5546875" style="121" bestFit="1" customWidth="1"/>
  </cols>
  <sheetData>
    <row r="1" spans="2:49" ht="15.6">
      <c r="B1" s="168" t="s">
        <v>420</v>
      </c>
      <c r="C1" s="168"/>
      <c r="D1" s="168"/>
      <c r="E1" s="168"/>
      <c r="F1" s="168"/>
      <c r="G1" s="168"/>
      <c r="H1" s="168"/>
      <c r="I1" s="168"/>
      <c r="J1" s="168"/>
      <c r="K1" s="168"/>
      <c r="L1" s="168"/>
      <c r="M1" s="168"/>
      <c r="N1" s="168"/>
      <c r="O1" s="168"/>
      <c r="P1" s="168"/>
      <c r="Q1" s="168"/>
      <c r="R1" s="168"/>
      <c r="S1" s="168"/>
      <c r="T1" s="168"/>
      <c r="U1" s="168"/>
      <c r="V1" s="168"/>
      <c r="W1" s="168"/>
      <c r="X1" s="168"/>
      <c r="Y1" s="168"/>
      <c r="Z1" s="168"/>
      <c r="AF1" s="168" t="s">
        <v>421</v>
      </c>
      <c r="AG1" s="168"/>
      <c r="AH1" s="168"/>
      <c r="AI1" s="168"/>
      <c r="AJ1" s="168"/>
      <c r="AK1" s="168"/>
      <c r="AL1" s="168"/>
      <c r="AM1" s="168"/>
      <c r="AN1" s="168"/>
      <c r="AO1" s="168"/>
      <c r="AP1" s="168"/>
      <c r="AQ1" s="168"/>
      <c r="AR1" s="168"/>
      <c r="AS1" s="168"/>
      <c r="AT1" s="168"/>
      <c r="AU1" s="168"/>
    </row>
    <row r="2" spans="2:49" ht="14.4">
      <c r="B2" s="139" t="s">
        <v>422</v>
      </c>
      <c r="C2" s="139" t="str">
        <f>+AG2</f>
        <v>P1</v>
      </c>
      <c r="D2" s="139" t="str">
        <f t="shared" ref="D2:W2" si="0">+AH2</f>
        <v>P2</v>
      </c>
      <c r="E2" s="139" t="str">
        <f t="shared" si="0"/>
        <v>P3</v>
      </c>
      <c r="F2" s="139" t="str">
        <f t="shared" si="0"/>
        <v>P4</v>
      </c>
      <c r="G2" s="139" t="str">
        <f t="shared" si="0"/>
        <v>P5</v>
      </c>
      <c r="H2" s="139" t="str">
        <f t="shared" si="0"/>
        <v>P6</v>
      </c>
      <c r="I2" s="139" t="str">
        <f t="shared" si="0"/>
        <v>W6</v>
      </c>
      <c r="J2" s="139" t="str">
        <f t="shared" si="0"/>
        <v>A3</v>
      </c>
      <c r="K2" s="139" t="str">
        <f t="shared" si="0"/>
        <v>A4</v>
      </c>
      <c r="L2" s="139" t="str">
        <f t="shared" si="0"/>
        <v>W8</v>
      </c>
      <c r="M2" s="139" t="str">
        <f t="shared" si="0"/>
        <v>W5</v>
      </c>
      <c r="N2" s="139" t="str">
        <f t="shared" si="0"/>
        <v>W3</v>
      </c>
      <c r="O2" s="139" t="str">
        <f t="shared" si="0"/>
        <v>W4</v>
      </c>
      <c r="P2" s="139" t="str">
        <f t="shared" si="0"/>
        <v>W7</v>
      </c>
      <c r="Q2" s="139" t="str">
        <f t="shared" si="0"/>
        <v>W9</v>
      </c>
      <c r="R2" s="139" t="str">
        <f t="shared" si="0"/>
        <v>Total (m3)</v>
      </c>
      <c r="S2" s="139" t="str">
        <f t="shared" si="0"/>
        <v>Comments</v>
      </c>
      <c r="T2" s="139">
        <f t="shared" si="0"/>
        <v>0</v>
      </c>
      <c r="U2" s="139">
        <f t="shared" si="0"/>
        <v>0</v>
      </c>
      <c r="V2" s="139">
        <f t="shared" si="0"/>
        <v>0</v>
      </c>
      <c r="W2" s="139">
        <f t="shared" si="0"/>
        <v>0</v>
      </c>
      <c r="X2" s="139" t="s">
        <v>423</v>
      </c>
      <c r="Y2" s="139" t="s">
        <v>424</v>
      </c>
      <c r="Z2" s="139" t="s">
        <v>425</v>
      </c>
      <c r="AA2" s="169" t="s">
        <v>426</v>
      </c>
      <c r="AB2" s="138" t="s">
        <v>427</v>
      </c>
      <c r="AF2" s="139" t="s">
        <v>428</v>
      </c>
      <c r="AG2" s="139" t="s">
        <v>376</v>
      </c>
      <c r="AH2" s="139" t="s">
        <v>377</v>
      </c>
      <c r="AI2" s="139" t="s">
        <v>378</v>
      </c>
      <c r="AJ2" s="139" t="s">
        <v>379</v>
      </c>
      <c r="AK2" s="139" t="s">
        <v>380</v>
      </c>
      <c r="AL2" s="139" t="s">
        <v>215</v>
      </c>
      <c r="AM2" s="139" t="s">
        <v>429</v>
      </c>
      <c r="AN2" s="139" t="s">
        <v>382</v>
      </c>
      <c r="AO2" s="139" t="s">
        <v>383</v>
      </c>
      <c r="AP2" s="139" t="s">
        <v>430</v>
      </c>
      <c r="AQ2" s="139" t="s">
        <v>431</v>
      </c>
      <c r="AR2" s="139" t="s">
        <v>432</v>
      </c>
      <c r="AS2" s="139" t="s">
        <v>433</v>
      </c>
      <c r="AT2" s="139" t="s">
        <v>434</v>
      </c>
      <c r="AU2" s="139" t="s">
        <v>435</v>
      </c>
      <c r="AV2" s="169" t="s">
        <v>426</v>
      </c>
      <c r="AW2" s="138" t="s">
        <v>427</v>
      </c>
    </row>
    <row r="3" spans="2:49">
      <c r="B3" s="329" t="s">
        <v>436</v>
      </c>
      <c r="C3" s="330"/>
      <c r="D3" s="330"/>
      <c r="E3" s="330"/>
      <c r="F3" s="330"/>
      <c r="G3" s="330"/>
      <c r="H3" s="330"/>
      <c r="I3" s="330"/>
      <c r="J3" s="330"/>
      <c r="K3" s="330"/>
      <c r="L3" s="330"/>
      <c r="M3" s="330"/>
      <c r="N3" s="330"/>
      <c r="O3" s="330"/>
      <c r="P3" s="330"/>
      <c r="Q3" s="330"/>
      <c r="R3" s="330"/>
      <c r="S3" s="330"/>
      <c r="T3" s="330"/>
      <c r="U3" s="330"/>
      <c r="V3" s="330"/>
      <c r="W3" s="330"/>
      <c r="X3" s="330"/>
      <c r="Y3" s="330"/>
      <c r="Z3" s="330"/>
      <c r="AA3" s="330"/>
      <c r="AB3" s="331"/>
      <c r="AF3" s="329" t="s">
        <v>437</v>
      </c>
      <c r="AG3" s="330"/>
      <c r="AH3" s="330"/>
      <c r="AI3" s="330"/>
      <c r="AJ3" s="330"/>
      <c r="AK3" s="330"/>
      <c r="AL3" s="330"/>
      <c r="AM3" s="330"/>
      <c r="AN3" s="330"/>
      <c r="AO3" s="330"/>
      <c r="AP3" s="330"/>
      <c r="AQ3" s="330"/>
      <c r="AR3" s="330"/>
      <c r="AS3" s="330"/>
      <c r="AT3" s="330"/>
      <c r="AU3" s="330"/>
      <c r="AV3" s="330"/>
      <c r="AW3" s="331"/>
    </row>
    <row r="4" spans="2:49" s="133" customFormat="1" ht="14.4">
      <c r="B4" s="92" t="s">
        <v>438</v>
      </c>
      <c r="C4" s="170"/>
      <c r="D4" s="170">
        <f t="shared" ref="D4:H4" si="1">+AH4</f>
        <v>568569.88082637009</v>
      </c>
      <c r="E4" s="171">
        <f t="shared" si="1"/>
        <v>5812126.4775417224</v>
      </c>
      <c r="F4" s="171">
        <f t="shared" si="1"/>
        <v>1116339.9968363105</v>
      </c>
      <c r="G4" s="171">
        <f t="shared" si="1"/>
        <v>1372948.4848276458</v>
      </c>
      <c r="H4" s="171">
        <f t="shared" si="1"/>
        <v>3843896.0224313708</v>
      </c>
      <c r="I4" s="170"/>
      <c r="J4" s="172"/>
      <c r="K4" s="172"/>
      <c r="L4" s="172"/>
      <c r="M4" s="172"/>
      <c r="N4" s="172"/>
      <c r="O4" s="172"/>
      <c r="P4" s="172"/>
      <c r="Q4" s="172"/>
      <c r="R4" s="172"/>
      <c r="S4" s="172"/>
      <c r="T4" s="172"/>
      <c r="U4" s="172"/>
      <c r="V4" s="172"/>
      <c r="W4" s="172"/>
      <c r="X4" s="172"/>
      <c r="Y4" s="172"/>
      <c r="Z4" s="172"/>
      <c r="AA4" s="132">
        <f>SUM(C4:Z4)</f>
        <v>12713880.862463418</v>
      </c>
      <c r="AB4" s="145"/>
      <c r="AF4" s="172" t="s">
        <v>439</v>
      </c>
      <c r="AG4" s="238">
        <v>1638064.1311463704</v>
      </c>
      <c r="AH4" s="238">
        <v>568569.88082637009</v>
      </c>
      <c r="AI4" s="238">
        <v>5812126.4775417224</v>
      </c>
      <c r="AJ4" s="238">
        <v>1116339.9968363105</v>
      </c>
      <c r="AK4" s="238">
        <v>1372948.4848276458</v>
      </c>
      <c r="AL4" s="238">
        <v>3843896.0224313708</v>
      </c>
      <c r="AM4" s="173"/>
      <c r="AN4" s="173"/>
      <c r="AO4" s="173"/>
      <c r="AP4" s="173"/>
      <c r="AQ4" s="173"/>
      <c r="AR4" s="173"/>
      <c r="AS4" s="173"/>
      <c r="AT4" s="173"/>
      <c r="AU4" s="173"/>
      <c r="AV4" s="132">
        <f>SUM(AG4:AU4)</f>
        <v>14351944.99360979</v>
      </c>
      <c r="AW4" s="145"/>
    </row>
    <row r="5" spans="2:49" s="133" customFormat="1" ht="14.4">
      <c r="B5" s="172" t="s">
        <v>440</v>
      </c>
      <c r="C5" s="173"/>
      <c r="D5" s="173"/>
      <c r="E5" s="173"/>
      <c r="F5" s="173"/>
      <c r="G5" s="173"/>
      <c r="H5" s="173"/>
      <c r="I5" s="173"/>
      <c r="J5" s="174">
        <v>300000</v>
      </c>
      <c r="K5" s="174">
        <v>400000</v>
      </c>
      <c r="L5" s="174">
        <v>500000</v>
      </c>
      <c r="M5" s="174">
        <v>400000</v>
      </c>
      <c r="N5" s="173"/>
      <c r="O5" s="174">
        <v>100000</v>
      </c>
      <c r="P5" s="173"/>
      <c r="Q5" s="174">
        <v>100000</v>
      </c>
      <c r="R5" s="172"/>
      <c r="S5" s="172"/>
      <c r="T5" s="172"/>
      <c r="U5" s="172"/>
      <c r="V5" s="172"/>
      <c r="W5" s="172"/>
      <c r="X5" s="172"/>
      <c r="Y5" s="172"/>
      <c r="Z5" s="172"/>
      <c r="AA5" s="132">
        <f>SUM(C5:Z5)</f>
        <v>1800000</v>
      </c>
      <c r="AB5" s="130" t="s">
        <v>441</v>
      </c>
      <c r="AF5" s="172" t="s">
        <v>442</v>
      </c>
      <c r="AG5" s="172"/>
      <c r="AH5" s="172"/>
      <c r="AI5" s="172"/>
      <c r="AJ5" s="172"/>
      <c r="AK5" s="172"/>
      <c r="AL5" s="172"/>
      <c r="AM5" s="238">
        <v>835943.44340637012</v>
      </c>
      <c r="AN5" s="238">
        <v>434883.09953637002</v>
      </c>
      <c r="AO5" s="238">
        <v>568569.88082637009</v>
      </c>
      <c r="AP5" s="238">
        <v>702256.66211637016</v>
      </c>
      <c r="AQ5" s="238">
        <v>568569.88082637009</v>
      </c>
      <c r="AR5" s="238">
        <v>167509.53695637002</v>
      </c>
      <c r="AS5" s="238">
        <v>167509.53695637002</v>
      </c>
      <c r="AT5" s="238">
        <v>180878.21508537003</v>
      </c>
      <c r="AU5" s="238">
        <v>167509.53695637002</v>
      </c>
      <c r="AV5" s="132">
        <f>SUM(AG5:AU5)</f>
        <v>3793629.7926663295</v>
      </c>
      <c r="AW5" s="145"/>
    </row>
    <row r="6" spans="2:49">
      <c r="B6" s="92" t="s">
        <v>443</v>
      </c>
      <c r="C6" s="92"/>
      <c r="D6" s="92"/>
      <c r="E6" s="92"/>
      <c r="F6" s="92"/>
      <c r="G6" s="92"/>
      <c r="H6" s="92"/>
      <c r="I6" s="92"/>
      <c r="J6" s="92"/>
      <c r="K6" s="92"/>
      <c r="L6" s="92"/>
      <c r="M6" s="92"/>
      <c r="N6" s="92"/>
      <c r="O6" s="92"/>
      <c r="P6" s="92"/>
      <c r="Q6" s="92"/>
      <c r="R6" s="92"/>
      <c r="S6" s="92"/>
      <c r="T6" s="92"/>
      <c r="U6" s="92"/>
      <c r="V6" s="92"/>
      <c r="W6" s="92"/>
      <c r="X6" s="92"/>
      <c r="Y6" s="92"/>
      <c r="Z6" s="92"/>
      <c r="AA6" s="129">
        <f t="shared" ref="AA6:AA7" si="2">SUM(X6:Z6)</f>
        <v>0</v>
      </c>
      <c r="AB6" s="130"/>
      <c r="AF6" s="92" t="s">
        <v>443</v>
      </c>
      <c r="AG6" s="92"/>
      <c r="AH6" s="92"/>
      <c r="AI6" s="92"/>
      <c r="AJ6" s="92"/>
      <c r="AK6" s="92"/>
      <c r="AL6" s="92"/>
      <c r="AM6" s="92"/>
      <c r="AN6" s="92"/>
      <c r="AO6" s="92"/>
      <c r="AP6" s="92"/>
      <c r="AQ6" s="92"/>
      <c r="AR6" s="92"/>
      <c r="AS6" s="92"/>
      <c r="AT6" s="92"/>
      <c r="AU6" s="92"/>
      <c r="AV6" s="129">
        <f t="shared" ref="AV6:AV7" si="3">SUM(AS6:AU6)</f>
        <v>0</v>
      </c>
      <c r="AW6" s="130"/>
    </row>
    <row r="7" spans="2:49">
      <c r="B7" s="92" t="s">
        <v>444</v>
      </c>
      <c r="C7" s="92"/>
      <c r="D7" s="92"/>
      <c r="E7" s="92"/>
      <c r="F7" s="92"/>
      <c r="G7" s="92"/>
      <c r="H7" s="92"/>
      <c r="I7" s="92"/>
      <c r="J7" s="92"/>
      <c r="K7" s="92"/>
      <c r="L7" s="92"/>
      <c r="M7" s="92"/>
      <c r="N7" s="92"/>
      <c r="O7" s="92"/>
      <c r="P7" s="92"/>
      <c r="Q7" s="92"/>
      <c r="R7" s="92"/>
      <c r="S7" s="92"/>
      <c r="T7" s="92"/>
      <c r="U7" s="92"/>
      <c r="V7" s="92"/>
      <c r="W7" s="92"/>
      <c r="X7" s="92"/>
      <c r="Y7" s="92"/>
      <c r="Z7" s="92"/>
      <c r="AA7" s="129">
        <f t="shared" si="2"/>
        <v>0</v>
      </c>
      <c r="AB7" s="130"/>
      <c r="AF7" s="92" t="s">
        <v>444</v>
      </c>
      <c r="AG7" s="92"/>
      <c r="AH7" s="92"/>
      <c r="AI7" s="92"/>
      <c r="AJ7" s="92"/>
      <c r="AK7" s="92"/>
      <c r="AL7" s="92"/>
      <c r="AM7" s="92"/>
      <c r="AN7" s="92"/>
      <c r="AO7" s="92"/>
      <c r="AP7" s="92"/>
      <c r="AQ7" s="92"/>
      <c r="AR7" s="92"/>
      <c r="AS7" s="92"/>
      <c r="AT7" s="92"/>
      <c r="AU7" s="92"/>
      <c r="AV7" s="129">
        <f t="shared" si="3"/>
        <v>0</v>
      </c>
      <c r="AW7" s="130"/>
    </row>
    <row r="8" spans="2:49">
      <c r="B8" s="329" t="s">
        <v>445</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1"/>
      <c r="AF8" s="329" t="s">
        <v>445</v>
      </c>
      <c r="AG8" s="330"/>
      <c r="AH8" s="330"/>
      <c r="AI8" s="330"/>
      <c r="AJ8" s="330"/>
      <c r="AK8" s="330"/>
      <c r="AL8" s="330"/>
      <c r="AM8" s="330"/>
      <c r="AN8" s="330"/>
      <c r="AO8" s="330"/>
      <c r="AP8" s="330"/>
      <c r="AQ8" s="330"/>
      <c r="AR8" s="330"/>
      <c r="AS8" s="330"/>
      <c r="AT8" s="330"/>
      <c r="AU8" s="330"/>
      <c r="AV8" s="330"/>
      <c r="AW8" s="331"/>
    </row>
    <row r="9" spans="2:49">
      <c r="B9" s="92" t="s">
        <v>446</v>
      </c>
      <c r="C9" s="92"/>
      <c r="D9" s="92"/>
      <c r="E9" s="92"/>
      <c r="F9" s="92"/>
      <c r="G9" s="92"/>
      <c r="H9" s="92"/>
      <c r="I9" s="92"/>
      <c r="J9" s="92"/>
      <c r="K9" s="92"/>
      <c r="L9" s="92"/>
      <c r="M9" s="92"/>
      <c r="N9" s="92"/>
      <c r="O9" s="92"/>
      <c r="P9" s="92"/>
      <c r="Q9" s="92"/>
      <c r="R9" s="92"/>
      <c r="S9" s="92"/>
      <c r="T9" s="92"/>
      <c r="U9" s="92"/>
      <c r="V9" s="92"/>
      <c r="W9" s="92"/>
      <c r="X9" s="92"/>
      <c r="Y9" s="92"/>
      <c r="Z9" s="92"/>
      <c r="AA9" s="129">
        <f t="shared" ref="AA9:AA47" si="4">SUM(X9:Z9)</f>
        <v>0</v>
      </c>
      <c r="AB9" s="130"/>
      <c r="AF9" s="92" t="s">
        <v>446</v>
      </c>
      <c r="AG9" s="92"/>
      <c r="AH9" s="92"/>
      <c r="AI9" s="92"/>
      <c r="AJ9" s="92"/>
      <c r="AK9" s="92"/>
      <c r="AL9" s="92"/>
      <c r="AM9" s="92"/>
      <c r="AN9" s="92"/>
      <c r="AO9" s="92"/>
      <c r="AP9" s="92"/>
      <c r="AQ9" s="92"/>
      <c r="AR9" s="92"/>
      <c r="AS9" s="92"/>
      <c r="AT9" s="92"/>
      <c r="AU9" s="92"/>
      <c r="AV9" s="129">
        <f>SUM(AS9:AU9)</f>
        <v>0</v>
      </c>
      <c r="AW9" s="130"/>
    </row>
    <row r="10" spans="2:49">
      <c r="B10" s="92" t="s">
        <v>447</v>
      </c>
      <c r="C10" s="92"/>
      <c r="D10" s="92"/>
      <c r="E10" s="92"/>
      <c r="F10" s="92"/>
      <c r="G10" s="92"/>
      <c r="H10" s="92"/>
      <c r="I10" s="92"/>
      <c r="J10" s="92"/>
      <c r="K10" s="92"/>
      <c r="L10" s="92"/>
      <c r="M10" s="92"/>
      <c r="N10" s="92"/>
      <c r="O10" s="92"/>
      <c r="P10" s="92"/>
      <c r="Q10" s="92"/>
      <c r="R10" s="92"/>
      <c r="S10" s="92"/>
      <c r="T10" s="92"/>
      <c r="U10" s="92"/>
      <c r="V10" s="92"/>
      <c r="W10" s="92"/>
      <c r="X10" s="92"/>
      <c r="Y10" s="92"/>
      <c r="Z10" s="92"/>
      <c r="AA10" s="129">
        <f t="shared" si="4"/>
        <v>0</v>
      </c>
      <c r="AB10" s="130"/>
      <c r="AF10" s="92" t="s">
        <v>447</v>
      </c>
      <c r="AG10" s="92"/>
      <c r="AH10" s="92"/>
      <c r="AI10" s="92"/>
      <c r="AJ10" s="92"/>
      <c r="AK10" s="92"/>
      <c r="AL10" s="92"/>
      <c r="AM10" s="92"/>
      <c r="AN10" s="92"/>
      <c r="AO10" s="92"/>
      <c r="AP10" s="92"/>
      <c r="AQ10" s="92"/>
      <c r="AR10" s="92"/>
      <c r="AS10" s="92"/>
      <c r="AT10" s="92"/>
      <c r="AU10" s="92"/>
      <c r="AV10" s="129">
        <f t="shared" ref="AV10:AV12" si="5">SUM(AS10:AU10)</f>
        <v>0</v>
      </c>
      <c r="AW10" s="130"/>
    </row>
    <row r="11" spans="2:49">
      <c r="B11" s="92" t="s">
        <v>448</v>
      </c>
      <c r="C11" s="92"/>
      <c r="D11" s="92"/>
      <c r="E11" s="92"/>
      <c r="F11" s="92"/>
      <c r="G11" s="92"/>
      <c r="H11" s="92"/>
      <c r="I11" s="92"/>
      <c r="J11" s="92"/>
      <c r="K11" s="92"/>
      <c r="L11" s="92"/>
      <c r="M11" s="92"/>
      <c r="N11" s="92"/>
      <c r="O11" s="92"/>
      <c r="P11" s="92"/>
      <c r="Q11" s="92"/>
      <c r="R11" s="92"/>
      <c r="S11" s="92"/>
      <c r="T11" s="92"/>
      <c r="U11" s="92"/>
      <c r="V11" s="92"/>
      <c r="W11" s="92"/>
      <c r="X11" s="92"/>
      <c r="Y11" s="92"/>
      <c r="Z11" s="92"/>
      <c r="AA11" s="129">
        <f t="shared" si="4"/>
        <v>0</v>
      </c>
      <c r="AB11" s="130"/>
      <c r="AF11" s="92" t="s">
        <v>448</v>
      </c>
      <c r="AG11" s="92"/>
      <c r="AH11" s="92"/>
      <c r="AI11" s="92"/>
      <c r="AJ11" s="92"/>
      <c r="AK11" s="92"/>
      <c r="AL11" s="92"/>
      <c r="AM11" s="92"/>
      <c r="AN11" s="92"/>
      <c r="AO11" s="92"/>
      <c r="AP11" s="92"/>
      <c r="AQ11" s="92"/>
      <c r="AR11" s="92"/>
      <c r="AS11" s="92"/>
      <c r="AT11" s="92"/>
      <c r="AU11" s="92"/>
      <c r="AV11" s="129">
        <f t="shared" si="5"/>
        <v>0</v>
      </c>
      <c r="AW11" s="130"/>
    </row>
    <row r="12" spans="2:49">
      <c r="B12" s="80" t="s">
        <v>449</v>
      </c>
      <c r="C12" s="80"/>
      <c r="D12" s="80"/>
      <c r="E12" s="80"/>
      <c r="F12" s="80"/>
      <c r="G12" s="80"/>
      <c r="H12" s="80"/>
      <c r="I12" s="80"/>
      <c r="J12" s="80"/>
      <c r="K12" s="80"/>
      <c r="L12" s="80"/>
      <c r="M12" s="80"/>
      <c r="N12" s="80"/>
      <c r="O12" s="80"/>
      <c r="P12" s="80"/>
      <c r="Q12" s="80"/>
      <c r="R12" s="80"/>
      <c r="S12" s="80"/>
      <c r="T12" s="80"/>
      <c r="U12" s="80"/>
      <c r="V12" s="80"/>
      <c r="W12" s="80"/>
      <c r="X12" s="80"/>
      <c r="Y12" s="80"/>
      <c r="Z12" s="80"/>
      <c r="AA12" s="129">
        <f t="shared" si="4"/>
        <v>0</v>
      </c>
      <c r="AB12" s="130"/>
      <c r="AF12" s="80" t="s">
        <v>449</v>
      </c>
      <c r="AG12" s="80"/>
      <c r="AH12" s="80"/>
      <c r="AI12" s="80"/>
      <c r="AJ12" s="80"/>
      <c r="AK12" s="80"/>
      <c r="AL12" s="80"/>
      <c r="AM12" s="80"/>
      <c r="AN12" s="80"/>
      <c r="AO12" s="80"/>
      <c r="AP12" s="80"/>
      <c r="AQ12" s="80"/>
      <c r="AR12" s="80"/>
      <c r="AS12" s="80"/>
      <c r="AT12" s="80"/>
      <c r="AU12" s="80"/>
      <c r="AV12" s="129">
        <f t="shared" si="5"/>
        <v>0</v>
      </c>
      <c r="AW12" s="130"/>
    </row>
    <row r="13" spans="2:49">
      <c r="B13" s="329" t="s">
        <v>450</v>
      </c>
      <c r="C13" s="330"/>
      <c r="D13" s="330"/>
      <c r="E13" s="330"/>
      <c r="F13" s="330"/>
      <c r="G13" s="330"/>
      <c r="H13" s="330"/>
      <c r="I13" s="330"/>
      <c r="J13" s="330"/>
      <c r="K13" s="330"/>
      <c r="L13" s="330"/>
      <c r="M13" s="330"/>
      <c r="N13" s="330"/>
      <c r="O13" s="330"/>
      <c r="P13" s="330"/>
      <c r="Q13" s="330"/>
      <c r="R13" s="330"/>
      <c r="S13" s="330"/>
      <c r="T13" s="330"/>
      <c r="U13" s="330"/>
      <c r="V13" s="330"/>
      <c r="W13" s="330"/>
      <c r="X13" s="330"/>
      <c r="Y13" s="330"/>
      <c r="Z13" s="330"/>
      <c r="AA13" s="330"/>
      <c r="AB13" s="331"/>
      <c r="AF13" s="329" t="s">
        <v>450</v>
      </c>
      <c r="AG13" s="330"/>
      <c r="AH13" s="330"/>
      <c r="AI13" s="330"/>
      <c r="AJ13" s="330"/>
      <c r="AK13" s="330"/>
      <c r="AL13" s="330"/>
      <c r="AM13" s="330"/>
      <c r="AN13" s="330"/>
      <c r="AO13" s="330"/>
      <c r="AP13" s="330"/>
      <c r="AQ13" s="330"/>
      <c r="AR13" s="330"/>
      <c r="AS13" s="330"/>
      <c r="AT13" s="330"/>
      <c r="AU13" s="330"/>
      <c r="AV13" s="330"/>
      <c r="AW13" s="331"/>
    </row>
    <row r="14" spans="2:49" ht="39.6">
      <c r="B14" s="131" t="s">
        <v>210</v>
      </c>
      <c r="C14" s="175">
        <v>517079.74999999983</v>
      </c>
      <c r="D14" s="131"/>
      <c r="E14" s="131"/>
      <c r="F14" s="131"/>
      <c r="G14" s="131"/>
      <c r="H14" s="131"/>
      <c r="I14" s="175">
        <v>487189.05999999994</v>
      </c>
      <c r="J14" s="131"/>
      <c r="K14" s="175">
        <v>542263.77</v>
      </c>
      <c r="L14" s="131"/>
      <c r="M14" s="131"/>
      <c r="N14" s="175">
        <v>366634.47000000003</v>
      </c>
      <c r="O14" s="131"/>
      <c r="P14" s="175">
        <v>1539595.4700000002</v>
      </c>
      <c r="Q14" s="80"/>
      <c r="R14" s="80"/>
      <c r="S14" s="80"/>
      <c r="T14" s="80"/>
      <c r="U14" s="80"/>
      <c r="V14" s="80"/>
      <c r="W14" s="80"/>
      <c r="X14" s="80"/>
      <c r="Y14" s="80"/>
      <c r="Z14" s="80"/>
      <c r="AA14" s="132">
        <f>SUM(C14:Z14)</f>
        <v>3452762.52</v>
      </c>
      <c r="AB14" s="130" t="s">
        <v>451</v>
      </c>
      <c r="AF14" s="92" t="s">
        <v>210</v>
      </c>
      <c r="AG14" s="92"/>
      <c r="AH14" s="92"/>
      <c r="AI14" s="92"/>
      <c r="AJ14" s="92"/>
      <c r="AK14" s="92"/>
      <c r="AL14" s="92"/>
      <c r="AM14" s="92"/>
      <c r="AN14" s="92"/>
      <c r="AO14" s="92"/>
      <c r="AP14" s="92"/>
      <c r="AQ14" s="92"/>
      <c r="AR14" s="92"/>
      <c r="AS14" s="92"/>
      <c r="AT14" s="92"/>
      <c r="AU14" s="92"/>
      <c r="AV14" s="129">
        <f>SUM(AG14:AU14)</f>
        <v>0</v>
      </c>
      <c r="AW14" s="130"/>
    </row>
    <row r="15" spans="2:49">
      <c r="B15" s="80" t="s">
        <v>220</v>
      </c>
      <c r="C15" s="80"/>
      <c r="D15" s="80"/>
      <c r="E15" s="80"/>
      <c r="F15" s="80"/>
      <c r="G15" s="80"/>
      <c r="H15" s="80"/>
      <c r="I15" s="80"/>
      <c r="J15" s="80"/>
      <c r="K15" s="80"/>
      <c r="L15" s="80"/>
      <c r="M15" s="80"/>
      <c r="N15" s="80"/>
      <c r="O15" s="80"/>
      <c r="P15" s="80"/>
      <c r="Q15" s="80"/>
      <c r="R15" s="80"/>
      <c r="S15" s="80"/>
      <c r="T15" s="80"/>
      <c r="U15" s="80"/>
      <c r="V15" s="80"/>
      <c r="W15" s="80"/>
      <c r="X15" s="80"/>
      <c r="Y15" s="80"/>
      <c r="Z15" s="80"/>
      <c r="AA15" s="129">
        <f t="shared" si="4"/>
        <v>0</v>
      </c>
      <c r="AB15" s="130"/>
      <c r="AF15" s="80" t="s">
        <v>220</v>
      </c>
      <c r="AG15" s="80"/>
      <c r="AH15" s="80"/>
      <c r="AI15" s="80"/>
      <c r="AJ15" s="80"/>
      <c r="AK15" s="80"/>
      <c r="AL15" s="80"/>
      <c r="AM15" s="80"/>
      <c r="AN15" s="80"/>
      <c r="AO15" s="80"/>
      <c r="AP15" s="80"/>
      <c r="AQ15" s="80"/>
      <c r="AR15" s="80"/>
      <c r="AS15" s="80"/>
      <c r="AT15" s="80"/>
      <c r="AU15" s="80"/>
      <c r="AV15" s="129">
        <f t="shared" ref="AV15:AV17" si="6">SUM(AS15:AU15)</f>
        <v>0</v>
      </c>
      <c r="AW15" s="130"/>
    </row>
    <row r="16" spans="2:49">
      <c r="B16" s="80" t="s">
        <v>452</v>
      </c>
      <c r="C16" s="80"/>
      <c r="D16" s="80"/>
      <c r="E16" s="80"/>
      <c r="F16" s="80"/>
      <c r="G16" s="80"/>
      <c r="H16" s="80"/>
      <c r="I16" s="80"/>
      <c r="J16" s="80"/>
      <c r="K16" s="80"/>
      <c r="L16" s="80"/>
      <c r="M16" s="80"/>
      <c r="N16" s="80"/>
      <c r="O16" s="80"/>
      <c r="P16" s="80"/>
      <c r="Q16" s="80"/>
      <c r="R16" s="80"/>
      <c r="S16" s="80"/>
      <c r="T16" s="80"/>
      <c r="U16" s="80"/>
      <c r="V16" s="80"/>
      <c r="W16" s="80"/>
      <c r="X16" s="80"/>
      <c r="Y16" s="80"/>
      <c r="Z16" s="80"/>
      <c r="AA16" s="129">
        <f t="shared" si="4"/>
        <v>0</v>
      </c>
      <c r="AB16" s="130"/>
      <c r="AF16" s="80" t="s">
        <v>452</v>
      </c>
      <c r="AG16" s="80"/>
      <c r="AH16" s="80"/>
      <c r="AI16" s="80"/>
      <c r="AJ16" s="80"/>
      <c r="AK16" s="80"/>
      <c r="AL16" s="80"/>
      <c r="AM16" s="80"/>
      <c r="AN16" s="80"/>
      <c r="AO16" s="80"/>
      <c r="AP16" s="80"/>
      <c r="AQ16" s="80"/>
      <c r="AR16" s="80"/>
      <c r="AS16" s="80"/>
      <c r="AT16" s="80"/>
      <c r="AU16" s="80"/>
      <c r="AV16" s="129">
        <f t="shared" si="6"/>
        <v>0</v>
      </c>
      <c r="AW16" s="130"/>
    </row>
    <row r="17" spans="2:49">
      <c r="B17" s="80" t="s">
        <v>453</v>
      </c>
      <c r="C17" s="80"/>
      <c r="D17" s="80"/>
      <c r="E17" s="80"/>
      <c r="F17" s="80"/>
      <c r="G17" s="80"/>
      <c r="H17" s="80"/>
      <c r="I17" s="80"/>
      <c r="J17" s="80"/>
      <c r="K17" s="80"/>
      <c r="L17" s="80"/>
      <c r="M17" s="80"/>
      <c r="N17" s="80"/>
      <c r="O17" s="80"/>
      <c r="P17" s="80"/>
      <c r="Q17" s="80"/>
      <c r="R17" s="80"/>
      <c r="S17" s="80"/>
      <c r="T17" s="80"/>
      <c r="U17" s="80"/>
      <c r="V17" s="80"/>
      <c r="W17" s="80"/>
      <c r="X17" s="80"/>
      <c r="Y17" s="80"/>
      <c r="Z17" s="80"/>
      <c r="AA17" s="129">
        <f t="shared" si="4"/>
        <v>0</v>
      </c>
      <c r="AB17" s="130"/>
      <c r="AF17" s="80" t="s">
        <v>453</v>
      </c>
      <c r="AG17" s="80"/>
      <c r="AH17" s="80"/>
      <c r="AI17" s="80"/>
      <c r="AJ17" s="80"/>
      <c r="AK17" s="80"/>
      <c r="AL17" s="80"/>
      <c r="AM17" s="80"/>
      <c r="AN17" s="80"/>
      <c r="AO17" s="80"/>
      <c r="AP17" s="80"/>
      <c r="AQ17" s="80"/>
      <c r="AR17" s="80"/>
      <c r="AS17" s="80"/>
      <c r="AT17" s="80"/>
      <c r="AU17" s="80"/>
      <c r="AV17" s="129">
        <f t="shared" si="6"/>
        <v>0</v>
      </c>
      <c r="AW17" s="130"/>
    </row>
    <row r="18" spans="2:49">
      <c r="B18" s="329" t="s">
        <v>454</v>
      </c>
      <c r="C18" s="330"/>
      <c r="D18" s="330"/>
      <c r="E18" s="330"/>
      <c r="F18" s="330"/>
      <c r="G18" s="330"/>
      <c r="H18" s="330"/>
      <c r="I18" s="330"/>
      <c r="J18" s="330"/>
      <c r="K18" s="330"/>
      <c r="L18" s="330"/>
      <c r="M18" s="330"/>
      <c r="N18" s="330"/>
      <c r="O18" s="330"/>
      <c r="P18" s="330"/>
      <c r="Q18" s="330"/>
      <c r="R18" s="330"/>
      <c r="S18" s="330"/>
      <c r="T18" s="330"/>
      <c r="U18" s="330"/>
      <c r="V18" s="330"/>
      <c r="W18" s="330"/>
      <c r="X18" s="330"/>
      <c r="Y18" s="330"/>
      <c r="Z18" s="330"/>
      <c r="AA18" s="330"/>
      <c r="AB18" s="331"/>
      <c r="AF18" s="329" t="s">
        <v>454</v>
      </c>
      <c r="AG18" s="330"/>
      <c r="AH18" s="330"/>
      <c r="AI18" s="330"/>
      <c r="AJ18" s="330"/>
      <c r="AK18" s="330"/>
      <c r="AL18" s="330"/>
      <c r="AM18" s="330"/>
      <c r="AN18" s="330"/>
      <c r="AO18" s="330"/>
      <c r="AP18" s="330"/>
      <c r="AQ18" s="330"/>
      <c r="AR18" s="330"/>
      <c r="AS18" s="330"/>
      <c r="AT18" s="330"/>
      <c r="AU18" s="330"/>
      <c r="AV18" s="330"/>
      <c r="AW18" s="331"/>
    </row>
    <row r="19" spans="2:49">
      <c r="B19" s="80" t="s">
        <v>455</v>
      </c>
      <c r="C19" s="80"/>
      <c r="D19" s="80"/>
      <c r="E19" s="80"/>
      <c r="F19" s="80"/>
      <c r="G19" s="80"/>
      <c r="H19" s="80"/>
      <c r="I19" s="80"/>
      <c r="J19" s="80"/>
      <c r="K19" s="80"/>
      <c r="L19" s="80"/>
      <c r="M19" s="80"/>
      <c r="N19" s="80"/>
      <c r="O19" s="80"/>
      <c r="P19" s="80"/>
      <c r="Q19" s="80"/>
      <c r="R19" s="80"/>
      <c r="S19" s="80"/>
      <c r="T19" s="80"/>
      <c r="U19" s="80"/>
      <c r="V19" s="80"/>
      <c r="W19" s="80"/>
      <c r="X19" s="80"/>
      <c r="Y19" s="80"/>
      <c r="Z19" s="80"/>
      <c r="AA19" s="129">
        <f t="shared" si="4"/>
        <v>0</v>
      </c>
      <c r="AB19" s="130"/>
      <c r="AF19" s="80" t="s">
        <v>455</v>
      </c>
      <c r="AG19" s="80"/>
      <c r="AH19" s="80"/>
      <c r="AI19" s="80"/>
      <c r="AJ19" s="80"/>
      <c r="AK19" s="80"/>
      <c r="AL19" s="80"/>
      <c r="AM19" s="80"/>
      <c r="AN19" s="80"/>
      <c r="AO19" s="80"/>
      <c r="AP19" s="80"/>
      <c r="AQ19" s="80"/>
      <c r="AR19" s="80"/>
      <c r="AS19" s="80"/>
      <c r="AT19" s="80"/>
      <c r="AU19" s="80"/>
      <c r="AV19" s="129">
        <f>SUM(AS19:AU19)</f>
        <v>0</v>
      </c>
      <c r="AW19" s="130"/>
    </row>
    <row r="20" spans="2:49">
      <c r="B20" s="80" t="s">
        <v>456</v>
      </c>
      <c r="C20" s="80"/>
      <c r="D20" s="80"/>
      <c r="E20" s="80"/>
      <c r="F20" s="80"/>
      <c r="G20" s="80"/>
      <c r="H20" s="80"/>
      <c r="I20" s="80"/>
      <c r="J20" s="80"/>
      <c r="K20" s="80"/>
      <c r="L20" s="80"/>
      <c r="M20" s="80"/>
      <c r="N20" s="80"/>
      <c r="O20" s="80"/>
      <c r="P20" s="80"/>
      <c r="Q20" s="80"/>
      <c r="R20" s="80"/>
      <c r="S20" s="80"/>
      <c r="T20" s="80"/>
      <c r="U20" s="80"/>
      <c r="V20" s="80"/>
      <c r="W20" s="80"/>
      <c r="X20" s="80"/>
      <c r="Y20" s="80"/>
      <c r="Z20" s="80"/>
      <c r="AA20" s="129">
        <f t="shared" si="4"/>
        <v>0</v>
      </c>
      <c r="AB20" s="130"/>
      <c r="AF20" s="80" t="s">
        <v>456</v>
      </c>
      <c r="AG20" s="80"/>
      <c r="AH20" s="80"/>
      <c r="AI20" s="80"/>
      <c r="AJ20" s="80"/>
      <c r="AK20" s="80"/>
      <c r="AL20" s="80"/>
      <c r="AM20" s="80"/>
      <c r="AN20" s="80"/>
      <c r="AO20" s="80"/>
      <c r="AP20" s="80"/>
      <c r="AQ20" s="80"/>
      <c r="AR20" s="80"/>
      <c r="AS20" s="80"/>
      <c r="AT20" s="80"/>
      <c r="AU20" s="80"/>
      <c r="AV20" s="129">
        <f t="shared" ref="AV20:AV22" si="7">SUM(AS20:AU20)</f>
        <v>0</v>
      </c>
      <c r="AW20" s="130"/>
    </row>
    <row r="21" spans="2:49">
      <c r="B21" s="80" t="s">
        <v>457</v>
      </c>
      <c r="C21" s="80"/>
      <c r="D21" s="80"/>
      <c r="E21" s="80"/>
      <c r="F21" s="80"/>
      <c r="G21" s="80"/>
      <c r="H21" s="80"/>
      <c r="I21" s="80"/>
      <c r="J21" s="80"/>
      <c r="K21" s="80"/>
      <c r="L21" s="80"/>
      <c r="M21" s="80"/>
      <c r="N21" s="80"/>
      <c r="O21" s="80"/>
      <c r="P21" s="80"/>
      <c r="Q21" s="80"/>
      <c r="R21" s="80"/>
      <c r="S21" s="80"/>
      <c r="T21" s="80"/>
      <c r="U21" s="80"/>
      <c r="V21" s="80"/>
      <c r="W21" s="80"/>
      <c r="X21" s="80"/>
      <c r="Y21" s="80"/>
      <c r="Z21" s="80"/>
      <c r="AA21" s="129">
        <f t="shared" si="4"/>
        <v>0</v>
      </c>
      <c r="AB21" s="130"/>
      <c r="AF21" s="80" t="s">
        <v>457</v>
      </c>
      <c r="AG21" s="80"/>
      <c r="AH21" s="80"/>
      <c r="AI21" s="80"/>
      <c r="AJ21" s="80"/>
      <c r="AK21" s="80"/>
      <c r="AL21" s="80"/>
      <c r="AM21" s="80"/>
      <c r="AN21" s="80"/>
      <c r="AO21" s="80"/>
      <c r="AP21" s="80"/>
      <c r="AQ21" s="80"/>
      <c r="AR21" s="80"/>
      <c r="AS21" s="80"/>
      <c r="AT21" s="80"/>
      <c r="AU21" s="80"/>
      <c r="AV21" s="129">
        <f t="shared" si="7"/>
        <v>0</v>
      </c>
      <c r="AW21" s="130"/>
    </row>
    <row r="22" spans="2:49">
      <c r="B22" s="80" t="s">
        <v>458</v>
      </c>
      <c r="C22" s="80"/>
      <c r="D22" s="80"/>
      <c r="E22" s="80"/>
      <c r="F22" s="80"/>
      <c r="G22" s="80"/>
      <c r="H22" s="80"/>
      <c r="I22" s="80"/>
      <c r="J22" s="80"/>
      <c r="K22" s="80"/>
      <c r="L22" s="80"/>
      <c r="M22" s="80"/>
      <c r="N22" s="80"/>
      <c r="O22" s="80"/>
      <c r="P22" s="80"/>
      <c r="Q22" s="80"/>
      <c r="R22" s="80"/>
      <c r="S22" s="80"/>
      <c r="T22" s="80"/>
      <c r="U22" s="80"/>
      <c r="V22" s="80"/>
      <c r="W22" s="80"/>
      <c r="X22" s="80"/>
      <c r="Y22" s="80"/>
      <c r="Z22" s="80"/>
      <c r="AA22" s="129">
        <f t="shared" si="4"/>
        <v>0</v>
      </c>
      <c r="AB22" s="130"/>
      <c r="AF22" s="80" t="s">
        <v>458</v>
      </c>
      <c r="AG22" s="80"/>
      <c r="AH22" s="80"/>
      <c r="AI22" s="80"/>
      <c r="AJ22" s="80"/>
      <c r="AK22" s="80"/>
      <c r="AL22" s="80"/>
      <c r="AM22" s="80"/>
      <c r="AN22" s="80"/>
      <c r="AO22" s="80"/>
      <c r="AP22" s="80"/>
      <c r="AQ22" s="80"/>
      <c r="AR22" s="80"/>
      <c r="AS22" s="80"/>
      <c r="AT22" s="80"/>
      <c r="AU22" s="80"/>
      <c r="AV22" s="129">
        <f t="shared" si="7"/>
        <v>0</v>
      </c>
      <c r="AW22" s="130"/>
    </row>
    <row r="23" spans="2:49">
      <c r="B23" s="329" t="s">
        <v>459</v>
      </c>
      <c r="C23" s="330"/>
      <c r="D23" s="330"/>
      <c r="E23" s="330"/>
      <c r="F23" s="330"/>
      <c r="G23" s="330"/>
      <c r="H23" s="330"/>
      <c r="I23" s="330"/>
      <c r="J23" s="330"/>
      <c r="K23" s="330"/>
      <c r="L23" s="330"/>
      <c r="M23" s="330"/>
      <c r="N23" s="330"/>
      <c r="O23" s="330"/>
      <c r="P23" s="330"/>
      <c r="Q23" s="330"/>
      <c r="R23" s="330"/>
      <c r="S23" s="330"/>
      <c r="T23" s="330"/>
      <c r="U23" s="330"/>
      <c r="V23" s="330"/>
      <c r="W23" s="330"/>
      <c r="X23" s="330"/>
      <c r="Y23" s="330"/>
      <c r="Z23" s="330"/>
      <c r="AA23" s="330"/>
      <c r="AB23" s="331"/>
      <c r="AF23" s="329" t="s">
        <v>459</v>
      </c>
      <c r="AG23" s="330"/>
      <c r="AH23" s="330"/>
      <c r="AI23" s="330"/>
      <c r="AJ23" s="330"/>
      <c r="AK23" s="330"/>
      <c r="AL23" s="330"/>
      <c r="AM23" s="330"/>
      <c r="AN23" s="330"/>
      <c r="AO23" s="330"/>
      <c r="AP23" s="330"/>
      <c r="AQ23" s="330"/>
      <c r="AR23" s="330"/>
      <c r="AS23" s="330"/>
      <c r="AT23" s="330"/>
      <c r="AU23" s="330"/>
      <c r="AV23" s="330"/>
      <c r="AW23" s="331"/>
    </row>
    <row r="24" spans="2:49">
      <c r="B24" s="80" t="s">
        <v>460</v>
      </c>
      <c r="C24" s="80"/>
      <c r="D24" s="80"/>
      <c r="E24" s="80"/>
      <c r="F24" s="80"/>
      <c r="G24" s="80"/>
      <c r="H24" s="80"/>
      <c r="I24" s="80"/>
      <c r="J24" s="80"/>
      <c r="K24" s="80"/>
      <c r="L24" s="80"/>
      <c r="M24" s="80"/>
      <c r="N24" s="80"/>
      <c r="O24" s="80"/>
      <c r="P24" s="80"/>
      <c r="Q24" s="80"/>
      <c r="R24" s="80"/>
      <c r="S24" s="80"/>
      <c r="T24" s="80"/>
      <c r="U24" s="80"/>
      <c r="V24" s="80"/>
      <c r="W24" s="80"/>
      <c r="X24" s="80"/>
      <c r="Y24" s="80"/>
      <c r="Z24" s="80"/>
      <c r="AA24" s="129">
        <f t="shared" si="4"/>
        <v>0</v>
      </c>
      <c r="AB24" s="130"/>
      <c r="AF24" s="80" t="s">
        <v>460</v>
      </c>
      <c r="AG24" s="80"/>
      <c r="AH24" s="80"/>
      <c r="AI24" s="80"/>
      <c r="AJ24" s="80"/>
      <c r="AK24" s="80"/>
      <c r="AL24" s="80"/>
      <c r="AM24" s="80"/>
      <c r="AN24" s="80"/>
      <c r="AO24" s="80"/>
      <c r="AP24" s="80"/>
      <c r="AQ24" s="80"/>
      <c r="AR24" s="80"/>
      <c r="AS24" s="80"/>
      <c r="AT24" s="80"/>
      <c r="AU24" s="80"/>
      <c r="AV24" s="129">
        <f>SUM(AS24:AU24)</f>
        <v>0</v>
      </c>
      <c r="AW24" s="130"/>
    </row>
    <row r="25" spans="2:49">
      <c r="B25" s="80" t="s">
        <v>461</v>
      </c>
      <c r="C25" s="80"/>
      <c r="D25" s="80"/>
      <c r="E25" s="80"/>
      <c r="F25" s="80"/>
      <c r="G25" s="80"/>
      <c r="H25" s="80"/>
      <c r="I25" s="80"/>
      <c r="J25" s="80"/>
      <c r="K25" s="80"/>
      <c r="L25" s="80"/>
      <c r="M25" s="80"/>
      <c r="N25" s="80"/>
      <c r="O25" s="80"/>
      <c r="P25" s="80"/>
      <c r="Q25" s="80"/>
      <c r="R25" s="80"/>
      <c r="S25" s="80"/>
      <c r="T25" s="80"/>
      <c r="U25" s="80"/>
      <c r="V25" s="80"/>
      <c r="W25" s="80"/>
      <c r="X25" s="80"/>
      <c r="Y25" s="80"/>
      <c r="Z25" s="80"/>
      <c r="AA25" s="129">
        <f t="shared" si="4"/>
        <v>0</v>
      </c>
      <c r="AB25" s="130"/>
      <c r="AF25" s="80" t="s">
        <v>461</v>
      </c>
      <c r="AG25" s="80"/>
      <c r="AH25" s="80"/>
      <c r="AI25" s="80"/>
      <c r="AJ25" s="80"/>
      <c r="AK25" s="80"/>
      <c r="AL25" s="80"/>
      <c r="AM25" s="80"/>
      <c r="AN25" s="80"/>
      <c r="AO25" s="80"/>
      <c r="AP25" s="80"/>
      <c r="AQ25" s="80"/>
      <c r="AR25" s="80"/>
      <c r="AS25" s="80"/>
      <c r="AT25" s="80"/>
      <c r="AU25" s="80"/>
      <c r="AV25" s="129">
        <f t="shared" ref="AV25:AV27" si="8">SUM(AS25:AU25)</f>
        <v>0</v>
      </c>
      <c r="AW25" s="130"/>
    </row>
    <row r="26" spans="2:49">
      <c r="B26" s="80" t="s">
        <v>462</v>
      </c>
      <c r="C26" s="80"/>
      <c r="D26" s="80"/>
      <c r="E26" s="80"/>
      <c r="F26" s="80"/>
      <c r="G26" s="80"/>
      <c r="H26" s="80"/>
      <c r="I26" s="80"/>
      <c r="J26" s="80"/>
      <c r="K26" s="80"/>
      <c r="L26" s="80"/>
      <c r="M26" s="80"/>
      <c r="N26" s="80"/>
      <c r="O26" s="80"/>
      <c r="P26" s="80"/>
      <c r="Q26" s="80"/>
      <c r="R26" s="80"/>
      <c r="S26" s="80"/>
      <c r="T26" s="80"/>
      <c r="U26" s="80"/>
      <c r="V26" s="80"/>
      <c r="W26" s="80"/>
      <c r="X26" s="80"/>
      <c r="Y26" s="80"/>
      <c r="Z26" s="80"/>
      <c r="AA26" s="129">
        <f t="shared" si="4"/>
        <v>0</v>
      </c>
      <c r="AB26" s="130"/>
      <c r="AF26" s="80" t="s">
        <v>462</v>
      </c>
      <c r="AG26" s="80"/>
      <c r="AH26" s="80"/>
      <c r="AI26" s="80"/>
      <c r="AJ26" s="80"/>
      <c r="AK26" s="80"/>
      <c r="AL26" s="80"/>
      <c r="AM26" s="80"/>
      <c r="AN26" s="80"/>
      <c r="AO26" s="80"/>
      <c r="AP26" s="80"/>
      <c r="AQ26" s="80"/>
      <c r="AR26" s="80"/>
      <c r="AS26" s="80"/>
      <c r="AT26" s="80"/>
      <c r="AU26" s="80"/>
      <c r="AV26" s="129">
        <f t="shared" si="8"/>
        <v>0</v>
      </c>
      <c r="AW26" s="130"/>
    </row>
    <row r="27" spans="2:49">
      <c r="B27" s="80" t="s">
        <v>463</v>
      </c>
      <c r="C27" s="80"/>
      <c r="D27" s="80"/>
      <c r="E27" s="80"/>
      <c r="F27" s="80"/>
      <c r="G27" s="80"/>
      <c r="H27" s="80"/>
      <c r="I27" s="80"/>
      <c r="J27" s="80"/>
      <c r="K27" s="80"/>
      <c r="L27" s="80"/>
      <c r="M27" s="80"/>
      <c r="N27" s="80"/>
      <c r="O27" s="80"/>
      <c r="P27" s="80"/>
      <c r="Q27" s="80"/>
      <c r="R27" s="80"/>
      <c r="S27" s="80"/>
      <c r="T27" s="80"/>
      <c r="U27" s="80"/>
      <c r="V27" s="80"/>
      <c r="W27" s="80"/>
      <c r="X27" s="80"/>
      <c r="Y27" s="80"/>
      <c r="Z27" s="80"/>
      <c r="AA27" s="129">
        <f t="shared" si="4"/>
        <v>0</v>
      </c>
      <c r="AB27" s="130"/>
      <c r="AF27" s="80" t="s">
        <v>463</v>
      </c>
      <c r="AG27" s="80"/>
      <c r="AH27" s="80"/>
      <c r="AI27" s="80"/>
      <c r="AJ27" s="80"/>
      <c r="AK27" s="80"/>
      <c r="AL27" s="80"/>
      <c r="AM27" s="80"/>
      <c r="AN27" s="80"/>
      <c r="AO27" s="80"/>
      <c r="AP27" s="80"/>
      <c r="AQ27" s="80"/>
      <c r="AR27" s="80"/>
      <c r="AS27" s="80"/>
      <c r="AT27" s="80"/>
      <c r="AU27" s="80"/>
      <c r="AV27" s="129">
        <f t="shared" si="8"/>
        <v>0</v>
      </c>
      <c r="AW27" s="130"/>
    </row>
    <row r="28" spans="2:49">
      <c r="B28" s="329" t="s">
        <v>464</v>
      </c>
      <c r="C28" s="330"/>
      <c r="D28" s="330"/>
      <c r="E28" s="330"/>
      <c r="F28" s="330"/>
      <c r="G28" s="330"/>
      <c r="H28" s="330"/>
      <c r="I28" s="330"/>
      <c r="J28" s="330"/>
      <c r="K28" s="330"/>
      <c r="L28" s="330"/>
      <c r="M28" s="330"/>
      <c r="N28" s="330"/>
      <c r="O28" s="330"/>
      <c r="P28" s="330"/>
      <c r="Q28" s="330"/>
      <c r="R28" s="330"/>
      <c r="S28" s="330"/>
      <c r="T28" s="330"/>
      <c r="U28" s="330"/>
      <c r="V28" s="330"/>
      <c r="W28" s="330"/>
      <c r="X28" s="330"/>
      <c r="Y28" s="330"/>
      <c r="Z28" s="330"/>
      <c r="AA28" s="330"/>
      <c r="AB28" s="331"/>
      <c r="AF28" s="329" t="s">
        <v>464</v>
      </c>
      <c r="AG28" s="330"/>
      <c r="AH28" s="330"/>
      <c r="AI28" s="330"/>
      <c r="AJ28" s="330"/>
      <c r="AK28" s="330"/>
      <c r="AL28" s="330"/>
      <c r="AM28" s="330"/>
      <c r="AN28" s="330"/>
      <c r="AO28" s="330"/>
      <c r="AP28" s="330"/>
      <c r="AQ28" s="330"/>
      <c r="AR28" s="330"/>
      <c r="AS28" s="330"/>
      <c r="AT28" s="330"/>
      <c r="AU28" s="330"/>
      <c r="AV28" s="330"/>
      <c r="AW28" s="331"/>
    </row>
    <row r="29" spans="2:49">
      <c r="B29" s="80" t="s">
        <v>465</v>
      </c>
      <c r="C29" s="80"/>
      <c r="D29" s="80"/>
      <c r="E29" s="80"/>
      <c r="F29" s="80"/>
      <c r="G29" s="80"/>
      <c r="H29" s="80"/>
      <c r="I29" s="80"/>
      <c r="J29" s="80"/>
      <c r="K29" s="80"/>
      <c r="L29" s="80"/>
      <c r="M29" s="80"/>
      <c r="N29" s="80"/>
      <c r="O29" s="80"/>
      <c r="P29" s="80"/>
      <c r="Q29" s="80"/>
      <c r="R29" s="80"/>
      <c r="S29" s="80"/>
      <c r="T29" s="80"/>
      <c r="U29" s="80"/>
      <c r="V29" s="80"/>
      <c r="W29" s="80"/>
      <c r="X29" s="80"/>
      <c r="Y29" s="80"/>
      <c r="Z29" s="80"/>
      <c r="AA29" s="129">
        <f t="shared" si="4"/>
        <v>0</v>
      </c>
      <c r="AB29" s="130"/>
      <c r="AF29" s="80" t="s">
        <v>465</v>
      </c>
      <c r="AG29" s="80"/>
      <c r="AH29" s="80"/>
      <c r="AI29" s="80"/>
      <c r="AJ29" s="80"/>
      <c r="AK29" s="80"/>
      <c r="AL29" s="80"/>
      <c r="AM29" s="80"/>
      <c r="AN29" s="80"/>
      <c r="AO29" s="80"/>
      <c r="AP29" s="80"/>
      <c r="AQ29" s="80"/>
      <c r="AR29" s="80"/>
      <c r="AS29" s="80"/>
      <c r="AT29" s="80"/>
      <c r="AU29" s="80"/>
      <c r="AV29" s="129">
        <f>SUM(AS29:AU29)</f>
        <v>0</v>
      </c>
      <c r="AW29" s="130"/>
    </row>
    <row r="30" spans="2:49">
      <c r="B30" s="80" t="s">
        <v>466</v>
      </c>
      <c r="C30" s="80"/>
      <c r="D30" s="80"/>
      <c r="E30" s="80"/>
      <c r="F30" s="80"/>
      <c r="G30" s="80"/>
      <c r="H30" s="80"/>
      <c r="I30" s="80"/>
      <c r="J30" s="80"/>
      <c r="K30" s="80"/>
      <c r="L30" s="80"/>
      <c r="M30" s="80"/>
      <c r="N30" s="80"/>
      <c r="O30" s="80"/>
      <c r="P30" s="80"/>
      <c r="Q30" s="80"/>
      <c r="R30" s="80"/>
      <c r="S30" s="80"/>
      <c r="T30" s="80"/>
      <c r="U30" s="80"/>
      <c r="V30" s="80"/>
      <c r="W30" s="80"/>
      <c r="X30" s="80"/>
      <c r="Y30" s="80"/>
      <c r="Z30" s="80"/>
      <c r="AA30" s="129">
        <f t="shared" si="4"/>
        <v>0</v>
      </c>
      <c r="AB30" s="130"/>
      <c r="AF30" s="80" t="s">
        <v>466</v>
      </c>
      <c r="AG30" s="80"/>
      <c r="AH30" s="80"/>
      <c r="AI30" s="80"/>
      <c r="AJ30" s="80"/>
      <c r="AK30" s="80"/>
      <c r="AL30" s="80"/>
      <c r="AM30" s="80"/>
      <c r="AN30" s="80"/>
      <c r="AO30" s="80"/>
      <c r="AP30" s="80"/>
      <c r="AQ30" s="80"/>
      <c r="AR30" s="80"/>
      <c r="AS30" s="80"/>
      <c r="AT30" s="80"/>
      <c r="AU30" s="80"/>
      <c r="AV30" s="129">
        <f t="shared" ref="AV30:AV32" si="9">SUM(AS30:AU30)</f>
        <v>0</v>
      </c>
      <c r="AW30" s="130"/>
    </row>
    <row r="31" spans="2:49">
      <c r="B31" s="80" t="s">
        <v>467</v>
      </c>
      <c r="C31" s="80"/>
      <c r="D31" s="80"/>
      <c r="E31" s="80"/>
      <c r="F31" s="80"/>
      <c r="G31" s="80"/>
      <c r="H31" s="80"/>
      <c r="I31" s="80"/>
      <c r="J31" s="80"/>
      <c r="K31" s="80"/>
      <c r="L31" s="80"/>
      <c r="M31" s="80"/>
      <c r="N31" s="80"/>
      <c r="O31" s="80"/>
      <c r="P31" s="80"/>
      <c r="Q31" s="80"/>
      <c r="R31" s="80"/>
      <c r="S31" s="80"/>
      <c r="T31" s="80"/>
      <c r="U31" s="80"/>
      <c r="V31" s="80"/>
      <c r="W31" s="80"/>
      <c r="X31" s="80"/>
      <c r="Y31" s="80"/>
      <c r="Z31" s="80"/>
      <c r="AA31" s="129">
        <f t="shared" si="4"/>
        <v>0</v>
      </c>
      <c r="AB31" s="130"/>
      <c r="AF31" s="80" t="s">
        <v>467</v>
      </c>
      <c r="AG31" s="80"/>
      <c r="AH31" s="80"/>
      <c r="AI31" s="80"/>
      <c r="AJ31" s="80"/>
      <c r="AK31" s="80"/>
      <c r="AL31" s="80"/>
      <c r="AM31" s="80"/>
      <c r="AN31" s="80"/>
      <c r="AO31" s="80"/>
      <c r="AP31" s="80"/>
      <c r="AQ31" s="80"/>
      <c r="AR31" s="80"/>
      <c r="AS31" s="80"/>
      <c r="AT31" s="80"/>
      <c r="AU31" s="80"/>
      <c r="AV31" s="129">
        <f t="shared" si="9"/>
        <v>0</v>
      </c>
      <c r="AW31" s="130"/>
    </row>
    <row r="32" spans="2:49">
      <c r="B32" s="80" t="s">
        <v>468</v>
      </c>
      <c r="C32" s="80"/>
      <c r="D32" s="80"/>
      <c r="E32" s="80"/>
      <c r="F32" s="80"/>
      <c r="G32" s="80"/>
      <c r="H32" s="80"/>
      <c r="I32" s="80"/>
      <c r="J32" s="80"/>
      <c r="K32" s="80"/>
      <c r="L32" s="80"/>
      <c r="M32" s="80"/>
      <c r="N32" s="80"/>
      <c r="O32" s="80"/>
      <c r="P32" s="80"/>
      <c r="Q32" s="80"/>
      <c r="R32" s="80"/>
      <c r="S32" s="80"/>
      <c r="T32" s="80"/>
      <c r="U32" s="80"/>
      <c r="V32" s="80"/>
      <c r="W32" s="80"/>
      <c r="X32" s="80"/>
      <c r="Y32" s="80"/>
      <c r="Z32" s="80"/>
      <c r="AA32" s="129">
        <f t="shared" si="4"/>
        <v>0</v>
      </c>
      <c r="AB32" s="130"/>
      <c r="AF32" s="80" t="s">
        <v>468</v>
      </c>
      <c r="AG32" s="80"/>
      <c r="AH32" s="80"/>
      <c r="AI32" s="80"/>
      <c r="AJ32" s="80"/>
      <c r="AK32" s="80"/>
      <c r="AL32" s="80"/>
      <c r="AM32" s="80"/>
      <c r="AN32" s="80"/>
      <c r="AO32" s="80"/>
      <c r="AP32" s="80"/>
      <c r="AQ32" s="80"/>
      <c r="AR32" s="80"/>
      <c r="AS32" s="80"/>
      <c r="AT32" s="80"/>
      <c r="AU32" s="80"/>
      <c r="AV32" s="129">
        <f t="shared" si="9"/>
        <v>0</v>
      </c>
      <c r="AW32" s="130"/>
    </row>
    <row r="33" spans="2:49">
      <c r="B33" s="329" t="s">
        <v>469</v>
      </c>
      <c r="C33" s="330"/>
      <c r="D33" s="330"/>
      <c r="E33" s="330"/>
      <c r="F33" s="330"/>
      <c r="G33" s="330"/>
      <c r="H33" s="330"/>
      <c r="I33" s="330"/>
      <c r="J33" s="330"/>
      <c r="K33" s="330"/>
      <c r="L33" s="330"/>
      <c r="M33" s="330"/>
      <c r="N33" s="330"/>
      <c r="O33" s="330"/>
      <c r="P33" s="330"/>
      <c r="Q33" s="330"/>
      <c r="R33" s="330"/>
      <c r="S33" s="330"/>
      <c r="T33" s="330"/>
      <c r="U33" s="330"/>
      <c r="V33" s="330"/>
      <c r="W33" s="330"/>
      <c r="X33" s="330"/>
      <c r="Y33" s="330"/>
      <c r="Z33" s="330"/>
      <c r="AA33" s="330"/>
      <c r="AB33" s="331"/>
      <c r="AF33" s="329" t="s">
        <v>469</v>
      </c>
      <c r="AG33" s="330"/>
      <c r="AH33" s="330"/>
      <c r="AI33" s="330"/>
      <c r="AJ33" s="330"/>
      <c r="AK33" s="330"/>
      <c r="AL33" s="330"/>
      <c r="AM33" s="330"/>
      <c r="AN33" s="330"/>
      <c r="AO33" s="330"/>
      <c r="AP33" s="330"/>
      <c r="AQ33" s="330"/>
      <c r="AR33" s="330"/>
      <c r="AS33" s="330"/>
      <c r="AT33" s="330"/>
      <c r="AU33" s="330"/>
      <c r="AV33" s="330"/>
      <c r="AW33" s="331"/>
    </row>
    <row r="34" spans="2:49">
      <c r="B34" s="80" t="s">
        <v>470</v>
      </c>
      <c r="C34" s="80"/>
      <c r="D34" s="80"/>
      <c r="E34" s="80"/>
      <c r="F34" s="80"/>
      <c r="G34" s="80"/>
      <c r="H34" s="80"/>
      <c r="I34" s="80"/>
      <c r="J34" s="80"/>
      <c r="K34" s="80"/>
      <c r="L34" s="80"/>
      <c r="M34" s="80"/>
      <c r="N34" s="80"/>
      <c r="O34" s="80"/>
      <c r="P34" s="80"/>
      <c r="Q34" s="80"/>
      <c r="R34" s="80"/>
      <c r="S34" s="80"/>
      <c r="T34" s="80"/>
      <c r="U34" s="80"/>
      <c r="V34" s="80"/>
      <c r="W34" s="80"/>
      <c r="X34" s="80"/>
      <c r="Y34" s="80"/>
      <c r="Z34" s="80"/>
      <c r="AA34" s="129">
        <f t="shared" si="4"/>
        <v>0</v>
      </c>
      <c r="AB34" s="130"/>
      <c r="AF34" s="80" t="s">
        <v>470</v>
      </c>
      <c r="AG34" s="80"/>
      <c r="AH34" s="80"/>
      <c r="AI34" s="80"/>
      <c r="AJ34" s="80"/>
      <c r="AK34" s="80"/>
      <c r="AL34" s="80"/>
      <c r="AM34" s="80"/>
      <c r="AN34" s="80"/>
      <c r="AO34" s="80"/>
      <c r="AP34" s="80"/>
      <c r="AQ34" s="80"/>
      <c r="AR34" s="80"/>
      <c r="AS34" s="80"/>
      <c r="AT34" s="80"/>
      <c r="AU34" s="80"/>
      <c r="AV34" s="129">
        <f>SUM(AS34:AU34)</f>
        <v>0</v>
      </c>
      <c r="AW34" s="130"/>
    </row>
    <row r="35" spans="2:49">
      <c r="B35" s="80" t="s">
        <v>471</v>
      </c>
      <c r="C35" s="80"/>
      <c r="D35" s="80"/>
      <c r="E35" s="80"/>
      <c r="F35" s="80"/>
      <c r="G35" s="80"/>
      <c r="H35" s="80"/>
      <c r="I35" s="80"/>
      <c r="J35" s="80"/>
      <c r="K35" s="80"/>
      <c r="L35" s="80"/>
      <c r="M35" s="80"/>
      <c r="N35" s="80"/>
      <c r="O35" s="80"/>
      <c r="P35" s="80"/>
      <c r="Q35" s="80"/>
      <c r="R35" s="80"/>
      <c r="S35" s="80"/>
      <c r="T35" s="80"/>
      <c r="U35" s="80"/>
      <c r="V35" s="80"/>
      <c r="W35" s="80"/>
      <c r="X35" s="80"/>
      <c r="Y35" s="80"/>
      <c r="Z35" s="80"/>
      <c r="AA35" s="129">
        <f t="shared" si="4"/>
        <v>0</v>
      </c>
      <c r="AB35" s="130"/>
      <c r="AF35" s="80" t="s">
        <v>471</v>
      </c>
      <c r="AG35" s="80"/>
      <c r="AH35" s="80"/>
      <c r="AI35" s="80"/>
      <c r="AJ35" s="80"/>
      <c r="AK35" s="80"/>
      <c r="AL35" s="80"/>
      <c r="AM35" s="80"/>
      <c r="AN35" s="80"/>
      <c r="AO35" s="80"/>
      <c r="AP35" s="80"/>
      <c r="AQ35" s="80"/>
      <c r="AR35" s="80"/>
      <c r="AS35" s="80"/>
      <c r="AT35" s="80"/>
      <c r="AU35" s="80"/>
      <c r="AV35" s="129">
        <f t="shared" ref="AV35:AV37" si="10">SUM(AS35:AU35)</f>
        <v>0</v>
      </c>
      <c r="AW35" s="130"/>
    </row>
    <row r="36" spans="2:49">
      <c r="B36" s="80" t="s">
        <v>472</v>
      </c>
      <c r="C36" s="80"/>
      <c r="D36" s="80"/>
      <c r="E36" s="80"/>
      <c r="F36" s="80"/>
      <c r="G36" s="80"/>
      <c r="H36" s="80"/>
      <c r="I36" s="80"/>
      <c r="J36" s="80"/>
      <c r="K36" s="80"/>
      <c r="L36" s="80"/>
      <c r="M36" s="80"/>
      <c r="N36" s="80"/>
      <c r="O36" s="80"/>
      <c r="P36" s="80"/>
      <c r="Q36" s="80"/>
      <c r="R36" s="80"/>
      <c r="S36" s="80"/>
      <c r="T36" s="80"/>
      <c r="U36" s="80"/>
      <c r="V36" s="80"/>
      <c r="W36" s="80"/>
      <c r="X36" s="80"/>
      <c r="Y36" s="80"/>
      <c r="Z36" s="80"/>
      <c r="AA36" s="129">
        <f t="shared" si="4"/>
        <v>0</v>
      </c>
      <c r="AB36" s="130"/>
      <c r="AF36" s="80" t="s">
        <v>472</v>
      </c>
      <c r="AG36" s="80"/>
      <c r="AH36" s="80"/>
      <c r="AI36" s="80"/>
      <c r="AJ36" s="80"/>
      <c r="AK36" s="80"/>
      <c r="AL36" s="80"/>
      <c r="AM36" s="80"/>
      <c r="AN36" s="80"/>
      <c r="AO36" s="80"/>
      <c r="AP36" s="80"/>
      <c r="AQ36" s="80"/>
      <c r="AR36" s="80"/>
      <c r="AS36" s="80"/>
      <c r="AT36" s="80"/>
      <c r="AU36" s="80"/>
      <c r="AV36" s="129">
        <f t="shared" si="10"/>
        <v>0</v>
      </c>
      <c r="AW36" s="130"/>
    </row>
    <row r="37" spans="2:49">
      <c r="B37" s="80" t="s">
        <v>473</v>
      </c>
      <c r="C37" s="80"/>
      <c r="D37" s="80"/>
      <c r="E37" s="80"/>
      <c r="F37" s="80"/>
      <c r="G37" s="80"/>
      <c r="H37" s="80"/>
      <c r="I37" s="80"/>
      <c r="J37" s="80"/>
      <c r="K37" s="80"/>
      <c r="L37" s="80"/>
      <c r="M37" s="80"/>
      <c r="N37" s="80"/>
      <c r="O37" s="80"/>
      <c r="P37" s="80"/>
      <c r="Q37" s="80"/>
      <c r="R37" s="80"/>
      <c r="S37" s="80"/>
      <c r="T37" s="80"/>
      <c r="U37" s="80"/>
      <c r="V37" s="80"/>
      <c r="W37" s="80"/>
      <c r="X37" s="80"/>
      <c r="Y37" s="80"/>
      <c r="Z37" s="80"/>
      <c r="AA37" s="129">
        <f t="shared" si="4"/>
        <v>0</v>
      </c>
      <c r="AB37" s="130"/>
      <c r="AF37" s="80" t="s">
        <v>473</v>
      </c>
      <c r="AG37" s="80"/>
      <c r="AH37" s="80"/>
      <c r="AI37" s="80"/>
      <c r="AJ37" s="80"/>
      <c r="AK37" s="80"/>
      <c r="AL37" s="80"/>
      <c r="AM37" s="80"/>
      <c r="AN37" s="80"/>
      <c r="AO37" s="80"/>
      <c r="AP37" s="80"/>
      <c r="AQ37" s="80"/>
      <c r="AR37" s="80"/>
      <c r="AS37" s="80"/>
      <c r="AT37" s="80"/>
      <c r="AU37" s="80"/>
      <c r="AV37" s="129">
        <f t="shared" si="10"/>
        <v>0</v>
      </c>
      <c r="AW37" s="130"/>
    </row>
    <row r="38" spans="2:49">
      <c r="B38" s="329" t="s">
        <v>474</v>
      </c>
      <c r="C38" s="330"/>
      <c r="D38" s="330"/>
      <c r="E38" s="330"/>
      <c r="F38" s="330"/>
      <c r="G38" s="330"/>
      <c r="H38" s="330"/>
      <c r="I38" s="330"/>
      <c r="J38" s="330"/>
      <c r="K38" s="330"/>
      <c r="L38" s="330"/>
      <c r="M38" s="330"/>
      <c r="N38" s="330"/>
      <c r="O38" s="330"/>
      <c r="P38" s="330"/>
      <c r="Q38" s="330"/>
      <c r="R38" s="330"/>
      <c r="S38" s="330"/>
      <c r="T38" s="330"/>
      <c r="U38" s="330"/>
      <c r="V38" s="330"/>
      <c r="W38" s="330"/>
      <c r="X38" s="330"/>
      <c r="Y38" s="330"/>
      <c r="Z38" s="330"/>
      <c r="AA38" s="330"/>
      <c r="AB38" s="331"/>
      <c r="AF38" s="329" t="s">
        <v>474</v>
      </c>
      <c r="AG38" s="330"/>
      <c r="AH38" s="330"/>
      <c r="AI38" s="330"/>
      <c r="AJ38" s="330"/>
      <c r="AK38" s="330"/>
      <c r="AL38" s="330"/>
      <c r="AM38" s="330"/>
      <c r="AN38" s="330"/>
      <c r="AO38" s="330"/>
      <c r="AP38" s="330"/>
      <c r="AQ38" s="330"/>
      <c r="AR38" s="330"/>
      <c r="AS38" s="330"/>
      <c r="AT38" s="330"/>
      <c r="AU38" s="330"/>
      <c r="AV38" s="330"/>
      <c r="AW38" s="331"/>
    </row>
    <row r="39" spans="2:49">
      <c r="B39" s="80" t="s">
        <v>475</v>
      </c>
      <c r="C39" s="80"/>
      <c r="D39" s="80"/>
      <c r="E39" s="80"/>
      <c r="F39" s="80"/>
      <c r="G39" s="80"/>
      <c r="H39" s="80"/>
      <c r="I39" s="80"/>
      <c r="J39" s="80"/>
      <c r="K39" s="80"/>
      <c r="L39" s="80"/>
      <c r="M39" s="80"/>
      <c r="N39" s="80"/>
      <c r="O39" s="80"/>
      <c r="P39" s="80"/>
      <c r="Q39" s="80"/>
      <c r="R39" s="80"/>
      <c r="S39" s="80"/>
      <c r="T39" s="80"/>
      <c r="U39" s="80"/>
      <c r="V39" s="80"/>
      <c r="W39" s="80"/>
      <c r="X39" s="80"/>
      <c r="Y39" s="80"/>
      <c r="Z39" s="80"/>
      <c r="AA39" s="129">
        <f t="shared" si="4"/>
        <v>0</v>
      </c>
      <c r="AB39" s="130"/>
      <c r="AF39" s="80" t="s">
        <v>475</v>
      </c>
      <c r="AG39" s="80"/>
      <c r="AH39" s="80"/>
      <c r="AI39" s="80"/>
      <c r="AJ39" s="80"/>
      <c r="AK39" s="80"/>
      <c r="AL39" s="80"/>
      <c r="AM39" s="80"/>
      <c r="AN39" s="80"/>
      <c r="AO39" s="80"/>
      <c r="AP39" s="80"/>
      <c r="AQ39" s="80"/>
      <c r="AR39" s="80"/>
      <c r="AS39" s="80"/>
      <c r="AT39" s="80"/>
      <c r="AU39" s="80"/>
      <c r="AV39" s="129">
        <f>SUM(AS39:AU39)</f>
        <v>0</v>
      </c>
      <c r="AW39" s="130"/>
    </row>
    <row r="40" spans="2:49">
      <c r="B40" s="80" t="s">
        <v>476</v>
      </c>
      <c r="C40" s="80"/>
      <c r="D40" s="80"/>
      <c r="E40" s="80"/>
      <c r="F40" s="80"/>
      <c r="G40" s="80"/>
      <c r="H40" s="80"/>
      <c r="I40" s="80"/>
      <c r="J40" s="80"/>
      <c r="K40" s="80"/>
      <c r="L40" s="80"/>
      <c r="M40" s="80"/>
      <c r="N40" s="80"/>
      <c r="O40" s="80"/>
      <c r="P40" s="80"/>
      <c r="Q40" s="80"/>
      <c r="R40" s="80"/>
      <c r="S40" s="80"/>
      <c r="T40" s="80"/>
      <c r="U40" s="80"/>
      <c r="V40" s="80"/>
      <c r="W40" s="80"/>
      <c r="X40" s="80"/>
      <c r="Y40" s="80"/>
      <c r="Z40" s="80"/>
      <c r="AA40" s="129">
        <f t="shared" si="4"/>
        <v>0</v>
      </c>
      <c r="AB40" s="130"/>
      <c r="AF40" s="80" t="s">
        <v>476</v>
      </c>
      <c r="AG40" s="80"/>
      <c r="AH40" s="80"/>
      <c r="AI40" s="80"/>
      <c r="AJ40" s="80"/>
      <c r="AK40" s="80"/>
      <c r="AL40" s="80"/>
      <c r="AM40" s="80"/>
      <c r="AN40" s="80"/>
      <c r="AO40" s="80"/>
      <c r="AP40" s="80"/>
      <c r="AQ40" s="80"/>
      <c r="AR40" s="80"/>
      <c r="AS40" s="80"/>
      <c r="AT40" s="80"/>
      <c r="AU40" s="80"/>
      <c r="AV40" s="129">
        <f t="shared" ref="AV40:AV42" si="11">SUM(AS40:AU40)</f>
        <v>0</v>
      </c>
      <c r="AW40" s="130"/>
    </row>
    <row r="41" spans="2:49">
      <c r="B41" s="80" t="s">
        <v>477</v>
      </c>
      <c r="C41" s="80"/>
      <c r="D41" s="80"/>
      <c r="E41" s="80"/>
      <c r="F41" s="80"/>
      <c r="G41" s="80"/>
      <c r="H41" s="80"/>
      <c r="I41" s="80"/>
      <c r="J41" s="80"/>
      <c r="K41" s="80"/>
      <c r="L41" s="80"/>
      <c r="M41" s="80"/>
      <c r="N41" s="80"/>
      <c r="O41" s="80"/>
      <c r="P41" s="80"/>
      <c r="Q41" s="80"/>
      <c r="R41" s="80"/>
      <c r="S41" s="80"/>
      <c r="T41" s="80"/>
      <c r="U41" s="80"/>
      <c r="V41" s="80"/>
      <c r="W41" s="80"/>
      <c r="X41" s="80"/>
      <c r="Y41" s="80"/>
      <c r="Z41" s="80"/>
      <c r="AA41" s="129">
        <f t="shared" si="4"/>
        <v>0</v>
      </c>
      <c r="AB41" s="130"/>
      <c r="AF41" s="80" t="s">
        <v>477</v>
      </c>
      <c r="AG41" s="80"/>
      <c r="AH41" s="80"/>
      <c r="AI41" s="80"/>
      <c r="AJ41" s="80"/>
      <c r="AK41" s="80"/>
      <c r="AL41" s="80"/>
      <c r="AM41" s="80"/>
      <c r="AN41" s="80"/>
      <c r="AO41" s="80"/>
      <c r="AP41" s="80"/>
      <c r="AQ41" s="80"/>
      <c r="AR41" s="80"/>
      <c r="AS41" s="80"/>
      <c r="AT41" s="80"/>
      <c r="AU41" s="80"/>
      <c r="AV41" s="129">
        <f t="shared" si="11"/>
        <v>0</v>
      </c>
      <c r="AW41" s="130"/>
    </row>
    <row r="42" spans="2:49">
      <c r="B42" s="80" t="s">
        <v>478</v>
      </c>
      <c r="C42" s="80"/>
      <c r="D42" s="80"/>
      <c r="E42" s="80"/>
      <c r="F42" s="80"/>
      <c r="G42" s="80"/>
      <c r="H42" s="80"/>
      <c r="I42" s="80"/>
      <c r="J42" s="80"/>
      <c r="K42" s="80"/>
      <c r="L42" s="80"/>
      <c r="M42" s="80"/>
      <c r="N42" s="80"/>
      <c r="O42" s="80"/>
      <c r="P42" s="80"/>
      <c r="Q42" s="80"/>
      <c r="R42" s="80"/>
      <c r="S42" s="80"/>
      <c r="T42" s="80"/>
      <c r="U42" s="80"/>
      <c r="V42" s="80"/>
      <c r="W42" s="80"/>
      <c r="X42" s="80"/>
      <c r="Y42" s="80"/>
      <c r="Z42" s="80"/>
      <c r="AA42" s="129">
        <f t="shared" si="4"/>
        <v>0</v>
      </c>
      <c r="AB42" s="130"/>
      <c r="AF42" s="80" t="s">
        <v>478</v>
      </c>
      <c r="AG42" s="80"/>
      <c r="AH42" s="80"/>
      <c r="AI42" s="80"/>
      <c r="AJ42" s="80"/>
      <c r="AK42" s="80"/>
      <c r="AL42" s="80"/>
      <c r="AM42" s="80"/>
      <c r="AN42" s="80"/>
      <c r="AO42" s="80"/>
      <c r="AP42" s="80"/>
      <c r="AQ42" s="80"/>
      <c r="AR42" s="80"/>
      <c r="AS42" s="80"/>
      <c r="AT42" s="80"/>
      <c r="AU42" s="80"/>
      <c r="AV42" s="129">
        <f t="shared" si="11"/>
        <v>0</v>
      </c>
      <c r="AW42" s="130"/>
    </row>
    <row r="43" spans="2:49">
      <c r="B43" s="329" t="s">
        <v>479</v>
      </c>
      <c r="C43" s="330"/>
      <c r="D43" s="330"/>
      <c r="E43" s="330"/>
      <c r="F43" s="330"/>
      <c r="G43" s="330"/>
      <c r="H43" s="330"/>
      <c r="I43" s="330"/>
      <c r="J43" s="330"/>
      <c r="K43" s="330"/>
      <c r="L43" s="330"/>
      <c r="M43" s="330"/>
      <c r="N43" s="330"/>
      <c r="O43" s="330"/>
      <c r="P43" s="330"/>
      <c r="Q43" s="330"/>
      <c r="R43" s="330"/>
      <c r="S43" s="330"/>
      <c r="T43" s="330"/>
      <c r="U43" s="330"/>
      <c r="V43" s="330"/>
      <c r="W43" s="330"/>
      <c r="X43" s="330"/>
      <c r="Y43" s="330"/>
      <c r="Z43" s="330"/>
      <c r="AA43" s="330"/>
      <c r="AB43" s="331"/>
      <c r="AF43" s="329" t="s">
        <v>479</v>
      </c>
      <c r="AG43" s="330"/>
      <c r="AH43" s="330"/>
      <c r="AI43" s="330"/>
      <c r="AJ43" s="330"/>
      <c r="AK43" s="330"/>
      <c r="AL43" s="330"/>
      <c r="AM43" s="330"/>
      <c r="AN43" s="330"/>
      <c r="AO43" s="330"/>
      <c r="AP43" s="330"/>
      <c r="AQ43" s="330"/>
      <c r="AR43" s="330"/>
      <c r="AS43" s="330"/>
      <c r="AT43" s="330"/>
      <c r="AU43" s="330"/>
      <c r="AV43" s="330"/>
      <c r="AW43" s="331"/>
    </row>
    <row r="44" spans="2:49">
      <c r="B44" s="80" t="s">
        <v>480</v>
      </c>
      <c r="C44" s="80"/>
      <c r="D44" s="80"/>
      <c r="E44" s="80"/>
      <c r="F44" s="80"/>
      <c r="G44" s="80"/>
      <c r="H44" s="80"/>
      <c r="I44" s="80"/>
      <c r="J44" s="80"/>
      <c r="K44" s="80"/>
      <c r="L44" s="80"/>
      <c r="M44" s="80"/>
      <c r="N44" s="80"/>
      <c r="O44" s="80"/>
      <c r="P44" s="80"/>
      <c r="Q44" s="80"/>
      <c r="R44" s="80"/>
      <c r="S44" s="80"/>
      <c r="T44" s="80"/>
      <c r="U44" s="80"/>
      <c r="V44" s="80"/>
      <c r="W44" s="80"/>
      <c r="X44" s="80"/>
      <c r="Y44" s="80"/>
      <c r="Z44" s="80"/>
      <c r="AA44" s="129">
        <f>SUM(X44:Z44)</f>
        <v>0</v>
      </c>
      <c r="AB44" s="130"/>
      <c r="AF44" s="80" t="s">
        <v>480</v>
      </c>
      <c r="AG44" s="80"/>
      <c r="AH44" s="80"/>
      <c r="AI44" s="80"/>
      <c r="AJ44" s="80"/>
      <c r="AK44" s="80"/>
      <c r="AL44" s="80"/>
      <c r="AM44" s="80"/>
      <c r="AN44" s="80"/>
      <c r="AO44" s="80"/>
      <c r="AP44" s="80"/>
      <c r="AQ44" s="80"/>
      <c r="AR44" s="80"/>
      <c r="AS44" s="80"/>
      <c r="AT44" s="80"/>
      <c r="AU44" s="80"/>
      <c r="AV44" s="129">
        <f>SUM(AS44:AU44)</f>
        <v>0</v>
      </c>
      <c r="AW44" s="130"/>
    </row>
    <row r="45" spans="2:49">
      <c r="B45" s="80" t="s">
        <v>481</v>
      </c>
      <c r="C45" s="80"/>
      <c r="D45" s="80"/>
      <c r="E45" s="80"/>
      <c r="F45" s="80"/>
      <c r="G45" s="80"/>
      <c r="H45" s="80"/>
      <c r="I45" s="80"/>
      <c r="J45" s="80"/>
      <c r="K45" s="80"/>
      <c r="L45" s="80"/>
      <c r="M45" s="80"/>
      <c r="N45" s="80"/>
      <c r="O45" s="80"/>
      <c r="P45" s="80"/>
      <c r="Q45" s="80"/>
      <c r="R45" s="80"/>
      <c r="S45" s="80"/>
      <c r="T45" s="80"/>
      <c r="U45" s="80"/>
      <c r="V45" s="80"/>
      <c r="W45" s="80"/>
      <c r="X45" s="80"/>
      <c r="Y45" s="80"/>
      <c r="Z45" s="80"/>
      <c r="AA45" s="129">
        <f t="shared" si="4"/>
        <v>0</v>
      </c>
      <c r="AB45" s="130"/>
      <c r="AF45" s="80" t="s">
        <v>481</v>
      </c>
      <c r="AG45" s="80"/>
      <c r="AH45" s="80"/>
      <c r="AI45" s="80"/>
      <c r="AJ45" s="80"/>
      <c r="AK45" s="80"/>
      <c r="AL45" s="80"/>
      <c r="AM45" s="80"/>
      <c r="AN45" s="80"/>
      <c r="AO45" s="80"/>
      <c r="AP45" s="80"/>
      <c r="AQ45" s="80"/>
      <c r="AR45" s="80"/>
      <c r="AS45" s="80"/>
      <c r="AT45" s="80"/>
      <c r="AU45" s="80"/>
      <c r="AV45" s="129">
        <f t="shared" ref="AV45:AV47" si="12">SUM(AS45:AU45)</f>
        <v>0</v>
      </c>
      <c r="AW45" s="130"/>
    </row>
    <row r="46" spans="2:49">
      <c r="B46" s="80" t="s">
        <v>482</v>
      </c>
      <c r="C46" s="80"/>
      <c r="D46" s="80"/>
      <c r="E46" s="80"/>
      <c r="F46" s="80"/>
      <c r="G46" s="80"/>
      <c r="H46" s="80"/>
      <c r="I46" s="80"/>
      <c r="J46" s="80"/>
      <c r="K46" s="80"/>
      <c r="L46" s="80"/>
      <c r="M46" s="80"/>
      <c r="N46" s="80"/>
      <c r="O46" s="80"/>
      <c r="P46" s="80"/>
      <c r="Q46" s="80"/>
      <c r="R46" s="80"/>
      <c r="S46" s="80"/>
      <c r="T46" s="80"/>
      <c r="U46" s="80"/>
      <c r="V46" s="80"/>
      <c r="W46" s="80"/>
      <c r="X46" s="80"/>
      <c r="Y46" s="80"/>
      <c r="Z46" s="80"/>
      <c r="AA46" s="129">
        <f t="shared" si="4"/>
        <v>0</v>
      </c>
      <c r="AB46" s="130"/>
      <c r="AF46" s="80" t="s">
        <v>482</v>
      </c>
      <c r="AG46" s="80"/>
      <c r="AH46" s="80"/>
      <c r="AI46" s="80"/>
      <c r="AJ46" s="80"/>
      <c r="AK46" s="80"/>
      <c r="AL46" s="80"/>
      <c r="AM46" s="80"/>
      <c r="AN46" s="80"/>
      <c r="AO46" s="80"/>
      <c r="AP46" s="80"/>
      <c r="AQ46" s="80"/>
      <c r="AR46" s="80"/>
      <c r="AS46" s="80"/>
      <c r="AT46" s="80"/>
      <c r="AU46" s="80"/>
      <c r="AV46" s="129">
        <f t="shared" si="12"/>
        <v>0</v>
      </c>
      <c r="AW46" s="130"/>
    </row>
    <row r="47" spans="2:49">
      <c r="B47" s="80" t="s">
        <v>483</v>
      </c>
      <c r="C47" s="80"/>
      <c r="D47" s="80"/>
      <c r="E47" s="80"/>
      <c r="F47" s="80"/>
      <c r="G47" s="80"/>
      <c r="H47" s="80"/>
      <c r="I47" s="80"/>
      <c r="J47" s="80"/>
      <c r="K47" s="80"/>
      <c r="L47" s="80"/>
      <c r="M47" s="80"/>
      <c r="N47" s="80"/>
      <c r="O47" s="80"/>
      <c r="P47" s="80"/>
      <c r="Q47" s="80"/>
      <c r="R47" s="80"/>
      <c r="S47" s="80"/>
      <c r="T47" s="80"/>
      <c r="U47" s="80"/>
      <c r="V47" s="80"/>
      <c r="W47" s="80"/>
      <c r="X47" s="80"/>
      <c r="Y47" s="80"/>
      <c r="Z47" s="80"/>
      <c r="AA47" s="129">
        <f t="shared" si="4"/>
        <v>0</v>
      </c>
      <c r="AB47" s="130"/>
      <c r="AF47" s="80" t="s">
        <v>483</v>
      </c>
      <c r="AG47" s="80"/>
      <c r="AH47" s="80"/>
      <c r="AI47" s="80"/>
      <c r="AJ47" s="80"/>
      <c r="AK47" s="80"/>
      <c r="AL47" s="80"/>
      <c r="AM47" s="80"/>
      <c r="AN47" s="80"/>
      <c r="AO47" s="80"/>
      <c r="AP47" s="80"/>
      <c r="AQ47" s="80"/>
      <c r="AR47" s="80"/>
      <c r="AS47" s="80"/>
      <c r="AT47" s="80"/>
      <c r="AU47" s="80"/>
      <c r="AV47" s="129">
        <f t="shared" si="12"/>
        <v>0</v>
      </c>
      <c r="AW47" s="130"/>
    </row>
    <row r="51" spans="2:31">
      <c r="B51" s="176" t="s">
        <v>484</v>
      </c>
      <c r="C51" s="176"/>
      <c r="D51" s="176"/>
      <c r="E51" s="176"/>
      <c r="F51" s="176"/>
      <c r="G51" s="176"/>
      <c r="H51" s="176"/>
      <c r="I51" s="176"/>
      <c r="J51" s="176"/>
      <c r="K51" s="176"/>
      <c r="L51" s="176"/>
      <c r="M51" s="176"/>
      <c r="N51" s="176"/>
      <c r="O51" s="176"/>
      <c r="P51" s="176"/>
      <c r="Q51" s="176"/>
      <c r="R51" s="176"/>
      <c r="S51" s="176"/>
      <c r="T51" s="176"/>
      <c r="U51" s="176"/>
      <c r="V51" s="176"/>
      <c r="W51" s="176"/>
      <c r="X51" s="176"/>
      <c r="Y51" s="176"/>
      <c r="Z51" s="176"/>
    </row>
    <row r="52" spans="2:31">
      <c r="B52" s="327" t="s">
        <v>485</v>
      </c>
      <c r="C52" s="328"/>
      <c r="D52" s="328"/>
      <c r="E52" s="328"/>
      <c r="F52" s="328"/>
      <c r="G52" s="328"/>
      <c r="H52" s="328"/>
      <c r="I52" s="328"/>
      <c r="J52" s="328"/>
      <c r="K52" s="328"/>
      <c r="L52" s="328"/>
      <c r="M52" s="328"/>
      <c r="N52" s="328"/>
      <c r="O52" s="328"/>
      <c r="P52" s="328"/>
      <c r="Q52" s="328"/>
      <c r="R52" s="328"/>
      <c r="S52" s="328"/>
      <c r="T52" s="328"/>
      <c r="U52" s="328"/>
      <c r="V52" s="328"/>
      <c r="W52" s="328"/>
      <c r="X52" s="328"/>
      <c r="Y52" s="328"/>
      <c r="Z52" s="328"/>
      <c r="AA52" s="328"/>
      <c r="AB52" s="328"/>
      <c r="AC52" s="328"/>
      <c r="AD52" s="328"/>
      <c r="AE52" s="328"/>
    </row>
  </sheetData>
  <mergeCells count="19">
    <mergeCell ref="B8:AB8"/>
    <mergeCell ref="AF8:AW8"/>
    <mergeCell ref="B3:AB3"/>
    <mergeCell ref="AF3:AW3"/>
    <mergeCell ref="B13:AB13"/>
    <mergeCell ref="AF13:AW13"/>
    <mergeCell ref="B18:AB18"/>
    <mergeCell ref="AF18:AW18"/>
    <mergeCell ref="B23:AB23"/>
    <mergeCell ref="AF23:AW23"/>
    <mergeCell ref="B43:AB43"/>
    <mergeCell ref="AF43:AW43"/>
    <mergeCell ref="B52:AE52"/>
    <mergeCell ref="B28:AB28"/>
    <mergeCell ref="AF28:AW28"/>
    <mergeCell ref="B33:AB33"/>
    <mergeCell ref="AF33:AW33"/>
    <mergeCell ref="B38:AB38"/>
    <mergeCell ref="AF38:AW3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E4749-BB7F-4C47-8373-ECEC1112E7B1}">
  <dimension ref="B2:X17"/>
  <sheetViews>
    <sheetView workbookViewId="0">
      <selection activeCell="E29" sqref="E29"/>
    </sheetView>
  </sheetViews>
  <sheetFormatPr defaultColWidth="9.21875" defaultRowHeight="14.4"/>
  <cols>
    <col min="1" max="1" width="9.21875" style="209"/>
    <col min="2" max="2" width="39.21875" style="209" bestFit="1" customWidth="1"/>
    <col min="3" max="5" width="12.21875" style="209" bestFit="1" customWidth="1"/>
    <col min="6" max="6" width="16.21875" style="209" customWidth="1"/>
    <col min="7" max="7" width="17.5546875" style="209" customWidth="1"/>
    <col min="8" max="9" width="25.21875" style="209" customWidth="1"/>
    <col min="10" max="10" width="14.21875" style="209" bestFit="1" customWidth="1"/>
    <col min="11" max="24" width="13.21875" style="209" bestFit="1" customWidth="1"/>
    <col min="25" max="16384" width="9.21875" style="209"/>
  </cols>
  <sheetData>
    <row r="2" spans="2:24">
      <c r="B2" s="203"/>
      <c r="C2" s="204" t="s">
        <v>15</v>
      </c>
      <c r="D2" s="205"/>
      <c r="E2" s="206"/>
      <c r="F2" s="206"/>
      <c r="G2" s="203"/>
      <c r="H2" s="207"/>
      <c r="I2" s="208"/>
    </row>
    <row r="3" spans="2:24">
      <c r="B3" s="210" t="s">
        <v>13</v>
      </c>
      <c r="C3" s="211">
        <v>2023</v>
      </c>
      <c r="D3" s="212" t="s">
        <v>486</v>
      </c>
      <c r="E3" s="213" t="s">
        <v>487</v>
      </c>
      <c r="F3" s="213" t="s">
        <v>488</v>
      </c>
      <c r="G3" s="214" t="s">
        <v>489</v>
      </c>
      <c r="H3" s="215" t="s">
        <v>490</v>
      </c>
      <c r="I3" s="216" t="s">
        <v>491</v>
      </c>
      <c r="J3" s="217" t="s">
        <v>492</v>
      </c>
      <c r="K3" s="217" t="s">
        <v>493</v>
      </c>
      <c r="L3" s="217" t="s">
        <v>494</v>
      </c>
      <c r="M3" s="217" t="s">
        <v>495</v>
      </c>
      <c r="N3" s="217" t="s">
        <v>496</v>
      </c>
      <c r="O3" s="217" t="s">
        <v>497</v>
      </c>
      <c r="P3" s="217" t="s">
        <v>498</v>
      </c>
      <c r="Q3" s="217" t="s">
        <v>499</v>
      </c>
      <c r="R3" s="217" t="s">
        <v>500</v>
      </c>
      <c r="S3" s="217" t="s">
        <v>501</v>
      </c>
      <c r="T3" s="217" t="s">
        <v>502</v>
      </c>
      <c r="U3" s="217" t="s">
        <v>503</v>
      </c>
      <c r="V3" s="217" t="s">
        <v>504</v>
      </c>
      <c r="W3" s="217" t="s">
        <v>505</v>
      </c>
      <c r="X3" s="217" t="s">
        <v>506</v>
      </c>
    </row>
    <row r="4" spans="2:24">
      <c r="B4" s="218" t="s">
        <v>507</v>
      </c>
      <c r="C4" s="219">
        <v>5487150.3899999997</v>
      </c>
      <c r="D4" s="219">
        <v>3513622.27</v>
      </c>
      <c r="E4" s="219">
        <v>6023352.462857143</v>
      </c>
      <c r="F4" s="219">
        <v>1600000</v>
      </c>
      <c r="G4" s="220">
        <f>F4*5</f>
        <v>8000000</v>
      </c>
      <c r="H4" s="221">
        <f>SUM(J4:X4)</f>
        <v>6352870.9432428088</v>
      </c>
      <c r="I4" s="222">
        <f>SUM(G4:H4)</f>
        <v>14352870.943242809</v>
      </c>
      <c r="J4" s="223">
        <v>800000</v>
      </c>
      <c r="K4" s="224">
        <f>J4*0.9</f>
        <v>720000</v>
      </c>
      <c r="L4" s="224">
        <f t="shared" ref="L4:X4" si="0">K4*0.9</f>
        <v>648000</v>
      </c>
      <c r="M4" s="224">
        <f t="shared" si="0"/>
        <v>583200</v>
      </c>
      <c r="N4" s="224">
        <f t="shared" si="0"/>
        <v>524880</v>
      </c>
      <c r="O4" s="224">
        <f t="shared" si="0"/>
        <v>472392</v>
      </c>
      <c r="P4" s="224">
        <f t="shared" si="0"/>
        <v>425152.8</v>
      </c>
      <c r="Q4" s="224">
        <f t="shared" si="0"/>
        <v>382637.52</v>
      </c>
      <c r="R4" s="224">
        <f t="shared" si="0"/>
        <v>344373.76800000004</v>
      </c>
      <c r="S4" s="224">
        <f t="shared" si="0"/>
        <v>309936.39120000007</v>
      </c>
      <c r="T4" s="224">
        <f t="shared" si="0"/>
        <v>278942.75208000006</v>
      </c>
      <c r="U4" s="224">
        <f t="shared" si="0"/>
        <v>251048.47687200006</v>
      </c>
      <c r="V4" s="224">
        <f t="shared" si="0"/>
        <v>225943.62918480005</v>
      </c>
      <c r="W4" s="224">
        <f t="shared" si="0"/>
        <v>203349.26626632005</v>
      </c>
      <c r="X4" s="224">
        <f t="shared" si="0"/>
        <v>183014.33963968806</v>
      </c>
    </row>
    <row r="5" spans="2:24">
      <c r="B5" s="218" t="s">
        <v>508</v>
      </c>
      <c r="C5" s="219">
        <v>157654.41999999998</v>
      </c>
      <c r="D5" s="219">
        <v>363442.15999999992</v>
      </c>
      <c r="E5" s="219">
        <v>623043.70285714278</v>
      </c>
      <c r="F5" s="219">
        <v>623043.70285714278</v>
      </c>
      <c r="G5" s="220">
        <f t="shared" ref="G5:G14" si="1">F5*5</f>
        <v>3115218.5142857139</v>
      </c>
      <c r="H5" s="221">
        <f t="shared" ref="H5:H14" si="2">SUM(J5:X5)</f>
        <v>4452880.7657829924</v>
      </c>
      <c r="I5" s="222">
        <f t="shared" ref="I5:I14" si="3">SUM(G5:H5)</f>
        <v>7568099.2800687067</v>
      </c>
      <c r="J5" s="225">
        <f>F5*0.9</f>
        <v>560739.3325714285</v>
      </c>
      <c r="K5" s="224">
        <f t="shared" ref="K5:X14" si="4">J5*0.9</f>
        <v>504665.39931428566</v>
      </c>
      <c r="L5" s="224">
        <f t="shared" si="4"/>
        <v>454198.8593828571</v>
      </c>
      <c r="M5" s="224">
        <f t="shared" si="4"/>
        <v>408778.97344457143</v>
      </c>
      <c r="N5" s="224">
        <f t="shared" si="4"/>
        <v>367901.07610011427</v>
      </c>
      <c r="O5" s="224">
        <f t="shared" si="4"/>
        <v>331110.96849010285</v>
      </c>
      <c r="P5" s="224">
        <f t="shared" si="4"/>
        <v>297999.87164109258</v>
      </c>
      <c r="Q5" s="224">
        <f t="shared" si="4"/>
        <v>268199.88447698334</v>
      </c>
      <c r="R5" s="224">
        <f t="shared" si="4"/>
        <v>241379.89602928501</v>
      </c>
      <c r="S5" s="224">
        <f t="shared" si="4"/>
        <v>217241.90642635652</v>
      </c>
      <c r="T5" s="224">
        <f t="shared" si="4"/>
        <v>195517.71578372087</v>
      </c>
      <c r="U5" s="224">
        <f t="shared" si="4"/>
        <v>175965.94420534879</v>
      </c>
      <c r="V5" s="224">
        <f t="shared" si="4"/>
        <v>158369.34978481391</v>
      </c>
      <c r="W5" s="224">
        <f t="shared" si="4"/>
        <v>142532.41480633253</v>
      </c>
      <c r="X5" s="224">
        <f t="shared" si="4"/>
        <v>128279.17332569927</v>
      </c>
    </row>
    <row r="6" spans="2:24">
      <c r="B6" s="218" t="s">
        <v>509</v>
      </c>
      <c r="C6" s="219">
        <v>8224499.0800000001</v>
      </c>
      <c r="D6" s="219">
        <v>5397383.5600000005</v>
      </c>
      <c r="E6" s="219">
        <v>9252657.5314285718</v>
      </c>
      <c r="F6" s="219">
        <v>9252657.5314285718</v>
      </c>
      <c r="G6" s="220">
        <f t="shared" si="1"/>
        <v>46263287.657142863</v>
      </c>
      <c r="H6" s="221">
        <f t="shared" si="2"/>
        <v>66128556.576587968</v>
      </c>
      <c r="I6" s="222">
        <f t="shared" si="3"/>
        <v>112391844.23373082</v>
      </c>
      <c r="J6" s="225">
        <f t="shared" ref="J6:J14" si="5">F6*0.9</f>
        <v>8327391.7782857148</v>
      </c>
      <c r="K6" s="224">
        <f t="shared" si="4"/>
        <v>7494652.600457143</v>
      </c>
      <c r="L6" s="224">
        <f t="shared" si="4"/>
        <v>6745187.3404114293</v>
      </c>
      <c r="M6" s="224">
        <f t="shared" si="4"/>
        <v>6070668.6063702861</v>
      </c>
      <c r="N6" s="224">
        <f t="shared" si="4"/>
        <v>5463601.7457332574</v>
      </c>
      <c r="O6" s="224">
        <f t="shared" si="4"/>
        <v>4917241.5711599318</v>
      </c>
      <c r="P6" s="224">
        <f t="shared" si="4"/>
        <v>4425517.4140439387</v>
      </c>
      <c r="Q6" s="224">
        <f t="shared" si="4"/>
        <v>3982965.6726395451</v>
      </c>
      <c r="R6" s="224">
        <f t="shared" si="4"/>
        <v>3584669.1053755907</v>
      </c>
      <c r="S6" s="224">
        <f t="shared" si="4"/>
        <v>3226202.1948380317</v>
      </c>
      <c r="T6" s="224">
        <f t="shared" si="4"/>
        <v>2903581.9753542286</v>
      </c>
      <c r="U6" s="224">
        <f t="shared" si="4"/>
        <v>2613223.777818806</v>
      </c>
      <c r="V6" s="224">
        <f t="shared" si="4"/>
        <v>2351901.4000369254</v>
      </c>
      <c r="W6" s="224">
        <f t="shared" si="4"/>
        <v>2116711.2600332331</v>
      </c>
      <c r="X6" s="224">
        <f t="shared" si="4"/>
        <v>1905040.1340299097</v>
      </c>
    </row>
    <row r="7" spans="2:24">
      <c r="B7" s="218" t="s">
        <v>510</v>
      </c>
      <c r="C7" s="219">
        <v>1857162.62</v>
      </c>
      <c r="D7" s="219">
        <v>1062435.0400000003</v>
      </c>
      <c r="E7" s="219">
        <v>1821317.211428572</v>
      </c>
      <c r="F7" s="219">
        <v>1821317.211428572</v>
      </c>
      <c r="G7" s="220">
        <f t="shared" si="1"/>
        <v>9106586.0571428593</v>
      </c>
      <c r="H7" s="221">
        <f t="shared" si="2"/>
        <v>13016917.339776671</v>
      </c>
      <c r="I7" s="222">
        <f t="shared" si="3"/>
        <v>22123503.39691953</v>
      </c>
      <c r="J7" s="225">
        <f t="shared" si="5"/>
        <v>1639185.4902857149</v>
      </c>
      <c r="K7" s="224">
        <f t="shared" si="4"/>
        <v>1475266.9412571434</v>
      </c>
      <c r="L7" s="224">
        <f t="shared" si="4"/>
        <v>1327740.2471314291</v>
      </c>
      <c r="M7" s="224">
        <f t="shared" si="4"/>
        <v>1194966.2224182864</v>
      </c>
      <c r="N7" s="224">
        <f t="shared" si="4"/>
        <v>1075469.6001764578</v>
      </c>
      <c r="O7" s="224">
        <f t="shared" si="4"/>
        <v>967922.64015881205</v>
      </c>
      <c r="P7" s="224">
        <f t="shared" si="4"/>
        <v>871130.37614293082</v>
      </c>
      <c r="Q7" s="224">
        <f t="shared" si="4"/>
        <v>784017.33852863777</v>
      </c>
      <c r="R7" s="224">
        <f t="shared" si="4"/>
        <v>705615.604675774</v>
      </c>
      <c r="S7" s="224">
        <f t="shared" si="4"/>
        <v>635054.04420819657</v>
      </c>
      <c r="T7" s="224">
        <f t="shared" si="4"/>
        <v>571548.63978737697</v>
      </c>
      <c r="U7" s="224">
        <f t="shared" si="4"/>
        <v>514393.7758086393</v>
      </c>
      <c r="V7" s="224">
        <f t="shared" si="4"/>
        <v>462954.39822777535</v>
      </c>
      <c r="W7" s="224">
        <f t="shared" si="4"/>
        <v>416658.95840499783</v>
      </c>
      <c r="X7" s="224">
        <f t="shared" si="4"/>
        <v>374993.06256449805</v>
      </c>
    </row>
    <row r="8" spans="2:24">
      <c r="B8" s="218" t="s">
        <v>511</v>
      </c>
      <c r="C8" s="219">
        <v>0</v>
      </c>
      <c r="D8" s="219">
        <v>0</v>
      </c>
      <c r="E8" s="219">
        <v>0</v>
      </c>
      <c r="F8" s="219">
        <v>2000000</v>
      </c>
      <c r="G8" s="220">
        <f t="shared" si="1"/>
        <v>10000000</v>
      </c>
      <c r="H8" s="221">
        <f t="shared" si="2"/>
        <v>14293959.62229632</v>
      </c>
      <c r="I8" s="222">
        <f t="shared" si="3"/>
        <v>24293959.622296318</v>
      </c>
      <c r="J8" s="225">
        <f t="shared" si="5"/>
        <v>1800000</v>
      </c>
      <c r="K8" s="224">
        <f t="shared" si="4"/>
        <v>1620000</v>
      </c>
      <c r="L8" s="224">
        <f t="shared" si="4"/>
        <v>1458000</v>
      </c>
      <c r="M8" s="224">
        <f t="shared" si="4"/>
        <v>1312200</v>
      </c>
      <c r="N8" s="224">
        <f t="shared" si="4"/>
        <v>1180980</v>
      </c>
      <c r="O8" s="224">
        <f t="shared" si="4"/>
        <v>1062882</v>
      </c>
      <c r="P8" s="224">
        <f t="shared" si="4"/>
        <v>956593.8</v>
      </c>
      <c r="Q8" s="224">
        <f t="shared" si="4"/>
        <v>860934.42</v>
      </c>
      <c r="R8" s="224">
        <f t="shared" si="4"/>
        <v>774840.978</v>
      </c>
      <c r="S8" s="224">
        <f t="shared" si="4"/>
        <v>697356.88020000001</v>
      </c>
      <c r="T8" s="224">
        <f t="shared" si="4"/>
        <v>627621.19218000001</v>
      </c>
      <c r="U8" s="224">
        <f t="shared" si="4"/>
        <v>564859.07296200003</v>
      </c>
      <c r="V8" s="224">
        <f t="shared" si="4"/>
        <v>508373.16566580004</v>
      </c>
      <c r="W8" s="224">
        <f t="shared" si="4"/>
        <v>457535.84909922007</v>
      </c>
      <c r="X8" s="224">
        <f t="shared" si="4"/>
        <v>411782.26418929809</v>
      </c>
    </row>
    <row r="9" spans="2:24">
      <c r="B9" s="218" t="s">
        <v>512</v>
      </c>
      <c r="C9" s="219">
        <v>2574614.1500000004</v>
      </c>
      <c r="D9" s="219">
        <v>1340811.6700000002</v>
      </c>
      <c r="E9" s="219">
        <v>2298534.2914285716</v>
      </c>
      <c r="F9" s="219">
        <v>2298534.2914285716</v>
      </c>
      <c r="G9" s="220">
        <f t="shared" si="1"/>
        <v>11492671.457142858</v>
      </c>
      <c r="H9" s="221">
        <f t="shared" si="2"/>
        <v>16427578.176071741</v>
      </c>
      <c r="I9" s="222">
        <f t="shared" si="3"/>
        <v>27920249.6332146</v>
      </c>
      <c r="J9" s="225">
        <f t="shared" si="5"/>
        <v>2068680.8622857144</v>
      </c>
      <c r="K9" s="224">
        <f t="shared" si="4"/>
        <v>1861812.776057143</v>
      </c>
      <c r="L9" s="224">
        <f t="shared" si="4"/>
        <v>1675631.4984514287</v>
      </c>
      <c r="M9" s="224">
        <f t="shared" si="4"/>
        <v>1508068.3486062859</v>
      </c>
      <c r="N9" s="224">
        <f t="shared" si="4"/>
        <v>1357261.5137456574</v>
      </c>
      <c r="O9" s="224">
        <f t="shared" si="4"/>
        <v>1221535.3623710917</v>
      </c>
      <c r="P9" s="224">
        <f t="shared" si="4"/>
        <v>1099381.8261339825</v>
      </c>
      <c r="Q9" s="224">
        <f t="shared" si="4"/>
        <v>989443.64352058433</v>
      </c>
      <c r="R9" s="224">
        <f t="shared" si="4"/>
        <v>890499.27916852594</v>
      </c>
      <c r="S9" s="224">
        <f t="shared" si="4"/>
        <v>801449.35125167342</v>
      </c>
      <c r="T9" s="224">
        <f t="shared" si="4"/>
        <v>721304.41612650605</v>
      </c>
      <c r="U9" s="224">
        <f t="shared" si="4"/>
        <v>649173.97451385541</v>
      </c>
      <c r="V9" s="224">
        <f t="shared" si="4"/>
        <v>584256.57706246991</v>
      </c>
      <c r="W9" s="224">
        <f t="shared" si="4"/>
        <v>525830.91935622296</v>
      </c>
      <c r="X9" s="224">
        <f t="shared" si="4"/>
        <v>473247.82742060069</v>
      </c>
    </row>
    <row r="10" spans="2:24">
      <c r="B10" s="218" t="s">
        <v>513</v>
      </c>
      <c r="C10" s="219">
        <v>0</v>
      </c>
      <c r="D10" s="219">
        <v>0</v>
      </c>
      <c r="E10" s="219">
        <v>0</v>
      </c>
      <c r="F10" s="219">
        <v>0</v>
      </c>
      <c r="G10" s="220">
        <f t="shared" si="1"/>
        <v>0</v>
      </c>
      <c r="H10" s="221">
        <f t="shared" si="2"/>
        <v>0</v>
      </c>
      <c r="I10" s="222">
        <f t="shared" si="3"/>
        <v>0</v>
      </c>
      <c r="J10" s="225">
        <f t="shared" si="5"/>
        <v>0</v>
      </c>
      <c r="K10" s="224">
        <f t="shared" si="4"/>
        <v>0</v>
      </c>
      <c r="L10" s="224">
        <f t="shared" si="4"/>
        <v>0</v>
      </c>
      <c r="M10" s="224">
        <f t="shared" si="4"/>
        <v>0</v>
      </c>
      <c r="N10" s="224">
        <f t="shared" si="4"/>
        <v>0</v>
      </c>
      <c r="O10" s="224">
        <f t="shared" si="4"/>
        <v>0</v>
      </c>
      <c r="P10" s="224">
        <f t="shared" si="4"/>
        <v>0</v>
      </c>
      <c r="Q10" s="224">
        <f t="shared" si="4"/>
        <v>0</v>
      </c>
      <c r="R10" s="224">
        <f t="shared" si="4"/>
        <v>0</v>
      </c>
      <c r="S10" s="224">
        <f t="shared" si="4"/>
        <v>0</v>
      </c>
      <c r="T10" s="224">
        <f t="shared" si="4"/>
        <v>0</v>
      </c>
      <c r="U10" s="224">
        <f t="shared" si="4"/>
        <v>0</v>
      </c>
      <c r="V10" s="224">
        <f t="shared" si="4"/>
        <v>0</v>
      </c>
      <c r="W10" s="224">
        <f t="shared" si="4"/>
        <v>0</v>
      </c>
      <c r="X10" s="224">
        <f t="shared" si="4"/>
        <v>0</v>
      </c>
    </row>
    <row r="11" spans="2:24">
      <c r="B11" s="218" t="s">
        <v>514</v>
      </c>
      <c r="C11" s="219">
        <v>0</v>
      </c>
      <c r="D11" s="219">
        <v>0</v>
      </c>
      <c r="E11" s="219">
        <v>0</v>
      </c>
      <c r="F11" s="219">
        <v>0</v>
      </c>
      <c r="G11" s="220">
        <f t="shared" si="1"/>
        <v>0</v>
      </c>
      <c r="H11" s="221">
        <f t="shared" si="2"/>
        <v>0</v>
      </c>
      <c r="I11" s="222">
        <f t="shared" si="3"/>
        <v>0</v>
      </c>
      <c r="J11" s="225">
        <f t="shared" si="5"/>
        <v>0</v>
      </c>
      <c r="K11" s="224">
        <f t="shared" si="4"/>
        <v>0</v>
      </c>
      <c r="L11" s="224">
        <f t="shared" si="4"/>
        <v>0</v>
      </c>
      <c r="M11" s="224">
        <f t="shared" si="4"/>
        <v>0</v>
      </c>
      <c r="N11" s="224">
        <f t="shared" si="4"/>
        <v>0</v>
      </c>
      <c r="O11" s="224">
        <f t="shared" si="4"/>
        <v>0</v>
      </c>
      <c r="P11" s="224">
        <f t="shared" si="4"/>
        <v>0</v>
      </c>
      <c r="Q11" s="224">
        <f t="shared" si="4"/>
        <v>0</v>
      </c>
      <c r="R11" s="224">
        <f t="shared" si="4"/>
        <v>0</v>
      </c>
      <c r="S11" s="224">
        <f t="shared" si="4"/>
        <v>0</v>
      </c>
      <c r="T11" s="224">
        <f t="shared" si="4"/>
        <v>0</v>
      </c>
      <c r="U11" s="224">
        <f t="shared" si="4"/>
        <v>0</v>
      </c>
      <c r="V11" s="224">
        <f t="shared" si="4"/>
        <v>0</v>
      </c>
      <c r="W11" s="224">
        <f t="shared" si="4"/>
        <v>0</v>
      </c>
      <c r="X11" s="224">
        <f t="shared" si="4"/>
        <v>0</v>
      </c>
    </row>
    <row r="12" spans="2:24">
      <c r="B12" s="218" t="s">
        <v>515</v>
      </c>
      <c r="C12" s="219">
        <v>16616587.18</v>
      </c>
      <c r="D12" s="219">
        <v>8873879.8600000031</v>
      </c>
      <c r="E12" s="219">
        <v>15212365.474285722</v>
      </c>
      <c r="F12" s="219">
        <v>1500000</v>
      </c>
      <c r="G12" s="220">
        <f t="shared" si="1"/>
        <v>7500000</v>
      </c>
      <c r="H12" s="221">
        <f t="shared" si="2"/>
        <v>10720469.716722239</v>
      </c>
      <c r="I12" s="222">
        <f t="shared" si="3"/>
        <v>18220469.716722239</v>
      </c>
      <c r="J12" s="225">
        <f t="shared" si="5"/>
        <v>1350000</v>
      </c>
      <c r="K12" s="224">
        <f t="shared" si="4"/>
        <v>1215000</v>
      </c>
      <c r="L12" s="224">
        <f t="shared" si="4"/>
        <v>1093500</v>
      </c>
      <c r="M12" s="224">
        <f t="shared" si="4"/>
        <v>984150</v>
      </c>
      <c r="N12" s="224">
        <f t="shared" si="4"/>
        <v>885735</v>
      </c>
      <c r="O12" s="224">
        <f t="shared" si="4"/>
        <v>797161.5</v>
      </c>
      <c r="P12" s="224">
        <f t="shared" si="4"/>
        <v>717445.35</v>
      </c>
      <c r="Q12" s="224">
        <f t="shared" si="4"/>
        <v>645700.81499999994</v>
      </c>
      <c r="R12" s="224">
        <f t="shared" si="4"/>
        <v>581130.73349999997</v>
      </c>
      <c r="S12" s="224">
        <f t="shared" si="4"/>
        <v>523017.66015000001</v>
      </c>
      <c r="T12" s="224">
        <f t="shared" si="4"/>
        <v>470715.89413500001</v>
      </c>
      <c r="U12" s="224">
        <f t="shared" si="4"/>
        <v>423644.30472150003</v>
      </c>
      <c r="V12" s="224">
        <f t="shared" si="4"/>
        <v>381279.87424935005</v>
      </c>
      <c r="W12" s="224">
        <f t="shared" si="4"/>
        <v>343151.88682441507</v>
      </c>
      <c r="X12" s="224">
        <f t="shared" si="4"/>
        <v>308836.69814197358</v>
      </c>
    </row>
    <row r="13" spans="2:24">
      <c r="B13" s="218" t="s">
        <v>516</v>
      </c>
      <c r="C13" s="219">
        <v>213924.91</v>
      </c>
      <c r="D13" s="219">
        <v>141153.75</v>
      </c>
      <c r="E13" s="219">
        <v>241977.85714285713</v>
      </c>
      <c r="F13" s="219">
        <v>500000</v>
      </c>
      <c r="G13" s="220">
        <f t="shared" si="1"/>
        <v>2500000</v>
      </c>
      <c r="H13" s="221">
        <f t="shared" si="2"/>
        <v>3573489.9055740801</v>
      </c>
      <c r="I13" s="222">
        <f t="shared" si="3"/>
        <v>6073489.9055740796</v>
      </c>
      <c r="J13" s="225">
        <f t="shared" si="5"/>
        <v>450000</v>
      </c>
      <c r="K13" s="224">
        <f t="shared" si="4"/>
        <v>405000</v>
      </c>
      <c r="L13" s="224">
        <f t="shared" si="4"/>
        <v>364500</v>
      </c>
      <c r="M13" s="224">
        <f t="shared" si="4"/>
        <v>328050</v>
      </c>
      <c r="N13" s="224">
        <f t="shared" si="4"/>
        <v>295245</v>
      </c>
      <c r="O13" s="224">
        <f t="shared" si="4"/>
        <v>265720.5</v>
      </c>
      <c r="P13" s="224">
        <f t="shared" si="4"/>
        <v>239148.45</v>
      </c>
      <c r="Q13" s="224">
        <f t="shared" si="4"/>
        <v>215233.60500000001</v>
      </c>
      <c r="R13" s="224">
        <f t="shared" si="4"/>
        <v>193710.2445</v>
      </c>
      <c r="S13" s="224">
        <f t="shared" si="4"/>
        <v>174339.22005</v>
      </c>
      <c r="T13" s="224">
        <f t="shared" si="4"/>
        <v>156905.298045</v>
      </c>
      <c r="U13" s="224">
        <f t="shared" si="4"/>
        <v>141214.76824050001</v>
      </c>
      <c r="V13" s="224">
        <f t="shared" si="4"/>
        <v>127093.29141645001</v>
      </c>
      <c r="W13" s="224">
        <f t="shared" si="4"/>
        <v>114383.96227480502</v>
      </c>
      <c r="X13" s="224">
        <f t="shared" si="4"/>
        <v>102945.56604732452</v>
      </c>
    </row>
    <row r="14" spans="2:24">
      <c r="B14" s="226" t="s">
        <v>517</v>
      </c>
      <c r="C14" s="219">
        <v>270000.13</v>
      </c>
      <c r="D14" s="219">
        <v>174953.09</v>
      </c>
      <c r="E14" s="219">
        <v>299919.58285714284</v>
      </c>
      <c r="F14" s="219">
        <v>0</v>
      </c>
      <c r="G14" s="227">
        <f t="shared" si="1"/>
        <v>0</v>
      </c>
      <c r="H14" s="228">
        <f t="shared" si="2"/>
        <v>0</v>
      </c>
      <c r="I14" s="229">
        <f t="shared" si="3"/>
        <v>0</v>
      </c>
      <c r="J14" s="225">
        <f t="shared" si="5"/>
        <v>0</v>
      </c>
      <c r="K14" s="224">
        <f t="shared" si="4"/>
        <v>0</v>
      </c>
      <c r="L14" s="224">
        <f t="shared" si="4"/>
        <v>0</v>
      </c>
      <c r="M14" s="224">
        <f t="shared" si="4"/>
        <v>0</v>
      </c>
      <c r="N14" s="224">
        <f t="shared" si="4"/>
        <v>0</v>
      </c>
      <c r="O14" s="224">
        <f t="shared" si="4"/>
        <v>0</v>
      </c>
      <c r="P14" s="224">
        <f t="shared" si="4"/>
        <v>0</v>
      </c>
      <c r="Q14" s="224">
        <f t="shared" si="4"/>
        <v>0</v>
      </c>
      <c r="R14" s="224">
        <f t="shared" si="4"/>
        <v>0</v>
      </c>
      <c r="S14" s="224">
        <f t="shared" si="4"/>
        <v>0</v>
      </c>
      <c r="T14" s="224">
        <f t="shared" si="4"/>
        <v>0</v>
      </c>
      <c r="U14" s="224">
        <f t="shared" si="4"/>
        <v>0</v>
      </c>
      <c r="V14" s="224">
        <f t="shared" si="4"/>
        <v>0</v>
      </c>
      <c r="W14" s="224">
        <f t="shared" si="4"/>
        <v>0</v>
      </c>
      <c r="X14" s="224">
        <f t="shared" si="4"/>
        <v>0</v>
      </c>
    </row>
    <row r="15" spans="2:24">
      <c r="G15" s="230"/>
      <c r="H15" s="230"/>
      <c r="I15" s="230"/>
    </row>
    <row r="16" spans="2:24" ht="15" thickBot="1">
      <c r="C16" s="231">
        <f t="shared" ref="C16:I16" si="6">SUM(C4:C14)</f>
        <v>35401592.880000003</v>
      </c>
      <c r="D16" s="231">
        <f t="shared" si="6"/>
        <v>20867681.400000002</v>
      </c>
      <c r="E16" s="231">
        <f t="shared" si="6"/>
        <v>35773168.114285722</v>
      </c>
      <c r="F16" s="231">
        <f t="shared" si="6"/>
        <v>19595552.737142857</v>
      </c>
      <c r="G16" s="232">
        <f t="shared" si="6"/>
        <v>97977763.685714304</v>
      </c>
      <c r="H16" s="232">
        <f t="shared" si="6"/>
        <v>134966723.04605481</v>
      </c>
      <c r="I16" s="232">
        <f t="shared" si="6"/>
        <v>232944486.73176908</v>
      </c>
    </row>
    <row r="17" ht="15" thickTop="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89E9-3778-401A-928E-ED54D148C53B}">
  <sheetPr>
    <pageSetUpPr fitToPage="1"/>
  </sheetPr>
  <dimension ref="B1:G304"/>
  <sheetViews>
    <sheetView topLeftCell="A11" zoomScale="115" zoomScaleNormal="115" workbookViewId="0">
      <selection activeCell="F13" sqref="F13"/>
    </sheetView>
  </sheetViews>
  <sheetFormatPr defaultColWidth="9.21875" defaultRowHeight="14.4" outlineLevelRow="2"/>
  <cols>
    <col min="1" max="1" width="1.5546875" style="2" customWidth="1"/>
    <col min="2" max="2" width="10.5546875" style="2" bestFit="1" customWidth="1"/>
    <col min="3" max="3" width="5.21875" style="41" customWidth="1"/>
    <col min="4" max="4" width="40.44140625" style="1" customWidth="1"/>
    <col min="5" max="5" width="8.5546875" style="70" bestFit="1" customWidth="1"/>
    <col min="6" max="6" width="21" style="71" customWidth="1"/>
    <col min="7" max="7" width="4.21875" style="2" customWidth="1"/>
    <col min="8" max="16384" width="9.21875" style="2"/>
  </cols>
  <sheetData>
    <row r="1" spans="2:7" ht="23.55" customHeight="1" thickBot="1">
      <c r="C1" s="65">
        <v>1</v>
      </c>
      <c r="D1" s="66">
        <v>2</v>
      </c>
      <c r="E1" s="65">
        <v>3</v>
      </c>
      <c r="F1" s="65">
        <v>5</v>
      </c>
    </row>
    <row r="2" spans="2:7" outlineLevel="1">
      <c r="B2" s="12"/>
      <c r="C2" s="42"/>
      <c r="D2" s="67"/>
      <c r="E2" s="68"/>
      <c r="F2" s="69"/>
      <c r="G2" s="11"/>
    </row>
    <row r="3" spans="2:7" ht="28.2" customHeight="1" outlineLevel="1">
      <c r="B3" s="10"/>
      <c r="C3" s="306" t="s">
        <v>518</v>
      </c>
      <c r="D3" s="306"/>
      <c r="G3" s="8"/>
    </row>
    <row r="4" spans="2:7" ht="15.6" outlineLevel="1">
      <c r="B4" s="10"/>
      <c r="C4" s="307"/>
      <c r="D4" s="307"/>
      <c r="G4" s="8"/>
    </row>
    <row r="5" spans="2:7" ht="19.95" hidden="1" customHeight="1" outlineLevel="2">
      <c r="B5" s="10"/>
      <c r="C5" s="72"/>
      <c r="D5" s="72"/>
      <c r="F5" s="72"/>
      <c r="G5" s="8"/>
    </row>
    <row r="6" spans="2:7" ht="15" outlineLevel="1" collapsed="1" thickBot="1">
      <c r="B6" s="10"/>
      <c r="D6" s="74"/>
      <c r="G6" s="8"/>
    </row>
    <row r="7" spans="2:7" s="3" customFormat="1" ht="66" customHeight="1" thickBot="1">
      <c r="B7" s="7"/>
      <c r="C7" s="308" t="s">
        <v>519</v>
      </c>
      <c r="D7" s="309" t="s">
        <v>18</v>
      </c>
      <c r="E7" s="310" t="s">
        <v>20</v>
      </c>
      <c r="F7" s="304" t="s">
        <v>520</v>
      </c>
      <c r="G7" s="9"/>
    </row>
    <row r="8" spans="2:7" s="3" customFormat="1" ht="12.6" thickBot="1">
      <c r="B8" s="7"/>
      <c r="C8" s="308"/>
      <c r="D8" s="309"/>
      <c r="E8" s="310"/>
      <c r="F8" s="305"/>
      <c r="G8" s="9"/>
    </row>
    <row r="9" spans="2:7" ht="51" customHeight="1">
      <c r="B9" s="10" t="s">
        <v>521</v>
      </c>
      <c r="C9" s="75">
        <v>1</v>
      </c>
      <c r="D9" s="76" t="s">
        <v>25</v>
      </c>
      <c r="E9" s="77"/>
      <c r="F9" s="78"/>
      <c r="G9" s="8"/>
    </row>
    <row r="10" spans="2:7" ht="70.95" customHeight="1">
      <c r="B10" s="10" t="s">
        <v>522</v>
      </c>
      <c r="C10" s="79">
        <v>1.01</v>
      </c>
      <c r="D10" s="80" t="s">
        <v>115</v>
      </c>
      <c r="E10" s="81" t="s">
        <v>27</v>
      </c>
      <c r="F10" s="82">
        <v>47518.456584579908</v>
      </c>
      <c r="G10" s="8"/>
    </row>
    <row r="11" spans="2:7" ht="98.55" customHeight="1">
      <c r="B11" s="10" t="s">
        <v>522</v>
      </c>
      <c r="C11" s="79">
        <v>1.02</v>
      </c>
      <c r="D11" s="80" t="s">
        <v>523</v>
      </c>
      <c r="E11" s="81" t="s">
        <v>27</v>
      </c>
      <c r="F11" s="82">
        <v>9490.48185327807</v>
      </c>
      <c r="G11" s="8"/>
    </row>
    <row r="12" spans="2:7" ht="95.55" customHeight="1">
      <c r="B12" s="10" t="s">
        <v>522</v>
      </c>
      <c r="C12" s="79">
        <v>1.03</v>
      </c>
      <c r="D12" s="80" t="s">
        <v>524</v>
      </c>
      <c r="E12" s="81" t="s">
        <v>100</v>
      </c>
      <c r="F12" s="82">
        <v>17002.238251604613</v>
      </c>
      <c r="G12" s="8"/>
    </row>
    <row r="13" spans="2:7" ht="109.2" customHeight="1">
      <c r="B13" s="10" t="s">
        <v>522</v>
      </c>
      <c r="C13" s="79">
        <v>1.04</v>
      </c>
      <c r="D13" s="4" t="s">
        <v>525</v>
      </c>
      <c r="E13" s="83" t="s">
        <v>100</v>
      </c>
      <c r="F13" s="82">
        <v>112646.66888163883</v>
      </c>
      <c r="G13" s="8"/>
    </row>
    <row r="14" spans="2:7" ht="66" customHeight="1">
      <c r="B14" s="10" t="s">
        <v>522</v>
      </c>
      <c r="C14" s="79" t="s">
        <v>526</v>
      </c>
      <c r="D14" s="84" t="s">
        <v>527</v>
      </c>
      <c r="E14" s="83" t="s">
        <v>528</v>
      </c>
      <c r="F14" s="82">
        <v>394263.341085736</v>
      </c>
      <c r="G14" s="8"/>
    </row>
    <row r="15" spans="2:7" ht="70.5" customHeight="1">
      <c r="B15" s="10" t="s">
        <v>522</v>
      </c>
      <c r="C15" s="79" t="s">
        <v>529</v>
      </c>
      <c r="D15" s="84" t="s">
        <v>530</v>
      </c>
      <c r="E15" s="83" t="s">
        <v>528</v>
      </c>
      <c r="F15" s="82">
        <v>563233.3444081943</v>
      </c>
      <c r="G15" s="8"/>
    </row>
    <row r="16" spans="2:7" ht="83.7" customHeight="1">
      <c r="B16" s="10" t="s">
        <v>522</v>
      </c>
      <c r="C16" s="79" t="s">
        <v>531</v>
      </c>
      <c r="D16" s="84" t="s">
        <v>532</v>
      </c>
      <c r="E16" s="83" t="s">
        <v>528</v>
      </c>
      <c r="F16" s="82">
        <v>2186002.0609205924</v>
      </c>
      <c r="G16" s="8"/>
    </row>
    <row r="17" spans="2:7" ht="74.55" customHeight="1">
      <c r="B17" s="10" t="s">
        <v>522</v>
      </c>
      <c r="C17" s="79">
        <v>1.06</v>
      </c>
      <c r="D17" s="80" t="s">
        <v>117</v>
      </c>
      <c r="E17" s="81" t="s">
        <v>30</v>
      </c>
      <c r="F17" s="82">
        <v>701.85239502623813</v>
      </c>
      <c r="G17" s="8"/>
    </row>
    <row r="18" spans="2:7" ht="63" customHeight="1">
      <c r="B18" s="10" t="s">
        <v>522</v>
      </c>
      <c r="C18" s="79">
        <v>1.07</v>
      </c>
      <c r="D18" s="80" t="s">
        <v>533</v>
      </c>
      <c r="E18" s="81" t="s">
        <v>30</v>
      </c>
      <c r="F18" s="82">
        <v>73.548396447013033</v>
      </c>
      <c r="G18" s="8"/>
    </row>
    <row r="19" spans="2:7" ht="96.6" customHeight="1">
      <c r="B19" s="10" t="s">
        <v>522</v>
      </c>
      <c r="C19" s="79">
        <v>1.08</v>
      </c>
      <c r="D19" s="80" t="s">
        <v>243</v>
      </c>
      <c r="E19" s="81" t="s">
        <v>30</v>
      </c>
      <c r="F19" s="82">
        <v>45.05866755265555</v>
      </c>
      <c r="G19" s="8"/>
    </row>
    <row r="20" spans="2:7" ht="96.6" customHeight="1">
      <c r="B20" s="10" t="s">
        <v>522</v>
      </c>
      <c r="C20" s="79" t="s">
        <v>534</v>
      </c>
      <c r="D20" s="80" t="s">
        <v>535</v>
      </c>
      <c r="E20" s="81" t="s">
        <v>20</v>
      </c>
      <c r="F20" s="82">
        <v>2467.2436651800954</v>
      </c>
      <c r="G20" s="8"/>
    </row>
    <row r="21" spans="2:7" ht="70.2" customHeight="1">
      <c r="B21" s="10" t="s">
        <v>522</v>
      </c>
      <c r="C21" s="79">
        <v>1.0900000000000001</v>
      </c>
      <c r="D21" s="80" t="s">
        <v>536</v>
      </c>
      <c r="E21" s="81" t="s">
        <v>30</v>
      </c>
      <c r="F21" s="82">
        <v>91.359912796107665</v>
      </c>
      <c r="G21" s="8"/>
    </row>
    <row r="22" spans="2:7" ht="70.2" customHeight="1">
      <c r="B22" s="10" t="s">
        <v>522</v>
      </c>
      <c r="C22" s="79">
        <v>1.1000000000000001</v>
      </c>
      <c r="D22" s="80" t="s">
        <v>537</v>
      </c>
      <c r="E22" s="81" t="s">
        <v>538</v>
      </c>
      <c r="F22" s="82">
        <v>92.29786479442501</v>
      </c>
      <c r="G22" s="8"/>
    </row>
    <row r="23" spans="2:7" ht="70.2" customHeight="1">
      <c r="B23" s="10" t="s">
        <v>522</v>
      </c>
      <c r="C23" s="79">
        <v>1.1100000000000001</v>
      </c>
      <c r="D23" s="80" t="s">
        <v>539</v>
      </c>
      <c r="E23" s="81" t="s">
        <v>538</v>
      </c>
      <c r="F23" s="82">
        <v>175.72880345535663</v>
      </c>
      <c r="G23" s="8"/>
    </row>
    <row r="24" spans="2:7" ht="70.2" customHeight="1">
      <c r="B24" s="10" t="s">
        <v>522</v>
      </c>
      <c r="C24" s="79">
        <v>1.1200000000000001</v>
      </c>
      <c r="D24" s="80" t="s">
        <v>51</v>
      </c>
      <c r="E24" s="81" t="s">
        <v>538</v>
      </c>
      <c r="F24" s="82">
        <v>247.82642642856817</v>
      </c>
      <c r="G24" s="8"/>
    </row>
    <row r="25" spans="2:7" ht="70.2" customHeight="1">
      <c r="B25" s="10" t="s">
        <v>522</v>
      </c>
      <c r="C25" s="79">
        <v>1.1299999999999999</v>
      </c>
      <c r="D25" s="80" t="s">
        <v>540</v>
      </c>
      <c r="E25" s="81" t="s">
        <v>538</v>
      </c>
      <c r="F25" s="82">
        <v>253.45500498368739</v>
      </c>
      <c r="G25" s="8"/>
    </row>
    <row r="26" spans="2:7" ht="70.2" customHeight="1">
      <c r="B26" s="10" t="s">
        <v>522</v>
      </c>
      <c r="C26" s="79">
        <v>1.1399999999999999</v>
      </c>
      <c r="D26" s="80" t="s">
        <v>541</v>
      </c>
      <c r="E26" s="81" t="s">
        <v>27</v>
      </c>
      <c r="F26" s="82">
        <v>1099045.7507025399</v>
      </c>
      <c r="G26" s="8"/>
    </row>
    <row r="27" spans="2:7" ht="70.2" customHeight="1">
      <c r="B27" s="10" t="s">
        <v>522</v>
      </c>
      <c r="C27" s="79">
        <v>1.1499999999999999</v>
      </c>
      <c r="D27" s="80" t="s">
        <v>59</v>
      </c>
      <c r="E27" s="81" t="s">
        <v>27</v>
      </c>
      <c r="F27" s="82">
        <v>2252933.3776327772</v>
      </c>
      <c r="G27" s="8"/>
    </row>
    <row r="28" spans="2:7" ht="70.2" customHeight="1">
      <c r="B28" s="10" t="s">
        <v>522</v>
      </c>
      <c r="C28" s="79">
        <v>1.1599999999999999</v>
      </c>
      <c r="D28" s="80" t="s">
        <v>542</v>
      </c>
      <c r="E28" s="81" t="s">
        <v>62</v>
      </c>
      <c r="F28" s="82">
        <v>84.485001661229134</v>
      </c>
      <c r="G28" s="8"/>
    </row>
    <row r="29" spans="2:7" ht="70.2" customHeight="1">
      <c r="B29" s="10" t="s">
        <v>522</v>
      </c>
      <c r="C29" s="79">
        <v>1.17</v>
      </c>
      <c r="D29" s="80" t="s">
        <v>543</v>
      </c>
      <c r="E29" s="81" t="s">
        <v>27</v>
      </c>
      <c r="F29" s="82">
        <v>123726.65211744019</v>
      </c>
      <c r="G29" s="8"/>
    </row>
    <row r="30" spans="2:7" ht="70.2" customHeight="1">
      <c r="B30" s="10" t="s">
        <v>522</v>
      </c>
      <c r="C30" s="79">
        <v>1.18</v>
      </c>
      <c r="D30" s="80" t="s">
        <v>544</v>
      </c>
      <c r="E30" s="81" t="s">
        <v>27</v>
      </c>
      <c r="F30" s="82">
        <v>104120.73117107661</v>
      </c>
      <c r="G30" s="8"/>
    </row>
    <row r="31" spans="2:7" ht="70.2" customHeight="1">
      <c r="B31" s="10" t="s">
        <v>522</v>
      </c>
      <c r="C31" s="79">
        <v>1.19</v>
      </c>
      <c r="D31" s="80" t="s">
        <v>545</v>
      </c>
      <c r="E31" s="81" t="s">
        <v>27</v>
      </c>
      <c r="F31" s="82">
        <v>77940.937761094814</v>
      </c>
      <c r="G31" s="8"/>
    </row>
    <row r="32" spans="2:7" ht="70.2" customHeight="1">
      <c r="B32" s="10" t="s">
        <v>522</v>
      </c>
      <c r="C32" s="79">
        <v>1.2</v>
      </c>
      <c r="D32" s="80" t="s">
        <v>546</v>
      </c>
      <c r="E32" s="81" t="s">
        <v>27</v>
      </c>
      <c r="F32" s="82">
        <v>76881.351511718502</v>
      </c>
      <c r="G32" s="8"/>
    </row>
    <row r="33" spans="2:7" ht="70.2" customHeight="1">
      <c r="B33" s="10" t="s">
        <v>522</v>
      </c>
      <c r="C33" s="79" t="s">
        <v>547</v>
      </c>
      <c r="D33" s="80" t="s">
        <v>548</v>
      </c>
      <c r="E33" s="81" t="s">
        <v>46</v>
      </c>
      <c r="F33" s="82">
        <v>518174.67685553868</v>
      </c>
      <c r="G33" s="8"/>
    </row>
    <row r="34" spans="2:7" ht="70.2" customHeight="1">
      <c r="B34" s="10" t="s">
        <v>522</v>
      </c>
      <c r="C34" s="79">
        <v>1.21</v>
      </c>
      <c r="D34" s="80" t="s">
        <v>549</v>
      </c>
      <c r="E34" s="81" t="s">
        <v>62</v>
      </c>
      <c r="F34" s="82">
        <v>225.64272765554884</v>
      </c>
      <c r="G34" s="8"/>
    </row>
    <row r="35" spans="2:7" ht="70.2" customHeight="1">
      <c r="B35" s="10" t="s">
        <v>522</v>
      </c>
      <c r="C35" s="79">
        <v>1.22</v>
      </c>
      <c r="D35" s="80" t="s">
        <v>550</v>
      </c>
      <c r="E35" s="81" t="s">
        <v>62</v>
      </c>
      <c r="F35" s="82">
        <v>463.05750928779668</v>
      </c>
      <c r="G35" s="8"/>
    </row>
    <row r="36" spans="2:7" ht="70.2" customHeight="1">
      <c r="B36" s="10" t="s">
        <v>522</v>
      </c>
      <c r="C36" s="79">
        <v>1.23</v>
      </c>
      <c r="D36" s="80" t="s">
        <v>65</v>
      </c>
      <c r="E36" s="81" t="s">
        <v>62</v>
      </c>
      <c r="F36" s="82">
        <v>957.49668549393016</v>
      </c>
      <c r="G36" s="8"/>
    </row>
    <row r="37" spans="2:7" ht="70.2" customHeight="1">
      <c r="B37" s="10" t="s">
        <v>522</v>
      </c>
      <c r="C37" s="79">
        <v>1.24</v>
      </c>
      <c r="D37" s="80" t="s">
        <v>551</v>
      </c>
      <c r="E37" s="81" t="s">
        <v>30</v>
      </c>
      <c r="F37" s="82">
        <v>107.01433543755689</v>
      </c>
      <c r="G37" s="8"/>
    </row>
    <row r="38" spans="2:7" ht="70.2" customHeight="1">
      <c r="B38" s="10" t="s">
        <v>522</v>
      </c>
      <c r="C38" s="79">
        <v>1.25</v>
      </c>
      <c r="D38" s="80" t="s">
        <v>552</v>
      </c>
      <c r="E38" s="81" t="s">
        <v>62</v>
      </c>
      <c r="F38" s="82">
        <v>168.97000332245827</v>
      </c>
      <c r="G38" s="8"/>
    </row>
    <row r="39" spans="2:7" ht="70.2" customHeight="1">
      <c r="B39" s="10" t="s">
        <v>522</v>
      </c>
      <c r="C39" s="79">
        <v>1.26</v>
      </c>
      <c r="D39" s="80" t="s">
        <v>553</v>
      </c>
      <c r="E39" s="81" t="s">
        <v>62</v>
      </c>
      <c r="F39" s="82">
        <v>1070.1433543755691</v>
      </c>
      <c r="G39" s="8"/>
    </row>
    <row r="40" spans="2:7" ht="70.2" customHeight="1">
      <c r="B40" s="10" t="s">
        <v>522</v>
      </c>
      <c r="C40" s="79">
        <v>1.27</v>
      </c>
      <c r="D40" s="80" t="s">
        <v>288</v>
      </c>
      <c r="E40" s="81" t="s">
        <v>27</v>
      </c>
      <c r="F40" s="82">
        <v>50127.76765232929</v>
      </c>
      <c r="G40" s="8"/>
    </row>
    <row r="41" spans="2:7" ht="70.2" customHeight="1">
      <c r="B41" s="10" t="s">
        <v>522</v>
      </c>
      <c r="C41" s="79">
        <v>1.28</v>
      </c>
      <c r="D41" s="80" t="s">
        <v>554</v>
      </c>
      <c r="E41" s="81" t="s">
        <v>27</v>
      </c>
      <c r="F41" s="82">
        <v>11264.666888163887</v>
      </c>
      <c r="G41" s="8"/>
    </row>
    <row r="42" spans="2:7" ht="70.2" customHeight="1">
      <c r="B42" s="10" t="s">
        <v>522</v>
      </c>
      <c r="C42" s="79">
        <v>1.29</v>
      </c>
      <c r="D42" s="80" t="s">
        <v>555</v>
      </c>
      <c r="E42" s="81" t="s">
        <v>27</v>
      </c>
      <c r="F42" s="82">
        <v>33794.000664491658</v>
      </c>
      <c r="G42" s="8"/>
    </row>
    <row r="43" spans="2:7" ht="70.2" customHeight="1">
      <c r="B43" s="10" t="s">
        <v>522</v>
      </c>
      <c r="C43" s="79">
        <v>1.3</v>
      </c>
      <c r="D43" s="80" t="s">
        <v>556</v>
      </c>
      <c r="E43" s="81" t="s">
        <v>27</v>
      </c>
      <c r="F43" s="82">
        <v>72094.243573145141</v>
      </c>
      <c r="G43" s="8"/>
    </row>
    <row r="44" spans="2:7" ht="70.2" customHeight="1">
      <c r="B44" s="10" t="s">
        <v>522</v>
      </c>
      <c r="C44" s="79">
        <v>1.31</v>
      </c>
      <c r="D44" s="80" t="s">
        <v>557</v>
      </c>
      <c r="E44" s="81" t="s">
        <v>27</v>
      </c>
      <c r="F44" s="82">
        <v>104198.16871551595</v>
      </c>
      <c r="G44" s="8"/>
    </row>
    <row r="45" spans="2:7" ht="70.2" customHeight="1">
      <c r="B45" s="10" t="s">
        <v>522</v>
      </c>
      <c r="C45" s="79">
        <v>1.32</v>
      </c>
      <c r="D45" s="80" t="s">
        <v>558</v>
      </c>
      <c r="E45" s="85" t="s">
        <v>27</v>
      </c>
      <c r="F45" s="82">
        <v>197131.670542868</v>
      </c>
      <c r="G45" s="8"/>
    </row>
    <row r="46" spans="2:7" ht="70.2" customHeight="1">
      <c r="B46" s="10" t="s">
        <v>522</v>
      </c>
      <c r="C46" s="79">
        <v>1.33</v>
      </c>
      <c r="D46" s="80" t="s">
        <v>559</v>
      </c>
      <c r="E46" s="81" t="s">
        <v>27</v>
      </c>
      <c r="F46" s="82">
        <v>18023.091532165945</v>
      </c>
      <c r="G46" s="8"/>
    </row>
    <row r="47" spans="2:7" ht="70.2" customHeight="1">
      <c r="B47" s="10" t="s">
        <v>522</v>
      </c>
      <c r="C47" s="79">
        <v>1.34</v>
      </c>
      <c r="D47" s="80" t="s">
        <v>560</v>
      </c>
      <c r="E47" s="81" t="s">
        <v>27</v>
      </c>
      <c r="F47" s="82">
        <v>33794.000664491658</v>
      </c>
      <c r="G47" s="8"/>
    </row>
    <row r="48" spans="2:7" ht="70.2" customHeight="1">
      <c r="B48" s="10" t="s">
        <v>522</v>
      </c>
      <c r="C48" s="79">
        <v>1.35</v>
      </c>
      <c r="D48" s="80" t="s">
        <v>561</v>
      </c>
      <c r="E48" s="81" t="s">
        <v>62</v>
      </c>
      <c r="F48" s="82">
        <v>29.198016574120796</v>
      </c>
      <c r="G48" s="8"/>
    </row>
    <row r="49" spans="2:7" ht="70.2" customHeight="1">
      <c r="B49" s="10" t="s">
        <v>522</v>
      </c>
      <c r="C49" s="79">
        <v>1.36</v>
      </c>
      <c r="D49" s="80" t="s">
        <v>562</v>
      </c>
      <c r="E49" s="81" t="s">
        <v>62</v>
      </c>
      <c r="F49" s="82">
        <v>67.58800132898331</v>
      </c>
      <c r="G49" s="8"/>
    </row>
    <row r="50" spans="2:7" ht="70.2" customHeight="1">
      <c r="B50" s="10" t="s">
        <v>522</v>
      </c>
      <c r="C50" s="79">
        <v>1.37</v>
      </c>
      <c r="D50" s="80" t="s">
        <v>563</v>
      </c>
      <c r="E50" s="81" t="s">
        <v>62</v>
      </c>
      <c r="F50" s="82">
        <v>185.86700365470409</v>
      </c>
      <c r="G50" s="8"/>
    </row>
    <row r="51" spans="2:7" ht="70.2" customHeight="1">
      <c r="B51" s="10" t="s">
        <v>522</v>
      </c>
      <c r="C51" s="79">
        <v>1.38</v>
      </c>
      <c r="D51" s="80" t="s">
        <v>303</v>
      </c>
      <c r="E51" s="81" t="s">
        <v>62</v>
      </c>
      <c r="F51" s="82">
        <v>13.517600265796661</v>
      </c>
      <c r="G51" s="8"/>
    </row>
    <row r="52" spans="2:7" ht="70.2" customHeight="1">
      <c r="B52" s="10" t="s">
        <v>522</v>
      </c>
      <c r="C52" s="79">
        <v>1.39</v>
      </c>
      <c r="D52" s="80" t="s">
        <v>564</v>
      </c>
      <c r="E52" s="81" t="s">
        <v>62</v>
      </c>
      <c r="F52" s="82">
        <v>16.897000332245828</v>
      </c>
      <c r="G52" s="8"/>
    </row>
    <row r="53" spans="2:7" ht="70.2" customHeight="1">
      <c r="B53" s="10" t="s">
        <v>522</v>
      </c>
      <c r="C53" s="79">
        <v>1.4</v>
      </c>
      <c r="D53" s="80" t="s">
        <v>565</v>
      </c>
      <c r="E53" s="81" t="s">
        <v>27</v>
      </c>
      <c r="F53" s="82">
        <v>0</v>
      </c>
      <c r="G53" s="8"/>
    </row>
    <row r="54" spans="2:7" ht="70.2" customHeight="1">
      <c r="B54" s="10" t="s">
        <v>522</v>
      </c>
      <c r="C54" s="79" t="s">
        <v>94</v>
      </c>
      <c r="D54" s="80" t="s">
        <v>566</v>
      </c>
      <c r="E54" s="81" t="s">
        <v>27</v>
      </c>
      <c r="F54" s="82">
        <v>21402.491598615106</v>
      </c>
      <c r="G54" s="8"/>
    </row>
    <row r="55" spans="2:7" ht="70.2" customHeight="1">
      <c r="B55" s="10" t="s">
        <v>522</v>
      </c>
      <c r="C55" s="79">
        <v>1.41</v>
      </c>
      <c r="D55" s="80" t="s">
        <v>567</v>
      </c>
      <c r="E55" s="81" t="s">
        <v>30</v>
      </c>
      <c r="F55" s="82">
        <v>8.4485001661229138</v>
      </c>
      <c r="G55" s="8"/>
    </row>
    <row r="56" spans="2:7" ht="70.2" customHeight="1">
      <c r="B56" s="10" t="s">
        <v>522</v>
      </c>
      <c r="C56" s="79">
        <v>1.42</v>
      </c>
      <c r="D56" s="84" t="s">
        <v>568</v>
      </c>
      <c r="E56" s="83" t="s">
        <v>30</v>
      </c>
      <c r="F56" s="82">
        <v>22.529333776327775</v>
      </c>
      <c r="G56" s="8"/>
    </row>
    <row r="57" spans="2:7" ht="70.2" customHeight="1">
      <c r="B57" s="10" t="s">
        <v>522</v>
      </c>
      <c r="C57" s="79">
        <v>1.43</v>
      </c>
      <c r="D57" s="80" t="s">
        <v>126</v>
      </c>
      <c r="E57" s="81" t="s">
        <v>30</v>
      </c>
      <c r="F57" s="82">
        <v>41.116034141798181</v>
      </c>
      <c r="G57" s="8"/>
    </row>
    <row r="58" spans="2:7" ht="70.2" customHeight="1">
      <c r="B58" s="10" t="s">
        <v>522</v>
      </c>
      <c r="C58" s="79">
        <v>1.44</v>
      </c>
      <c r="D58" s="80" t="s">
        <v>569</v>
      </c>
      <c r="E58" s="81" t="s">
        <v>30</v>
      </c>
      <c r="F58" s="82">
        <v>84.485001661229134</v>
      </c>
      <c r="G58" s="8"/>
    </row>
    <row r="59" spans="2:7" ht="70.2" customHeight="1">
      <c r="B59" s="10" t="s">
        <v>522</v>
      </c>
      <c r="C59" s="79">
        <v>1.45</v>
      </c>
      <c r="D59" s="80" t="s">
        <v>570</v>
      </c>
      <c r="E59" s="81" t="s">
        <v>571</v>
      </c>
      <c r="F59" s="82">
        <v>11.264666888163887</v>
      </c>
      <c r="G59" s="8"/>
    </row>
    <row r="60" spans="2:7" ht="70.2" customHeight="1">
      <c r="B60" s="10" t="s">
        <v>522</v>
      </c>
      <c r="C60" s="79">
        <v>1.46</v>
      </c>
      <c r="D60" s="80" t="s">
        <v>572</v>
      </c>
      <c r="E60" s="81" t="s">
        <v>571</v>
      </c>
      <c r="F60" s="82">
        <v>15.48891697122534</v>
      </c>
      <c r="G60" s="8"/>
    </row>
    <row r="61" spans="2:7" ht="70.2" customHeight="1">
      <c r="B61" s="10" t="s">
        <v>522</v>
      </c>
      <c r="C61" s="79">
        <v>1.47</v>
      </c>
      <c r="D61" s="80" t="s">
        <v>573</v>
      </c>
      <c r="E61" s="81" t="s">
        <v>571</v>
      </c>
      <c r="F61" s="82">
        <v>17.178617004449926</v>
      </c>
      <c r="G61" s="8"/>
    </row>
    <row r="62" spans="2:7" ht="70.2" customHeight="1">
      <c r="B62" s="10" t="s">
        <v>522</v>
      </c>
      <c r="C62" s="79">
        <v>1.48</v>
      </c>
      <c r="D62" s="80" t="s">
        <v>574</v>
      </c>
      <c r="E62" s="81" t="s">
        <v>62</v>
      </c>
      <c r="F62" s="82">
        <v>22.529333776327775</v>
      </c>
      <c r="G62" s="8"/>
    </row>
    <row r="63" spans="2:7" ht="70.2" customHeight="1">
      <c r="B63" s="10" t="s">
        <v>522</v>
      </c>
      <c r="C63" s="79">
        <v>1.49</v>
      </c>
      <c r="D63" s="80" t="s">
        <v>337</v>
      </c>
      <c r="E63" s="81" t="s">
        <v>338</v>
      </c>
      <c r="F63" s="82">
        <v>22651.839133494934</v>
      </c>
      <c r="G63" s="8"/>
    </row>
    <row r="64" spans="2:7" ht="70.2" customHeight="1">
      <c r="B64" s="10" t="s">
        <v>522</v>
      </c>
      <c r="C64" s="79">
        <v>1.5</v>
      </c>
      <c r="D64" s="80" t="s">
        <v>575</v>
      </c>
      <c r="E64" s="81" t="s">
        <v>338</v>
      </c>
      <c r="F64" s="82">
        <v>1126.4666888163886</v>
      </c>
      <c r="G64" s="8"/>
    </row>
    <row r="65" spans="2:7" ht="70.2" customHeight="1">
      <c r="B65" s="10" t="s">
        <v>522</v>
      </c>
      <c r="C65" s="79">
        <v>1.51</v>
      </c>
      <c r="D65" s="80" t="s">
        <v>576</v>
      </c>
      <c r="E65" s="81" t="s">
        <v>338</v>
      </c>
      <c r="F65" s="82">
        <v>5632.3334440819435</v>
      </c>
      <c r="G65" s="8"/>
    </row>
    <row r="66" spans="2:7" ht="70.2" customHeight="1">
      <c r="B66" s="10" t="s">
        <v>522</v>
      </c>
      <c r="C66" s="79">
        <v>1.52</v>
      </c>
      <c r="D66" s="80" t="s">
        <v>577</v>
      </c>
      <c r="E66" s="81" t="s">
        <v>46</v>
      </c>
      <c r="F66" s="82">
        <v>56323.334440819417</v>
      </c>
      <c r="G66" s="8"/>
    </row>
    <row r="67" spans="2:7" ht="70.2" customHeight="1">
      <c r="B67" s="10" t="s">
        <v>522</v>
      </c>
      <c r="C67" s="79">
        <v>1.53</v>
      </c>
      <c r="D67" s="80" t="s">
        <v>578</v>
      </c>
      <c r="E67" s="81" t="s">
        <v>571</v>
      </c>
      <c r="F67" s="82">
        <v>249.2110219457075</v>
      </c>
      <c r="G67" s="8"/>
    </row>
    <row r="68" spans="2:7" ht="70.2" customHeight="1">
      <c r="B68" s="10" t="s">
        <v>522</v>
      </c>
      <c r="C68" s="79">
        <v>1.54</v>
      </c>
      <c r="D68" s="80" t="s">
        <v>579</v>
      </c>
      <c r="E68" s="81" t="s">
        <v>571</v>
      </c>
      <c r="F68" s="82">
        <v>273.39576657824091</v>
      </c>
      <c r="G68" s="8"/>
    </row>
    <row r="69" spans="2:7" ht="40.200000000000003" customHeight="1">
      <c r="B69" s="10" t="s">
        <v>522</v>
      </c>
      <c r="C69" s="86">
        <v>2</v>
      </c>
      <c r="D69" s="87" t="s">
        <v>580</v>
      </c>
      <c r="E69" s="88"/>
      <c r="F69" s="87"/>
      <c r="G69" s="8"/>
    </row>
    <row r="70" spans="2:7" ht="85.2" customHeight="1">
      <c r="B70" s="10" t="s">
        <v>522</v>
      </c>
      <c r="C70" s="79">
        <v>2.0099999999999998</v>
      </c>
      <c r="D70" s="80" t="s">
        <v>581</v>
      </c>
      <c r="E70" s="81" t="s">
        <v>62</v>
      </c>
      <c r="F70" s="82">
        <v>63.082134573717745</v>
      </c>
      <c r="G70" s="8"/>
    </row>
    <row r="71" spans="2:7" ht="80.55" customHeight="1">
      <c r="B71" s="10" t="s">
        <v>522</v>
      </c>
      <c r="C71" s="79">
        <v>2.02</v>
      </c>
      <c r="D71" s="80" t="s">
        <v>582</v>
      </c>
      <c r="E71" s="81" t="s">
        <v>30</v>
      </c>
      <c r="F71" s="82">
        <v>208.3963374310319</v>
      </c>
      <c r="G71" s="8"/>
    </row>
    <row r="72" spans="2:7" ht="71.55" customHeight="1">
      <c r="B72" s="10" t="s">
        <v>522</v>
      </c>
      <c r="C72" s="79">
        <v>2.0299999999999998</v>
      </c>
      <c r="D72" s="80" t="s">
        <v>583</v>
      </c>
      <c r="E72" s="81" t="s">
        <v>74</v>
      </c>
      <c r="F72" s="82">
        <v>3221.6947300148709</v>
      </c>
      <c r="G72" s="8"/>
    </row>
    <row r="73" spans="2:7" ht="52.95" customHeight="1">
      <c r="B73" s="10" t="s">
        <v>584</v>
      </c>
      <c r="C73" s="86">
        <v>3</v>
      </c>
      <c r="D73" s="87" t="s">
        <v>38</v>
      </c>
      <c r="E73" s="88"/>
      <c r="F73" s="87"/>
      <c r="G73" s="8"/>
    </row>
    <row r="74" spans="2:7" ht="90" customHeight="1">
      <c r="B74" s="10" t="s">
        <v>584</v>
      </c>
      <c r="C74" s="79">
        <v>3.01</v>
      </c>
      <c r="D74" s="84" t="s">
        <v>585</v>
      </c>
      <c r="E74" s="83" t="s">
        <v>74</v>
      </c>
      <c r="F74" s="82">
        <v>1035.1075462626438</v>
      </c>
      <c r="G74" s="8"/>
    </row>
    <row r="75" spans="2:7" ht="80.55" customHeight="1">
      <c r="B75" s="10" t="s">
        <v>584</v>
      </c>
      <c r="C75" s="79">
        <v>3.02</v>
      </c>
      <c r="D75" s="80" t="s">
        <v>586</v>
      </c>
      <c r="E75" s="89" t="s">
        <v>74</v>
      </c>
      <c r="F75" s="82">
        <v>1697.2016727509283</v>
      </c>
      <c r="G75" s="8"/>
    </row>
    <row r="76" spans="2:7" ht="79.95" customHeight="1">
      <c r="B76" s="10" t="s">
        <v>584</v>
      </c>
      <c r="C76" s="79">
        <v>3.03</v>
      </c>
      <c r="D76" s="80" t="s">
        <v>73</v>
      </c>
      <c r="E76" s="81" t="s">
        <v>74</v>
      </c>
      <c r="F76" s="82">
        <v>3723.464920000763</v>
      </c>
      <c r="G76" s="8"/>
    </row>
    <row r="77" spans="2:7" ht="106.2" customHeight="1">
      <c r="B77" s="10" t="s">
        <v>584</v>
      </c>
      <c r="C77" s="79">
        <v>3.04</v>
      </c>
      <c r="D77" s="80" t="s">
        <v>587</v>
      </c>
      <c r="E77" s="81" t="s">
        <v>74</v>
      </c>
      <c r="F77" s="82">
        <v>5185.7373904574715</v>
      </c>
      <c r="G77" s="8"/>
    </row>
    <row r="78" spans="2:7" ht="150" customHeight="1">
      <c r="B78" s="10" t="s">
        <v>584</v>
      </c>
      <c r="C78" s="79">
        <v>3.05</v>
      </c>
      <c r="D78" s="80" t="s">
        <v>588</v>
      </c>
      <c r="E78" s="89" t="s">
        <v>74</v>
      </c>
      <c r="F78" s="82">
        <v>5232.5598455385807</v>
      </c>
      <c r="G78" s="8"/>
    </row>
    <row r="79" spans="2:7" ht="145.19999999999999" customHeight="1">
      <c r="B79" s="10" t="s">
        <v>584</v>
      </c>
      <c r="C79" s="79">
        <v>3.06</v>
      </c>
      <c r="D79" s="80" t="s">
        <v>589</v>
      </c>
      <c r="E79" s="89" t="s">
        <v>74</v>
      </c>
      <c r="F79" s="82">
        <v>7461.6042154769148</v>
      </c>
      <c r="G79" s="8"/>
    </row>
    <row r="80" spans="2:7" ht="60.6" customHeight="1">
      <c r="B80" s="10" t="s">
        <v>590</v>
      </c>
      <c r="C80" s="79">
        <v>3.07</v>
      </c>
      <c r="D80" s="80" t="s">
        <v>591</v>
      </c>
      <c r="E80" s="83" t="s">
        <v>40</v>
      </c>
      <c r="F80" s="82">
        <v>4.6772144367857358</v>
      </c>
      <c r="G80" s="8"/>
    </row>
    <row r="81" spans="2:7" ht="58.95" customHeight="1">
      <c r="B81" s="10" t="s">
        <v>590</v>
      </c>
      <c r="C81" s="79">
        <v>3.08</v>
      </c>
      <c r="D81" s="80" t="s">
        <v>592</v>
      </c>
      <c r="E81" s="83" t="s">
        <v>40</v>
      </c>
      <c r="F81" s="82">
        <v>5.732190051900929</v>
      </c>
      <c r="G81" s="8"/>
    </row>
    <row r="82" spans="2:7" ht="82.95" customHeight="1">
      <c r="B82" s="10" t="s">
        <v>590</v>
      </c>
      <c r="C82" s="79">
        <v>3.09</v>
      </c>
      <c r="D82" s="80" t="s">
        <v>593</v>
      </c>
      <c r="E82" s="83" t="s">
        <v>40</v>
      </c>
      <c r="F82" s="82">
        <v>8.1105601594779966</v>
      </c>
      <c r="G82" s="8"/>
    </row>
    <row r="83" spans="2:7" ht="73.2" customHeight="1">
      <c r="B83" s="10" t="s">
        <v>590</v>
      </c>
      <c r="C83" s="79">
        <v>3.1</v>
      </c>
      <c r="D83" s="80" t="s">
        <v>594</v>
      </c>
      <c r="E83" s="83" t="s">
        <v>40</v>
      </c>
      <c r="F83" s="82">
        <v>10.645110209314872</v>
      </c>
      <c r="G83" s="8"/>
    </row>
    <row r="84" spans="2:7" ht="12">
      <c r="B84" s="10" t="s">
        <v>595</v>
      </c>
      <c r="C84" s="86">
        <v>4</v>
      </c>
      <c r="D84" s="87" t="s">
        <v>596</v>
      </c>
      <c r="E84" s="88"/>
      <c r="F84" s="87"/>
      <c r="G84" s="8"/>
    </row>
    <row r="85" spans="2:7" ht="46.95" customHeight="1">
      <c r="B85" s="10" t="s">
        <v>595</v>
      </c>
      <c r="C85" s="79">
        <v>4.01</v>
      </c>
      <c r="D85" s="84" t="s">
        <v>597</v>
      </c>
      <c r="E85" s="83" t="s">
        <v>528</v>
      </c>
      <c r="F85" s="82">
        <v>14573.34707280395</v>
      </c>
      <c r="G85" s="8"/>
    </row>
    <row r="86" spans="2:7" ht="71.400000000000006">
      <c r="B86" s="10" t="s">
        <v>595</v>
      </c>
      <c r="C86" s="79" t="s">
        <v>598</v>
      </c>
      <c r="D86" s="84" t="s">
        <v>599</v>
      </c>
      <c r="E86" s="83" t="s">
        <v>600</v>
      </c>
      <c r="F86" s="82">
        <v>103567.91986406007</v>
      </c>
      <c r="G86" s="8"/>
    </row>
    <row r="87" spans="2:7" ht="47.55" customHeight="1">
      <c r="B87" s="10" t="s">
        <v>595</v>
      </c>
      <c r="C87" s="79" t="s">
        <v>601</v>
      </c>
      <c r="D87" s="84" t="s">
        <v>602</v>
      </c>
      <c r="E87" s="83" t="s">
        <v>46</v>
      </c>
      <c r="F87" s="82">
        <v>34004.476503209225</v>
      </c>
      <c r="G87" s="8"/>
    </row>
    <row r="88" spans="2:7" ht="46.95" customHeight="1">
      <c r="B88" s="10" t="s">
        <v>595</v>
      </c>
      <c r="C88" s="79">
        <v>4.0199999999999996</v>
      </c>
      <c r="D88" s="80" t="s">
        <v>603</v>
      </c>
      <c r="E88" s="81" t="s">
        <v>604</v>
      </c>
      <c r="F88" s="82">
        <v>0.34004476503209213</v>
      </c>
      <c r="G88" s="8"/>
    </row>
    <row r="89" spans="2:7" ht="46.95" customHeight="1">
      <c r="B89" s="10" t="s">
        <v>590</v>
      </c>
      <c r="C89" s="79">
        <v>4.03</v>
      </c>
      <c r="D89" s="80" t="s">
        <v>605</v>
      </c>
      <c r="E89" s="81" t="s">
        <v>40</v>
      </c>
      <c r="F89" s="82">
        <v>4.5435809947116637</v>
      </c>
      <c r="G89" s="8"/>
    </row>
    <row r="90" spans="2:7" ht="46.95" customHeight="1">
      <c r="B90" s="10" t="s">
        <v>590</v>
      </c>
      <c r="C90" s="79">
        <v>4.04</v>
      </c>
      <c r="D90" s="80" t="s">
        <v>222</v>
      </c>
      <c r="E90" s="81" t="s">
        <v>40</v>
      </c>
      <c r="F90" s="82">
        <v>5.7282969560834731</v>
      </c>
      <c r="G90" s="8"/>
    </row>
    <row r="91" spans="2:7" ht="46.95" customHeight="1">
      <c r="B91" s="10" t="s">
        <v>590</v>
      </c>
      <c r="C91" s="79">
        <v>4.05</v>
      </c>
      <c r="D91" s="80" t="s">
        <v>606</v>
      </c>
      <c r="E91" s="81" t="s">
        <v>40</v>
      </c>
      <c r="F91" s="82">
        <v>7.4858426130636291</v>
      </c>
      <c r="G91" s="8"/>
    </row>
    <row r="92" spans="2:7" ht="46.95" customHeight="1">
      <c r="B92" s="10" t="s">
        <v>590</v>
      </c>
      <c r="C92" s="79">
        <v>4.0599999999999996</v>
      </c>
      <c r="D92" s="80" t="s">
        <v>607</v>
      </c>
      <c r="E92" s="81" t="s">
        <v>40</v>
      </c>
      <c r="F92" s="82">
        <v>10.037538529864451</v>
      </c>
      <c r="G92" s="8"/>
    </row>
    <row r="93" spans="2:7" ht="46.95" customHeight="1">
      <c r="B93" s="10" t="s">
        <v>590</v>
      </c>
      <c r="C93" s="79">
        <v>4.07</v>
      </c>
      <c r="D93" s="80" t="s">
        <v>608</v>
      </c>
      <c r="E93" s="81" t="s">
        <v>40</v>
      </c>
      <c r="F93" s="82">
        <v>743.46801461881637</v>
      </c>
      <c r="G93" s="8"/>
    </row>
    <row r="94" spans="2:7" ht="46.95" customHeight="1">
      <c r="B94" s="10" t="s">
        <v>590</v>
      </c>
      <c r="C94" s="79" t="s">
        <v>609</v>
      </c>
      <c r="D94" s="84" t="s">
        <v>610</v>
      </c>
      <c r="E94" s="83" t="s">
        <v>40</v>
      </c>
      <c r="F94" s="82">
        <v>901.17335105311088</v>
      </c>
      <c r="G94" s="8"/>
    </row>
    <row r="95" spans="2:7" ht="46.95" customHeight="1">
      <c r="B95" s="10" t="s">
        <v>590</v>
      </c>
      <c r="C95" s="79">
        <v>4.08</v>
      </c>
      <c r="D95" s="80" t="s">
        <v>611</v>
      </c>
      <c r="E95" s="81" t="s">
        <v>40</v>
      </c>
      <c r="F95" s="82">
        <v>247.82267153960544</v>
      </c>
      <c r="G95" s="8"/>
    </row>
    <row r="96" spans="2:7" ht="46.95" customHeight="1">
      <c r="B96" s="10" t="s">
        <v>595</v>
      </c>
      <c r="C96" s="79">
        <v>4.09</v>
      </c>
      <c r="D96" s="84" t="s">
        <v>612</v>
      </c>
      <c r="E96" s="83" t="s">
        <v>40</v>
      </c>
      <c r="F96" s="82">
        <v>112.64666888163886</v>
      </c>
      <c r="G96" s="8"/>
    </row>
    <row r="97" spans="2:7" ht="46.95" customHeight="1">
      <c r="B97" s="10" t="s">
        <v>595</v>
      </c>
      <c r="C97" s="79" t="s">
        <v>47</v>
      </c>
      <c r="D97" s="84" t="s">
        <v>45</v>
      </c>
      <c r="E97" s="83" t="s">
        <v>46</v>
      </c>
      <c r="F97" s="82">
        <v>38862.258860810536</v>
      </c>
      <c r="G97" s="8"/>
    </row>
    <row r="98" spans="2:7" ht="46.95" customHeight="1">
      <c r="B98" s="10" t="s">
        <v>595</v>
      </c>
      <c r="C98" s="79">
        <v>4.0999999999999996</v>
      </c>
      <c r="D98" s="84" t="s">
        <v>613</v>
      </c>
      <c r="E98" s="83" t="s">
        <v>40</v>
      </c>
      <c r="F98" s="82">
        <v>116.22883295207497</v>
      </c>
      <c r="G98" s="8"/>
    </row>
    <row r="99" spans="2:7" ht="46.95" customHeight="1">
      <c r="B99" s="10" t="s">
        <v>595</v>
      </c>
      <c r="C99" s="79">
        <v>4.1100000000000003</v>
      </c>
      <c r="D99" s="84" t="s">
        <v>614</v>
      </c>
      <c r="E99" s="83" t="s">
        <v>40</v>
      </c>
      <c r="F99" s="82">
        <v>89.148573752928968</v>
      </c>
      <c r="G99" s="8"/>
    </row>
    <row r="100" spans="2:7" ht="46.95" customHeight="1">
      <c r="B100" s="10" t="s">
        <v>595</v>
      </c>
      <c r="C100" s="79">
        <v>4.12</v>
      </c>
      <c r="D100" s="84" t="s">
        <v>615</v>
      </c>
      <c r="E100" s="83" t="s">
        <v>40</v>
      </c>
      <c r="F100" s="82">
        <v>84.485001661229134</v>
      </c>
      <c r="G100" s="8"/>
    </row>
    <row r="101" spans="2:7" ht="46.95" customHeight="1">
      <c r="B101" s="10" t="s">
        <v>595</v>
      </c>
      <c r="C101" s="79">
        <v>4.13</v>
      </c>
      <c r="D101" s="84" t="s">
        <v>616</v>
      </c>
      <c r="E101" s="83" t="s">
        <v>528</v>
      </c>
      <c r="F101" s="82">
        <v>168970.00332245824</v>
      </c>
      <c r="G101" s="8"/>
    </row>
    <row r="102" spans="2:7" ht="46.95" customHeight="1">
      <c r="B102" s="10" t="s">
        <v>595</v>
      </c>
      <c r="C102" s="79">
        <v>4.1399999999999997</v>
      </c>
      <c r="D102" s="84" t="s">
        <v>617</v>
      </c>
      <c r="E102" s="83" t="s">
        <v>40</v>
      </c>
      <c r="F102" s="82">
        <v>185.86700365470409</v>
      </c>
      <c r="G102" s="8"/>
    </row>
    <row r="103" spans="2:7" ht="46.95" customHeight="1">
      <c r="B103" s="10" t="s">
        <v>595</v>
      </c>
      <c r="C103" s="79">
        <v>4.1500000000000004</v>
      </c>
      <c r="D103" s="84" t="s">
        <v>618</v>
      </c>
      <c r="E103" s="83" t="s">
        <v>30</v>
      </c>
      <c r="F103" s="82">
        <v>137.96101895587739</v>
      </c>
      <c r="G103" s="8"/>
    </row>
    <row r="104" spans="2:7" ht="46.95" customHeight="1">
      <c r="B104" s="10" t="s">
        <v>595</v>
      </c>
      <c r="C104" s="79">
        <v>4.16</v>
      </c>
      <c r="D104" s="84" t="s">
        <v>619</v>
      </c>
      <c r="E104" s="83" t="s">
        <v>30</v>
      </c>
      <c r="F104" s="82">
        <v>45.05866755265555</v>
      </c>
      <c r="G104" s="8"/>
    </row>
    <row r="105" spans="2:7" ht="46.95" customHeight="1">
      <c r="B105" s="10" t="s">
        <v>595</v>
      </c>
      <c r="C105" s="79" t="s">
        <v>620</v>
      </c>
      <c r="D105" s="84" t="s">
        <v>621</v>
      </c>
      <c r="E105" s="83" t="s">
        <v>571</v>
      </c>
      <c r="F105" s="82">
        <v>317.32937061433807</v>
      </c>
      <c r="G105" s="8"/>
    </row>
    <row r="106" spans="2:7" ht="46.95" customHeight="1">
      <c r="B106" s="10" t="s">
        <v>595</v>
      </c>
      <c r="C106" s="79">
        <v>4.1900000000000004</v>
      </c>
      <c r="D106" s="84" t="s">
        <v>622</v>
      </c>
      <c r="E106" s="83" t="s">
        <v>30</v>
      </c>
      <c r="F106" s="82">
        <v>1.1264666888163883</v>
      </c>
      <c r="G106" s="8"/>
    </row>
    <row r="107" spans="2:7" ht="46.95" customHeight="1">
      <c r="B107" s="10" t="s">
        <v>595</v>
      </c>
      <c r="C107" s="79" t="s">
        <v>623</v>
      </c>
      <c r="D107" s="84" t="s">
        <v>624</v>
      </c>
      <c r="E107" s="83" t="s">
        <v>46</v>
      </c>
      <c r="F107" s="82">
        <v>291466.94145607896</v>
      </c>
      <c r="G107" s="8"/>
    </row>
    <row r="108" spans="2:7" ht="46.95" customHeight="1">
      <c r="B108" s="10" t="s">
        <v>595</v>
      </c>
      <c r="C108" s="79">
        <v>4.2</v>
      </c>
      <c r="D108" s="80" t="s">
        <v>625</v>
      </c>
      <c r="E108" s="81" t="s">
        <v>27</v>
      </c>
      <c r="F108" s="82">
        <v>340044.76503209223</v>
      </c>
      <c r="G108" s="8"/>
    </row>
    <row r="109" spans="2:7" ht="46.95" customHeight="1">
      <c r="B109" s="10" t="s">
        <v>595</v>
      </c>
      <c r="C109" s="79" t="s">
        <v>626</v>
      </c>
      <c r="D109" s="84" t="s">
        <v>627</v>
      </c>
      <c r="E109" s="83" t="s">
        <v>27</v>
      </c>
      <c r="F109" s="82">
        <v>732203.34773065243</v>
      </c>
      <c r="G109" s="8"/>
    </row>
    <row r="110" spans="2:7" ht="46.95" customHeight="1">
      <c r="B110" s="10" t="s">
        <v>595</v>
      </c>
      <c r="C110" s="79">
        <v>4.21</v>
      </c>
      <c r="D110" s="80" t="s">
        <v>628</v>
      </c>
      <c r="E110" s="81" t="s">
        <v>27</v>
      </c>
      <c r="F110" s="82">
        <v>1165.8677658243157</v>
      </c>
      <c r="G110" s="8"/>
    </row>
    <row r="111" spans="2:7" ht="46.95" customHeight="1">
      <c r="B111" s="10" t="s">
        <v>595</v>
      </c>
      <c r="C111" s="79">
        <v>4.22</v>
      </c>
      <c r="D111" s="80" t="s">
        <v>629</v>
      </c>
      <c r="E111" s="81" t="s">
        <v>630</v>
      </c>
      <c r="F111" s="82">
        <v>6.8008953006418427</v>
      </c>
      <c r="G111" s="8"/>
    </row>
    <row r="112" spans="2:7" ht="46.95" customHeight="1">
      <c r="B112" s="10" t="s">
        <v>631</v>
      </c>
      <c r="C112" s="86">
        <v>5</v>
      </c>
      <c r="D112" s="87" t="s">
        <v>204</v>
      </c>
      <c r="E112" s="88"/>
      <c r="F112" s="87"/>
      <c r="G112" s="8"/>
    </row>
    <row r="113" spans="2:7" ht="46.95" customHeight="1">
      <c r="B113" s="10" t="s">
        <v>631</v>
      </c>
      <c r="C113" s="79">
        <v>5.01</v>
      </c>
      <c r="D113" s="80" t="s">
        <v>205</v>
      </c>
      <c r="E113" s="81" t="s">
        <v>40</v>
      </c>
      <c r="F113" s="82">
        <v>2.9040485978555703</v>
      </c>
      <c r="G113" s="8"/>
    </row>
    <row r="114" spans="2:7" ht="46.95" customHeight="1">
      <c r="B114" s="10" t="s">
        <v>631</v>
      </c>
      <c r="C114" s="79">
        <v>5.0199999999999996</v>
      </c>
      <c r="D114" s="80" t="s">
        <v>396</v>
      </c>
      <c r="E114" s="81" t="s">
        <v>40</v>
      </c>
      <c r="F114" s="82">
        <v>2.1253753655447989</v>
      </c>
      <c r="G114" s="8"/>
    </row>
    <row r="115" spans="2:7" ht="46.95" customHeight="1">
      <c r="B115" s="10" t="s">
        <v>631</v>
      </c>
      <c r="C115" s="79">
        <v>5.03</v>
      </c>
      <c r="D115" s="80" t="s">
        <v>397</v>
      </c>
      <c r="E115" s="81" t="s">
        <v>62</v>
      </c>
      <c r="F115" s="82">
        <v>130.18856718371532</v>
      </c>
      <c r="G115" s="8"/>
    </row>
    <row r="116" spans="2:7" ht="46.95" customHeight="1">
      <c r="B116" s="10" t="s">
        <v>631</v>
      </c>
      <c r="C116" s="79" t="s">
        <v>632</v>
      </c>
      <c r="D116" s="80" t="s">
        <v>398</v>
      </c>
      <c r="E116" s="81" t="s">
        <v>62</v>
      </c>
      <c r="F116" s="82">
        <v>676.98054935531945</v>
      </c>
      <c r="G116" s="8"/>
    </row>
    <row r="117" spans="2:7" ht="46.95" customHeight="1">
      <c r="B117" s="10" t="s">
        <v>631</v>
      </c>
      <c r="C117" s="79">
        <v>5.04</v>
      </c>
      <c r="D117" s="80" t="s">
        <v>633</v>
      </c>
      <c r="E117" s="81" t="s">
        <v>62</v>
      </c>
      <c r="F117" s="82">
        <v>143.23861347472305</v>
      </c>
      <c r="G117" s="8"/>
    </row>
    <row r="118" spans="2:7" ht="46.95" customHeight="1">
      <c r="B118" s="10" t="s">
        <v>631</v>
      </c>
      <c r="C118" s="79">
        <v>5.05</v>
      </c>
      <c r="D118" s="80" t="s">
        <v>634</v>
      </c>
      <c r="E118" s="81" t="s">
        <v>27</v>
      </c>
      <c r="F118" s="82">
        <v>242.88911788006581</v>
      </c>
      <c r="G118" s="8"/>
    </row>
    <row r="119" spans="2:7" ht="46.95" customHeight="1">
      <c r="B119" s="10" t="s">
        <v>631</v>
      </c>
      <c r="C119" s="79">
        <v>5.0599999999999996</v>
      </c>
      <c r="D119" s="80" t="s">
        <v>635</v>
      </c>
      <c r="E119" s="81" t="s">
        <v>27</v>
      </c>
      <c r="F119" s="82">
        <v>310824.26374507288</v>
      </c>
      <c r="G119" s="8"/>
    </row>
    <row r="120" spans="2:7" ht="46.95" customHeight="1">
      <c r="B120" s="10" t="s">
        <v>631</v>
      </c>
      <c r="C120" s="79">
        <v>5.07</v>
      </c>
      <c r="D120" s="80" t="s">
        <v>636</v>
      </c>
      <c r="E120" s="81" t="s">
        <v>27</v>
      </c>
      <c r="F120" s="82">
        <v>72832.505330655011</v>
      </c>
      <c r="G120" s="8"/>
    </row>
    <row r="121" spans="2:7" ht="46.95" customHeight="1">
      <c r="B121" s="10" t="s">
        <v>631</v>
      </c>
      <c r="C121" s="79">
        <v>5.08</v>
      </c>
      <c r="D121" s="80" t="s">
        <v>637</v>
      </c>
      <c r="E121" s="81" t="s">
        <v>27</v>
      </c>
      <c r="F121" s="82">
        <v>198401.76173450844</v>
      </c>
      <c r="G121" s="8"/>
    </row>
    <row r="122" spans="2:7" ht="46.95" customHeight="1">
      <c r="B122" s="10" t="s">
        <v>631</v>
      </c>
      <c r="C122" s="79" t="s">
        <v>638</v>
      </c>
      <c r="D122" s="80" t="s">
        <v>639</v>
      </c>
      <c r="E122" s="81" t="s">
        <v>40</v>
      </c>
      <c r="F122" s="82">
        <v>103.63269029549478</v>
      </c>
      <c r="G122" s="8"/>
    </row>
    <row r="123" spans="2:7" ht="46.95" customHeight="1">
      <c r="B123" s="10" t="s">
        <v>631</v>
      </c>
      <c r="C123" s="79" t="s">
        <v>640</v>
      </c>
      <c r="D123" s="80" t="s">
        <v>641</v>
      </c>
      <c r="E123" s="81"/>
      <c r="F123" s="82">
        <v>46972.268213437645</v>
      </c>
      <c r="G123" s="8"/>
    </row>
    <row r="124" spans="2:7" ht="46.95" customHeight="1">
      <c r="B124" s="10" t="s">
        <v>631</v>
      </c>
      <c r="C124" s="79">
        <v>5.09</v>
      </c>
      <c r="D124" s="92" t="s">
        <v>642</v>
      </c>
      <c r="E124" s="81" t="s">
        <v>27</v>
      </c>
      <c r="F124" s="82">
        <v>28161.667220409709</v>
      </c>
      <c r="G124" s="8"/>
    </row>
    <row r="125" spans="2:7" ht="46.95" customHeight="1">
      <c r="B125" s="10" t="s">
        <v>631</v>
      </c>
      <c r="C125" s="79">
        <v>5.1100000000000003</v>
      </c>
      <c r="D125" s="80" t="s">
        <v>643</v>
      </c>
      <c r="E125" s="81" t="s">
        <v>27</v>
      </c>
      <c r="F125" s="82">
        <v>47.874834274696518</v>
      </c>
      <c r="G125" s="8"/>
    </row>
    <row r="126" spans="2:7" ht="46.95" customHeight="1">
      <c r="B126" s="10" t="s">
        <v>631</v>
      </c>
      <c r="C126" s="79" t="s">
        <v>306</v>
      </c>
      <c r="D126" s="93" t="s">
        <v>305</v>
      </c>
      <c r="E126" s="81" t="s">
        <v>27</v>
      </c>
      <c r="F126" s="82">
        <v>5378.5029502019843</v>
      </c>
      <c r="G126" s="8"/>
    </row>
    <row r="127" spans="2:7" ht="46.95" customHeight="1">
      <c r="B127" s="10" t="s">
        <v>631</v>
      </c>
      <c r="C127" s="79" t="s">
        <v>309</v>
      </c>
      <c r="D127" s="80" t="s">
        <v>644</v>
      </c>
      <c r="E127" s="81" t="s">
        <v>27</v>
      </c>
      <c r="F127" s="82">
        <v>10371.36533347881</v>
      </c>
      <c r="G127" s="8"/>
    </row>
    <row r="128" spans="2:7" ht="46.95" customHeight="1">
      <c r="B128" s="10" t="s">
        <v>631</v>
      </c>
      <c r="C128" s="79" t="s">
        <v>312</v>
      </c>
      <c r="D128" s="80" t="s">
        <v>645</v>
      </c>
      <c r="E128" s="81" t="s">
        <v>27</v>
      </c>
      <c r="F128" s="82">
        <v>14813.036957935507</v>
      </c>
      <c r="G128" s="8"/>
    </row>
    <row r="129" spans="2:7" ht="46.95" customHeight="1">
      <c r="B129" s="10" t="s">
        <v>631</v>
      </c>
      <c r="C129" s="79">
        <v>5.17</v>
      </c>
      <c r="D129" s="80" t="s">
        <v>646</v>
      </c>
      <c r="E129" s="81" t="s">
        <v>27</v>
      </c>
      <c r="F129" s="82">
        <v>43234.262982651722</v>
      </c>
      <c r="G129" s="8"/>
    </row>
    <row r="130" spans="2:7" ht="46.95" customHeight="1">
      <c r="B130" s="10" t="s">
        <v>647</v>
      </c>
      <c r="C130" s="86">
        <v>6</v>
      </c>
      <c r="D130" s="87" t="s">
        <v>156</v>
      </c>
      <c r="E130" s="88"/>
      <c r="F130" s="87"/>
      <c r="G130" s="8"/>
    </row>
    <row r="131" spans="2:7" ht="46.95" customHeight="1">
      <c r="B131" s="10" t="s">
        <v>590</v>
      </c>
      <c r="C131" s="79">
        <v>6.01</v>
      </c>
      <c r="D131" s="80" t="s">
        <v>648</v>
      </c>
      <c r="E131" s="81" t="s">
        <v>40</v>
      </c>
      <c r="F131" s="82">
        <v>4.0540291516708864</v>
      </c>
      <c r="G131" s="8"/>
    </row>
    <row r="132" spans="2:7" ht="46.95" customHeight="1">
      <c r="B132" s="10" t="s">
        <v>590</v>
      </c>
      <c r="C132" s="79">
        <v>6.02</v>
      </c>
      <c r="D132" s="80" t="s">
        <v>649</v>
      </c>
      <c r="E132" s="81" t="s">
        <v>40</v>
      </c>
      <c r="F132" s="82">
        <v>4.8265052971748217</v>
      </c>
      <c r="G132" s="8"/>
    </row>
    <row r="133" spans="2:7" ht="46.95" customHeight="1">
      <c r="B133" s="10" t="s">
        <v>590</v>
      </c>
      <c r="C133" s="79">
        <v>6.03</v>
      </c>
      <c r="D133" s="80" t="s">
        <v>650</v>
      </c>
      <c r="E133" s="81" t="s">
        <v>40</v>
      </c>
      <c r="F133" s="82">
        <v>6.8847724418445342</v>
      </c>
      <c r="G133" s="8"/>
    </row>
    <row r="134" spans="2:7" ht="46.95" customHeight="1">
      <c r="B134" s="10" t="s">
        <v>590</v>
      </c>
      <c r="C134" s="79">
        <v>6.04</v>
      </c>
      <c r="D134" s="80" t="s">
        <v>651</v>
      </c>
      <c r="E134" s="81" t="s">
        <v>40</v>
      </c>
      <c r="F134" s="82">
        <v>8.5551114403293269</v>
      </c>
      <c r="G134" s="8"/>
    </row>
    <row r="135" spans="2:7" ht="46.95" customHeight="1">
      <c r="B135" s="10" t="s">
        <v>590</v>
      </c>
      <c r="C135" s="79">
        <v>6.05</v>
      </c>
      <c r="D135" s="80" t="s">
        <v>652</v>
      </c>
      <c r="E135" s="81" t="s">
        <v>40</v>
      </c>
      <c r="F135" s="82">
        <v>4.5435809947116637</v>
      </c>
      <c r="G135" s="8"/>
    </row>
    <row r="136" spans="2:7" ht="46.95" customHeight="1">
      <c r="B136" s="10" t="s">
        <v>590</v>
      </c>
      <c r="C136" s="79">
        <v>6.06</v>
      </c>
      <c r="D136" s="80" t="s">
        <v>187</v>
      </c>
      <c r="E136" s="81" t="s">
        <v>40</v>
      </c>
      <c r="F136" s="82">
        <v>5.7282969560834731</v>
      </c>
      <c r="G136" s="8"/>
    </row>
    <row r="137" spans="2:7" ht="46.95" customHeight="1">
      <c r="B137" s="10" t="s">
        <v>590</v>
      </c>
      <c r="C137" s="79">
        <v>6.07</v>
      </c>
      <c r="D137" s="80" t="s">
        <v>653</v>
      </c>
      <c r="E137" s="81" t="s">
        <v>40</v>
      </c>
      <c r="F137" s="82">
        <v>7.4858426130636291</v>
      </c>
      <c r="G137" s="8"/>
    </row>
    <row r="138" spans="2:7" ht="46.95" customHeight="1">
      <c r="B138" s="10" t="s">
        <v>590</v>
      </c>
      <c r="C138" s="79">
        <v>6.08</v>
      </c>
      <c r="D138" s="80" t="s">
        <v>654</v>
      </c>
      <c r="E138" s="81" t="s">
        <v>40</v>
      </c>
      <c r="F138" s="82">
        <v>10.037538529864451</v>
      </c>
      <c r="G138" s="8"/>
    </row>
    <row r="139" spans="2:7" ht="46.95" customHeight="1">
      <c r="B139" s="10" t="s">
        <v>655</v>
      </c>
      <c r="C139" s="79" t="s">
        <v>656</v>
      </c>
      <c r="D139" s="80" t="s">
        <v>657</v>
      </c>
      <c r="E139" s="81" t="s">
        <v>40</v>
      </c>
      <c r="F139" s="82">
        <v>0.97155647152026336</v>
      </c>
      <c r="G139" s="8"/>
    </row>
    <row r="140" spans="2:7" ht="46.95" customHeight="1">
      <c r="B140" s="10" t="s">
        <v>647</v>
      </c>
      <c r="C140" s="79">
        <v>6.09</v>
      </c>
      <c r="D140" s="80" t="s">
        <v>658</v>
      </c>
      <c r="E140" s="81" t="s">
        <v>30</v>
      </c>
      <c r="F140" s="82">
        <v>160.30681780084345</v>
      </c>
      <c r="G140" s="8"/>
    </row>
    <row r="141" spans="2:7" ht="46.95" customHeight="1">
      <c r="B141" s="10" t="s">
        <v>647</v>
      </c>
      <c r="C141" s="79">
        <v>6.1</v>
      </c>
      <c r="D141" s="80" t="s">
        <v>659</v>
      </c>
      <c r="E141" s="81" t="s">
        <v>74</v>
      </c>
      <c r="F141" s="82">
        <v>1936.4092033870368</v>
      </c>
      <c r="G141" s="8"/>
    </row>
    <row r="142" spans="2:7" ht="46.95" customHeight="1">
      <c r="B142" s="10" t="s">
        <v>647</v>
      </c>
      <c r="C142" s="79">
        <v>6.11</v>
      </c>
      <c r="D142" s="80" t="s">
        <v>660</v>
      </c>
      <c r="E142" s="81" t="s">
        <v>74</v>
      </c>
      <c r="F142" s="82">
        <v>1010.7830640578939</v>
      </c>
      <c r="G142" s="8"/>
    </row>
    <row r="143" spans="2:7" ht="46.95" customHeight="1">
      <c r="B143" s="10" t="s">
        <v>647</v>
      </c>
      <c r="C143" s="79">
        <v>6.12</v>
      </c>
      <c r="D143" s="80" t="s">
        <v>661</v>
      </c>
      <c r="E143" s="81" t="s">
        <v>27</v>
      </c>
      <c r="F143" s="82">
        <v>18.216683841004933</v>
      </c>
      <c r="G143" s="8"/>
    </row>
    <row r="144" spans="2:7" ht="46.95" customHeight="1">
      <c r="B144" s="10" t="s">
        <v>647</v>
      </c>
      <c r="C144" s="79">
        <v>6.13</v>
      </c>
      <c r="D144" s="80" t="s">
        <v>662</v>
      </c>
      <c r="E144" s="81" t="s">
        <v>27</v>
      </c>
      <c r="F144" s="82">
        <v>5.660652348936094</v>
      </c>
      <c r="G144" s="8"/>
    </row>
    <row r="145" spans="2:7" ht="46.95" customHeight="1">
      <c r="B145" s="10" t="s">
        <v>647</v>
      </c>
      <c r="C145" s="79">
        <v>6.14</v>
      </c>
      <c r="D145" s="80" t="s">
        <v>169</v>
      </c>
      <c r="E145" s="81" t="s">
        <v>74</v>
      </c>
      <c r="F145" s="82">
        <v>2040.5114793104333</v>
      </c>
      <c r="G145" s="8"/>
    </row>
    <row r="146" spans="2:7" ht="46.95" customHeight="1">
      <c r="B146" s="10" t="s">
        <v>647</v>
      </c>
      <c r="C146" s="79">
        <v>6.15</v>
      </c>
      <c r="D146" s="80" t="s">
        <v>168</v>
      </c>
      <c r="E146" s="81" t="s">
        <v>74</v>
      </c>
      <c r="F146" s="82">
        <v>3427.1095887906167</v>
      </c>
      <c r="G146" s="8"/>
    </row>
    <row r="147" spans="2:7" ht="46.95" customHeight="1">
      <c r="B147" s="10" t="s">
        <v>647</v>
      </c>
      <c r="C147" s="79">
        <v>6.16</v>
      </c>
      <c r="D147" s="80" t="s">
        <v>663</v>
      </c>
      <c r="E147" s="81" t="s">
        <v>30</v>
      </c>
      <c r="F147" s="82">
        <v>2.0839633743103185</v>
      </c>
      <c r="G147" s="8"/>
    </row>
    <row r="148" spans="2:7" ht="46.95" customHeight="1">
      <c r="B148" s="10" t="s">
        <v>647</v>
      </c>
      <c r="C148" s="79" t="s">
        <v>664</v>
      </c>
      <c r="D148" s="80" t="s">
        <v>665</v>
      </c>
      <c r="E148" s="81" t="s">
        <v>30</v>
      </c>
      <c r="F148" s="82">
        <v>0.92297864794425011</v>
      </c>
      <c r="G148" s="8"/>
    </row>
    <row r="149" spans="2:7" ht="46.95" customHeight="1">
      <c r="B149" s="10" t="s">
        <v>647</v>
      </c>
      <c r="C149" s="79" t="s">
        <v>666</v>
      </c>
      <c r="D149" s="80" t="s">
        <v>667</v>
      </c>
      <c r="E149" s="81" t="s">
        <v>30</v>
      </c>
      <c r="F149" s="82">
        <v>0.87440082436823685</v>
      </c>
      <c r="G149" s="8"/>
    </row>
    <row r="150" spans="2:7" ht="46.95" customHeight="1">
      <c r="B150" s="10" t="s">
        <v>647</v>
      </c>
      <c r="C150" s="79" t="s">
        <v>668</v>
      </c>
      <c r="D150" s="80" t="s">
        <v>669</v>
      </c>
      <c r="E150" s="81" t="s">
        <v>30</v>
      </c>
      <c r="F150" s="82">
        <v>1.4573347072803948</v>
      </c>
      <c r="G150" s="8"/>
    </row>
    <row r="151" spans="2:7" ht="46.95" customHeight="1">
      <c r="B151" s="10" t="s">
        <v>647</v>
      </c>
      <c r="C151" s="79">
        <v>6.17</v>
      </c>
      <c r="D151" s="80" t="s">
        <v>670</v>
      </c>
      <c r="E151" s="81" t="s">
        <v>74</v>
      </c>
      <c r="F151" s="82">
        <v>614.29197653655842</v>
      </c>
      <c r="G151" s="8"/>
    </row>
    <row r="152" spans="2:7" ht="46.95" customHeight="1">
      <c r="B152" s="10" t="s">
        <v>647</v>
      </c>
      <c r="C152" s="79">
        <v>6.18</v>
      </c>
      <c r="D152" s="80" t="s">
        <v>671</v>
      </c>
      <c r="E152" s="81" t="s">
        <v>74</v>
      </c>
      <c r="F152" s="82">
        <v>219.66100431919574</v>
      </c>
      <c r="G152" s="8"/>
    </row>
    <row r="153" spans="2:7" ht="46.95" customHeight="1">
      <c r="B153" s="10" t="s">
        <v>647</v>
      </c>
      <c r="C153" s="79">
        <v>6.19</v>
      </c>
      <c r="D153" s="80" t="s">
        <v>326</v>
      </c>
      <c r="E153" s="81" t="s">
        <v>672</v>
      </c>
      <c r="F153" s="82">
        <v>335.18698267449082</v>
      </c>
      <c r="G153" s="8"/>
    </row>
    <row r="154" spans="2:7" ht="46.95" customHeight="1">
      <c r="B154" s="10" t="s">
        <v>647</v>
      </c>
      <c r="C154" s="79">
        <v>6.2</v>
      </c>
      <c r="D154" s="80" t="s">
        <v>673</v>
      </c>
      <c r="E154" s="81" t="s">
        <v>74</v>
      </c>
      <c r="F154" s="82">
        <v>1170.5459421328783</v>
      </c>
      <c r="G154" s="8"/>
    </row>
    <row r="155" spans="2:7" ht="57" customHeight="1">
      <c r="B155" s="10" t="s">
        <v>647</v>
      </c>
      <c r="C155" s="79">
        <v>6.21</v>
      </c>
      <c r="D155" s="80" t="s">
        <v>674</v>
      </c>
      <c r="E155" s="81" t="s">
        <v>672</v>
      </c>
      <c r="F155" s="82">
        <v>221.38179864966023</v>
      </c>
      <c r="G155" s="8"/>
    </row>
    <row r="156" spans="2:7" ht="46.95" customHeight="1">
      <c r="B156" s="10" t="s">
        <v>647</v>
      </c>
      <c r="C156" s="79">
        <v>6.22</v>
      </c>
      <c r="D156" s="80" t="s">
        <v>675</v>
      </c>
      <c r="E156" s="81" t="s">
        <v>672</v>
      </c>
      <c r="F156" s="82">
        <v>650.94283591857641</v>
      </c>
      <c r="G156" s="8"/>
    </row>
    <row r="157" spans="2:7" ht="46.95" customHeight="1">
      <c r="B157" s="10" t="s">
        <v>647</v>
      </c>
      <c r="C157" s="79">
        <v>6.23</v>
      </c>
      <c r="D157" s="80" t="s">
        <v>166</v>
      </c>
      <c r="E157" s="81" t="s">
        <v>74</v>
      </c>
      <c r="F157" s="82">
        <v>2182.7635393488581</v>
      </c>
      <c r="G157" s="8"/>
    </row>
    <row r="158" spans="2:7" ht="46.95" customHeight="1">
      <c r="B158" s="10" t="s">
        <v>647</v>
      </c>
      <c r="C158" s="79">
        <v>6.24</v>
      </c>
      <c r="D158" s="80" t="s">
        <v>676</v>
      </c>
      <c r="E158" s="81" t="s">
        <v>62</v>
      </c>
      <c r="F158" s="82">
        <v>20.014063313317425</v>
      </c>
      <c r="G158" s="8"/>
    </row>
    <row r="159" spans="2:7" ht="46.95" customHeight="1">
      <c r="B159" s="10" t="s">
        <v>647</v>
      </c>
      <c r="C159" s="79">
        <v>6.25</v>
      </c>
      <c r="D159" s="80" t="s">
        <v>677</v>
      </c>
      <c r="E159" s="81" t="s">
        <v>62</v>
      </c>
      <c r="F159" s="82">
        <v>21.086013953561451</v>
      </c>
      <c r="G159" s="8"/>
    </row>
    <row r="160" spans="2:7" ht="46.95" customHeight="1">
      <c r="B160" s="10" t="s">
        <v>647</v>
      </c>
      <c r="C160" s="79">
        <v>6.26</v>
      </c>
      <c r="D160" s="80" t="s">
        <v>678</v>
      </c>
      <c r="E160" s="81" t="s">
        <v>40</v>
      </c>
      <c r="F160" s="82">
        <v>91.018508456364188</v>
      </c>
      <c r="G160" s="8"/>
    </row>
    <row r="161" spans="2:7" ht="46.95" customHeight="1">
      <c r="B161" s="10" t="s">
        <v>647</v>
      </c>
      <c r="C161" s="79">
        <v>6.27</v>
      </c>
      <c r="D161" s="80" t="s">
        <v>679</v>
      </c>
      <c r="E161" s="81" t="s">
        <v>40</v>
      </c>
      <c r="F161" s="82">
        <v>81.04927826033915</v>
      </c>
      <c r="G161" s="8"/>
    </row>
    <row r="162" spans="2:7" ht="46.95" customHeight="1">
      <c r="B162" s="10" t="s">
        <v>647</v>
      </c>
      <c r="C162" s="79">
        <v>6.28</v>
      </c>
      <c r="D162" s="80" t="s">
        <v>680</v>
      </c>
      <c r="E162" s="81" t="s">
        <v>74</v>
      </c>
      <c r="F162" s="82">
        <v>4775.2000575220945</v>
      </c>
      <c r="G162" s="8"/>
    </row>
    <row r="163" spans="2:7" ht="46.95" customHeight="1">
      <c r="B163" s="10" t="s">
        <v>647</v>
      </c>
      <c r="C163" s="79">
        <v>6.29</v>
      </c>
      <c r="D163" s="80" t="s">
        <v>681</v>
      </c>
      <c r="E163" s="81" t="s">
        <v>40</v>
      </c>
      <c r="F163" s="82">
        <v>4.0031162740608357</v>
      </c>
      <c r="G163" s="8"/>
    </row>
    <row r="164" spans="2:7" ht="46.95" customHeight="1">
      <c r="B164" s="10" t="s">
        <v>647</v>
      </c>
      <c r="C164" s="86">
        <v>7</v>
      </c>
      <c r="D164" s="87" t="s">
        <v>682</v>
      </c>
      <c r="E164" s="88"/>
      <c r="F164" s="87"/>
      <c r="G164" s="8"/>
    </row>
    <row r="165" spans="2:7" ht="46.95" customHeight="1">
      <c r="B165" s="10" t="s">
        <v>647</v>
      </c>
      <c r="C165" s="79">
        <v>7.01</v>
      </c>
      <c r="D165" s="91" t="s">
        <v>683</v>
      </c>
      <c r="E165" s="94" t="s">
        <v>74</v>
      </c>
      <c r="F165" s="82">
        <v>2110.4387981372224</v>
      </c>
      <c r="G165" s="8"/>
    </row>
    <row r="166" spans="2:7" ht="46.95" customHeight="1">
      <c r="B166" s="10" t="s">
        <v>647</v>
      </c>
      <c r="C166" s="79">
        <v>7.02</v>
      </c>
      <c r="D166" s="91" t="s">
        <v>684</v>
      </c>
      <c r="E166" s="94" t="s">
        <v>74</v>
      </c>
      <c r="F166" s="82">
        <v>168.97000332245827</v>
      </c>
      <c r="G166" s="8"/>
    </row>
    <row r="167" spans="2:7" ht="46.95" customHeight="1">
      <c r="B167" s="10" t="s">
        <v>647</v>
      </c>
      <c r="C167" s="79">
        <v>7.03</v>
      </c>
      <c r="D167" s="91" t="s">
        <v>685</v>
      </c>
      <c r="E167" s="94" t="s">
        <v>74</v>
      </c>
      <c r="F167" s="82">
        <v>450.58667552655544</v>
      </c>
      <c r="G167" s="8"/>
    </row>
    <row r="168" spans="2:7" ht="46.95" customHeight="1">
      <c r="B168" s="10" t="s">
        <v>647</v>
      </c>
      <c r="C168" s="79">
        <v>7.04</v>
      </c>
      <c r="D168" s="80" t="s">
        <v>318</v>
      </c>
      <c r="E168" s="81" t="s">
        <v>74</v>
      </c>
      <c r="F168" s="82">
        <v>1843.9189552569901</v>
      </c>
      <c r="G168" s="8"/>
    </row>
    <row r="169" spans="2:7" ht="46.95" customHeight="1">
      <c r="B169" s="10" t="s">
        <v>647</v>
      </c>
      <c r="C169" s="79" t="s">
        <v>686</v>
      </c>
      <c r="D169" s="80" t="s">
        <v>687</v>
      </c>
      <c r="E169" s="81" t="s">
        <v>62</v>
      </c>
      <c r="F169" s="82">
        <v>1633.3766987837632</v>
      </c>
      <c r="G169" s="8"/>
    </row>
    <row r="170" spans="2:7" ht="46.95" customHeight="1">
      <c r="B170" s="10" t="s">
        <v>647</v>
      </c>
      <c r="C170" s="79">
        <v>7.05</v>
      </c>
      <c r="D170" s="80" t="s">
        <v>688</v>
      </c>
      <c r="E170" s="81" t="s">
        <v>27</v>
      </c>
      <c r="F170" s="82">
        <v>3379.4000664491659</v>
      </c>
      <c r="G170" s="8"/>
    </row>
    <row r="171" spans="2:7" ht="46.95" customHeight="1">
      <c r="B171" s="10" t="s">
        <v>647</v>
      </c>
      <c r="C171" s="79">
        <v>7.06</v>
      </c>
      <c r="D171" s="84" t="s">
        <v>173</v>
      </c>
      <c r="E171" s="81" t="s">
        <v>74</v>
      </c>
      <c r="F171" s="82">
        <v>1370.3879863418595</v>
      </c>
      <c r="G171" s="8"/>
    </row>
    <row r="172" spans="2:7" ht="46.95" customHeight="1">
      <c r="B172" s="10" t="s">
        <v>647</v>
      </c>
      <c r="C172" s="79">
        <v>7.07</v>
      </c>
      <c r="D172" s="84" t="s">
        <v>689</v>
      </c>
      <c r="E172" s="81" t="s">
        <v>74</v>
      </c>
      <c r="F172" s="82">
        <v>1973.465195587605</v>
      </c>
      <c r="G172" s="8"/>
    </row>
    <row r="173" spans="2:7" ht="46.95" customHeight="1">
      <c r="B173" s="10" t="s">
        <v>647</v>
      </c>
      <c r="C173" s="79">
        <v>7.08</v>
      </c>
      <c r="D173" s="84" t="s">
        <v>175</v>
      </c>
      <c r="E173" s="81" t="s">
        <v>74</v>
      </c>
      <c r="F173" s="82">
        <v>3066.9729451974572</v>
      </c>
      <c r="G173" s="8"/>
    </row>
    <row r="174" spans="2:7" ht="46.95" customHeight="1">
      <c r="B174" s="10" t="s">
        <v>647</v>
      </c>
      <c r="C174" s="79">
        <v>7.09</v>
      </c>
      <c r="D174" s="84" t="s">
        <v>690</v>
      </c>
      <c r="E174" s="81" t="s">
        <v>74</v>
      </c>
      <c r="F174" s="82">
        <v>49418.75201714132</v>
      </c>
      <c r="G174" s="8"/>
    </row>
    <row r="175" spans="2:7" ht="64.2" customHeight="1">
      <c r="B175" s="10" t="s">
        <v>584</v>
      </c>
      <c r="C175" s="86">
        <v>8</v>
      </c>
      <c r="D175" s="87" t="s">
        <v>78</v>
      </c>
      <c r="E175" s="88"/>
      <c r="F175" s="87"/>
      <c r="G175" s="8"/>
    </row>
    <row r="176" spans="2:7" ht="12">
      <c r="B176" s="10"/>
      <c r="C176" s="86"/>
      <c r="D176" s="87" t="s">
        <v>691</v>
      </c>
      <c r="E176" s="88"/>
      <c r="F176" s="87"/>
      <c r="G176" s="8"/>
    </row>
    <row r="177" spans="2:7" ht="49.95" customHeight="1">
      <c r="B177" s="10" t="s">
        <v>655</v>
      </c>
      <c r="C177" s="79">
        <v>8.01</v>
      </c>
      <c r="D177" s="80" t="s">
        <v>692</v>
      </c>
      <c r="E177" s="81" t="s">
        <v>40</v>
      </c>
      <c r="F177" s="82">
        <v>1.8096210838536426</v>
      </c>
      <c r="G177" s="8"/>
    </row>
    <row r="178" spans="2:7" ht="20.399999999999999">
      <c r="B178" s="10" t="s">
        <v>655</v>
      </c>
      <c r="C178" s="79">
        <v>8.02</v>
      </c>
      <c r="D178" s="80" t="s">
        <v>693</v>
      </c>
      <c r="E178" s="81" t="s">
        <v>40</v>
      </c>
      <c r="F178" s="82">
        <v>2.590752486955934</v>
      </c>
      <c r="G178" s="8"/>
    </row>
    <row r="179" spans="2:7" ht="49.95" customHeight="1">
      <c r="B179" s="10" t="s">
        <v>655</v>
      </c>
      <c r="C179" s="79">
        <v>8.0299999999999994</v>
      </c>
      <c r="D179" s="80" t="s">
        <v>694</v>
      </c>
      <c r="E179" s="81" t="s">
        <v>40</v>
      </c>
      <c r="F179" s="82">
        <v>4.1139587230054024</v>
      </c>
      <c r="G179" s="8"/>
    </row>
    <row r="180" spans="2:7" ht="49.95" customHeight="1">
      <c r="B180" s="10" t="s">
        <v>655</v>
      </c>
      <c r="C180" s="79">
        <v>8.0399999999999991</v>
      </c>
      <c r="D180" s="80" t="s">
        <v>695</v>
      </c>
      <c r="E180" s="81" t="s">
        <v>40</v>
      </c>
      <c r="F180" s="82">
        <v>5.559051818744642</v>
      </c>
      <c r="G180" s="8"/>
    </row>
    <row r="181" spans="2:7" ht="49.95" customHeight="1">
      <c r="B181" s="10" t="s">
        <v>655</v>
      </c>
      <c r="C181" s="79">
        <v>8.0500000000000007</v>
      </c>
      <c r="D181" s="80" t="s">
        <v>696</v>
      </c>
      <c r="E181" s="81" t="s">
        <v>40</v>
      </c>
      <c r="F181" s="82">
        <v>9.6990482551867885</v>
      </c>
      <c r="G181" s="8"/>
    </row>
    <row r="182" spans="2:7" ht="49.95" customHeight="1">
      <c r="B182" s="10" t="s">
        <v>655</v>
      </c>
      <c r="C182" s="79">
        <v>8.06</v>
      </c>
      <c r="D182" s="80" t="s">
        <v>697</v>
      </c>
      <c r="E182" s="81" t="s">
        <v>40</v>
      </c>
      <c r="F182" s="82">
        <v>11.703952189816006</v>
      </c>
      <c r="G182" s="8"/>
    </row>
    <row r="183" spans="2:7" ht="12">
      <c r="B183" s="10"/>
      <c r="C183" s="86"/>
      <c r="D183" s="87" t="s">
        <v>698</v>
      </c>
      <c r="E183" s="88"/>
      <c r="F183" s="87"/>
      <c r="G183" s="8"/>
    </row>
    <row r="184" spans="2:7" ht="46.95" customHeight="1">
      <c r="B184" s="10" t="s">
        <v>655</v>
      </c>
      <c r="C184" s="79" t="s">
        <v>154</v>
      </c>
      <c r="D184" s="80" t="s">
        <v>699</v>
      </c>
      <c r="E184" s="81" t="s">
        <v>40</v>
      </c>
      <c r="F184" s="82">
        <v>1.1066028210615797</v>
      </c>
      <c r="G184" s="8"/>
    </row>
    <row r="185" spans="2:7" ht="46.95" customHeight="1">
      <c r="B185" s="10" t="s">
        <v>655</v>
      </c>
      <c r="C185" s="79" t="s">
        <v>140</v>
      </c>
      <c r="D185" s="80" t="s">
        <v>700</v>
      </c>
      <c r="E185" s="81" t="s">
        <v>40</v>
      </c>
      <c r="F185" s="82">
        <v>1.5492439494862122</v>
      </c>
      <c r="G185" s="8"/>
    </row>
    <row r="186" spans="2:7" ht="46.95" customHeight="1">
      <c r="B186" s="10" t="s">
        <v>655</v>
      </c>
      <c r="C186" s="79" t="s">
        <v>208</v>
      </c>
      <c r="D186" s="80" t="s">
        <v>701</v>
      </c>
      <c r="E186" s="81" t="s">
        <v>40</v>
      </c>
      <c r="F186" s="82">
        <v>2.3954696361803616</v>
      </c>
      <c r="G186" s="8"/>
    </row>
    <row r="187" spans="2:7" ht="46.95" customHeight="1">
      <c r="B187" s="10" t="s">
        <v>655</v>
      </c>
      <c r="C187" s="79" t="s">
        <v>80</v>
      </c>
      <c r="D187" s="80" t="s">
        <v>702</v>
      </c>
      <c r="E187" s="81" t="s">
        <v>40</v>
      </c>
      <c r="F187" s="82">
        <v>3.202638752719396</v>
      </c>
      <c r="G187" s="8"/>
    </row>
    <row r="188" spans="2:7" ht="46.95" customHeight="1">
      <c r="B188" s="10" t="s">
        <v>655</v>
      </c>
      <c r="C188" s="79" t="s">
        <v>703</v>
      </c>
      <c r="D188" s="80" t="s">
        <v>704</v>
      </c>
      <c r="E188" s="81" t="s">
        <v>40</v>
      </c>
      <c r="F188" s="82">
        <v>5.4288632515609274</v>
      </c>
      <c r="G188" s="8"/>
    </row>
    <row r="189" spans="2:7" ht="46.95" customHeight="1">
      <c r="B189" s="10" t="s">
        <v>655</v>
      </c>
      <c r="C189" s="79" t="s">
        <v>705</v>
      </c>
      <c r="D189" s="80" t="s">
        <v>706</v>
      </c>
      <c r="E189" s="81" t="s">
        <v>40</v>
      </c>
      <c r="F189" s="82">
        <v>6.4964095024673938</v>
      </c>
      <c r="G189" s="8"/>
    </row>
    <row r="190" spans="2:7" ht="46.95" customHeight="1">
      <c r="B190" s="10"/>
      <c r="C190" s="86"/>
      <c r="D190" s="87" t="s">
        <v>707</v>
      </c>
      <c r="E190" s="88"/>
      <c r="F190" s="87"/>
      <c r="G190" s="8"/>
    </row>
    <row r="191" spans="2:7" ht="291.60000000000002" customHeight="1">
      <c r="B191" s="10" t="s">
        <v>708</v>
      </c>
      <c r="C191" s="79">
        <v>8.07</v>
      </c>
      <c r="D191" s="80" t="s">
        <v>709</v>
      </c>
      <c r="E191" s="81" t="s">
        <v>74</v>
      </c>
      <c r="F191" s="82">
        <v>168908.27641444822</v>
      </c>
      <c r="G191" s="8"/>
    </row>
    <row r="192" spans="2:7" ht="291.60000000000002" customHeight="1">
      <c r="B192" s="10" t="s">
        <v>708</v>
      </c>
      <c r="C192" s="79" t="s">
        <v>710</v>
      </c>
      <c r="D192" s="80" t="s">
        <v>711</v>
      </c>
      <c r="E192" s="81" t="s">
        <v>74</v>
      </c>
      <c r="F192" s="82">
        <v>248225.17519289101</v>
      </c>
      <c r="G192" s="8"/>
    </row>
    <row r="193" spans="2:7" ht="236.55" customHeight="1">
      <c r="B193" s="10" t="s">
        <v>708</v>
      </c>
      <c r="C193" s="79" t="s">
        <v>184</v>
      </c>
      <c r="D193" s="80" t="s">
        <v>712</v>
      </c>
      <c r="E193" s="81" t="s">
        <v>74</v>
      </c>
      <c r="F193" s="82">
        <v>384214.61460111226</v>
      </c>
      <c r="G193" s="8"/>
    </row>
    <row r="194" spans="2:7" ht="312" customHeight="1">
      <c r="B194" s="10" t="s">
        <v>708</v>
      </c>
      <c r="C194" s="79" t="s">
        <v>713</v>
      </c>
      <c r="D194" s="80" t="s">
        <v>714</v>
      </c>
      <c r="E194" s="81" t="s">
        <v>74</v>
      </c>
      <c r="F194" s="82">
        <v>598819.56673985661</v>
      </c>
      <c r="G194" s="8"/>
    </row>
    <row r="195" spans="2:7" ht="336.6">
      <c r="B195" s="10" t="s">
        <v>708</v>
      </c>
      <c r="C195" s="79" t="s">
        <v>715</v>
      </c>
      <c r="D195" s="80" t="s">
        <v>716</v>
      </c>
      <c r="E195" s="81" t="s">
        <v>74</v>
      </c>
      <c r="F195" s="82">
        <v>720285.38333548652</v>
      </c>
      <c r="G195" s="8"/>
    </row>
    <row r="196" spans="2:7" ht="12">
      <c r="B196" s="10"/>
      <c r="C196" s="86"/>
      <c r="D196" s="87" t="s">
        <v>717</v>
      </c>
      <c r="E196" s="88"/>
      <c r="F196" s="87"/>
      <c r="G196" s="8"/>
    </row>
    <row r="197" spans="2:7" ht="46.95" customHeight="1">
      <c r="B197" s="10" t="s">
        <v>584</v>
      </c>
      <c r="C197" s="79">
        <v>8.08</v>
      </c>
      <c r="D197" s="80" t="s">
        <v>160</v>
      </c>
      <c r="E197" s="81" t="s">
        <v>74</v>
      </c>
      <c r="F197" s="82">
        <v>5193.01143544355</v>
      </c>
      <c r="G197" s="8"/>
    </row>
    <row r="198" spans="2:7" ht="46.95" customHeight="1">
      <c r="B198" s="10" t="s">
        <v>584</v>
      </c>
      <c r="C198" s="79">
        <v>8.09</v>
      </c>
      <c r="D198" s="80" t="s">
        <v>718</v>
      </c>
      <c r="E198" s="81" t="s">
        <v>74</v>
      </c>
      <c r="F198" s="82">
        <v>2093.8530025441405</v>
      </c>
      <c r="G198" s="8"/>
    </row>
    <row r="199" spans="2:7" ht="46.95" customHeight="1">
      <c r="B199" s="10" t="s">
        <v>584</v>
      </c>
      <c r="C199" s="79">
        <v>8.1</v>
      </c>
      <c r="D199" s="80" t="s">
        <v>719</v>
      </c>
      <c r="E199" s="81" t="s">
        <v>30</v>
      </c>
      <c r="F199" s="82">
        <v>40.958404576665814</v>
      </c>
      <c r="G199" s="8"/>
    </row>
    <row r="200" spans="2:7" ht="46.95" customHeight="1">
      <c r="B200" s="10" t="s">
        <v>584</v>
      </c>
      <c r="C200" s="79" t="s">
        <v>720</v>
      </c>
      <c r="D200" s="80" t="s">
        <v>721</v>
      </c>
      <c r="E200" s="81" t="s">
        <v>40</v>
      </c>
      <c r="F200" s="82">
        <v>77.724517721621069</v>
      </c>
      <c r="G200" s="8"/>
    </row>
    <row r="201" spans="2:7" ht="46.95" customHeight="1">
      <c r="B201" s="10" t="s">
        <v>584</v>
      </c>
      <c r="C201" s="79">
        <v>8.11</v>
      </c>
      <c r="D201" s="80" t="s">
        <v>722</v>
      </c>
      <c r="E201" s="81" t="s">
        <v>27</v>
      </c>
      <c r="F201" s="82">
        <v>97155.647152026344</v>
      </c>
      <c r="G201" s="8"/>
    </row>
    <row r="202" spans="2:7" ht="55.2" customHeight="1">
      <c r="B202" s="10" t="s">
        <v>590</v>
      </c>
      <c r="C202" s="86"/>
      <c r="D202" s="87" t="s">
        <v>590</v>
      </c>
      <c r="E202" s="88"/>
      <c r="F202" s="87"/>
      <c r="G202" s="8"/>
    </row>
    <row r="203" spans="2:7" ht="12">
      <c r="B203" s="10" t="s">
        <v>590</v>
      </c>
      <c r="C203" s="86"/>
      <c r="D203" s="87" t="s">
        <v>436</v>
      </c>
      <c r="E203" s="88"/>
      <c r="F203" s="87"/>
      <c r="G203" s="8"/>
    </row>
    <row r="204" spans="2:7" ht="46.95" customHeight="1">
      <c r="B204" s="10" t="s">
        <v>590</v>
      </c>
      <c r="C204" s="79">
        <v>8.1199999999999992</v>
      </c>
      <c r="D204" s="92" t="s">
        <v>438</v>
      </c>
      <c r="E204" s="81" t="s">
        <v>40</v>
      </c>
      <c r="F204" s="82">
        <v>3.567166740833799</v>
      </c>
      <c r="G204" s="8"/>
    </row>
    <row r="205" spans="2:7" ht="46.95" customHeight="1">
      <c r="B205" s="10" t="s">
        <v>590</v>
      </c>
      <c r="C205" s="79">
        <v>8.1300000000000008</v>
      </c>
      <c r="D205" s="92" t="s">
        <v>440</v>
      </c>
      <c r="E205" s="81" t="s">
        <v>40</v>
      </c>
      <c r="F205" s="82">
        <v>4.2571661469074904</v>
      </c>
      <c r="G205" s="8"/>
    </row>
    <row r="206" spans="2:7" ht="46.95" customHeight="1">
      <c r="B206" s="10" t="s">
        <v>590</v>
      </c>
      <c r="C206" s="79">
        <v>8.14</v>
      </c>
      <c r="D206" s="92" t="s">
        <v>443</v>
      </c>
      <c r="E206" s="81" t="s">
        <v>40</v>
      </c>
      <c r="F206" s="82">
        <v>5.5460329620262714</v>
      </c>
      <c r="G206" s="8"/>
    </row>
    <row r="207" spans="2:7" ht="46.95" customHeight="1">
      <c r="B207" s="10" t="s">
        <v>590</v>
      </c>
      <c r="C207" s="79">
        <v>8.15</v>
      </c>
      <c r="D207" s="92" t="s">
        <v>444</v>
      </c>
      <c r="E207" s="81" t="s">
        <v>40</v>
      </c>
      <c r="F207" s="82">
        <v>7.3556540458799136</v>
      </c>
      <c r="G207" s="8"/>
    </row>
    <row r="208" spans="2:7" ht="12">
      <c r="B208" s="10" t="s">
        <v>590</v>
      </c>
      <c r="C208" s="86"/>
      <c r="D208" s="87" t="s">
        <v>723</v>
      </c>
      <c r="E208" s="88"/>
      <c r="F208" s="87"/>
      <c r="G208" s="8"/>
    </row>
    <row r="209" spans="2:7" ht="46.95" customHeight="1">
      <c r="B209" s="10" t="s">
        <v>590</v>
      </c>
      <c r="C209" s="79">
        <v>8.16</v>
      </c>
      <c r="D209" s="92" t="s">
        <v>446</v>
      </c>
      <c r="E209" s="81" t="s">
        <v>40</v>
      </c>
      <c r="F209" s="82">
        <v>4.4003735708095766</v>
      </c>
      <c r="G209" s="8"/>
    </row>
    <row r="210" spans="2:7" ht="46.95" customHeight="1">
      <c r="B210" s="10" t="s">
        <v>590</v>
      </c>
      <c r="C210" s="79">
        <v>8.17</v>
      </c>
      <c r="D210" s="92" t="s">
        <v>447</v>
      </c>
      <c r="E210" s="81" t="s">
        <v>40</v>
      </c>
      <c r="F210" s="82">
        <v>5.3116935410955834</v>
      </c>
      <c r="G210" s="8"/>
    </row>
    <row r="211" spans="2:7" ht="46.95" customHeight="1">
      <c r="B211" s="10" t="s">
        <v>590</v>
      </c>
      <c r="C211" s="79">
        <v>8.18</v>
      </c>
      <c r="D211" s="92" t="s">
        <v>448</v>
      </c>
      <c r="E211" s="81" t="s">
        <v>40</v>
      </c>
      <c r="F211" s="82">
        <v>7.0041449144838825</v>
      </c>
      <c r="G211" s="8"/>
    </row>
    <row r="212" spans="2:7" ht="46.95" customHeight="1">
      <c r="B212" s="10" t="s">
        <v>590</v>
      </c>
      <c r="C212" s="79">
        <v>8.19</v>
      </c>
      <c r="D212" s="80" t="s">
        <v>449</v>
      </c>
      <c r="E212" s="81" t="s">
        <v>40</v>
      </c>
      <c r="F212" s="82">
        <v>9.3735768372274997</v>
      </c>
      <c r="G212" s="8"/>
    </row>
    <row r="213" spans="2:7" ht="12">
      <c r="B213" s="10" t="s">
        <v>590</v>
      </c>
      <c r="C213" s="86"/>
      <c r="D213" s="87" t="s">
        <v>450</v>
      </c>
      <c r="E213" s="88"/>
      <c r="F213" s="87"/>
      <c r="G213" s="8"/>
    </row>
    <row r="214" spans="2:7" ht="46.95" customHeight="1">
      <c r="B214" s="10" t="s">
        <v>590</v>
      </c>
      <c r="C214" s="79">
        <v>8.1999999999999993</v>
      </c>
      <c r="D214" s="80" t="s">
        <v>210</v>
      </c>
      <c r="E214" s="81" t="s">
        <v>40</v>
      </c>
      <c r="F214" s="82">
        <v>4.5435809947116637</v>
      </c>
      <c r="G214" s="8"/>
    </row>
    <row r="215" spans="2:7" ht="46.95" customHeight="1">
      <c r="B215" s="10" t="s">
        <v>590</v>
      </c>
      <c r="C215" s="79">
        <v>8.2100000000000009</v>
      </c>
      <c r="D215" s="80" t="s">
        <v>220</v>
      </c>
      <c r="E215" s="81" t="s">
        <v>40</v>
      </c>
      <c r="F215" s="82">
        <v>5.7282969560834731</v>
      </c>
      <c r="G215" s="8"/>
    </row>
    <row r="216" spans="2:7" ht="46.95" customHeight="1">
      <c r="B216" s="10" t="s">
        <v>590</v>
      </c>
      <c r="C216" s="79">
        <v>8.2200000000000006</v>
      </c>
      <c r="D216" s="80" t="s">
        <v>452</v>
      </c>
      <c r="E216" s="81" t="s">
        <v>40</v>
      </c>
      <c r="F216" s="82">
        <v>7.4858426130636291</v>
      </c>
      <c r="G216" s="8"/>
    </row>
    <row r="217" spans="2:7" ht="46.95" customHeight="1">
      <c r="B217" s="10" t="s">
        <v>590</v>
      </c>
      <c r="C217" s="79">
        <v>8.23</v>
      </c>
      <c r="D217" s="80" t="s">
        <v>453</v>
      </c>
      <c r="E217" s="81" t="s">
        <v>40</v>
      </c>
      <c r="F217" s="82">
        <v>10.037538529864451</v>
      </c>
      <c r="G217" s="8"/>
    </row>
    <row r="218" spans="2:7" ht="12">
      <c r="B218" s="10" t="s">
        <v>590</v>
      </c>
      <c r="C218" s="86"/>
      <c r="D218" s="87" t="s">
        <v>454</v>
      </c>
      <c r="E218" s="88"/>
      <c r="F218" s="87"/>
      <c r="G218" s="8"/>
    </row>
    <row r="219" spans="2:7" ht="46.95" customHeight="1">
      <c r="B219" s="10" t="s">
        <v>590</v>
      </c>
      <c r="C219" s="79">
        <v>8.24</v>
      </c>
      <c r="D219" s="80" t="s">
        <v>455</v>
      </c>
      <c r="E219" s="81" t="s">
        <v>40</v>
      </c>
      <c r="F219" s="82">
        <v>4.6086752783035205</v>
      </c>
      <c r="G219" s="8"/>
    </row>
    <row r="220" spans="2:7" ht="46.95" customHeight="1">
      <c r="B220" s="10" t="s">
        <v>590</v>
      </c>
      <c r="C220" s="79">
        <v>8.25</v>
      </c>
      <c r="D220" s="80" t="s">
        <v>456</v>
      </c>
      <c r="E220" s="81" t="s">
        <v>40</v>
      </c>
      <c r="F220" s="82">
        <v>5.5460329620262714</v>
      </c>
      <c r="G220" s="8"/>
    </row>
    <row r="221" spans="2:7" ht="46.95" customHeight="1">
      <c r="B221" s="10" t="s">
        <v>590</v>
      </c>
      <c r="C221" s="79">
        <v>8.26</v>
      </c>
      <c r="D221" s="80" t="s">
        <v>457</v>
      </c>
      <c r="E221" s="81" t="s">
        <v>40</v>
      </c>
      <c r="F221" s="82">
        <v>6.7177300666797075</v>
      </c>
      <c r="G221" s="8"/>
    </row>
    <row r="222" spans="2:7" ht="46.95" customHeight="1">
      <c r="B222" s="10" t="s">
        <v>590</v>
      </c>
      <c r="C222" s="79">
        <v>8.27</v>
      </c>
      <c r="D222" s="80" t="s">
        <v>458</v>
      </c>
      <c r="E222" s="81" t="s">
        <v>40</v>
      </c>
      <c r="F222" s="82">
        <v>8.3971625833496351</v>
      </c>
      <c r="G222" s="8"/>
    </row>
    <row r="223" spans="2:7" ht="12">
      <c r="B223" s="10" t="s">
        <v>590</v>
      </c>
      <c r="C223" s="86"/>
      <c r="D223" s="87" t="s">
        <v>459</v>
      </c>
      <c r="E223" s="88"/>
      <c r="F223" s="87"/>
      <c r="G223" s="8"/>
    </row>
    <row r="224" spans="2:7" ht="46.95" customHeight="1">
      <c r="B224" s="10" t="s">
        <v>590</v>
      </c>
      <c r="C224" s="79">
        <v>8.2799999999999994</v>
      </c>
      <c r="D224" s="80" t="s">
        <v>460</v>
      </c>
      <c r="E224" s="81" t="s">
        <v>40</v>
      </c>
      <c r="F224" s="82">
        <v>5.7543346695202162</v>
      </c>
      <c r="G224" s="8"/>
    </row>
    <row r="225" spans="2:7" ht="46.95" customHeight="1">
      <c r="B225" s="10" t="s">
        <v>590</v>
      </c>
      <c r="C225" s="79">
        <v>8.2899999999999991</v>
      </c>
      <c r="D225" s="80" t="s">
        <v>461</v>
      </c>
      <c r="E225" s="81" t="s">
        <v>40</v>
      </c>
      <c r="F225" s="82">
        <v>7.0041449144838825</v>
      </c>
      <c r="G225" s="8"/>
    </row>
    <row r="226" spans="2:7" ht="46.95" customHeight="1">
      <c r="B226" s="10" t="s">
        <v>590</v>
      </c>
      <c r="C226" s="79">
        <v>8.3000000000000007</v>
      </c>
      <c r="D226" s="80" t="s">
        <v>462</v>
      </c>
      <c r="E226" s="81" t="s">
        <v>40</v>
      </c>
      <c r="F226" s="82">
        <v>8.5273511505333524</v>
      </c>
      <c r="G226" s="8"/>
    </row>
    <row r="227" spans="2:7" ht="46.95" customHeight="1">
      <c r="B227" s="10" t="s">
        <v>590</v>
      </c>
      <c r="C227" s="79">
        <v>8.31</v>
      </c>
      <c r="D227" s="80" t="s">
        <v>463</v>
      </c>
      <c r="E227" s="81" t="s">
        <v>40</v>
      </c>
      <c r="F227" s="82">
        <v>10.727537935938141</v>
      </c>
      <c r="G227" s="8"/>
    </row>
    <row r="228" spans="2:7" ht="12">
      <c r="B228" s="10" t="s">
        <v>590</v>
      </c>
      <c r="C228" s="86"/>
      <c r="D228" s="87" t="s">
        <v>464</v>
      </c>
      <c r="E228" s="88"/>
      <c r="F228" s="87"/>
      <c r="G228" s="8"/>
    </row>
    <row r="229" spans="2:7" ht="46.95" customHeight="1">
      <c r="B229" s="10" t="s">
        <v>590</v>
      </c>
      <c r="C229" s="79">
        <v>8.32</v>
      </c>
      <c r="D229" s="80" t="s">
        <v>465</v>
      </c>
      <c r="E229" s="81" t="s">
        <v>40</v>
      </c>
      <c r="F229" s="82">
        <v>6.379239792002048</v>
      </c>
      <c r="G229" s="8"/>
    </row>
    <row r="230" spans="2:7" ht="46.95" customHeight="1">
      <c r="B230" s="10" t="s">
        <v>590</v>
      </c>
      <c r="C230" s="79">
        <v>8.33</v>
      </c>
      <c r="D230" s="80" t="s">
        <v>466</v>
      </c>
      <c r="E230" s="81" t="s">
        <v>40</v>
      </c>
      <c r="F230" s="82">
        <v>7.2905597622880549</v>
      </c>
      <c r="G230" s="8"/>
    </row>
    <row r="231" spans="2:7" ht="46.95" customHeight="1">
      <c r="B231" s="10" t="s">
        <v>590</v>
      </c>
      <c r="C231" s="79">
        <v>8.34</v>
      </c>
      <c r="D231" s="80" t="s">
        <v>467</v>
      </c>
      <c r="E231" s="81" t="s">
        <v>40</v>
      </c>
      <c r="F231" s="82">
        <v>8.8658414252110092</v>
      </c>
      <c r="G231" s="8"/>
    </row>
    <row r="232" spans="2:7" ht="46.95" customHeight="1">
      <c r="B232" s="10" t="s">
        <v>590</v>
      </c>
      <c r="C232" s="79">
        <v>8.35</v>
      </c>
      <c r="D232" s="80" t="s">
        <v>468</v>
      </c>
      <c r="E232" s="81" t="s">
        <v>40</v>
      </c>
      <c r="F232" s="82">
        <v>10.831688789685114</v>
      </c>
      <c r="G232" s="8"/>
    </row>
    <row r="233" spans="2:7" ht="12">
      <c r="B233" s="10" t="s">
        <v>590</v>
      </c>
      <c r="C233" s="86"/>
      <c r="D233" s="87" t="s">
        <v>469</v>
      </c>
      <c r="E233" s="88"/>
      <c r="F233" s="87"/>
      <c r="G233" s="8"/>
    </row>
    <row r="234" spans="2:7" ht="46.95" customHeight="1">
      <c r="B234" s="10" t="s">
        <v>590</v>
      </c>
      <c r="C234" s="79">
        <v>8.36</v>
      </c>
      <c r="D234" s="80" t="s">
        <v>470</v>
      </c>
      <c r="E234" s="81" t="s">
        <v>40</v>
      </c>
      <c r="F234" s="82">
        <v>5.8064100963937015</v>
      </c>
      <c r="G234" s="8"/>
    </row>
    <row r="235" spans="2:7" ht="46.95" customHeight="1">
      <c r="B235" s="10" t="s">
        <v>590</v>
      </c>
      <c r="C235" s="79">
        <v>8.3699999999999992</v>
      </c>
      <c r="D235" s="80" t="s">
        <v>471</v>
      </c>
      <c r="E235" s="81" t="s">
        <v>40</v>
      </c>
      <c r="F235" s="82">
        <v>6.587541499495992</v>
      </c>
      <c r="G235" s="8"/>
    </row>
    <row r="236" spans="2:7" ht="46.95" customHeight="1">
      <c r="B236" s="10" t="s">
        <v>590</v>
      </c>
      <c r="C236" s="79">
        <v>8.3800000000000008</v>
      </c>
      <c r="D236" s="80" t="s">
        <v>472</v>
      </c>
      <c r="E236" s="81" t="s">
        <v>40</v>
      </c>
      <c r="F236" s="82">
        <v>7.7462197474310583</v>
      </c>
      <c r="G236" s="8"/>
    </row>
    <row r="237" spans="2:7" ht="46.95" customHeight="1">
      <c r="B237" s="10" t="s">
        <v>590</v>
      </c>
      <c r="C237" s="79">
        <v>8.39</v>
      </c>
      <c r="D237" s="80" t="s">
        <v>473</v>
      </c>
      <c r="E237" s="81" t="s">
        <v>40</v>
      </c>
      <c r="F237" s="82">
        <v>9.4256522641009859</v>
      </c>
      <c r="G237" s="8"/>
    </row>
    <row r="238" spans="2:7" ht="12">
      <c r="B238" s="10" t="s">
        <v>590</v>
      </c>
      <c r="C238" s="86"/>
      <c r="D238" s="87" t="s">
        <v>474</v>
      </c>
      <c r="E238" s="88"/>
      <c r="F238" s="87"/>
      <c r="G238" s="8"/>
    </row>
    <row r="239" spans="2:7" ht="46.95" customHeight="1">
      <c r="B239" s="10" t="s">
        <v>590</v>
      </c>
      <c r="C239" s="79">
        <v>8.4</v>
      </c>
      <c r="D239" s="80" t="s">
        <v>475</v>
      </c>
      <c r="E239" s="81" t="s">
        <v>40</v>
      </c>
      <c r="F239" s="82">
        <v>7.342635189161542</v>
      </c>
      <c r="G239" s="8"/>
    </row>
    <row r="240" spans="2:7" ht="46.95" customHeight="1">
      <c r="B240" s="10" t="s">
        <v>590</v>
      </c>
      <c r="C240" s="79">
        <v>8.41</v>
      </c>
      <c r="D240" s="80" t="s">
        <v>476</v>
      </c>
      <c r="E240" s="81" t="s">
        <v>40</v>
      </c>
      <c r="F240" s="82">
        <v>8.3581060131945222</v>
      </c>
      <c r="G240" s="8"/>
    </row>
    <row r="241" spans="2:7" ht="46.95" customHeight="1">
      <c r="B241" s="10" t="s">
        <v>590</v>
      </c>
      <c r="C241" s="79">
        <v>8.42</v>
      </c>
      <c r="D241" s="80" t="s">
        <v>477</v>
      </c>
      <c r="E241" s="81" t="s">
        <v>40</v>
      </c>
      <c r="F241" s="82">
        <v>9.8813122492439902</v>
      </c>
      <c r="G241" s="8"/>
    </row>
    <row r="242" spans="2:7" ht="46.95" customHeight="1">
      <c r="B242" s="10" t="s">
        <v>590</v>
      </c>
      <c r="C242" s="79">
        <v>8.43</v>
      </c>
      <c r="D242" s="80" t="s">
        <v>478</v>
      </c>
      <c r="E242" s="81" t="s">
        <v>40</v>
      </c>
      <c r="F242" s="82">
        <v>12.081499034648779</v>
      </c>
      <c r="G242" s="8"/>
    </row>
    <row r="243" spans="2:7" ht="12">
      <c r="B243" s="10" t="s">
        <v>590</v>
      </c>
      <c r="C243" s="86"/>
      <c r="D243" s="87" t="s">
        <v>479</v>
      </c>
      <c r="E243" s="88"/>
      <c r="F243" s="87"/>
      <c r="G243" s="8"/>
    </row>
    <row r="244" spans="2:7" ht="46.95" customHeight="1">
      <c r="B244" s="10" t="s">
        <v>590</v>
      </c>
      <c r="C244" s="79">
        <v>8.44</v>
      </c>
      <c r="D244" s="80" t="s">
        <v>480</v>
      </c>
      <c r="E244" s="81" t="s">
        <v>40</v>
      </c>
      <c r="F244" s="82">
        <v>7.6941443205575721</v>
      </c>
      <c r="G244" s="8"/>
    </row>
    <row r="245" spans="2:7" ht="46.95" customHeight="1">
      <c r="B245" s="10" t="s">
        <v>590</v>
      </c>
      <c r="C245" s="79">
        <v>8.4499999999999993</v>
      </c>
      <c r="D245" s="80" t="s">
        <v>481</v>
      </c>
      <c r="E245" s="81" t="s">
        <v>40</v>
      </c>
      <c r="F245" s="82">
        <v>8.8658414252110092</v>
      </c>
      <c r="G245" s="8"/>
    </row>
    <row r="246" spans="2:7" ht="46.95" customHeight="1">
      <c r="B246" s="10" t="s">
        <v>590</v>
      </c>
      <c r="C246" s="79">
        <v>8.4600000000000009</v>
      </c>
      <c r="D246" s="80" t="s">
        <v>482</v>
      </c>
      <c r="E246" s="81" t="s">
        <v>40</v>
      </c>
      <c r="F246" s="82">
        <v>10.441123088133965</v>
      </c>
      <c r="G246" s="8"/>
    </row>
    <row r="247" spans="2:7" ht="46.95" customHeight="1">
      <c r="B247" s="10" t="s">
        <v>590</v>
      </c>
      <c r="C247" s="79">
        <v>8.4700000000000006</v>
      </c>
      <c r="D247" s="80" t="s">
        <v>483</v>
      </c>
      <c r="E247" s="81" t="s">
        <v>40</v>
      </c>
      <c r="F247" s="82">
        <v>12.393951595889698</v>
      </c>
      <c r="G247" s="8"/>
    </row>
    <row r="248" spans="2:7" ht="46.95" customHeight="1">
      <c r="B248" s="10" t="s">
        <v>724</v>
      </c>
      <c r="C248" s="86">
        <v>9</v>
      </c>
      <c r="D248" s="87" t="s">
        <v>247</v>
      </c>
      <c r="E248" s="88"/>
      <c r="F248" s="87"/>
      <c r="G248" s="8"/>
    </row>
    <row r="249" spans="2:7" ht="46.95" customHeight="1">
      <c r="B249" s="10" t="s">
        <v>724</v>
      </c>
      <c r="C249" s="79">
        <v>9.01</v>
      </c>
      <c r="D249" s="84" t="s">
        <v>725</v>
      </c>
      <c r="E249" s="83" t="s">
        <v>726</v>
      </c>
      <c r="F249" s="82">
        <v>3050.6873205736269</v>
      </c>
      <c r="G249" s="8"/>
    </row>
    <row r="250" spans="2:7" ht="46.95" customHeight="1">
      <c r="B250" s="10" t="s">
        <v>724</v>
      </c>
      <c r="C250" s="79">
        <v>9.02</v>
      </c>
      <c r="D250" s="84" t="s">
        <v>727</v>
      </c>
      <c r="E250" s="83" t="s">
        <v>726</v>
      </c>
      <c r="F250" s="82">
        <v>1699.7380469247007</v>
      </c>
      <c r="G250" s="8"/>
    </row>
    <row r="251" spans="2:7" ht="46.95" customHeight="1">
      <c r="B251" s="10" t="s">
        <v>724</v>
      </c>
      <c r="C251" s="79">
        <v>9.0299999999999994</v>
      </c>
      <c r="D251" s="80" t="s">
        <v>728</v>
      </c>
      <c r="E251" s="81" t="s">
        <v>27</v>
      </c>
      <c r="F251" s="82">
        <v>3097.7833942450679</v>
      </c>
      <c r="G251" s="8"/>
    </row>
    <row r="252" spans="2:7" ht="46.95" customHeight="1">
      <c r="B252" s="10" t="s">
        <v>724</v>
      </c>
      <c r="C252" s="79" t="s">
        <v>253</v>
      </c>
      <c r="D252" s="80" t="s">
        <v>729</v>
      </c>
      <c r="E252" s="81" t="s">
        <v>27</v>
      </c>
      <c r="F252" s="82">
        <v>11827.900232572079</v>
      </c>
      <c r="G252" s="8"/>
    </row>
    <row r="253" spans="2:7" ht="46.95" customHeight="1">
      <c r="B253" s="10" t="s">
        <v>724</v>
      </c>
      <c r="C253" s="79">
        <v>9.0399999999999991</v>
      </c>
      <c r="D253" s="80" t="s">
        <v>730</v>
      </c>
      <c r="E253" s="81" t="s">
        <v>40</v>
      </c>
      <c r="F253" s="82">
        <v>4.5435809947116637</v>
      </c>
      <c r="G253" s="8"/>
    </row>
    <row r="254" spans="2:7" ht="46.95" customHeight="1">
      <c r="B254" s="10" t="s">
        <v>724</v>
      </c>
      <c r="C254" s="79">
        <v>9.0500000000000007</v>
      </c>
      <c r="D254" s="80" t="s">
        <v>731</v>
      </c>
      <c r="E254" s="81" t="s">
        <v>40</v>
      </c>
      <c r="F254" s="82">
        <v>5.7282969560834731</v>
      </c>
      <c r="G254" s="8"/>
    </row>
    <row r="255" spans="2:7" ht="46.95" customHeight="1">
      <c r="B255" s="10" t="s">
        <v>724</v>
      </c>
      <c r="C255" s="79">
        <v>9.06</v>
      </c>
      <c r="D255" s="80" t="s">
        <v>732</v>
      </c>
      <c r="E255" s="81" t="s">
        <v>40</v>
      </c>
      <c r="F255" s="82">
        <v>7.4858426130636291</v>
      </c>
      <c r="G255" s="8"/>
    </row>
    <row r="256" spans="2:7" ht="46.95" customHeight="1">
      <c r="B256" s="10" t="s">
        <v>724</v>
      </c>
      <c r="C256" s="79">
        <v>9.07</v>
      </c>
      <c r="D256" s="80" t="s">
        <v>733</v>
      </c>
      <c r="E256" s="81" t="s">
        <v>40</v>
      </c>
      <c r="F256" s="82">
        <v>10.037538529864451</v>
      </c>
      <c r="G256" s="8"/>
    </row>
    <row r="257" spans="2:7" ht="46.95" customHeight="1">
      <c r="B257" s="10" t="s">
        <v>724</v>
      </c>
      <c r="C257" s="79">
        <v>9.08</v>
      </c>
      <c r="D257" s="80" t="s">
        <v>734</v>
      </c>
      <c r="E257" s="81" t="s">
        <v>27</v>
      </c>
      <c r="F257" s="82">
        <v>28161.667220409709</v>
      </c>
      <c r="G257" s="8"/>
    </row>
    <row r="258" spans="2:7" ht="46.95" customHeight="1">
      <c r="B258" s="10" t="s">
        <v>724</v>
      </c>
      <c r="C258" s="86">
        <v>10</v>
      </c>
      <c r="D258" s="87" t="s">
        <v>277</v>
      </c>
      <c r="E258" s="88"/>
      <c r="F258" s="87"/>
      <c r="G258" s="8"/>
    </row>
    <row r="259" spans="2:7" ht="46.95" customHeight="1">
      <c r="B259" s="10" t="s">
        <v>724</v>
      </c>
      <c r="C259" s="79">
        <v>10.01</v>
      </c>
      <c r="D259" s="84" t="s">
        <v>735</v>
      </c>
      <c r="E259" s="83" t="s">
        <v>62</v>
      </c>
      <c r="F259" s="82">
        <v>2768.2624211488542</v>
      </c>
      <c r="G259" s="8"/>
    </row>
    <row r="260" spans="2:7" ht="46.95" customHeight="1">
      <c r="B260" s="10" t="s">
        <v>724</v>
      </c>
      <c r="C260" s="79">
        <v>10.02</v>
      </c>
      <c r="D260" s="84" t="s">
        <v>736</v>
      </c>
      <c r="E260" s="83" t="s">
        <v>62</v>
      </c>
      <c r="F260" s="82">
        <v>1689.700033224583</v>
      </c>
      <c r="G260" s="8"/>
    </row>
    <row r="261" spans="2:7" ht="46.95" customHeight="1">
      <c r="B261" s="10" t="s">
        <v>724</v>
      </c>
      <c r="C261" s="79">
        <v>10.029999999999999</v>
      </c>
      <c r="D261" s="84" t="s">
        <v>737</v>
      </c>
      <c r="E261" s="83" t="s">
        <v>62</v>
      </c>
      <c r="F261" s="82">
        <v>844.85001661229148</v>
      </c>
      <c r="G261" s="8"/>
    </row>
    <row r="262" spans="2:7" ht="46.95" customHeight="1">
      <c r="B262" s="10" t="s">
        <v>724</v>
      </c>
      <c r="C262" s="79">
        <v>10.039999999999999</v>
      </c>
      <c r="D262" s="84" t="s">
        <v>738</v>
      </c>
      <c r="E262" s="83" t="s">
        <v>30</v>
      </c>
      <c r="F262" s="82">
        <v>8.237182424050479</v>
      </c>
      <c r="G262" s="8"/>
    </row>
    <row r="263" spans="2:7" ht="46.95" customHeight="1">
      <c r="B263" s="10" t="s">
        <v>739</v>
      </c>
      <c r="C263" s="86">
        <v>11</v>
      </c>
      <c r="D263" s="87" t="s">
        <v>341</v>
      </c>
      <c r="E263" s="88"/>
      <c r="F263" s="87"/>
      <c r="G263" s="8"/>
    </row>
    <row r="264" spans="2:7" ht="46.95" customHeight="1">
      <c r="B264" s="10" t="s">
        <v>739</v>
      </c>
      <c r="C264" s="79">
        <v>11.01</v>
      </c>
      <c r="D264" s="80" t="s">
        <v>740</v>
      </c>
      <c r="E264" s="81" t="s">
        <v>46</v>
      </c>
      <c r="F264" s="82">
        <v>14573.34707280395</v>
      </c>
      <c r="G264" s="8"/>
    </row>
    <row r="265" spans="2:7" ht="46.95" customHeight="1">
      <c r="B265" s="10" t="s">
        <v>739</v>
      </c>
      <c r="C265" s="79">
        <v>11.02</v>
      </c>
      <c r="D265" s="80" t="s">
        <v>741</v>
      </c>
      <c r="E265" s="81" t="s">
        <v>742</v>
      </c>
      <c r="F265" s="82">
        <v>3886.225886081053</v>
      </c>
      <c r="G265" s="8"/>
    </row>
    <row r="266" spans="2:7" ht="46.95" customHeight="1">
      <c r="B266" s="10" t="s">
        <v>739</v>
      </c>
      <c r="C266" s="79">
        <v>11.03</v>
      </c>
      <c r="D266" s="80" t="s">
        <v>743</v>
      </c>
      <c r="E266" s="81" t="s">
        <v>46</v>
      </c>
      <c r="F266" s="82">
        <v>9715.564715202634</v>
      </c>
      <c r="G266" s="8"/>
    </row>
    <row r="267" spans="2:7" ht="46.95" customHeight="1">
      <c r="B267" s="10" t="s">
        <v>739</v>
      </c>
      <c r="C267" s="86">
        <v>12</v>
      </c>
      <c r="D267" s="87" t="s">
        <v>344</v>
      </c>
      <c r="E267" s="88"/>
      <c r="F267" s="87"/>
      <c r="G267" s="8"/>
    </row>
    <row r="268" spans="2:7" ht="46.95" customHeight="1">
      <c r="B268" s="10" t="s">
        <v>739</v>
      </c>
      <c r="C268" s="79">
        <v>12.01</v>
      </c>
      <c r="D268" s="80" t="s">
        <v>346</v>
      </c>
      <c r="E268" s="81" t="s">
        <v>27</v>
      </c>
      <c r="F268" s="82" t="s">
        <v>285</v>
      </c>
      <c r="G268" s="8"/>
    </row>
    <row r="269" spans="2:7" ht="46.95" customHeight="1">
      <c r="B269" s="10" t="s">
        <v>739</v>
      </c>
      <c r="C269" s="79">
        <v>12.02</v>
      </c>
      <c r="D269" s="80" t="s">
        <v>744</v>
      </c>
      <c r="E269" s="81" t="s">
        <v>27</v>
      </c>
      <c r="F269" s="82">
        <v>1943112.9430405269</v>
      </c>
      <c r="G269" s="8"/>
    </row>
    <row r="270" spans="2:7" ht="77.55" customHeight="1">
      <c r="B270" s="10" t="s">
        <v>739</v>
      </c>
      <c r="C270" s="79" t="s">
        <v>349</v>
      </c>
      <c r="D270" s="80" t="s">
        <v>745</v>
      </c>
      <c r="E270" s="81" t="s">
        <v>27</v>
      </c>
      <c r="F270" s="82">
        <v>1018873.4431120137</v>
      </c>
      <c r="G270" s="8"/>
    </row>
    <row r="271" spans="2:7" ht="46.95" customHeight="1">
      <c r="B271" s="10" t="s">
        <v>739</v>
      </c>
      <c r="C271" s="79" t="s">
        <v>746</v>
      </c>
      <c r="D271" s="80" t="s">
        <v>747</v>
      </c>
      <c r="E271" s="81" t="s">
        <v>27</v>
      </c>
      <c r="F271" s="82">
        <v>971556.47152026347</v>
      </c>
      <c r="G271" s="8"/>
    </row>
    <row r="272" spans="2:7" ht="46.95" customHeight="1">
      <c r="B272" s="10" t="s">
        <v>739</v>
      </c>
      <c r="C272" s="79" t="s">
        <v>748</v>
      </c>
      <c r="D272" s="80" t="s">
        <v>749</v>
      </c>
      <c r="E272" s="81" t="s">
        <v>27</v>
      </c>
      <c r="F272" s="82">
        <v>2914669.4145607902</v>
      </c>
      <c r="G272" s="8"/>
    </row>
    <row r="273" spans="2:7" ht="46.95" customHeight="1">
      <c r="B273" s="10" t="s">
        <v>488</v>
      </c>
      <c r="C273" s="79">
        <v>12.05</v>
      </c>
      <c r="D273" s="80" t="s">
        <v>750</v>
      </c>
      <c r="E273" s="81" t="s">
        <v>27</v>
      </c>
      <c r="F273" s="82">
        <v>145733.47072803948</v>
      </c>
      <c r="G273" s="8"/>
    </row>
    <row r="274" spans="2:7" ht="46.95" customHeight="1">
      <c r="B274" s="10" t="s">
        <v>739</v>
      </c>
      <c r="C274" s="79">
        <v>12.09</v>
      </c>
      <c r="D274" s="80" t="s">
        <v>352</v>
      </c>
      <c r="E274" s="81" t="s">
        <v>528</v>
      </c>
      <c r="F274" s="82">
        <v>24288.911788006586</v>
      </c>
      <c r="G274" s="8"/>
    </row>
    <row r="275" spans="2:7" ht="46.95" customHeight="1">
      <c r="B275" s="10" t="s">
        <v>739</v>
      </c>
      <c r="C275" s="86">
        <v>13</v>
      </c>
      <c r="D275" s="87" t="s">
        <v>354</v>
      </c>
      <c r="E275" s="88"/>
      <c r="F275" s="87"/>
      <c r="G275" s="8"/>
    </row>
    <row r="276" spans="2:7" ht="46.95" customHeight="1">
      <c r="B276" s="10" t="s">
        <v>751</v>
      </c>
      <c r="C276" s="79">
        <v>13.01</v>
      </c>
      <c r="D276" s="84" t="s">
        <v>752</v>
      </c>
      <c r="E276" s="81" t="s">
        <v>753</v>
      </c>
      <c r="F276" s="82">
        <v>170096.47001127465</v>
      </c>
      <c r="G276" s="8"/>
    </row>
    <row r="277" spans="2:7" ht="46.95" customHeight="1">
      <c r="B277" s="10" t="s">
        <v>751</v>
      </c>
      <c r="C277" s="79">
        <v>13.02</v>
      </c>
      <c r="D277" s="84" t="s">
        <v>754</v>
      </c>
      <c r="E277" s="81" t="s">
        <v>753</v>
      </c>
      <c r="F277" s="82">
        <v>292881.33909226104</v>
      </c>
      <c r="G277" s="8"/>
    </row>
    <row r="278" spans="2:7" ht="46.95" customHeight="1">
      <c r="B278" s="10" t="s">
        <v>751</v>
      </c>
      <c r="C278" s="79">
        <v>13.03</v>
      </c>
      <c r="D278" s="84" t="s">
        <v>755</v>
      </c>
      <c r="E278" s="81" t="s">
        <v>753</v>
      </c>
      <c r="F278" s="82">
        <v>563233.3444081943</v>
      </c>
      <c r="G278" s="8"/>
    </row>
    <row r="279" spans="2:7" ht="46.95" customHeight="1">
      <c r="B279" s="10" t="s">
        <v>751</v>
      </c>
      <c r="C279" s="79">
        <v>13.04</v>
      </c>
      <c r="D279" s="84" t="s">
        <v>756</v>
      </c>
      <c r="E279" s="81" t="s">
        <v>753</v>
      </c>
      <c r="F279" s="82">
        <v>765997.34839514422</v>
      </c>
      <c r="G279" s="8"/>
    </row>
    <row r="280" spans="2:7" ht="46.95" customHeight="1">
      <c r="B280" s="10" t="s">
        <v>739</v>
      </c>
      <c r="C280" s="79">
        <v>13.05</v>
      </c>
      <c r="D280" s="80" t="s">
        <v>363</v>
      </c>
      <c r="E280" s="81" t="s">
        <v>14</v>
      </c>
      <c r="F280" s="82">
        <v>0</v>
      </c>
      <c r="G280" s="8"/>
    </row>
    <row r="281" spans="2:7" ht="46.95" customHeight="1">
      <c r="B281" s="10" t="s">
        <v>751</v>
      </c>
      <c r="C281" s="79">
        <v>13.06</v>
      </c>
      <c r="D281" s="80" t="s">
        <v>757</v>
      </c>
      <c r="E281" s="81" t="s">
        <v>14</v>
      </c>
      <c r="F281" s="96">
        <v>9.7155647152026334E-2</v>
      </c>
      <c r="G281" s="8"/>
    </row>
    <row r="282" spans="2:7" ht="46.95" customHeight="1">
      <c r="B282" s="10" t="s">
        <v>751</v>
      </c>
      <c r="C282" s="79">
        <v>13.07</v>
      </c>
      <c r="D282" s="80" t="s">
        <v>758</v>
      </c>
      <c r="E282" s="81" t="s">
        <v>14</v>
      </c>
      <c r="F282" s="96">
        <v>9.7155647152026334E-2</v>
      </c>
      <c r="G282" s="8"/>
    </row>
    <row r="283" spans="2:7" ht="46.95" customHeight="1">
      <c r="B283" s="10" t="s">
        <v>488</v>
      </c>
      <c r="C283" s="86">
        <v>14</v>
      </c>
      <c r="D283" s="87" t="s">
        <v>759</v>
      </c>
      <c r="E283" s="88"/>
      <c r="F283" s="90">
        <v>0</v>
      </c>
      <c r="G283" s="8"/>
    </row>
    <row r="284" spans="2:7" ht="46.95" customHeight="1">
      <c r="B284" s="10" t="s">
        <v>488</v>
      </c>
      <c r="C284" s="79">
        <v>14.01</v>
      </c>
      <c r="D284" s="80" t="s">
        <v>760</v>
      </c>
      <c r="E284" s="81" t="s">
        <v>761</v>
      </c>
      <c r="F284" s="82">
        <v>0</v>
      </c>
      <c r="G284" s="8"/>
    </row>
    <row r="285" spans="2:7" ht="46.95" customHeight="1">
      <c r="B285" s="10" t="s">
        <v>488</v>
      </c>
      <c r="C285" s="79">
        <v>14.02</v>
      </c>
      <c r="D285" s="80" t="s">
        <v>762</v>
      </c>
      <c r="E285" s="81" t="s">
        <v>761</v>
      </c>
      <c r="F285" s="82">
        <v>0</v>
      </c>
      <c r="G285" s="8"/>
    </row>
    <row r="286" spans="2:7" ht="46.95" customHeight="1">
      <c r="B286" s="10" t="s">
        <v>488</v>
      </c>
      <c r="C286" s="79">
        <v>14.03</v>
      </c>
      <c r="D286" s="80" t="s">
        <v>763</v>
      </c>
      <c r="E286" s="81" t="s">
        <v>761</v>
      </c>
      <c r="F286" s="82">
        <v>0</v>
      </c>
      <c r="G286" s="8"/>
    </row>
    <row r="287" spans="2:7" ht="46.95" customHeight="1">
      <c r="B287" s="10" t="s">
        <v>488</v>
      </c>
      <c r="C287" s="79">
        <v>14.04</v>
      </c>
      <c r="D287" s="80" t="s">
        <v>764</v>
      </c>
      <c r="E287" s="81" t="s">
        <v>765</v>
      </c>
      <c r="F287" s="82">
        <v>0</v>
      </c>
      <c r="G287" s="8"/>
    </row>
    <row r="288" spans="2:7" ht="46.95" customHeight="1">
      <c r="B288" s="10" t="s">
        <v>488</v>
      </c>
      <c r="C288" s="79">
        <v>14.05</v>
      </c>
      <c r="D288" s="80" t="s">
        <v>766</v>
      </c>
      <c r="E288" s="81" t="s">
        <v>765</v>
      </c>
      <c r="F288" s="82">
        <v>0</v>
      </c>
      <c r="G288" s="8"/>
    </row>
    <row r="289" spans="2:7" ht="46.95" customHeight="1">
      <c r="B289" s="10" t="s">
        <v>488</v>
      </c>
      <c r="C289" s="79">
        <v>14.06</v>
      </c>
      <c r="D289" s="80" t="s">
        <v>767</v>
      </c>
      <c r="E289" s="81"/>
      <c r="F289" s="82">
        <v>0</v>
      </c>
      <c r="G289" s="8"/>
    </row>
    <row r="290" spans="2:7" ht="23.55" customHeight="1">
      <c r="B290" s="10" t="s">
        <v>488</v>
      </c>
      <c r="C290" s="79">
        <v>14.07</v>
      </c>
      <c r="D290" s="80" t="s">
        <v>768</v>
      </c>
      <c r="E290" s="81" t="s">
        <v>765</v>
      </c>
      <c r="F290" s="82">
        <v>0</v>
      </c>
      <c r="G290" s="8"/>
    </row>
    <row r="291" spans="2:7" ht="52.95" customHeight="1">
      <c r="B291" s="10" t="s">
        <v>488</v>
      </c>
      <c r="C291" s="79">
        <v>14.08</v>
      </c>
      <c r="D291" s="80" t="s">
        <v>769</v>
      </c>
      <c r="E291" s="81" t="s">
        <v>761</v>
      </c>
      <c r="F291" s="82">
        <v>0</v>
      </c>
      <c r="G291" s="8"/>
    </row>
    <row r="292" spans="2:7" ht="46.95" customHeight="1">
      <c r="B292" s="10" t="s">
        <v>488</v>
      </c>
      <c r="C292" s="79">
        <v>14.09</v>
      </c>
      <c r="D292" s="80" t="s">
        <v>770</v>
      </c>
      <c r="E292" s="81" t="s">
        <v>761</v>
      </c>
      <c r="F292" s="82">
        <v>0</v>
      </c>
      <c r="G292" s="8"/>
    </row>
    <row r="293" spans="2:7" ht="52.95" customHeight="1">
      <c r="B293" s="10" t="s">
        <v>488</v>
      </c>
      <c r="C293" s="79">
        <v>14.1</v>
      </c>
      <c r="D293" s="80" t="s">
        <v>771</v>
      </c>
      <c r="E293" s="81" t="s">
        <v>761</v>
      </c>
      <c r="F293" s="82">
        <v>0</v>
      </c>
      <c r="G293" s="8"/>
    </row>
    <row r="294" spans="2:7" ht="46.95" customHeight="1">
      <c r="B294" s="10"/>
      <c r="C294" s="79">
        <v>14.15</v>
      </c>
      <c r="D294" s="80" t="s">
        <v>772</v>
      </c>
      <c r="E294" s="81" t="s">
        <v>761</v>
      </c>
      <c r="F294" s="82">
        <v>0</v>
      </c>
      <c r="G294" s="8"/>
    </row>
    <row r="295" spans="2:7" ht="46.95" customHeight="1">
      <c r="B295" s="10"/>
      <c r="C295" s="79">
        <v>14.16</v>
      </c>
      <c r="D295" s="80" t="s">
        <v>773</v>
      </c>
      <c r="E295" s="81" t="s">
        <v>761</v>
      </c>
      <c r="F295" s="82">
        <v>0</v>
      </c>
      <c r="G295" s="8"/>
    </row>
    <row r="296" spans="2:7" ht="46.95" customHeight="1">
      <c r="B296" s="10"/>
      <c r="C296" s="79">
        <v>14.17</v>
      </c>
      <c r="D296" s="80" t="s">
        <v>774</v>
      </c>
      <c r="E296" s="81" t="s">
        <v>761</v>
      </c>
      <c r="F296" s="82">
        <v>0</v>
      </c>
      <c r="G296" s="8"/>
    </row>
    <row r="297" spans="2:7">
      <c r="B297" s="10"/>
      <c r="G297" s="8"/>
    </row>
    <row r="298" spans="2:7">
      <c r="B298" s="10"/>
      <c r="G298" s="8"/>
    </row>
    <row r="299" spans="2:7" ht="15" thickBot="1">
      <c r="B299" s="14"/>
      <c r="C299" s="43"/>
      <c r="D299" s="15"/>
      <c r="E299" s="97"/>
      <c r="F299" s="73"/>
      <c r="G299" s="16"/>
    </row>
    <row r="301" spans="2:7">
      <c r="C301" s="2"/>
      <c r="E301" s="98"/>
      <c r="F301" s="99"/>
    </row>
    <row r="302" spans="2:7">
      <c r="C302" s="2"/>
      <c r="E302" s="98"/>
      <c r="F302" s="99"/>
    </row>
    <row r="303" spans="2:7">
      <c r="C303" s="2"/>
      <c r="E303" s="98"/>
      <c r="F303" s="99"/>
    </row>
    <row r="304" spans="2:7">
      <c r="C304" s="2"/>
      <c r="E304" s="98"/>
      <c r="F304" s="99"/>
    </row>
  </sheetData>
  <sheetProtection formatCells="0" formatRows="0" insertColumns="0" insertRows="0" autoFilter="0"/>
  <mergeCells count="6">
    <mergeCell ref="F7:F8"/>
    <mergeCell ref="C3:D3"/>
    <mergeCell ref="C4:D4"/>
    <mergeCell ref="C7:C8"/>
    <mergeCell ref="D7:D8"/>
    <mergeCell ref="E7:E8"/>
  </mergeCells>
  <pageMargins left="0.39370078740157483" right="0.39370078740157483" top="0.78740157480314965" bottom="0.78740157480314965" header="0.51181102362204722" footer="0.51181102362204722"/>
  <pageSetup paperSize="8" scale="15" fitToHeight="0" orientation="portrait" horizontalDpi="300" verticalDpi="4294967292" r:id="rId1"/>
  <headerFooter alignWithMargins="0">
    <oddFooter>&amp;L&amp;5\\AU079L\H:\Projects-SLR\630-SrvNTL\630-NTL\630.12501 Glencore Triennial RCE Review (2018)\04 Reports\NSW Sites\2. Bulga Complex\630.12501 Bulga Complex Glencore RCE Workbook.xlsx_x000D_&amp;A Printed &amp;D &amp;T&amp;R&amp;5SLR Consulting Australia Pty Ltd</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D80041B18D6345A9109912AF88970F" ma:contentTypeVersion="3" ma:contentTypeDescription="Create a new document." ma:contentTypeScope="" ma:versionID="33a58ed920ff1659fab02061713b4ae4">
  <xsd:schema xmlns:xsd="http://www.w3.org/2001/XMLSchema" xmlns:xs="http://www.w3.org/2001/XMLSchema" xmlns:p="http://schemas.microsoft.com/office/2006/metadata/properties" xmlns:ns2="ff65b919-41d2-4ad5-b19b-22d81702c5dd" targetNamespace="http://schemas.microsoft.com/office/2006/metadata/properties" ma:root="true" ma:fieldsID="d3f884f306c3baaf3821bc5c848882b6" ns2:_="">
    <xsd:import namespace="ff65b919-41d2-4ad5-b19b-22d81702c5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65b919-41d2-4ad5-b19b-22d81702c5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EE736A-FF50-4B00-9AD9-6C5C02F70A1E}">
  <ds:schemaRefs>
    <ds:schemaRef ds:uri="http://schemas.microsoft.com/office/2006/documentManagement/types"/>
    <ds:schemaRef ds:uri="http://purl.org/dc/elements/1.1/"/>
    <ds:schemaRef ds:uri="http://purl.org/dc/terms/"/>
    <ds:schemaRef ds:uri="http://schemas.openxmlformats.org/package/2006/metadata/core-properties"/>
    <ds:schemaRef ds:uri="http://www.w3.org/XML/1998/namespace"/>
    <ds:schemaRef ds:uri="http://schemas.microsoft.com/office/infopath/2007/PartnerControls"/>
    <ds:schemaRef ds:uri="http://schemas.microsoft.com/office/2006/metadata/properties"/>
    <ds:schemaRef ds:uri="ff65b919-41d2-4ad5-b19b-22d81702c5dd"/>
    <ds:schemaRef ds:uri="http://purl.org/dc/dcmitype/"/>
  </ds:schemaRefs>
</ds:datastoreItem>
</file>

<file path=customXml/itemProps2.xml><?xml version="1.0" encoding="utf-8"?>
<ds:datastoreItem xmlns:ds="http://schemas.openxmlformats.org/officeDocument/2006/customXml" ds:itemID="{05D34639-0057-4F16-A611-5D5826230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65b919-41d2-4ad5-b19b-22d81702c5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20663E-53E6-4D6D-99F7-F2735C21D4B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High Level Summary</vt:lpstr>
      <vt:lpstr>Planned Closure Detail</vt:lpstr>
      <vt:lpstr>BulkPush</vt:lpstr>
      <vt:lpstr>Haulage</vt:lpstr>
      <vt:lpstr>Holding Costs</vt:lpstr>
      <vt:lpstr>2024 Cost Schedule for Tool</vt:lpstr>
      <vt:lpstr>'2024 Cost Schedule for Tool'!Cost_Schedule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Nathan Archer</dc:creator>
  <cp:keywords/>
  <dc:description/>
  <cp:lastModifiedBy>Thettayil, Alen (Hunter Valley - AU)</cp:lastModifiedBy>
  <cp:revision/>
  <dcterms:created xsi:type="dcterms:W3CDTF">2018-06-21T00:59:13Z</dcterms:created>
  <dcterms:modified xsi:type="dcterms:W3CDTF">2026-08-28T03:26:32Z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0x01010099D80041B18D6345A9109912AF88970F</vt:lpwstr>
  </property>
  <property fmtid="{D5CDD505-2E9C-101B-9397-08002B2CF9AE}" pid="3" name="MediaServiceImageTags">
    <vt:lpwstr/>
  </property>
</Properties>
</file>