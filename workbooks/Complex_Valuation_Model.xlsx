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filterPrivacy="1" defaultThemeVersion="124226"/>
  <xr:revisionPtr revIDLastSave="0" documentId="13_ncr:1_{6B1721BE-D1E0-1447-B814-F3085430C7FE}" xr6:coauthVersionLast="47" xr6:coauthVersionMax="47" xr10:uidLastSave="{00000000-0000-0000-0000-000000000000}"/>
  <bookViews>
    <workbookView xWindow="0" yWindow="760" windowWidth="30940" windowHeight="16780" tabRatio="794" firstSheet="4" activeTab="9" xr2:uid="{3082C498-1040-4313-85CE-D73942D7223C}"/>
  </bookViews>
  <sheets>
    <sheet name="Assumptions" sheetId="7" r:id="rId1"/>
    <sheet name="Analysis" sheetId="8" r:id="rId2"/>
    <sheet name="List" sheetId="26" state="hidden" r:id="rId3"/>
    <sheet name="Summary" sheetId="29" r:id="rId4"/>
    <sheet name="Historical Performance" sheetId="27" r:id="rId5"/>
    <sheet name="Springbok Assumptions" sheetId="21" r:id="rId6"/>
    <sheet name="Springbok" sheetId="1" r:id="rId7"/>
    <sheet name="SpringbokCapital" sheetId="18" r:id="rId8"/>
    <sheet name="Brave Blossom " sheetId="22" r:id="rId9"/>
    <sheet name="Brave Blossom Capital" sheetId="23" r:id="rId10"/>
    <sheet name="Historical Performance BrumbyOC" sheetId="31" r:id="rId11"/>
    <sheet name="OC Clean" sheetId="24" r:id="rId12"/>
    <sheet name="OC Clean Capital" sheetId="25" r:id="rId13"/>
    <sheet name="Carbon" sheetId="10" r:id="rId14"/>
    <sheet name="Decommissioned Mine" sheetId="30" r:id="rId15"/>
  </sheets>
  <definedNames>
    <definedName name="A" localSheetId="14">#REF!</definedName>
    <definedName name="a">Springbok!$D$69:$W$69</definedName>
    <definedName name="Ac" localSheetId="14">#REF!</definedName>
    <definedName name="Ac">#REF!</definedName>
    <definedName name="afhKJADF" localSheetId="14">#REF!</definedName>
    <definedName name="afhKJADF">#REF!</definedName>
    <definedName name="anscount" hidden="1">1</definedName>
    <definedName name="AS2DocOpenMode" hidden="1">"AS2DocumentEdit"</definedName>
    <definedName name="C_C_Balance" localSheetId="14">#REF!</definedName>
    <definedName name="C_C_Balance">#REF!</definedName>
    <definedName name="CallingWbName" hidden="1">"RunningXCAReporting v1.81.xls"</definedName>
    <definedName name="coalfield">#REF!</definedName>
    <definedName name="CoalPP">#REF!</definedName>
    <definedName name="CPP" localSheetId="14">#REF!</definedName>
    <definedName name="CPP">#REF!</definedName>
    <definedName name="CPPe" localSheetId="14">#REF!</definedName>
    <definedName name="CPPe">#REF!</definedName>
    <definedName name="CPPout" localSheetId="14">#REF!</definedName>
    <definedName name="CPPout">#REF!</definedName>
    <definedName name="_xlnm.Criteria">#REF!</definedName>
    <definedName name="Critical_Component" localSheetId="14">#REF!</definedName>
    <definedName name="Critical_Component">#REF!</definedName>
    <definedName name="d" localSheetId="14">#REF!</definedName>
    <definedName name="d">#REF!</definedName>
    <definedName name="DA_3052065069700000637" hidden="1">'Decommissioned Mine'!#REF!</definedName>
    <definedName name="DA_3052065069700000643" hidden="1">'Decommissioned Mine'!#REF!</definedName>
    <definedName name="DA_3052065069700000647" hidden="1">'Decommissioned Mine'!#REF!</definedName>
    <definedName name="DA_3052065069700000653" hidden="1">'Decommissioned Mine'!#REF!</definedName>
    <definedName name="DA_3052065069700000657" hidden="1">'Decommissioned Mine'!#REF!</definedName>
    <definedName name="DA_3052065069700000663" hidden="1">'Decommissioned Mine'!#REF!</definedName>
    <definedName name="DA_3052065069700000667" hidden="1">'Decommissioned Mine'!#REF!</definedName>
    <definedName name="DA_3052065069700000924" hidden="1">'Decommissioned Mine'!#REF!</definedName>
    <definedName name="DA_3052065069700000929" hidden="1">'Decommissioned Mine'!#REF!</definedName>
    <definedName name="DA_3052065069700000934" hidden="1">'Decommissioned Mine'!#REF!</definedName>
    <definedName name="DA_3052065069700000939" hidden="1">'Decommissioned Mine'!#REF!</definedName>
    <definedName name="Db" localSheetId="14">#REF!</definedName>
    <definedName name="Db">#REF!</definedName>
    <definedName name="Dc" localSheetId="14">#REF!</definedName>
    <definedName name="Dc">#REF!</definedName>
    <definedName name="Deisel" localSheetId="14">#REF!</definedName>
    <definedName name="Deisel">#REF!</definedName>
    <definedName name="diesel" localSheetId="14">#REF!</definedName>
    <definedName name="diesel">#REF!</definedName>
    <definedName name="EBG73083364CMN" hidden="1">42736</definedName>
    <definedName name="Effective_Tax_Rate" localSheetId="14">#REF!</definedName>
    <definedName name="Effective_Tax_Rate">#REF!</definedName>
    <definedName name="Elunits">#REF!</definedName>
    <definedName name="Em" localSheetId="14">#REF!</definedName>
    <definedName name="Em">#REF!</definedName>
    <definedName name="equiptype">#REF!</definedName>
    <definedName name="Es" localSheetId="14">#REF!</definedName>
    <definedName name="Es">#REF!</definedName>
    <definedName name="EV__LASTREFTIME__" hidden="1">39169.453912037</definedName>
    <definedName name="f" localSheetId="14">#REF!</definedName>
    <definedName name="f">#REF!</definedName>
    <definedName name="Factor" localSheetId="14">#REF!</definedName>
    <definedName name="Factor">#REF!</definedName>
    <definedName name="Fuel">#REF!</definedName>
    <definedName name="FuelList">#REF!</definedName>
    <definedName name="FuelTypes" localSheetId="14">#REF!</definedName>
    <definedName name="FuelTypes">#REF!</definedName>
    <definedName name="Fueluse" localSheetId="14">#REF!</definedName>
    <definedName name="Fueluse">#REF!</definedName>
    <definedName name="GroupWorkbookValidate_EntryPoint" hidden="1">TRUE</definedName>
    <definedName name="gs" localSheetId="14">#REF!</definedName>
    <definedName name="gs">#REF!</definedName>
    <definedName name="H" localSheetId="14">#REF!</definedName>
    <definedName name="H">#REF!</definedName>
    <definedName name="HFC">#REF!</definedName>
    <definedName name="HFCunit">#REF!</definedName>
    <definedName name="howoften">#REF!</definedName>
    <definedName name="IsGroupWorkbook" hidden="1">TRUE</definedName>
    <definedName name="km">#REF!</definedName>
    <definedName name="L" localSheetId="14">#REF!</definedName>
    <definedName name="L">#REF!</definedName>
    <definedName name="Liquidunits">#REF!</definedName>
    <definedName name="LoadDataList" hidden="1">#REF!</definedName>
    <definedName name="LPG" localSheetId="14">#REF!</definedName>
    <definedName name="LPG">#REF!</definedName>
    <definedName name="LVkm">#REF!</definedName>
    <definedName name="m" hidden="1">#REF!</definedName>
    <definedName name="Mc" localSheetId="14">#REF!</definedName>
    <definedName name="Mc">#REF!</definedName>
    <definedName name="Md" localSheetId="14">#REF!</definedName>
    <definedName name="Md">#REF!</definedName>
    <definedName name="MenusNeedUpdate" hidden="1">TRUE</definedName>
    <definedName name="Methoda">#REF!</definedName>
    <definedName name="Methodb">#REF!</definedName>
    <definedName name="Methodc">#REF!</definedName>
    <definedName name="methodd">#REF!</definedName>
    <definedName name="methode">#REF!</definedName>
    <definedName name="methodf">#REF!</definedName>
    <definedName name="methods">#REF!</definedName>
    <definedName name="mine">#REF!</definedName>
    <definedName name="Mlv" localSheetId="14">#REF!</definedName>
    <definedName name="Mlv">#REF!</definedName>
    <definedName name="Mo" localSheetId="14">#REF!</definedName>
    <definedName name="Mo">#REF!</definedName>
    <definedName name="Monetary_precision" localSheetId="14">#REF!</definedName>
    <definedName name="Monetary_precision">#REF!</definedName>
    <definedName name="Month">#REF!</definedName>
    <definedName name="Mr" localSheetId="14">#REF!</definedName>
    <definedName name="Mr">#REF!</definedName>
    <definedName name="Mt" localSheetId="14">#REF!</definedName>
    <definedName name="Mt">#REF!</definedName>
    <definedName name="MTR">#REF!</definedName>
    <definedName name="Mu" localSheetId="14">#REF!</definedName>
    <definedName name="Mu">#REF!</definedName>
    <definedName name="Mw" localSheetId="14">#REF!</definedName>
    <definedName name="Mw">#REF!</definedName>
    <definedName name="Mwater" localSheetId="14">#REF!</definedName>
    <definedName name="Mwater">#REF!</definedName>
    <definedName name="NCPP" localSheetId="14">#REF!</definedName>
    <definedName name="NCPP">#REF!</definedName>
    <definedName name="NCPPout" localSheetId="14">#REF!</definedName>
    <definedName name="NCPPout">#REF!</definedName>
    <definedName name="ohs">#REF!</definedName>
    <definedName name="OnTimeValue">43649.7141782407</definedName>
    <definedName name="p" localSheetId="14">#REF!</definedName>
    <definedName name="p">#REF!</definedName>
    <definedName name="Pet">#REF!</definedName>
    <definedName name="Petrol" localSheetId="14">#REF!</definedName>
    <definedName name="Petrol">#REF!</definedName>
    <definedName name="Planning_Materiality" localSheetId="14">#REF!</definedName>
    <definedName name="Planning_Materiality">#REF!</definedName>
    <definedName name="PPP">#REF!</definedName>
    <definedName name="ROM" localSheetId="14">#REF!</definedName>
    <definedName name="ROM">#REF!</definedName>
    <definedName name="RP">#REF!</definedName>
    <definedName name="s" hidden="1">{#N/A,#N/A,TRUE,"Cashflow"}</definedName>
    <definedName name="sc" localSheetId="14">#REF!</definedName>
    <definedName name="sc">#REF!</definedName>
    <definedName name="scc" localSheetId="14">#REF!</definedName>
    <definedName name="scc">#REF!</definedName>
    <definedName name="Sed" localSheetId="14">#REF!</definedName>
    <definedName name="Sed">#REF!</definedName>
    <definedName name="Sheet22" hidden="1">1</definedName>
    <definedName name="Sheet23" hidden="1">1</definedName>
    <definedName name="Sheet24" hidden="1">1</definedName>
    <definedName name="Sheet26" hidden="1">1</definedName>
    <definedName name="Sheet27" hidden="1">1</definedName>
    <definedName name="Sheet28" hidden="1">1</definedName>
    <definedName name="Sheet29" hidden="1">2</definedName>
    <definedName name="Sheet32" hidden="1">1</definedName>
    <definedName name="Sheet33" hidden="1">1</definedName>
    <definedName name="Sheet37" hidden="1">1</definedName>
    <definedName name="Sheet38" hidden="1">1</definedName>
    <definedName name="Sheet39" hidden="1">1</definedName>
    <definedName name="Sheet40" hidden="1">2</definedName>
    <definedName name="Sheet43" hidden="1">1</definedName>
    <definedName name="Sheet44" hidden="1">1</definedName>
    <definedName name="Sheet45" hidden="1">1</definedName>
    <definedName name="Sheet46" hidden="1">1</definedName>
    <definedName name="so" localSheetId="14">#REF!</definedName>
    <definedName name="so">#REF!</definedName>
    <definedName name="st" localSheetId="14">#REF!</definedName>
    <definedName name="st">#REF!</definedName>
    <definedName name="Stk" localSheetId="14">#REF!</definedName>
    <definedName name="Stk">#REF!</definedName>
    <definedName name="StkC" localSheetId="14">#REF!</definedName>
    <definedName name="StkC">#REF!</definedName>
    <definedName name="supply">#REF!</definedName>
    <definedName name="sw" localSheetId="14">#REF!</definedName>
    <definedName name="sw">#REF!</definedName>
    <definedName name="Tax_Rate">#REF!</definedName>
    <definedName name="TextRefCopy1" localSheetId="14">#REF!</definedName>
    <definedName name="TextRefCopy1">#REF!</definedName>
    <definedName name="TextRefCopy10" localSheetId="14">#REF!</definedName>
    <definedName name="TextRefCopy10">#REF!</definedName>
    <definedName name="TextRefCopy11" localSheetId="14">#REF!</definedName>
    <definedName name="TextRefCopy11">#REF!</definedName>
    <definedName name="TextRefCopy12" localSheetId="14">#REF!</definedName>
    <definedName name="TextRefCopy12">#REF!</definedName>
    <definedName name="TextRefCopy13" localSheetId="14">#REF!</definedName>
    <definedName name="TextRefCopy13">#REF!</definedName>
    <definedName name="TextRefCopy14" localSheetId="14">#REF!</definedName>
    <definedName name="TextRefCopy14">#REF!</definedName>
    <definedName name="TextRefCopy15" localSheetId="14">#REF!</definedName>
    <definedName name="TextRefCopy15">#REF!</definedName>
    <definedName name="TextRefCopy16" localSheetId="14">#REF!</definedName>
    <definedName name="TextRefCopy16">#REF!</definedName>
    <definedName name="TextRefCopy17" localSheetId="14">#REF!</definedName>
    <definedName name="TextRefCopy17">#REF!</definedName>
    <definedName name="TextRefCopy18" localSheetId="14">#REF!</definedName>
    <definedName name="TextRefCopy18">#REF!</definedName>
    <definedName name="TextRefCopy19" localSheetId="14">#REF!</definedName>
    <definedName name="TextRefCopy19">#REF!</definedName>
    <definedName name="TextRefCopy2" localSheetId="14">#REF!</definedName>
    <definedName name="TextRefCopy2">#REF!</definedName>
    <definedName name="TextRefCopy3" localSheetId="14">#REF!</definedName>
    <definedName name="TextRefCopy3">#REF!</definedName>
    <definedName name="TextRefCopy4" localSheetId="14">#REF!</definedName>
    <definedName name="TextRefCopy4">#REF!</definedName>
    <definedName name="TextRefCopy5" localSheetId="14">#REF!</definedName>
    <definedName name="TextRefCopy5">#REF!</definedName>
    <definedName name="TextRefCopy6" localSheetId="14">#REF!</definedName>
    <definedName name="TextRefCopy6">#REF!</definedName>
    <definedName name="TextRefCopy7" localSheetId="14">#REF!</definedName>
    <definedName name="TextRefCopy7">#REF!</definedName>
    <definedName name="TextRefCopy8" localSheetId="14">#REF!</definedName>
    <definedName name="TextRefCopy8">#REF!</definedName>
    <definedName name="TextRefCopy9" localSheetId="14">#REF!</definedName>
    <definedName name="TextRefCopy9">#REF!</definedName>
    <definedName name="TextRefCopyRangeCount" hidden="1">19</definedName>
    <definedName name="TOB" localSheetId="14">#REF!</definedName>
    <definedName name="TOB">#REF!</definedName>
    <definedName name="Total_anticipated_uncorrected_misstatements" localSheetId="14">#REF!</definedName>
    <definedName name="Total_anticipated_uncorrected_misstatements">#REF!</definedName>
    <definedName name="U" localSheetId="14">#REF!</definedName>
    <definedName name="U">#REF!</definedName>
    <definedName name="w" localSheetId="14">#REF!</definedName>
    <definedName name="w">#REF!</definedName>
    <definedName name="WorkbookHasToBeValidated" hidden="1">FALSE</definedName>
    <definedName name="WorkingPath" hidden="1">"C:\Documents and Settings\phuntington\My Documents\Management Accounting\Monthly Management Reports\Development\Xstrata Reporting System\QLD\v1.812"</definedName>
    <definedName name="wrn.cash._.flow._.report." hidden="1">{#N/A,#N/A,TRUE,"Cashflow"}</definedName>
    <definedName name="wrn.Full._.Report." hidden="1">{#N/A,#N/A,FALSE,"Cover";#N/A,#N/A,FALSE,"Monthly Report";#N/A,#N/A,FALSE,"P &amp; L";#N/A,#N/A,FALSE,"Variance Analysis";#N/A,#N/A,FALSE,"Mine Summ";#N/A,#N/A,FALSE,"Production";#N/A,#N/A,FALSE,"Unit Costs";#N/A,#N/A,FALSE,"Revenue";#N/A,#N/A,FALSE,"Physical OC";#N/A,#N/A,FALSE,"Physical UG";#N/A,#N/A,FALSE,"Inventory";#N/A,#N/A,FALSE,"P &amp; L_TH";#N/A,#N/A,FALSE,"P &amp; L_CO";#N/A,#N/A,FALSE,"Earnings Reconciliation";#N/A,#N/A,FALSE,"Hyp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Normalisation._.Journal." hidden="1">{"Normalisation Journal",#N/A,FALSE,"Normalisation Jnl"}</definedName>
    <definedName name="Ws" localSheetId="14">#REF!</definedName>
    <definedName name="Ws">#REF!</definedName>
    <definedName name="XC">#REF!</definedName>
    <definedName name="XCA" hidden="1">"Depression"</definedName>
    <definedName name="XCAReportingSoftware" hidden="1">TRUE</definedName>
    <definedName name="Year">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6" i="22" l="1"/>
  <c r="E106" i="22"/>
  <c r="F106" i="22"/>
  <c r="G106" i="22"/>
  <c r="I67" i="24"/>
  <c r="E10" i="29"/>
  <c r="E67" i="24"/>
  <c r="E68" i="24"/>
  <c r="F67" i="24"/>
  <c r="G67" i="24"/>
  <c r="H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D67" i="24"/>
  <c r="J42" i="23"/>
  <c r="E51" i="29"/>
  <c r="N49" i="29"/>
  <c r="V49" i="29"/>
  <c r="G50" i="29"/>
  <c r="I50" i="29"/>
  <c r="K50" i="29"/>
  <c r="O50" i="29"/>
  <c r="Q50" i="29"/>
  <c r="S50" i="29"/>
  <c r="W50" i="29"/>
  <c r="F51" i="29"/>
  <c r="H51" i="29"/>
  <c r="N51" i="29"/>
  <c r="P51" i="29"/>
  <c r="V51" i="29"/>
  <c r="E52" i="29"/>
  <c r="I52" i="29"/>
  <c r="K52" i="29"/>
  <c r="M52" i="29"/>
  <c r="Q52" i="29"/>
  <c r="S52" i="29"/>
  <c r="U52" i="29"/>
  <c r="E57" i="29"/>
  <c r="F57" i="29"/>
  <c r="F52" i="29" s="1"/>
  <c r="G57" i="29"/>
  <c r="G49" i="29" s="1"/>
  <c r="H57" i="29"/>
  <c r="I57" i="29"/>
  <c r="I51" i="29" s="1"/>
  <c r="J57" i="29"/>
  <c r="K57" i="29"/>
  <c r="L57" i="29"/>
  <c r="L50" i="29" s="1"/>
  <c r="M57" i="29"/>
  <c r="N57" i="29"/>
  <c r="N52" i="29" s="1"/>
  <c r="O57" i="29"/>
  <c r="O49" i="29" s="1"/>
  <c r="P57" i="29"/>
  <c r="Q57" i="29"/>
  <c r="Q51" i="29" s="1"/>
  <c r="R57" i="29"/>
  <c r="S57" i="29"/>
  <c r="T57" i="29"/>
  <c r="T50" i="29" s="1"/>
  <c r="U57" i="29"/>
  <c r="V57" i="29"/>
  <c r="V52" i="29" s="1"/>
  <c r="W57" i="29"/>
  <c r="W49" i="29" s="1"/>
  <c r="AH14" i="29"/>
  <c r="AG14" i="29"/>
  <c r="AF14" i="29"/>
  <c r="AF11" i="29" s="1"/>
  <c r="AE14" i="29"/>
  <c r="AE11" i="29" s="1"/>
  <c r="AD14" i="29"/>
  <c r="AC14" i="29"/>
  <c r="AB14" i="29"/>
  <c r="AA14" i="29"/>
  <c r="Z14" i="29"/>
  <c r="Y14" i="29"/>
  <c r="X14" i="29"/>
  <c r="X11" i="29" s="1"/>
  <c r="W14" i="29"/>
  <c r="W11" i="29" s="1"/>
  <c r="V14" i="29"/>
  <c r="U14" i="29"/>
  <c r="T14" i="29"/>
  <c r="S14" i="29"/>
  <c r="R14" i="29"/>
  <c r="Q14" i="29"/>
  <c r="P14" i="29"/>
  <c r="P11" i="29" s="1"/>
  <c r="O14" i="29"/>
  <c r="O11" i="29" s="1"/>
  <c r="N14" i="29"/>
  <c r="M14" i="29"/>
  <c r="L14" i="29"/>
  <c r="K14" i="29"/>
  <c r="J14" i="29"/>
  <c r="I14" i="29"/>
  <c r="AH11" i="29"/>
  <c r="AG11" i="29"/>
  <c r="AD11" i="29"/>
  <c r="AC11" i="29"/>
  <c r="AB11" i="29"/>
  <c r="AA11" i="29"/>
  <c r="Z11" i="29"/>
  <c r="Y11" i="29"/>
  <c r="V11" i="29"/>
  <c r="U11" i="29"/>
  <c r="T11" i="29"/>
  <c r="S11" i="29"/>
  <c r="R11" i="29"/>
  <c r="Q11" i="29"/>
  <c r="N11" i="29"/>
  <c r="AH10" i="29"/>
  <c r="AG10" i="29"/>
  <c r="AD10" i="29"/>
  <c r="AC10" i="29"/>
  <c r="AB10" i="29"/>
  <c r="AA10" i="29"/>
  <c r="Z10" i="29"/>
  <c r="Y10" i="29"/>
  <c r="V10" i="29"/>
  <c r="U10" i="29"/>
  <c r="T10" i="29"/>
  <c r="S10" i="29"/>
  <c r="R10" i="29"/>
  <c r="Q10" i="29"/>
  <c r="N10" i="29"/>
  <c r="AH9" i="29"/>
  <c r="AG9" i="29"/>
  <c r="AD9" i="29"/>
  <c r="AC9" i="29"/>
  <c r="AB9" i="29"/>
  <c r="AA9" i="29"/>
  <c r="Z9" i="29"/>
  <c r="Y9" i="29"/>
  <c r="V9" i="29"/>
  <c r="U9" i="29"/>
  <c r="T9" i="29"/>
  <c r="S9" i="29"/>
  <c r="R9" i="29"/>
  <c r="Q9" i="29"/>
  <c r="N9" i="29"/>
  <c r="L9" i="29"/>
  <c r="K9" i="29"/>
  <c r="J9" i="29"/>
  <c r="I9" i="29"/>
  <c r="AH8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AH7" i="29"/>
  <c r="AG7" i="29"/>
  <c r="AD7" i="29"/>
  <c r="AC7" i="29"/>
  <c r="AB7" i="29"/>
  <c r="AA7" i="29"/>
  <c r="Z7" i="29"/>
  <c r="Y7" i="29"/>
  <c r="V7" i="29"/>
  <c r="U7" i="29"/>
  <c r="T7" i="29"/>
  <c r="S7" i="29"/>
  <c r="R7" i="29"/>
  <c r="Q7" i="29"/>
  <c r="N7" i="29"/>
  <c r="M7" i="29"/>
  <c r="L7" i="29"/>
  <c r="K7" i="29"/>
  <c r="J7" i="29"/>
  <c r="I7" i="29"/>
  <c r="AH6" i="29"/>
  <c r="AG6" i="29"/>
  <c r="AD6" i="29"/>
  <c r="AC6" i="29"/>
  <c r="AB6" i="29"/>
  <c r="AA6" i="29"/>
  <c r="Z6" i="29"/>
  <c r="Y6" i="29"/>
  <c r="V6" i="29"/>
  <c r="U6" i="29"/>
  <c r="T6" i="29"/>
  <c r="S6" i="29"/>
  <c r="R6" i="29"/>
  <c r="Q6" i="29"/>
  <c r="N6" i="29"/>
  <c r="M6" i="29"/>
  <c r="L6" i="29"/>
  <c r="K6" i="29"/>
  <c r="J6" i="29"/>
  <c r="I6" i="29"/>
  <c r="AH4" i="29"/>
  <c r="AG4" i="29"/>
  <c r="AD4" i="29"/>
  <c r="AC4" i="29"/>
  <c r="AB4" i="29"/>
  <c r="AA4" i="29"/>
  <c r="Z4" i="29"/>
  <c r="Y4" i="29"/>
  <c r="V4" i="29"/>
  <c r="U4" i="29"/>
  <c r="T4" i="29"/>
  <c r="S4" i="29"/>
  <c r="R4" i="29"/>
  <c r="Q4" i="29"/>
  <c r="N4" i="29"/>
  <c r="AH3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D22" i="1"/>
  <c r="A31" i="23"/>
  <c r="A32" i="23"/>
  <c r="A33" i="23"/>
  <c r="T52" i="29" l="1"/>
  <c r="L52" i="29"/>
  <c r="W51" i="29"/>
  <c r="O51" i="29"/>
  <c r="G51" i="29"/>
  <c r="R50" i="29"/>
  <c r="J50" i="29"/>
  <c r="U49" i="29"/>
  <c r="M49" i="29"/>
  <c r="E49" i="29"/>
  <c r="R52" i="29"/>
  <c r="J52" i="29"/>
  <c r="U51" i="29"/>
  <c r="M51" i="29"/>
  <c r="P50" i="29"/>
  <c r="H50" i="29"/>
  <c r="S49" i="29"/>
  <c r="K49" i="29"/>
  <c r="T51" i="29"/>
  <c r="L51" i="29"/>
  <c r="R49" i="29"/>
  <c r="J49" i="29"/>
  <c r="P52" i="29"/>
  <c r="H52" i="29"/>
  <c r="S51" i="29"/>
  <c r="K51" i="29"/>
  <c r="V50" i="29"/>
  <c r="N50" i="29"/>
  <c r="F50" i="29"/>
  <c r="Q49" i="29"/>
  <c r="I49" i="29"/>
  <c r="T49" i="29"/>
  <c r="W52" i="29"/>
  <c r="O52" i="29"/>
  <c r="G52" i="29"/>
  <c r="R51" i="29"/>
  <c r="J51" i="29"/>
  <c r="U50" i="29"/>
  <c r="M50" i="29"/>
  <c r="E50" i="29"/>
  <c r="P49" i="29"/>
  <c r="H49" i="29"/>
  <c r="L49" i="29"/>
  <c r="O4" i="29"/>
  <c r="W4" i="29"/>
  <c r="AE4" i="29"/>
  <c r="O9" i="29"/>
  <c r="W9" i="29"/>
  <c r="AE9" i="29"/>
  <c r="P4" i="29"/>
  <c r="X4" i="29"/>
  <c r="AF4" i="29"/>
  <c r="P9" i="29"/>
  <c r="X9" i="29"/>
  <c r="AF9" i="29"/>
  <c r="O6" i="29"/>
  <c r="W6" i="29"/>
  <c r="AE6" i="29"/>
  <c r="O10" i="29"/>
  <c r="W10" i="29"/>
  <c r="AE10" i="29"/>
  <c r="P6" i="29"/>
  <c r="X6" i="29"/>
  <c r="AF6" i="29"/>
  <c r="P10" i="29"/>
  <c r="X10" i="29"/>
  <c r="AF10" i="29"/>
  <c r="O7" i="29"/>
  <c r="W7" i="29"/>
  <c r="AE7" i="29"/>
  <c r="P7" i="29"/>
  <c r="X7" i="29"/>
  <c r="AF7" i="29"/>
  <c r="A34" i="23" l="1"/>
  <c r="A35" i="23"/>
  <c r="A36" i="23"/>
  <c r="A37" i="23"/>
  <c r="A38" i="23"/>
  <c r="A39" i="23"/>
  <c r="A40" i="23"/>
  <c r="A41" i="23"/>
  <c r="A42" i="23"/>
  <c r="A43" i="23"/>
  <c r="A44" i="23"/>
  <c r="H7" i="22"/>
  <c r="H9" i="22"/>
  <c r="H22" i="22" s="1"/>
  <c r="E60" i="25"/>
  <c r="F60" i="25"/>
  <c r="G60" i="25"/>
  <c r="H60" i="25"/>
  <c r="I60" i="25"/>
  <c r="J60" i="25"/>
  <c r="K60" i="25"/>
  <c r="L60" i="25"/>
  <c r="M60" i="25"/>
  <c r="N60" i="25"/>
  <c r="O60" i="25"/>
  <c r="P60" i="25"/>
  <c r="Q60" i="25"/>
  <c r="R60" i="25"/>
  <c r="S60" i="25"/>
  <c r="T60" i="25"/>
  <c r="U60" i="25"/>
  <c r="V60" i="25"/>
  <c r="W60" i="25"/>
  <c r="X60" i="25"/>
  <c r="Y60" i="25"/>
  <c r="D60" i="25"/>
  <c r="AA22" i="22" l="1"/>
  <c r="AJ7" i="30" l="1"/>
  <c r="AK7" i="30"/>
  <c r="AL7" i="30"/>
  <c r="AM7" i="30"/>
  <c r="AN7" i="30"/>
  <c r="AO7" i="30"/>
  <c r="AP7" i="30"/>
  <c r="AQ7" i="30"/>
  <c r="AR7" i="30"/>
  <c r="AS7" i="30"/>
  <c r="AT7" i="30"/>
  <c r="AU7" i="30"/>
  <c r="AV7" i="30"/>
  <c r="AW7" i="30"/>
  <c r="AW23" i="22"/>
  <c r="AX23" i="22"/>
  <c r="AX25" i="22" s="1"/>
  <c r="AC1" i="10"/>
  <c r="AD1" i="10"/>
  <c r="AE1" i="10"/>
  <c r="AF1" i="10"/>
  <c r="AG1" i="10"/>
  <c r="AH1" i="10" s="1"/>
  <c r="AI1" i="10" s="1"/>
  <c r="AJ1" i="10" s="1"/>
  <c r="AK1" i="10" s="1"/>
  <c r="AL1" i="10" s="1"/>
  <c r="AM1" i="10" s="1"/>
  <c r="AN1" i="10" s="1"/>
  <c r="AO1" i="10" s="1"/>
  <c r="AP1" i="10" s="1"/>
  <c r="AQ1" i="10" s="1"/>
  <c r="AR1" i="10" s="1"/>
  <c r="AS1" i="10" s="1"/>
  <c r="AT1" i="10" s="1"/>
  <c r="AU1" i="10" s="1"/>
  <c r="AV1" i="10" s="1"/>
  <c r="AW1" i="10" s="1"/>
  <c r="AX1" i="10" s="1"/>
  <c r="AY1" i="10" s="1"/>
  <c r="T7" i="22"/>
  <c r="T9" i="22" s="1"/>
  <c r="U7" i="22"/>
  <c r="U9" i="22" s="1"/>
  <c r="V7" i="22"/>
  <c r="V9" i="22" s="1"/>
  <c r="W7" i="22"/>
  <c r="W9" i="22" s="1"/>
  <c r="X7" i="22"/>
  <c r="X9" i="22" s="1"/>
  <c r="Y7" i="22"/>
  <c r="Y9" i="22" s="1"/>
  <c r="Z7" i="22"/>
  <c r="AA7" i="22"/>
  <c r="AB7" i="22"/>
  <c r="AB9" i="22" s="1"/>
  <c r="AC7" i="22"/>
  <c r="AD7" i="22"/>
  <c r="AD9" i="22" s="1"/>
  <c r="AE7" i="22"/>
  <c r="AE9" i="22" s="1"/>
  <c r="Z9" i="22"/>
  <c r="Z77" i="22" s="1"/>
  <c r="Z78" i="22" s="1"/>
  <c r="AA9" i="22"/>
  <c r="AA104" i="22" s="1"/>
  <c r="AC9" i="22"/>
  <c r="AC12" i="22"/>
  <c r="AC22" i="22"/>
  <c r="T46" i="22"/>
  <c r="U46" i="22"/>
  <c r="V46" i="22"/>
  <c r="W46" i="22"/>
  <c r="X46" i="22"/>
  <c r="Y46" i="22"/>
  <c r="Z46" i="22"/>
  <c r="AA46" i="22"/>
  <c r="AB46" i="22"/>
  <c r="AC46" i="22"/>
  <c r="AD46" i="22"/>
  <c r="AE46" i="22"/>
  <c r="T47" i="22"/>
  <c r="U47" i="22"/>
  <c r="V47" i="22"/>
  <c r="W47" i="22"/>
  <c r="X47" i="22"/>
  <c r="Y47" i="22"/>
  <c r="Z47" i="22"/>
  <c r="AA47" i="22"/>
  <c r="AB47" i="22"/>
  <c r="AC47" i="22"/>
  <c r="AD47" i="22"/>
  <c r="AE47" i="22"/>
  <c r="T69" i="22"/>
  <c r="T70" i="22" s="1"/>
  <c r="U69" i="22"/>
  <c r="U70" i="22" s="1"/>
  <c r="V69" i="22"/>
  <c r="V70" i="22" s="1"/>
  <c r="W69" i="22"/>
  <c r="W70" i="22" s="1"/>
  <c r="X69" i="22"/>
  <c r="X70" i="22" s="1"/>
  <c r="Y69" i="22"/>
  <c r="Y70" i="22" s="1"/>
  <c r="Z69" i="22"/>
  <c r="Z70" i="22" s="1"/>
  <c r="AA69" i="22"/>
  <c r="AA70" i="22" s="1"/>
  <c r="AB69" i="22"/>
  <c r="AB70" i="22" s="1"/>
  <c r="AC69" i="22"/>
  <c r="AC70" i="22" s="1"/>
  <c r="AD69" i="22"/>
  <c r="AD70" i="22" s="1"/>
  <c r="AE69" i="22"/>
  <c r="AE70" i="22" s="1"/>
  <c r="T72" i="22"/>
  <c r="T73" i="22" s="1"/>
  <c r="U72" i="22"/>
  <c r="U73" i="22" s="1"/>
  <c r="V72" i="22"/>
  <c r="V73" i="22" s="1"/>
  <c r="W72" i="22"/>
  <c r="W73" i="22" s="1"/>
  <c r="X72" i="22"/>
  <c r="X73" i="22" s="1"/>
  <c r="Y72" i="22"/>
  <c r="Y73" i="22" s="1"/>
  <c r="Z72" i="22"/>
  <c r="Z73" i="22" s="1"/>
  <c r="AA72" i="22"/>
  <c r="AA73" i="22" s="1"/>
  <c r="AB72" i="22"/>
  <c r="AC72" i="22"/>
  <c r="AD72" i="22"/>
  <c r="AE72" i="22"/>
  <c r="AE73" i="22" s="1"/>
  <c r="AB73" i="22"/>
  <c r="AC73" i="22"/>
  <c r="AD73" i="22"/>
  <c r="AC75" i="22"/>
  <c r="AE75" i="22"/>
  <c r="AC77" i="22"/>
  <c r="AC78" i="22"/>
  <c r="T80" i="22"/>
  <c r="U80" i="22"/>
  <c r="V80" i="22"/>
  <c r="W80" i="22"/>
  <c r="X80" i="22"/>
  <c r="Y80" i="22"/>
  <c r="Z80" i="22"/>
  <c r="AA80" i="22"/>
  <c r="AB80" i="22"/>
  <c r="AC80" i="22"/>
  <c r="AD80" i="22"/>
  <c r="AE80" i="22"/>
  <c r="AC87" i="22"/>
  <c r="T94" i="22"/>
  <c r="U94" i="22"/>
  <c r="V94" i="22"/>
  <c r="W94" i="22"/>
  <c r="X94" i="22"/>
  <c r="Y94" i="22"/>
  <c r="Z94" i="22"/>
  <c r="AA94" i="22"/>
  <c r="AB94" i="22"/>
  <c r="AC94" i="22"/>
  <c r="AD94" i="22"/>
  <c r="AE94" i="22"/>
  <c r="AC104" i="22"/>
  <c r="AD105" i="22"/>
  <c r="AC114" i="22"/>
  <c r="AD114" i="22"/>
  <c r="AW25" i="22" l="1"/>
  <c r="Z104" i="22"/>
  <c r="T22" i="22"/>
  <c r="T104" i="22"/>
  <c r="W22" i="22"/>
  <c r="W12" i="22"/>
  <c r="W81" i="22" s="1"/>
  <c r="W82" i="22" s="1"/>
  <c r="W104" i="22"/>
  <c r="W75" i="22"/>
  <c r="V77" i="22"/>
  <c r="V78" i="22" s="1"/>
  <c r="V12" i="22"/>
  <c r="V81" i="22" s="1"/>
  <c r="V82" i="22" s="1"/>
  <c r="V104" i="22"/>
  <c r="V22" i="22"/>
  <c r="V75" i="22"/>
  <c r="V114" i="22"/>
  <c r="U22" i="22"/>
  <c r="U114" i="22"/>
  <c r="U77" i="22"/>
  <c r="U78" i="22" s="1"/>
  <c r="U12" i="22"/>
  <c r="U75" i="22"/>
  <c r="AE114" i="22"/>
  <c r="AE87" i="22"/>
  <c r="AE77" i="22"/>
  <c r="AE78" i="22" s="1"/>
  <c r="AE12" i="22"/>
  <c r="AE104" i="22"/>
  <c r="AE22" i="22"/>
  <c r="U104" i="22"/>
  <c r="AD87" i="22"/>
  <c r="AD77" i="22"/>
  <c r="AD78" i="22" s="1"/>
  <c r="AD75" i="22"/>
  <c r="AD12" i="22"/>
  <c r="AD104" i="22"/>
  <c r="AD22" i="22"/>
  <c r="Y75" i="22"/>
  <c r="AB77" i="22"/>
  <c r="AB78" i="22" s="1"/>
  <c r="AB75" i="22"/>
  <c r="AB12" i="22"/>
  <c r="AB104" i="22"/>
  <c r="AB87" i="22"/>
  <c r="AB114" i="22"/>
  <c r="AB22" i="22"/>
  <c r="AC14" i="22"/>
  <c r="AC81" i="22"/>
  <c r="AC82" i="22" s="1"/>
  <c r="AC89" i="22"/>
  <c r="X12" i="22"/>
  <c r="X104" i="22"/>
  <c r="X22" i="22"/>
  <c r="X75" i="22"/>
  <c r="X114" i="22"/>
  <c r="X77" i="22"/>
  <c r="X78" i="22" s="1"/>
  <c r="Y12" i="22"/>
  <c r="Y104" i="22"/>
  <c r="Y114" i="22"/>
  <c r="Y77" i="22"/>
  <c r="Y78" i="22" s="1"/>
  <c r="Y22" i="22"/>
  <c r="AA75" i="22"/>
  <c r="AA12" i="22"/>
  <c r="AA114" i="22"/>
  <c r="AA77" i="22"/>
  <c r="AA78" i="22" s="1"/>
  <c r="T12" i="22"/>
  <c r="Z114" i="22"/>
  <c r="W77" i="22"/>
  <c r="W78" i="22" s="1"/>
  <c r="T75" i="22"/>
  <c r="W114" i="22"/>
  <c r="T77" i="22"/>
  <c r="T78" i="22" s="1"/>
  <c r="Z22" i="22"/>
  <c r="T114" i="22"/>
  <c r="Z12" i="22"/>
  <c r="Z75" i="22"/>
  <c r="J69" i="22"/>
  <c r="W14" i="22" l="1"/>
  <c r="W15" i="22" s="1"/>
  <c r="V14" i="22"/>
  <c r="V15" i="22" s="1"/>
  <c r="AD89" i="22"/>
  <c r="U81" i="22"/>
  <c r="U82" i="22" s="1"/>
  <c r="U14" i="22"/>
  <c r="X81" i="22"/>
  <c r="X82" i="22" s="1"/>
  <c r="X14" i="22"/>
  <c r="Z14" i="22"/>
  <c r="Z81" i="22"/>
  <c r="Z82" i="22" s="1"/>
  <c r="AC15" i="22"/>
  <c r="AC19" i="22"/>
  <c r="T81" i="22"/>
  <c r="T82" i="22" s="1"/>
  <c r="T14" i="22"/>
  <c r="AA14" i="22"/>
  <c r="AA81" i="22"/>
  <c r="AA82" i="22" s="1"/>
  <c r="V19" i="22"/>
  <c r="V17" i="22" s="1"/>
  <c r="AE81" i="22"/>
  <c r="AE82" i="22" s="1"/>
  <c r="AE89" i="22" s="1"/>
  <c r="AE14" i="22"/>
  <c r="AB14" i="22"/>
  <c r="AB81" i="22"/>
  <c r="AB82" i="22" s="1"/>
  <c r="AB89" i="22" s="1"/>
  <c r="AD14" i="22"/>
  <c r="AD81" i="22"/>
  <c r="AD82" i="22" s="1"/>
  <c r="Y81" i="22"/>
  <c r="Y82" i="22" s="1"/>
  <c r="Y14" i="22"/>
  <c r="D94" i="1"/>
  <c r="E94" i="1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H3" i="8"/>
  <c r="I3" i="8"/>
  <c r="AI17" i="1"/>
  <c r="AI19" i="1"/>
  <c r="AF8" i="1"/>
  <c r="AF7" i="1"/>
  <c r="AF6" i="1"/>
  <c r="AF114" i="1"/>
  <c r="AF112" i="1"/>
  <c r="AF105" i="1"/>
  <c r="AF104" i="1"/>
  <c r="AF93" i="1"/>
  <c r="AF89" i="1"/>
  <c r="AF87" i="1"/>
  <c r="AF82" i="1"/>
  <c r="AF78" i="1"/>
  <c r="AF75" i="1"/>
  <c r="AF73" i="1"/>
  <c r="AF70" i="1"/>
  <c r="AF33" i="1"/>
  <c r="AF32" i="1"/>
  <c r="AF31" i="1"/>
  <c r="AF19" i="1"/>
  <c r="AF14" i="1"/>
  <c r="AF13" i="1"/>
  <c r="AF12" i="1"/>
  <c r="AF9" i="1"/>
  <c r="AF114" i="24"/>
  <c r="AF106" i="24"/>
  <c r="AF71" i="24"/>
  <c r="E55" i="1"/>
  <c r="E58" i="1" s="1"/>
  <c r="F55" i="1"/>
  <c r="G55" i="1"/>
  <c r="I55" i="1"/>
  <c r="J55" i="1"/>
  <c r="K55" i="1"/>
  <c r="L55" i="1"/>
  <c r="L58" i="1" s="1"/>
  <c r="M55" i="1"/>
  <c r="N55" i="1"/>
  <c r="O55" i="1"/>
  <c r="P55" i="1"/>
  <c r="P58" i="1" s="1"/>
  <c r="Q55" i="1"/>
  <c r="R55" i="1"/>
  <c r="R58" i="1" s="1"/>
  <c r="S55" i="1"/>
  <c r="S58" i="1" s="1"/>
  <c r="T55" i="1"/>
  <c r="U55" i="1"/>
  <c r="V55" i="1"/>
  <c r="W55" i="1"/>
  <c r="X55" i="1"/>
  <c r="Y55" i="1"/>
  <c r="Z55" i="1"/>
  <c r="AA55" i="1"/>
  <c r="AB55" i="1"/>
  <c r="AC55" i="1"/>
  <c r="AD55" i="1"/>
  <c r="E56" i="1"/>
  <c r="F56" i="1"/>
  <c r="G56" i="1"/>
  <c r="H56" i="1"/>
  <c r="I56" i="1"/>
  <c r="J56" i="1"/>
  <c r="J58" i="1" s="1"/>
  <c r="K56" i="1"/>
  <c r="L56" i="1"/>
  <c r="M56" i="1"/>
  <c r="N56" i="1"/>
  <c r="O56" i="1"/>
  <c r="P56" i="1"/>
  <c r="Q56" i="1"/>
  <c r="R56" i="1"/>
  <c r="S56" i="1"/>
  <c r="T56" i="1"/>
  <c r="T58" i="1" s="1"/>
  <c r="U56" i="1"/>
  <c r="V56" i="1"/>
  <c r="V58" i="1" s="1"/>
  <c r="W56" i="1"/>
  <c r="X56" i="1"/>
  <c r="X58" i="1" s="1"/>
  <c r="Y56" i="1"/>
  <c r="Z56" i="1"/>
  <c r="AA56" i="1"/>
  <c r="AB56" i="1"/>
  <c r="AC56" i="1"/>
  <c r="AD56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Z58" i="1" s="1"/>
  <c r="AA57" i="1"/>
  <c r="AB57" i="1"/>
  <c r="AB58" i="1" s="1"/>
  <c r="AC57" i="1"/>
  <c r="AD57" i="1"/>
  <c r="AD58" i="1" s="1"/>
  <c r="D56" i="1"/>
  <c r="D58" i="1" s="1"/>
  <c r="D55" i="1"/>
  <c r="D57" i="1"/>
  <c r="BQ112" i="22"/>
  <c r="BQ105" i="22"/>
  <c r="BQ13" i="22"/>
  <c r="BQ8" i="22"/>
  <c r="BQ6" i="22"/>
  <c r="E44" i="24"/>
  <c r="F44" i="24"/>
  <c r="G44" i="24"/>
  <c r="H44" i="24"/>
  <c r="I44" i="24"/>
  <c r="J44" i="24"/>
  <c r="K44" i="24"/>
  <c r="L44" i="24"/>
  <c r="M44" i="24"/>
  <c r="N44" i="24"/>
  <c r="O44" i="24"/>
  <c r="P44" i="24"/>
  <c r="Q44" i="24"/>
  <c r="R44" i="24"/>
  <c r="S44" i="24"/>
  <c r="T44" i="24"/>
  <c r="U44" i="24"/>
  <c r="V44" i="24"/>
  <c r="W44" i="24"/>
  <c r="X44" i="24"/>
  <c r="Y44" i="24"/>
  <c r="Z44" i="24"/>
  <c r="AA44" i="24"/>
  <c r="AB44" i="24"/>
  <c r="AC44" i="24"/>
  <c r="AD44" i="24"/>
  <c r="D44" i="24"/>
  <c r="AD39" i="24"/>
  <c r="AD40" i="24"/>
  <c r="E39" i="24"/>
  <c r="F39" i="24"/>
  <c r="G39" i="24"/>
  <c r="H39" i="24"/>
  <c r="I39" i="24"/>
  <c r="J39" i="24"/>
  <c r="K39" i="24"/>
  <c r="L39" i="24"/>
  <c r="M39" i="24"/>
  <c r="N39" i="24"/>
  <c r="O39" i="24"/>
  <c r="P39" i="24"/>
  <c r="Q39" i="24"/>
  <c r="R39" i="24"/>
  <c r="S39" i="24"/>
  <c r="T39" i="24"/>
  <c r="U39" i="24"/>
  <c r="V39" i="24"/>
  <c r="W39" i="24"/>
  <c r="X39" i="24"/>
  <c r="Y39" i="24"/>
  <c r="Z39" i="24"/>
  <c r="AA39" i="24"/>
  <c r="AB39" i="24"/>
  <c r="AC39" i="24"/>
  <c r="E40" i="24"/>
  <c r="F40" i="24"/>
  <c r="G40" i="24"/>
  <c r="H40" i="24"/>
  <c r="I40" i="24"/>
  <c r="J40" i="24"/>
  <c r="K40" i="24"/>
  <c r="L40" i="24"/>
  <c r="M40" i="24"/>
  <c r="N40" i="24"/>
  <c r="O40" i="24"/>
  <c r="P40" i="24"/>
  <c r="Q40" i="24"/>
  <c r="R40" i="24"/>
  <c r="S40" i="24"/>
  <c r="T40" i="24"/>
  <c r="U40" i="24"/>
  <c r="V40" i="24"/>
  <c r="W40" i="24"/>
  <c r="X40" i="24"/>
  <c r="Y40" i="24"/>
  <c r="Z40" i="24"/>
  <c r="AA40" i="24"/>
  <c r="AB40" i="24"/>
  <c r="AC40" i="24"/>
  <c r="D40" i="24"/>
  <c r="D39" i="24"/>
  <c r="D20" i="24"/>
  <c r="E20" i="24"/>
  <c r="F20" i="24"/>
  <c r="G20" i="24"/>
  <c r="H20" i="24"/>
  <c r="I20" i="24"/>
  <c r="J20" i="24"/>
  <c r="K20" i="24"/>
  <c r="L20" i="24"/>
  <c r="M20" i="24"/>
  <c r="N20" i="24"/>
  <c r="O20" i="24"/>
  <c r="P20" i="24"/>
  <c r="Q20" i="24"/>
  <c r="R20" i="24"/>
  <c r="S20" i="24"/>
  <c r="T20" i="24"/>
  <c r="U20" i="24"/>
  <c r="V20" i="24"/>
  <c r="W20" i="24"/>
  <c r="X20" i="24"/>
  <c r="Y20" i="24"/>
  <c r="Z20" i="24"/>
  <c r="AA20" i="24"/>
  <c r="AB20" i="24"/>
  <c r="AC20" i="24"/>
  <c r="AD20" i="24"/>
  <c r="X18" i="24"/>
  <c r="AA18" i="24"/>
  <c r="E6" i="24"/>
  <c r="F6" i="24"/>
  <c r="G6" i="24"/>
  <c r="H6" i="24"/>
  <c r="I6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A8" i="24" s="1"/>
  <c r="AA9" i="24" s="1"/>
  <c r="AB6" i="24"/>
  <c r="AC6" i="24"/>
  <c r="AD6" i="24"/>
  <c r="D6" i="24"/>
  <c r="AF6" i="24" s="1"/>
  <c r="E11" i="24"/>
  <c r="E18" i="24" s="1"/>
  <c r="F11" i="24"/>
  <c r="F18" i="24" s="1"/>
  <c r="G11" i="24"/>
  <c r="G18" i="24" s="1"/>
  <c r="H11" i="24"/>
  <c r="H18" i="24" s="1"/>
  <c r="I11" i="24"/>
  <c r="I18" i="24" s="1"/>
  <c r="J11" i="24"/>
  <c r="J18" i="24" s="1"/>
  <c r="K11" i="24"/>
  <c r="K18" i="24" s="1"/>
  <c r="L11" i="24"/>
  <c r="L18" i="24" s="1"/>
  <c r="M11" i="24"/>
  <c r="M18" i="24" s="1"/>
  <c r="N11" i="24"/>
  <c r="N18" i="24" s="1"/>
  <c r="O11" i="24"/>
  <c r="O18" i="24" s="1"/>
  <c r="P11" i="24"/>
  <c r="P18" i="24" s="1"/>
  <c r="Q11" i="24"/>
  <c r="Q18" i="24" s="1"/>
  <c r="R11" i="24"/>
  <c r="R18" i="24" s="1"/>
  <c r="S11" i="24"/>
  <c r="S18" i="24" s="1"/>
  <c r="T11" i="24"/>
  <c r="T18" i="24" s="1"/>
  <c r="U11" i="24"/>
  <c r="U18" i="24" s="1"/>
  <c r="V11" i="24"/>
  <c r="V18" i="24" s="1"/>
  <c r="W11" i="24"/>
  <c r="W18" i="24" s="1"/>
  <c r="X11" i="24"/>
  <c r="Y11" i="24"/>
  <c r="Y18" i="24" s="1"/>
  <c r="Z11" i="24"/>
  <c r="Z18" i="24" s="1"/>
  <c r="AA11" i="24"/>
  <c r="AB11" i="24"/>
  <c r="AB18" i="24" s="1"/>
  <c r="AC11" i="24"/>
  <c r="AC18" i="24" s="1"/>
  <c r="AD11" i="24"/>
  <c r="AD18" i="24" s="1"/>
  <c r="D11" i="24"/>
  <c r="D17" i="24" s="1"/>
  <c r="Z8" i="24"/>
  <c r="D26" i="24"/>
  <c r="D28" i="24"/>
  <c r="D7" i="24"/>
  <c r="AD8" i="24"/>
  <c r="E70" i="24"/>
  <c r="F70" i="24"/>
  <c r="G70" i="24"/>
  <c r="H70" i="24"/>
  <c r="I70" i="24"/>
  <c r="J70" i="24"/>
  <c r="K70" i="24"/>
  <c r="L70" i="24"/>
  <c r="M70" i="24"/>
  <c r="N70" i="24"/>
  <c r="O70" i="24"/>
  <c r="P70" i="24"/>
  <c r="Q70" i="24"/>
  <c r="R70" i="24"/>
  <c r="S70" i="24"/>
  <c r="T70" i="24"/>
  <c r="U70" i="24"/>
  <c r="V70" i="24"/>
  <c r="W70" i="24"/>
  <c r="X70" i="24"/>
  <c r="Y70" i="24"/>
  <c r="Z70" i="24"/>
  <c r="AA70" i="24"/>
  <c r="AB70" i="24"/>
  <c r="AC70" i="24"/>
  <c r="AD70" i="24"/>
  <c r="D70" i="24"/>
  <c r="E7" i="24"/>
  <c r="F7" i="24"/>
  <c r="G7" i="24"/>
  <c r="H7" i="24" s="1"/>
  <c r="I7" i="24" s="1"/>
  <c r="J7" i="24" s="1"/>
  <c r="K7" i="24" s="1"/>
  <c r="L7" i="24" s="1"/>
  <c r="M7" i="24" s="1"/>
  <c r="N7" i="24" s="1"/>
  <c r="O7" i="24" s="1"/>
  <c r="P7" i="24" s="1"/>
  <c r="Q7" i="24" s="1"/>
  <c r="R7" i="24" s="1"/>
  <c r="S7" i="24" s="1"/>
  <c r="T7" i="24" s="1"/>
  <c r="U7" i="24" s="1"/>
  <c r="V7" i="24" s="1"/>
  <c r="W7" i="24" s="1"/>
  <c r="X7" i="24" s="1"/>
  <c r="Y7" i="24" s="1"/>
  <c r="Z7" i="24" s="1"/>
  <c r="AA7" i="24" s="1"/>
  <c r="AB7" i="24" s="1"/>
  <c r="AC7" i="24" s="1"/>
  <c r="AD7" i="24" s="1"/>
  <c r="D47" i="24"/>
  <c r="H20" i="31"/>
  <c r="H21" i="31" s="1"/>
  <c r="G20" i="31"/>
  <c r="G21" i="31" s="1"/>
  <c r="E20" i="31"/>
  <c r="D20" i="31"/>
  <c r="D21" i="31"/>
  <c r="E16" i="31"/>
  <c r="F16" i="31"/>
  <c r="G16" i="31"/>
  <c r="H16" i="31"/>
  <c r="D16" i="31"/>
  <c r="E13" i="31"/>
  <c r="F13" i="31"/>
  <c r="G13" i="31"/>
  <c r="H13" i="31"/>
  <c r="D13" i="31"/>
  <c r="E10" i="31"/>
  <c r="F10" i="31"/>
  <c r="G10" i="31"/>
  <c r="H10" i="31"/>
  <c r="D10" i="31"/>
  <c r="E9" i="31"/>
  <c r="F9" i="31"/>
  <c r="G9" i="31"/>
  <c r="H9" i="31"/>
  <c r="D9" i="31"/>
  <c r="E3" i="31"/>
  <c r="F3" i="31" s="1"/>
  <c r="G3" i="31" s="1"/>
  <c r="H3" i="31" s="1"/>
  <c r="H30" i="30"/>
  <c r="B6" i="30"/>
  <c r="AY23" i="22"/>
  <c r="AZ23" i="22"/>
  <c r="BA23" i="22"/>
  <c r="BB23" i="22"/>
  <c r="BC23" i="22"/>
  <c r="BD23" i="22"/>
  <c r="BE23" i="22"/>
  <c r="BF23" i="22"/>
  <c r="BG23" i="22"/>
  <c r="BH23" i="22"/>
  <c r="BI23" i="22"/>
  <c r="BJ23" i="22"/>
  <c r="BK23" i="22"/>
  <c r="BL23" i="22"/>
  <c r="BM23" i="22"/>
  <c r="BN23" i="22"/>
  <c r="BO23" i="22"/>
  <c r="N58" i="1" l="1"/>
  <c r="G58" i="1"/>
  <c r="F58" i="1"/>
  <c r="AC58" i="1"/>
  <c r="AA58" i="1"/>
  <c r="Q58" i="1"/>
  <c r="W58" i="1"/>
  <c r="M58" i="1"/>
  <c r="K58" i="1"/>
  <c r="O58" i="1"/>
  <c r="I58" i="1"/>
  <c r="Y58" i="1"/>
  <c r="U58" i="1"/>
  <c r="W19" i="22"/>
  <c r="W17" i="22" s="1"/>
  <c r="AE15" i="22"/>
  <c r="AE19" i="22"/>
  <c r="AE90" i="22" s="1"/>
  <c r="AD15" i="22"/>
  <c r="AD19" i="22"/>
  <c r="AD90" i="22" s="1"/>
  <c r="AC86" i="22"/>
  <c r="AC85" i="22"/>
  <c r="AC33" i="22"/>
  <c r="AC32" i="22"/>
  <c r="AC56" i="22" s="1"/>
  <c r="AC84" i="22"/>
  <c r="AC31" i="22"/>
  <c r="AC17" i="22"/>
  <c r="U19" i="22"/>
  <c r="U17" i="22" s="1"/>
  <c r="U15" i="22"/>
  <c r="W86" i="22"/>
  <c r="AC90" i="22"/>
  <c r="AH4" i="8" s="1"/>
  <c r="V33" i="22"/>
  <c r="V32" i="22"/>
  <c r="V31" i="22"/>
  <c r="V84" i="22"/>
  <c r="V86" i="22"/>
  <c r="V85" i="22"/>
  <c r="T19" i="22"/>
  <c r="T17" i="22" s="1"/>
  <c r="T15" i="22"/>
  <c r="Z15" i="22"/>
  <c r="Z19" i="22"/>
  <c r="Z17" i="22" s="1"/>
  <c r="AA19" i="22"/>
  <c r="AA17" i="22" s="1"/>
  <c r="AA15" i="22"/>
  <c r="X19" i="22"/>
  <c r="X17" i="22" s="1"/>
  <c r="X15" i="22"/>
  <c r="AB15" i="22"/>
  <c r="AB19" i="22"/>
  <c r="Y19" i="22"/>
  <c r="Y17" i="22" s="1"/>
  <c r="Y15" i="22"/>
  <c r="D19" i="24"/>
  <c r="AF11" i="24"/>
  <c r="D18" i="24"/>
  <c r="AF18" i="24" s="1"/>
  <c r="Y8" i="24"/>
  <c r="Y9" i="24" s="1"/>
  <c r="AC8" i="24"/>
  <c r="AC9" i="24" s="1"/>
  <c r="AB8" i="24"/>
  <c r="AB9" i="24" s="1"/>
  <c r="E17" i="24"/>
  <c r="E28" i="24"/>
  <c r="Z9" i="24"/>
  <c r="AD9" i="24"/>
  <c r="D8" i="24"/>
  <c r="D81" i="24"/>
  <c r="F28" i="24"/>
  <c r="F20" i="31"/>
  <c r="F21" i="31" s="1"/>
  <c r="E21" i="31"/>
  <c r="W31" i="22" l="1"/>
  <c r="W33" i="22"/>
  <c r="W57" i="22" s="1"/>
  <c r="W32" i="22"/>
  <c r="W84" i="22"/>
  <c r="W85" i="22"/>
  <c r="W87" i="22" s="1"/>
  <c r="W89" i="22" s="1"/>
  <c r="W90" i="22" s="1"/>
  <c r="AB4" i="8" s="1"/>
  <c r="V87" i="22"/>
  <c r="V89" i="22" s="1"/>
  <c r="V90" i="22" s="1"/>
  <c r="AA4" i="8" s="1"/>
  <c r="AC52" i="22"/>
  <c r="AC57" i="22"/>
  <c r="W55" i="22"/>
  <c r="AB86" i="22"/>
  <c r="AB85" i="22"/>
  <c r="AB84" i="22"/>
  <c r="AB17" i="22"/>
  <c r="AB31" i="22"/>
  <c r="AB33" i="22"/>
  <c r="AB32" i="22"/>
  <c r="AB56" i="22" s="1"/>
  <c r="AD17" i="22"/>
  <c r="AD31" i="22"/>
  <c r="AD86" i="22"/>
  <c r="AD85" i="22"/>
  <c r="AD84" i="22"/>
  <c r="AD32" i="22"/>
  <c r="AD56" i="22" s="1"/>
  <c r="AD33" i="22"/>
  <c r="T33" i="22"/>
  <c r="T32" i="22"/>
  <c r="T31" i="22"/>
  <c r="T86" i="22"/>
  <c r="T85" i="22"/>
  <c r="T84" i="22"/>
  <c r="X84" i="22"/>
  <c r="X33" i="22"/>
  <c r="X32" i="22"/>
  <c r="X31" i="22"/>
  <c r="X85" i="22"/>
  <c r="X86" i="22"/>
  <c r="V34" i="22"/>
  <c r="V55" i="22"/>
  <c r="AE17" i="22"/>
  <c r="AE31" i="22"/>
  <c r="AE86" i="22"/>
  <c r="AE84" i="22"/>
  <c r="AE33" i="22"/>
  <c r="AE32" i="22"/>
  <c r="AE56" i="22" s="1"/>
  <c r="AE85" i="22"/>
  <c r="AA85" i="22"/>
  <c r="AA84" i="22"/>
  <c r="AA31" i="22"/>
  <c r="AA33" i="22"/>
  <c r="AA32" i="22"/>
  <c r="AA86" i="22"/>
  <c r="Z85" i="22"/>
  <c r="Z84" i="22"/>
  <c r="Z33" i="22"/>
  <c r="Z32" i="22"/>
  <c r="Z31" i="22"/>
  <c r="Z86" i="22"/>
  <c r="V57" i="22"/>
  <c r="V52" i="22"/>
  <c r="U33" i="22"/>
  <c r="U32" i="22"/>
  <c r="U86" i="22"/>
  <c r="U85" i="22"/>
  <c r="U84" i="22"/>
  <c r="U31" i="22"/>
  <c r="AB90" i="22"/>
  <c r="AG4" i="8" s="1"/>
  <c r="Y84" i="22"/>
  <c r="Y32" i="22"/>
  <c r="Y86" i="22"/>
  <c r="Y31" i="22"/>
  <c r="Y33" i="22"/>
  <c r="Y85" i="22"/>
  <c r="AC34" i="22"/>
  <c r="AC55" i="22"/>
  <c r="AC60" i="22" s="1"/>
  <c r="D9" i="24"/>
  <c r="D73" i="24" s="1"/>
  <c r="D12" i="24"/>
  <c r="D14" i="24"/>
  <c r="D76" i="24" s="1"/>
  <c r="D24" i="24"/>
  <c r="F17" i="24"/>
  <c r="D27" i="24"/>
  <c r="D29" i="24" s="1"/>
  <c r="AC58" i="22" l="1"/>
  <c r="W52" i="22"/>
  <c r="U87" i="22"/>
  <c r="W34" i="22"/>
  <c r="W93" i="22" s="1"/>
  <c r="Y87" i="22"/>
  <c r="Y89" i="22" s="1"/>
  <c r="T87" i="22"/>
  <c r="T89" i="22" s="1"/>
  <c r="Y52" i="22"/>
  <c r="Y57" i="22"/>
  <c r="Y34" i="22"/>
  <c r="Y55" i="22"/>
  <c r="AB34" i="22"/>
  <c r="AB55" i="22"/>
  <c r="AB60" i="22" s="1"/>
  <c r="AA87" i="22"/>
  <c r="T55" i="22"/>
  <c r="T34" i="22"/>
  <c r="X34" i="22"/>
  <c r="X55" i="22"/>
  <c r="T57" i="22"/>
  <c r="T52" i="22"/>
  <c r="AD52" i="22"/>
  <c r="AD57" i="22"/>
  <c r="AA55" i="22"/>
  <c r="AA34" i="22"/>
  <c r="X57" i="22"/>
  <c r="X52" i="22"/>
  <c r="Z87" i="22"/>
  <c r="Z89" i="22" s="1"/>
  <c r="AE55" i="22"/>
  <c r="AE60" i="22" s="1"/>
  <c r="AE34" i="22"/>
  <c r="AE93" i="22" s="1"/>
  <c r="AD55" i="22"/>
  <c r="AD60" i="22" s="1"/>
  <c r="AD34" i="22"/>
  <c r="AD93" i="22" s="1"/>
  <c r="U57" i="22"/>
  <c r="U52" i="22"/>
  <c r="AB52" i="22"/>
  <c r="AB57" i="22"/>
  <c r="X87" i="22"/>
  <c r="Z57" i="22"/>
  <c r="Z52" i="22"/>
  <c r="V93" i="22"/>
  <c r="Z34" i="22"/>
  <c r="Z55" i="22"/>
  <c r="AE52" i="22"/>
  <c r="AE57" i="22"/>
  <c r="U55" i="22"/>
  <c r="U34" i="22"/>
  <c r="U89" i="22"/>
  <c r="AC93" i="22"/>
  <c r="AA57" i="22"/>
  <c r="AA52" i="22"/>
  <c r="D34" i="24"/>
  <c r="D35" i="24"/>
  <c r="D51" i="24" s="1"/>
  <c r="D22" i="24"/>
  <c r="G17" i="24"/>
  <c r="G28" i="24"/>
  <c r="D84" i="24"/>
  <c r="D87" i="24"/>
  <c r="D86" i="24"/>
  <c r="D85" i="24"/>
  <c r="AB58" i="22" l="1"/>
  <c r="AD58" i="22"/>
  <c r="AA89" i="22"/>
  <c r="T90" i="22"/>
  <c r="Y4" i="8" s="1"/>
  <c r="Z90" i="22"/>
  <c r="AE4" i="8" s="1"/>
  <c r="Z93" i="22"/>
  <c r="AB93" i="22"/>
  <c r="X93" i="22"/>
  <c r="Y93" i="22"/>
  <c r="Y90" i="22"/>
  <c r="AD4" i="8" s="1"/>
  <c r="U93" i="22"/>
  <c r="X89" i="22"/>
  <c r="U90" i="22"/>
  <c r="Z4" i="8" s="1"/>
  <c r="AA93" i="22"/>
  <c r="T93" i="22"/>
  <c r="AE58" i="22"/>
  <c r="D55" i="24"/>
  <c r="D54" i="24"/>
  <c r="H17" i="24"/>
  <c r="H28" i="24"/>
  <c r="D88" i="24"/>
  <c r="D36" i="24"/>
  <c r="D109" i="24" s="1"/>
  <c r="AA90" i="22" l="1"/>
  <c r="AF4" i="8" s="1"/>
  <c r="X90" i="22"/>
  <c r="AC4" i="8" s="1"/>
  <c r="D56" i="24"/>
  <c r="I17" i="24"/>
  <c r="I28" i="24"/>
  <c r="J17" i="24" l="1"/>
  <c r="J28" i="24"/>
  <c r="K17" i="24" l="1"/>
  <c r="K28" i="24"/>
  <c r="L17" i="24" l="1"/>
  <c r="L28" i="24"/>
  <c r="M17" i="24" l="1"/>
  <c r="M28" i="24"/>
  <c r="N17" i="24" l="1"/>
  <c r="N28" i="24"/>
  <c r="O17" i="24" l="1"/>
  <c r="O28" i="24"/>
  <c r="P17" i="24" l="1"/>
  <c r="P28" i="24"/>
  <c r="Q17" i="24" l="1"/>
  <c r="Q28" i="24"/>
  <c r="R17" i="24" l="1"/>
  <c r="R28" i="24"/>
  <c r="S17" i="24" l="1"/>
  <c r="S28" i="24"/>
  <c r="T17" i="24" l="1"/>
  <c r="T28" i="24"/>
  <c r="U17" i="24" l="1"/>
  <c r="U28" i="24"/>
  <c r="V17" i="24" l="1"/>
  <c r="V28" i="24"/>
  <c r="W17" i="24" l="1"/>
  <c r="W28" i="24"/>
  <c r="X17" i="24" l="1"/>
  <c r="X28" i="24"/>
  <c r="Y14" i="24" l="1"/>
  <c r="Y17" i="24"/>
  <c r="Y19" i="24" s="1"/>
  <c r="Y24" i="24" s="1"/>
  <c r="Y12" i="24"/>
  <c r="Y28" i="24"/>
  <c r="Y22" i="24" l="1"/>
  <c r="Y35" i="24"/>
  <c r="Y55" i="24" s="1"/>
  <c r="Y34" i="24"/>
  <c r="Y54" i="24" s="1"/>
  <c r="Z14" i="24"/>
  <c r="Z17" i="24"/>
  <c r="Z19" i="24" s="1"/>
  <c r="Z24" i="24" s="1"/>
  <c r="Z12" i="24"/>
  <c r="Z28" i="24"/>
  <c r="Z22" i="24" l="1"/>
  <c r="Z35" i="24"/>
  <c r="Z55" i="24" s="1"/>
  <c r="Z34" i="24"/>
  <c r="Z54" i="24" s="1"/>
  <c r="AA12" i="24"/>
  <c r="AA14" i="24"/>
  <c r="AA17" i="24"/>
  <c r="AA19" i="24" s="1"/>
  <c r="AA24" i="24" s="1"/>
  <c r="AA28" i="24"/>
  <c r="AA34" i="24" l="1"/>
  <c r="AA54" i="24" s="1"/>
  <c r="AA35" i="24"/>
  <c r="AA55" i="24" s="1"/>
  <c r="AA22" i="24"/>
  <c r="AB17" i="24"/>
  <c r="AB19" i="24" s="1"/>
  <c r="AB24" i="24" s="1"/>
  <c r="AB14" i="24"/>
  <c r="AB12" i="24"/>
  <c r="AB28" i="24"/>
  <c r="AB34" i="24" l="1"/>
  <c r="AB54" i="24" s="1"/>
  <c r="AB35" i="24"/>
  <c r="AB55" i="24" s="1"/>
  <c r="AB22" i="24"/>
  <c r="AC17" i="24"/>
  <c r="AC19" i="24" s="1"/>
  <c r="AC24" i="24" s="1"/>
  <c r="AC14" i="24"/>
  <c r="AC12" i="24"/>
  <c r="AC28" i="24"/>
  <c r="AC34" i="24" l="1"/>
  <c r="AC54" i="24" s="1"/>
  <c r="AC35" i="24"/>
  <c r="AC55" i="24" s="1"/>
  <c r="AC22" i="24"/>
  <c r="AD12" i="24"/>
  <c r="AD17" i="24"/>
  <c r="AD14" i="24"/>
  <c r="AD28" i="24"/>
  <c r="AD19" i="24" l="1"/>
  <c r="AD24" i="24" s="1"/>
  <c r="AF17" i="24"/>
  <c r="AD22" i="24"/>
  <c r="AD34" i="24"/>
  <c r="AD54" i="24" s="1"/>
  <c r="AD35" i="24"/>
  <c r="AD55" i="24" s="1"/>
  <c r="D130" i="1" l="1"/>
  <c r="I105" i="1"/>
  <c r="I107" i="1"/>
  <c r="D14" i="1"/>
  <c r="C34" i="30" l="1"/>
  <c r="D34" i="30" s="1"/>
  <c r="E34" i="30" s="1"/>
  <c r="F34" i="30" s="1"/>
  <c r="G34" i="30" s="1"/>
  <c r="H34" i="30" s="1"/>
  <c r="I34" i="30" s="1"/>
  <c r="J34" i="30" s="1"/>
  <c r="K34" i="30" s="1"/>
  <c r="L34" i="30" s="1"/>
  <c r="M34" i="30" s="1"/>
  <c r="N34" i="30" s="1"/>
  <c r="O34" i="30" s="1"/>
  <c r="P34" i="30" s="1"/>
  <c r="Q34" i="30" s="1"/>
  <c r="R34" i="30" s="1"/>
  <c r="S34" i="30" s="1"/>
  <c r="T34" i="30" s="1"/>
  <c r="U34" i="30" s="1"/>
  <c r="V34" i="30" s="1"/>
  <c r="W34" i="30" s="1"/>
  <c r="X34" i="30" s="1"/>
  <c r="Y34" i="30" s="1"/>
  <c r="Z34" i="30" s="1"/>
  <c r="AA34" i="30" s="1"/>
  <c r="AB34" i="30" s="1"/>
  <c r="AC34" i="30" s="1"/>
  <c r="AD34" i="30" s="1"/>
  <c r="AE34" i="30" s="1"/>
  <c r="AF34" i="30" s="1"/>
  <c r="AG34" i="30" s="1"/>
  <c r="AH34" i="30" s="1"/>
  <c r="AI34" i="30" s="1"/>
  <c r="AJ34" i="30" s="1"/>
  <c r="AK34" i="30" s="1"/>
  <c r="AL34" i="30" s="1"/>
  <c r="AM34" i="30" s="1"/>
  <c r="AN34" i="30" s="1"/>
  <c r="AO34" i="30" s="1"/>
  <c r="AP34" i="30" s="1"/>
  <c r="AQ34" i="30" s="1"/>
  <c r="AR34" i="30" s="1"/>
  <c r="AS34" i="30" s="1"/>
  <c r="AT34" i="30" s="1"/>
  <c r="AU34" i="30" s="1"/>
  <c r="AV34" i="30" s="1"/>
  <c r="AW34" i="30" s="1"/>
  <c r="E19" i="24" l="1"/>
  <c r="F19" i="24"/>
  <c r="F24" i="24" s="1"/>
  <c r="G19" i="24"/>
  <c r="G24" i="24" s="1"/>
  <c r="H19" i="24"/>
  <c r="H24" i="24" s="1"/>
  <c r="I19" i="24"/>
  <c r="I24" i="24" s="1"/>
  <c r="J19" i="24"/>
  <c r="J24" i="24" s="1"/>
  <c r="K19" i="24"/>
  <c r="L19" i="24"/>
  <c r="M19" i="24"/>
  <c r="N19" i="24"/>
  <c r="O19" i="24"/>
  <c r="P19" i="24"/>
  <c r="Q19" i="24"/>
  <c r="R19" i="24"/>
  <c r="S19" i="24"/>
  <c r="T19" i="24"/>
  <c r="U19" i="24"/>
  <c r="V19" i="24"/>
  <c r="W19" i="24"/>
  <c r="X19" i="24"/>
  <c r="E8" i="24"/>
  <c r="F8" i="24"/>
  <c r="F12" i="24" s="1"/>
  <c r="G8" i="24"/>
  <c r="G12" i="24" s="1"/>
  <c r="H8" i="24"/>
  <c r="H12" i="24" s="1"/>
  <c r="I8" i="24"/>
  <c r="I12" i="24" s="1"/>
  <c r="E24" i="24" l="1"/>
  <c r="AF19" i="24"/>
  <c r="J35" i="24"/>
  <c r="J55" i="24" s="1"/>
  <c r="J34" i="24"/>
  <c r="J54" i="24" s="1"/>
  <c r="I35" i="24"/>
  <c r="I55" i="24" s="1"/>
  <c r="I34" i="24"/>
  <c r="I54" i="24" s="1"/>
  <c r="E34" i="24"/>
  <c r="E35" i="24"/>
  <c r="G34" i="24"/>
  <c r="G54" i="24" s="1"/>
  <c r="G35" i="24"/>
  <c r="G55" i="24" s="1"/>
  <c r="H35" i="24"/>
  <c r="H55" i="24" s="1"/>
  <c r="H34" i="24"/>
  <c r="H54" i="24" s="1"/>
  <c r="F34" i="24"/>
  <c r="F54" i="24" s="1"/>
  <c r="F35" i="24"/>
  <c r="F55" i="24" s="1"/>
  <c r="E9" i="24"/>
  <c r="E27" i="24" s="1"/>
  <c r="E12" i="24"/>
  <c r="I22" i="24"/>
  <c r="I87" i="24"/>
  <c r="I85" i="24"/>
  <c r="I86" i="24"/>
  <c r="I84" i="24"/>
  <c r="F22" i="24"/>
  <c r="F84" i="24"/>
  <c r="F85" i="24"/>
  <c r="F87" i="24"/>
  <c r="F86" i="24"/>
  <c r="E22" i="24"/>
  <c r="E85" i="24"/>
  <c r="E87" i="24"/>
  <c r="E84" i="24"/>
  <c r="E86" i="24"/>
  <c r="G22" i="24"/>
  <c r="G86" i="24"/>
  <c r="G84" i="24"/>
  <c r="G85" i="24"/>
  <c r="G87" i="24"/>
  <c r="H22" i="24"/>
  <c r="H86" i="24"/>
  <c r="H85" i="24"/>
  <c r="H84" i="24"/>
  <c r="H87" i="24"/>
  <c r="H9" i="24"/>
  <c r="H27" i="24" s="1"/>
  <c r="H14" i="24"/>
  <c r="I9" i="24"/>
  <c r="I27" i="24" s="1"/>
  <c r="E14" i="24"/>
  <c r="G9" i="24"/>
  <c r="G27" i="24" s="1"/>
  <c r="I14" i="24"/>
  <c r="F9" i="24"/>
  <c r="F27" i="24" s="1"/>
  <c r="G14" i="24"/>
  <c r="F14" i="24"/>
  <c r="E54" i="24" l="1"/>
  <c r="E55" i="24"/>
  <c r="F5" i="30" l="1"/>
  <c r="E1" i="30"/>
  <c r="G5" i="30" l="1"/>
  <c r="C32" i="23"/>
  <c r="D32" i="23"/>
  <c r="E32" i="23"/>
  <c r="F32" i="23"/>
  <c r="G32" i="23"/>
  <c r="H32" i="23"/>
  <c r="I32" i="23"/>
  <c r="J32" i="23"/>
  <c r="K32" i="23"/>
  <c r="L32" i="23"/>
  <c r="M32" i="23"/>
  <c r="N32" i="23"/>
  <c r="O32" i="23"/>
  <c r="P32" i="23"/>
  <c r="Q32" i="23"/>
  <c r="R32" i="23"/>
  <c r="S32" i="23"/>
  <c r="T32" i="23"/>
  <c r="U32" i="23"/>
  <c r="V32" i="23"/>
  <c r="W32" i="23"/>
  <c r="X32" i="23"/>
  <c r="Y32" i="23"/>
  <c r="Z32" i="23"/>
  <c r="AA32" i="23"/>
  <c r="AB32" i="23"/>
  <c r="AC32" i="23"/>
  <c r="AD32" i="23"/>
  <c r="C33" i="23"/>
  <c r="D33" i="23"/>
  <c r="E33" i="23"/>
  <c r="F33" i="23"/>
  <c r="G33" i="23"/>
  <c r="H33" i="23"/>
  <c r="I33" i="23"/>
  <c r="J33" i="23"/>
  <c r="K33" i="23"/>
  <c r="L33" i="23"/>
  <c r="M33" i="23"/>
  <c r="N33" i="23"/>
  <c r="O33" i="23"/>
  <c r="P33" i="23"/>
  <c r="Q33" i="23"/>
  <c r="R33" i="23"/>
  <c r="S33" i="23"/>
  <c r="T33" i="23"/>
  <c r="U33" i="23"/>
  <c r="V33" i="23"/>
  <c r="W33" i="23"/>
  <c r="X33" i="23"/>
  <c r="Y33" i="23"/>
  <c r="Z33" i="23"/>
  <c r="AA33" i="23"/>
  <c r="AB33" i="23"/>
  <c r="AC33" i="23"/>
  <c r="AD33" i="23"/>
  <c r="C34" i="23"/>
  <c r="D34" i="23"/>
  <c r="E34" i="23"/>
  <c r="F34" i="23"/>
  <c r="G34" i="23"/>
  <c r="H34" i="23"/>
  <c r="I34" i="23"/>
  <c r="J34" i="23"/>
  <c r="K34" i="23"/>
  <c r="L34" i="23"/>
  <c r="M34" i="23"/>
  <c r="N34" i="23"/>
  <c r="O34" i="23"/>
  <c r="P34" i="23"/>
  <c r="Q34" i="23"/>
  <c r="R34" i="23"/>
  <c r="S34" i="23"/>
  <c r="T34" i="23"/>
  <c r="U34" i="23"/>
  <c r="V34" i="23"/>
  <c r="W34" i="23"/>
  <c r="X34" i="23"/>
  <c r="Y34" i="23"/>
  <c r="Z34" i="23"/>
  <c r="AA34" i="23"/>
  <c r="AB34" i="23"/>
  <c r="AC34" i="23"/>
  <c r="AD34" i="23"/>
  <c r="E80" i="22"/>
  <c r="F80" i="22"/>
  <c r="G80" i="22"/>
  <c r="H80" i="22"/>
  <c r="I80" i="22"/>
  <c r="J80" i="22"/>
  <c r="K80" i="22"/>
  <c r="L80" i="22"/>
  <c r="M80" i="22"/>
  <c r="N80" i="22"/>
  <c r="O80" i="22"/>
  <c r="P80" i="22"/>
  <c r="Q80" i="22"/>
  <c r="R80" i="22"/>
  <c r="S80" i="22"/>
  <c r="AF80" i="22"/>
  <c r="AG80" i="22"/>
  <c r="AH80" i="22"/>
  <c r="AI80" i="22"/>
  <c r="AJ80" i="22"/>
  <c r="AK80" i="22"/>
  <c r="AL80" i="22"/>
  <c r="AM80" i="22"/>
  <c r="AN80" i="22"/>
  <c r="AO80" i="22"/>
  <c r="AP80" i="22"/>
  <c r="AQ80" i="22"/>
  <c r="AR80" i="22"/>
  <c r="AS80" i="22"/>
  <c r="AT80" i="22"/>
  <c r="AU80" i="22"/>
  <c r="AV80" i="22"/>
  <c r="AW80" i="22"/>
  <c r="AX80" i="22"/>
  <c r="AY80" i="22"/>
  <c r="AZ80" i="22"/>
  <c r="BA80" i="22"/>
  <c r="BB80" i="22"/>
  <c r="BC80" i="22"/>
  <c r="BD80" i="22"/>
  <c r="BE80" i="22"/>
  <c r="BF80" i="22"/>
  <c r="BG80" i="22"/>
  <c r="BH80" i="22"/>
  <c r="BI80" i="22"/>
  <c r="BJ80" i="22"/>
  <c r="BK80" i="22"/>
  <c r="BL80" i="22"/>
  <c r="BM80" i="22"/>
  <c r="BN80" i="22"/>
  <c r="BO80" i="22"/>
  <c r="D80" i="22"/>
  <c r="A57" i="22"/>
  <c r="A52" i="22"/>
  <c r="A44" i="22"/>
  <c r="A39" i="22"/>
  <c r="H5" i="30" l="1"/>
  <c r="AJ42" i="7"/>
  <c r="AJ43" i="7" s="1"/>
  <c r="AJ44" i="7" s="1"/>
  <c r="AJ45" i="7" s="1"/>
  <c r="AJ46" i="7" s="1"/>
  <c r="AK42" i="7"/>
  <c r="AL42" i="7"/>
  <c r="AM42" i="7"/>
  <c r="AM43" i="7" s="1"/>
  <c r="AM44" i="7" s="1"/>
  <c r="AM45" i="7" s="1"/>
  <c r="AM46" i="7" s="1"/>
  <c r="AN42" i="7"/>
  <c r="AO42" i="7"/>
  <c r="AO43" i="7" s="1"/>
  <c r="AO44" i="7" s="1"/>
  <c r="AO45" i="7" s="1"/>
  <c r="AO46" i="7" s="1"/>
  <c r="AP42" i="7"/>
  <c r="AP43" i="7" s="1"/>
  <c r="AP44" i="7" s="1"/>
  <c r="AP45" i="7" s="1"/>
  <c r="AP46" i="7" s="1"/>
  <c r="AQ42" i="7"/>
  <c r="AR42" i="7"/>
  <c r="AR43" i="7" s="1"/>
  <c r="AR44" i="7" s="1"/>
  <c r="AR45" i="7" s="1"/>
  <c r="AR46" i="7" s="1"/>
  <c r="AS42" i="7"/>
  <c r="AT42" i="7"/>
  <c r="AT43" i="7" s="1"/>
  <c r="AT44" i="7" s="1"/>
  <c r="AT45" i="7" s="1"/>
  <c r="AT46" i="7" s="1"/>
  <c r="AU42" i="7"/>
  <c r="AU43" i="7" s="1"/>
  <c r="AU44" i="7" s="1"/>
  <c r="AU45" i="7" s="1"/>
  <c r="AU46" i="7" s="1"/>
  <c r="AV42" i="7"/>
  <c r="AW42" i="7"/>
  <c r="AW43" i="7" s="1"/>
  <c r="AW44" i="7" s="1"/>
  <c r="AW45" i="7" s="1"/>
  <c r="AW46" i="7" s="1"/>
  <c r="AX42" i="7"/>
  <c r="AX43" i="7" s="1"/>
  <c r="AX44" i="7" s="1"/>
  <c r="AX45" i="7" s="1"/>
  <c r="AX46" i="7" s="1"/>
  <c r="AY42" i="7"/>
  <c r="AZ42" i="7"/>
  <c r="AZ43" i="7" s="1"/>
  <c r="AZ44" i="7" s="1"/>
  <c r="AZ45" i="7" s="1"/>
  <c r="AZ46" i="7" s="1"/>
  <c r="BA42" i="7"/>
  <c r="BA43" i="7" s="1"/>
  <c r="BA44" i="7" s="1"/>
  <c r="BA45" i="7" s="1"/>
  <c r="BA46" i="7" s="1"/>
  <c r="BB42" i="7"/>
  <c r="BB43" i="7" s="1"/>
  <c r="BB44" i="7" s="1"/>
  <c r="BB45" i="7" s="1"/>
  <c r="BB46" i="7" s="1"/>
  <c r="BC42" i="7"/>
  <c r="BC43" i="7" s="1"/>
  <c r="BC44" i="7" s="1"/>
  <c r="BC45" i="7" s="1"/>
  <c r="BC46" i="7" s="1"/>
  <c r="BD42" i="7"/>
  <c r="BD43" i="7" s="1"/>
  <c r="BD44" i="7" s="1"/>
  <c r="BD45" i="7" s="1"/>
  <c r="BD46" i="7" s="1"/>
  <c r="BE42" i="7"/>
  <c r="BE43" i="7" s="1"/>
  <c r="BE44" i="7" s="1"/>
  <c r="BE45" i="7" s="1"/>
  <c r="BE46" i="7" s="1"/>
  <c r="BF42" i="7"/>
  <c r="BF43" i="7" s="1"/>
  <c r="BF44" i="7" s="1"/>
  <c r="BF45" i="7" s="1"/>
  <c r="BF46" i="7" s="1"/>
  <c r="BG42" i="7"/>
  <c r="BG43" i="7" s="1"/>
  <c r="BG44" i="7" s="1"/>
  <c r="BG45" i="7" s="1"/>
  <c r="BG46" i="7" s="1"/>
  <c r="BH42" i="7"/>
  <c r="BH43" i="7" s="1"/>
  <c r="BH44" i="7" s="1"/>
  <c r="BH45" i="7" s="1"/>
  <c r="BH46" i="7" s="1"/>
  <c r="BI42" i="7"/>
  <c r="BJ42" i="7"/>
  <c r="BK42" i="7"/>
  <c r="BK43" i="7" s="1"/>
  <c r="BK44" i="7" s="1"/>
  <c r="BK45" i="7" s="1"/>
  <c r="BK46" i="7" s="1"/>
  <c r="BL42" i="7"/>
  <c r="BM42" i="7"/>
  <c r="BM43" i="7" s="1"/>
  <c r="BM44" i="7" s="1"/>
  <c r="BM45" i="7" s="1"/>
  <c r="BM46" i="7" s="1"/>
  <c r="BN42" i="7"/>
  <c r="BN43" i="7" s="1"/>
  <c r="BN44" i="7" s="1"/>
  <c r="BN45" i="7" s="1"/>
  <c r="BN46" i="7" s="1"/>
  <c r="BO42" i="7"/>
  <c r="BP42" i="7"/>
  <c r="BP43" i="7" s="1"/>
  <c r="BP44" i="7" s="1"/>
  <c r="BP45" i="7" s="1"/>
  <c r="BP46" i="7" s="1"/>
  <c r="BQ42" i="7"/>
  <c r="BR42" i="7"/>
  <c r="BS42" i="7"/>
  <c r="BS43" i="7" s="1"/>
  <c r="BS44" i="7" s="1"/>
  <c r="BS45" i="7" s="1"/>
  <c r="BS46" i="7" s="1"/>
  <c r="BT42" i="7"/>
  <c r="BT43" i="7" s="1"/>
  <c r="BT44" i="7" s="1"/>
  <c r="BT45" i="7" s="1"/>
  <c r="BT46" i="7" s="1"/>
  <c r="BU42" i="7"/>
  <c r="BU43" i="7" s="1"/>
  <c r="BU44" i="7" s="1"/>
  <c r="BU45" i="7" s="1"/>
  <c r="BU46" i="7" s="1"/>
  <c r="BV42" i="7"/>
  <c r="BV43" i="7" s="1"/>
  <c r="BV44" i="7" s="1"/>
  <c r="BV45" i="7" s="1"/>
  <c r="BV46" i="7" s="1"/>
  <c r="AK43" i="7"/>
  <c r="AK44" i="7" s="1"/>
  <c r="AK45" i="7" s="1"/>
  <c r="AK46" i="7" s="1"/>
  <c r="AL43" i="7"/>
  <c r="AL44" i="7" s="1"/>
  <c r="AL45" i="7" s="1"/>
  <c r="AL46" i="7" s="1"/>
  <c r="AN43" i="7"/>
  <c r="AN44" i="7" s="1"/>
  <c r="AN45" i="7" s="1"/>
  <c r="AN46" i="7" s="1"/>
  <c r="AQ43" i="7"/>
  <c r="AQ44" i="7" s="1"/>
  <c r="AQ45" i="7" s="1"/>
  <c r="AQ46" i="7" s="1"/>
  <c r="AS43" i="7"/>
  <c r="AS44" i="7" s="1"/>
  <c r="AS45" i="7" s="1"/>
  <c r="AS46" i="7" s="1"/>
  <c r="AV43" i="7"/>
  <c r="AV44" i="7" s="1"/>
  <c r="AV45" i="7" s="1"/>
  <c r="AV46" i="7" s="1"/>
  <c r="AY43" i="7"/>
  <c r="AY44" i="7" s="1"/>
  <c r="AY45" i="7" s="1"/>
  <c r="AY46" i="7" s="1"/>
  <c r="BI43" i="7"/>
  <c r="BI44" i="7" s="1"/>
  <c r="BI45" i="7" s="1"/>
  <c r="BI46" i="7" s="1"/>
  <c r="BJ43" i="7"/>
  <c r="BJ44" i="7" s="1"/>
  <c r="BJ45" i="7" s="1"/>
  <c r="BJ46" i="7" s="1"/>
  <c r="BL43" i="7"/>
  <c r="BL44" i="7" s="1"/>
  <c r="BL45" i="7" s="1"/>
  <c r="BL46" i="7" s="1"/>
  <c r="BO43" i="7"/>
  <c r="BO44" i="7" s="1"/>
  <c r="BO45" i="7" s="1"/>
  <c r="BO46" i="7" s="1"/>
  <c r="BQ43" i="7"/>
  <c r="BQ44" i="7" s="1"/>
  <c r="BQ45" i="7" s="1"/>
  <c r="BQ46" i="7" s="1"/>
  <c r="BR43" i="7"/>
  <c r="BR44" i="7" s="1"/>
  <c r="BR45" i="7" s="1"/>
  <c r="BR46" i="7" s="1"/>
  <c r="AG4" i="22"/>
  <c r="AH4" i="22"/>
  <c r="AI4" i="22"/>
  <c r="AJ4" i="22"/>
  <c r="AK4" i="22"/>
  <c r="AL4" i="22"/>
  <c r="AM4" i="22"/>
  <c r="AN4" i="22"/>
  <c r="AO4" i="22"/>
  <c r="AP4" i="22"/>
  <c r="AQ4" i="22"/>
  <c r="AR4" i="22"/>
  <c r="AS4" i="22"/>
  <c r="AT4" i="22"/>
  <c r="AU4" i="22"/>
  <c r="AV4" i="22"/>
  <c r="AW4" i="22"/>
  <c r="AX4" i="22"/>
  <c r="AY4" i="22"/>
  <c r="AZ4" i="22"/>
  <c r="BA4" i="22"/>
  <c r="BB4" i="22"/>
  <c r="BC4" i="22"/>
  <c r="BD4" i="22"/>
  <c r="BE4" i="22"/>
  <c r="BF4" i="22"/>
  <c r="BG4" i="22"/>
  <c r="BH4" i="22"/>
  <c r="BI4" i="22"/>
  <c r="BJ4" i="22"/>
  <c r="BK4" i="22"/>
  <c r="BL4" i="22"/>
  <c r="BM4" i="22"/>
  <c r="BN4" i="22"/>
  <c r="BO4" i="22"/>
  <c r="AG7" i="22"/>
  <c r="AG9" i="22" s="1"/>
  <c r="AH7" i="22"/>
  <c r="AH9" i="22" s="1"/>
  <c r="AI7" i="22"/>
  <c r="AI9" i="22" s="1"/>
  <c r="AJ7" i="22"/>
  <c r="AK7" i="22"/>
  <c r="AL7" i="22"/>
  <c r="AM7" i="22"/>
  <c r="AM9" i="22" s="1"/>
  <c r="AN7" i="22"/>
  <c r="AN9" i="22" s="1"/>
  <c r="AO7" i="22"/>
  <c r="AP7" i="22"/>
  <c r="AP9" i="22" s="1"/>
  <c r="AQ7" i="22"/>
  <c r="AQ9" i="22" s="1"/>
  <c r="AR7" i="22"/>
  <c r="AR9" i="22" s="1"/>
  <c r="AS7" i="22"/>
  <c r="AS9" i="22" s="1"/>
  <c r="AT7" i="22"/>
  <c r="AT9" i="22" s="1"/>
  <c r="AT12" i="22" s="1"/>
  <c r="AU7" i="22"/>
  <c r="AU9" i="22" s="1"/>
  <c r="AU22" i="22" s="1"/>
  <c r="AV7" i="22"/>
  <c r="AV9" i="22" s="1"/>
  <c r="AW7" i="22"/>
  <c r="AX7" i="22"/>
  <c r="AX9" i="22" s="1"/>
  <c r="AX77" i="22" s="1"/>
  <c r="AX78" i="22" s="1"/>
  <c r="AY7" i="22"/>
  <c r="AY9" i="22" s="1"/>
  <c r="AZ7" i="22"/>
  <c r="AZ9" i="22" s="1"/>
  <c r="BA7" i="22"/>
  <c r="BA9" i="22" s="1"/>
  <c r="BB7" i="22"/>
  <c r="BB9" i="22" s="1"/>
  <c r="BC7" i="22"/>
  <c r="BC9" i="22" s="1"/>
  <c r="BC22" i="22" s="1"/>
  <c r="BD7" i="22"/>
  <c r="BD9" i="22" s="1"/>
  <c r="BE7" i="22"/>
  <c r="BF7" i="22"/>
  <c r="BF9" i="22" s="1"/>
  <c r="BG7" i="22"/>
  <c r="BH7" i="22"/>
  <c r="BH9" i="22" s="1"/>
  <c r="BH104" i="22" s="1"/>
  <c r="BI7" i="22"/>
  <c r="BI9" i="22" s="1"/>
  <c r="BJ7" i="22"/>
  <c r="BK7" i="22"/>
  <c r="BK9" i="22" s="1"/>
  <c r="BK22" i="22" s="1"/>
  <c r="BL7" i="22"/>
  <c r="BL9" i="22" s="1"/>
  <c r="BM7" i="22"/>
  <c r="BN7" i="22"/>
  <c r="BN9" i="22" s="1"/>
  <c r="BO7" i="22"/>
  <c r="BO9" i="22" s="1"/>
  <c r="AJ9" i="22"/>
  <c r="AK9" i="22"/>
  <c r="AK12" i="22" s="1"/>
  <c r="AL9" i="22"/>
  <c r="AL22" i="22" s="1"/>
  <c r="AO9" i="22"/>
  <c r="AO12" i="22" s="1"/>
  <c r="AO81" i="22" s="1"/>
  <c r="AO82" i="22" s="1"/>
  <c r="AW9" i="22"/>
  <c r="BE9" i="22"/>
  <c r="BE22" i="22" s="1"/>
  <c r="BG9" i="22"/>
  <c r="BG75" i="22" s="1"/>
  <c r="BJ9" i="22"/>
  <c r="BJ22" i="22" s="1"/>
  <c r="BJ24" i="22" s="1"/>
  <c r="BM9" i="22"/>
  <c r="BM114" i="22" s="1"/>
  <c r="AG46" i="22"/>
  <c r="AH46" i="22"/>
  <c r="AI46" i="22"/>
  <c r="AJ46" i="22"/>
  <c r="AK46" i="22"/>
  <c r="AL46" i="22"/>
  <c r="AM46" i="22"/>
  <c r="AN46" i="22"/>
  <c r="AO46" i="22"/>
  <c r="AP46" i="22"/>
  <c r="AQ46" i="22"/>
  <c r="AR46" i="22"/>
  <c r="AS46" i="22"/>
  <c r="AT46" i="22"/>
  <c r="AU46" i="22"/>
  <c r="AV46" i="22"/>
  <c r="AW46" i="22"/>
  <c r="AX46" i="22"/>
  <c r="AY46" i="22"/>
  <c r="AZ46" i="22"/>
  <c r="BA46" i="22"/>
  <c r="BB46" i="22"/>
  <c r="BC46" i="22"/>
  <c r="BD46" i="22"/>
  <c r="BE46" i="22"/>
  <c r="BF46" i="22"/>
  <c r="BG46" i="22"/>
  <c r="BH46" i="22"/>
  <c r="BI46" i="22"/>
  <c r="BJ46" i="22"/>
  <c r="BK46" i="22"/>
  <c r="BL46" i="22"/>
  <c r="BM46" i="22"/>
  <c r="BN46" i="22"/>
  <c r="BO46" i="22"/>
  <c r="AG47" i="22"/>
  <c r="AH47" i="22"/>
  <c r="AI47" i="22"/>
  <c r="AJ47" i="22"/>
  <c r="AK47" i="22"/>
  <c r="AL47" i="22"/>
  <c r="AM47" i="22"/>
  <c r="AN47" i="22"/>
  <c r="AO47" i="22"/>
  <c r="AP47" i="22"/>
  <c r="AQ47" i="22"/>
  <c r="AR47" i="22"/>
  <c r="AS47" i="22"/>
  <c r="AT47" i="22"/>
  <c r="AU47" i="22"/>
  <c r="AV47" i="22"/>
  <c r="AW47" i="22"/>
  <c r="AX47" i="22"/>
  <c r="AY47" i="22"/>
  <c r="AZ47" i="22"/>
  <c r="BA47" i="22"/>
  <c r="BB47" i="22"/>
  <c r="BC47" i="22"/>
  <c r="BD47" i="22"/>
  <c r="BE47" i="22"/>
  <c r="BF47" i="22"/>
  <c r="BG47" i="22"/>
  <c r="BH47" i="22"/>
  <c r="BI47" i="22"/>
  <c r="BJ47" i="22"/>
  <c r="BK47" i="22"/>
  <c r="BL47" i="22"/>
  <c r="BM47" i="22"/>
  <c r="BN47" i="22"/>
  <c r="BO47" i="22"/>
  <c r="AG69" i="22"/>
  <c r="AG70" i="22" s="1"/>
  <c r="AH69" i="22"/>
  <c r="AH70" i="22" s="1"/>
  <c r="AI69" i="22"/>
  <c r="AI70" i="22" s="1"/>
  <c r="AJ69" i="22"/>
  <c r="AJ70" i="22" s="1"/>
  <c r="AK69" i="22"/>
  <c r="AK70" i="22" s="1"/>
  <c r="AL69" i="22"/>
  <c r="AL70" i="22" s="1"/>
  <c r="AM69" i="22"/>
  <c r="AM70" i="22" s="1"/>
  <c r="AN69" i="22"/>
  <c r="AN70" i="22" s="1"/>
  <c r="AO69" i="22"/>
  <c r="AO70" i="22" s="1"/>
  <c r="AP69" i="22"/>
  <c r="AP70" i="22" s="1"/>
  <c r="AQ69" i="22"/>
  <c r="AQ70" i="22" s="1"/>
  <c r="AR69" i="22"/>
  <c r="AR70" i="22" s="1"/>
  <c r="AS69" i="22"/>
  <c r="AS70" i="22" s="1"/>
  <c r="AT69" i="22"/>
  <c r="AT70" i="22" s="1"/>
  <c r="AU69" i="22"/>
  <c r="AU70" i="22" s="1"/>
  <c r="AV69" i="22"/>
  <c r="AV70" i="22" s="1"/>
  <c r="AW69" i="22"/>
  <c r="AW70" i="22" s="1"/>
  <c r="AX69" i="22"/>
  <c r="AX70" i="22" s="1"/>
  <c r="AY69" i="22"/>
  <c r="AZ69" i="22"/>
  <c r="AZ70" i="22" s="1"/>
  <c r="BA69" i="22"/>
  <c r="BA70" i="22" s="1"/>
  <c r="BB69" i="22"/>
  <c r="BB70" i="22" s="1"/>
  <c r="BC69" i="22"/>
  <c r="BC70" i="22" s="1"/>
  <c r="BD69" i="22"/>
  <c r="BD70" i="22" s="1"/>
  <c r="BE69" i="22"/>
  <c r="BE70" i="22" s="1"/>
  <c r="BF69" i="22"/>
  <c r="BF70" i="22" s="1"/>
  <c r="BG69" i="22"/>
  <c r="BG70" i="22" s="1"/>
  <c r="BH69" i="22"/>
  <c r="BH70" i="22" s="1"/>
  <c r="BI69" i="22"/>
  <c r="BI70" i="22" s="1"/>
  <c r="BJ69" i="22"/>
  <c r="BJ70" i="22" s="1"/>
  <c r="BK69" i="22"/>
  <c r="BK70" i="22" s="1"/>
  <c r="BL69" i="22"/>
  <c r="BL70" i="22" s="1"/>
  <c r="BM69" i="22"/>
  <c r="BM70" i="22" s="1"/>
  <c r="BN69" i="22"/>
  <c r="BN70" i="22" s="1"/>
  <c r="BO69" i="22"/>
  <c r="BO70" i="22" s="1"/>
  <c r="AY70" i="22"/>
  <c r="AG72" i="22"/>
  <c r="AG73" i="22" s="1"/>
  <c r="AH72" i="22"/>
  <c r="AH73" i="22" s="1"/>
  <c r="AI72" i="22"/>
  <c r="AI73" i="22" s="1"/>
  <c r="AJ72" i="22"/>
  <c r="AK72" i="22"/>
  <c r="AK73" i="22" s="1"/>
  <c r="AL72" i="22"/>
  <c r="AL73" i="22" s="1"/>
  <c r="AM72" i="22"/>
  <c r="AM73" i="22" s="1"/>
  <c r="AN72" i="22"/>
  <c r="AN73" i="22" s="1"/>
  <c r="AO72" i="22"/>
  <c r="AO73" i="22" s="1"/>
  <c r="AP72" i="22"/>
  <c r="AP73" i="22" s="1"/>
  <c r="AQ72" i="22"/>
  <c r="AQ73" i="22" s="1"/>
  <c r="AR72" i="22"/>
  <c r="AR73" i="22" s="1"/>
  <c r="AS72" i="22"/>
  <c r="AS73" i="22" s="1"/>
  <c r="AT72" i="22"/>
  <c r="AT73" i="22" s="1"/>
  <c r="AU72" i="22"/>
  <c r="AU73" i="22" s="1"/>
  <c r="AV72" i="22"/>
  <c r="AV73" i="22" s="1"/>
  <c r="AW72" i="22"/>
  <c r="AW73" i="22" s="1"/>
  <c r="AX72" i="22"/>
  <c r="AX73" i="22" s="1"/>
  <c r="AY72" i="22"/>
  <c r="AY73" i="22" s="1"/>
  <c r="AZ72" i="22"/>
  <c r="AZ73" i="22" s="1"/>
  <c r="BA72" i="22"/>
  <c r="BB72" i="22"/>
  <c r="BB73" i="22" s="1"/>
  <c r="BC72" i="22"/>
  <c r="BC73" i="22" s="1"/>
  <c r="BD72" i="22"/>
  <c r="BD73" i="22" s="1"/>
  <c r="BE72" i="22"/>
  <c r="BE73" i="22" s="1"/>
  <c r="BF72" i="22"/>
  <c r="BF73" i="22" s="1"/>
  <c r="BG72" i="22"/>
  <c r="BG73" i="22" s="1"/>
  <c r="BH72" i="22"/>
  <c r="BH73" i="22" s="1"/>
  <c r="BI72" i="22"/>
  <c r="BI73" i="22" s="1"/>
  <c r="BJ72" i="22"/>
  <c r="BJ73" i="22" s="1"/>
  <c r="BK72" i="22"/>
  <c r="BK73" i="22" s="1"/>
  <c r="BL72" i="22"/>
  <c r="BL73" i="22" s="1"/>
  <c r="BM72" i="22"/>
  <c r="BM73" i="22" s="1"/>
  <c r="BN72" i="22"/>
  <c r="BN73" i="22" s="1"/>
  <c r="BO72" i="22"/>
  <c r="BO73" i="22" s="1"/>
  <c r="AJ73" i="22"/>
  <c r="BA73" i="22"/>
  <c r="AJ75" i="22"/>
  <c r="AK75" i="22"/>
  <c r="AL75" i="22"/>
  <c r="AW75" i="22"/>
  <c r="BE75" i="22"/>
  <c r="AL77" i="22"/>
  <c r="AL78" i="22" s="1"/>
  <c r="AG94" i="22"/>
  <c r="AH94" i="22"/>
  <c r="AI94" i="22"/>
  <c r="AJ94" i="22"/>
  <c r="AK94" i="22"/>
  <c r="AL94" i="22"/>
  <c r="AM94" i="22"/>
  <c r="AN94" i="22"/>
  <c r="AO94" i="22"/>
  <c r="AP94" i="22"/>
  <c r="AQ94" i="22"/>
  <c r="AR94" i="22"/>
  <c r="AS94" i="22"/>
  <c r="AT94" i="22"/>
  <c r="AU94" i="22"/>
  <c r="AV94" i="22"/>
  <c r="AW94" i="22"/>
  <c r="AX94" i="22"/>
  <c r="AY94" i="22"/>
  <c r="AZ94" i="22"/>
  <c r="BA94" i="22"/>
  <c r="BB94" i="22"/>
  <c r="BC94" i="22"/>
  <c r="BD94" i="22"/>
  <c r="BE94" i="22"/>
  <c r="BF94" i="22"/>
  <c r="BG94" i="22"/>
  <c r="BH94" i="22"/>
  <c r="BI94" i="22"/>
  <c r="BJ94" i="22"/>
  <c r="BK94" i="22"/>
  <c r="BL94" i="22"/>
  <c r="BM94" i="22"/>
  <c r="BN94" i="22"/>
  <c r="BO94" i="22"/>
  <c r="AK104" i="22"/>
  <c r="AG113" i="22"/>
  <c r="AH113" i="22"/>
  <c r="AI113" i="22"/>
  <c r="AJ113" i="22"/>
  <c r="AK113" i="22"/>
  <c r="AL113" i="22"/>
  <c r="AM113" i="22"/>
  <c r="AN113" i="22"/>
  <c r="AO113" i="22"/>
  <c r="AP113" i="22"/>
  <c r="AQ113" i="22"/>
  <c r="AR113" i="22"/>
  <c r="AS113" i="22"/>
  <c r="AT113" i="22"/>
  <c r="AU113" i="22"/>
  <c r="AV113" i="22"/>
  <c r="AW113" i="22"/>
  <c r="AX113" i="22"/>
  <c r="AY113" i="22"/>
  <c r="AZ113" i="22"/>
  <c r="BA113" i="22"/>
  <c r="BB113" i="22"/>
  <c r="BC113" i="22"/>
  <c r="BD113" i="22"/>
  <c r="BE113" i="22"/>
  <c r="BF113" i="22"/>
  <c r="BG113" i="22"/>
  <c r="BH113" i="22"/>
  <c r="BI113" i="22"/>
  <c r="BJ113" i="22"/>
  <c r="BK113" i="22"/>
  <c r="BL113" i="22"/>
  <c r="BM113" i="22"/>
  <c r="BN113" i="22"/>
  <c r="BO113" i="22"/>
  <c r="AK114" i="22"/>
  <c r="AE4" i="22"/>
  <c r="AF113" i="22"/>
  <c r="AF94" i="22"/>
  <c r="AF72" i="22"/>
  <c r="AF73" i="22" s="1"/>
  <c r="AF69" i="22"/>
  <c r="AF70" i="22" s="1"/>
  <c r="AF47" i="22"/>
  <c r="AF46" i="22"/>
  <c r="AF7" i="22"/>
  <c r="AF9" i="22" s="1"/>
  <c r="AF4" i="22"/>
  <c r="I5" i="30" l="1"/>
  <c r="AS22" i="22"/>
  <c r="AS104" i="22"/>
  <c r="AS114" i="22"/>
  <c r="AS115" i="22" s="1"/>
  <c r="AS131" i="22" s="1"/>
  <c r="AS77" i="22"/>
  <c r="AS78" i="22" s="1"/>
  <c r="AS75" i="22"/>
  <c r="BF25" i="22"/>
  <c r="BF104" i="22"/>
  <c r="AT14" i="22"/>
  <c r="AT15" i="22" s="1"/>
  <c r="AT81" i="22"/>
  <c r="AT82" i="22" s="1"/>
  <c r="BH75" i="22"/>
  <c r="AK14" i="22"/>
  <c r="AK15" i="22" s="1"/>
  <c r="AK81" i="22"/>
  <c r="AK82" i="22" s="1"/>
  <c r="AR22" i="22"/>
  <c r="BM115" i="22"/>
  <c r="BM131" i="22" s="1"/>
  <c r="BM75" i="22"/>
  <c r="BD114" i="22"/>
  <c r="BD115" i="22" s="1"/>
  <c r="BD131" i="22" s="1"/>
  <c r="BJ75" i="22"/>
  <c r="BJ104" i="22"/>
  <c r="BJ114" i="22"/>
  <c r="BJ77" i="22"/>
  <c r="BJ78" i="22" s="1"/>
  <c r="BC77" i="22"/>
  <c r="BC78" i="22" s="1"/>
  <c r="AM75" i="22"/>
  <c r="AS12" i="22"/>
  <c r="BI12" i="22"/>
  <c r="BI25" i="22"/>
  <c r="BI75" i="22"/>
  <c r="BI114" i="22"/>
  <c r="BI115" i="22" s="1"/>
  <c r="BI131" i="22" s="1"/>
  <c r="BI77" i="22"/>
  <c r="BI78" i="22" s="1"/>
  <c r="BI104" i="22"/>
  <c r="BB12" i="22"/>
  <c r="BB75" i="22"/>
  <c r="BB104" i="22"/>
  <c r="BB114" i="22"/>
  <c r="BB77" i="22"/>
  <c r="BB78" i="22" s="1"/>
  <c r="BB25" i="22"/>
  <c r="BK114" i="22"/>
  <c r="BK115" i="22" s="1"/>
  <c r="BK131" i="22" s="1"/>
  <c r="AM114" i="22"/>
  <c r="AM115" i="22" s="1"/>
  <c r="AM131" i="22" s="1"/>
  <c r="AM104" i="22"/>
  <c r="BK75" i="22"/>
  <c r="AU77" i="22"/>
  <c r="AU78" i="22" s="1"/>
  <c r="BJ12" i="22"/>
  <c r="BC114" i="22"/>
  <c r="BC115" i="22" s="1"/>
  <c r="BC131" i="22" s="1"/>
  <c r="BC104" i="22"/>
  <c r="BC75" i="22"/>
  <c r="AM77" i="22"/>
  <c r="AM78" i="22" s="1"/>
  <c r="BJ25" i="22"/>
  <c r="AU114" i="22"/>
  <c r="AU115" i="22" s="1"/>
  <c r="AU131" i="22" s="1"/>
  <c r="AU104" i="22"/>
  <c r="BK77" i="22"/>
  <c r="BK78" i="22" s="1"/>
  <c r="BK104" i="22"/>
  <c r="AU75" i="22"/>
  <c r="BE25" i="22"/>
  <c r="BL25" i="22"/>
  <c r="BL114" i="22"/>
  <c r="BL115" i="22" s="1"/>
  <c r="BL131" i="22" s="1"/>
  <c r="BL104" i="22"/>
  <c r="BL75" i="22"/>
  <c r="BL77" i="22"/>
  <c r="BL78" i="22" s="1"/>
  <c r="BL12" i="22"/>
  <c r="BL81" i="22" s="1"/>
  <c r="BL82" i="22" s="1"/>
  <c r="AN75" i="22"/>
  <c r="AZ22" i="22"/>
  <c r="AZ75" i="22"/>
  <c r="AZ25" i="22"/>
  <c r="AZ114" i="22"/>
  <c r="AZ115" i="22" s="1"/>
  <c r="AZ131" i="22" s="1"/>
  <c r="AZ104" i="22"/>
  <c r="AZ77" i="22"/>
  <c r="AZ78" i="22" s="1"/>
  <c r="AJ104" i="22"/>
  <c r="AT75" i="22"/>
  <c r="BH25" i="22"/>
  <c r="AJ114" i="22"/>
  <c r="AJ115" i="22" s="1"/>
  <c r="AJ131" i="22" s="1"/>
  <c r="BI22" i="22"/>
  <c r="BI24" i="22" s="1"/>
  <c r="BH114" i="22"/>
  <c r="BH115" i="22" s="1"/>
  <c r="BH131" i="22" s="1"/>
  <c r="AT104" i="22"/>
  <c r="BH77" i="22"/>
  <c r="BH78" i="22" s="1"/>
  <c r="AJ77" i="22"/>
  <c r="AJ78" i="22" s="1"/>
  <c r="AT114" i="22"/>
  <c r="AT115" i="22" s="1"/>
  <c r="AT131" i="22" s="1"/>
  <c r="AK22" i="22"/>
  <c r="AI12" i="22"/>
  <c r="AI81" i="22" s="1"/>
  <c r="AI82" i="22" s="1"/>
  <c r="AI87" i="22"/>
  <c r="AI104" i="22"/>
  <c r="AI77" i="22"/>
  <c r="AI78" i="22" s="1"/>
  <c r="AI22" i="22"/>
  <c r="AI75" i="22"/>
  <c r="AI114" i="22"/>
  <c r="AI115" i="22" s="1"/>
  <c r="AI131" i="22" s="1"/>
  <c r="BN104" i="22"/>
  <c r="BN25" i="22"/>
  <c r="BN22" i="22"/>
  <c r="BN24" i="22" s="1"/>
  <c r="AP12" i="22"/>
  <c r="AP81" i="22" s="1"/>
  <c r="AP82" i="22" s="1"/>
  <c r="AP22" i="22"/>
  <c r="AP77" i="22"/>
  <c r="AP78" i="22" s="1"/>
  <c r="AP104" i="22"/>
  <c r="AH104" i="22"/>
  <c r="AH22" i="22"/>
  <c r="AH75" i="22"/>
  <c r="AH114" i="22"/>
  <c r="AH115" i="22" s="1"/>
  <c r="AH131" i="22" s="1"/>
  <c r="AH12" i="22"/>
  <c r="AH81" i="22" s="1"/>
  <c r="AH82" i="22" s="1"/>
  <c r="AH77" i="22"/>
  <c r="AH78" i="22" s="1"/>
  <c r="AG22" i="22"/>
  <c r="AG104" i="22"/>
  <c r="AY75" i="22"/>
  <c r="AY77" i="22"/>
  <c r="AY78" i="22" s="1"/>
  <c r="AY25" i="22"/>
  <c r="AY104" i="22"/>
  <c r="AY22" i="22"/>
  <c r="AY24" i="22" s="1"/>
  <c r="AY12" i="22"/>
  <c r="AY81" i="22" s="1"/>
  <c r="AY82" i="22" s="1"/>
  <c r="AV114" i="22"/>
  <c r="AV115" i="22" s="1"/>
  <c r="AV131" i="22" s="1"/>
  <c r="AV22" i="22"/>
  <c r="AQ104" i="22"/>
  <c r="AQ114" i="22"/>
  <c r="AQ115" i="22" s="1"/>
  <c r="AQ131" i="22" s="1"/>
  <c r="AQ12" i="22"/>
  <c r="AQ81" i="22" s="1"/>
  <c r="AQ82" i="22" s="1"/>
  <c r="AQ22" i="22"/>
  <c r="AQ75" i="22"/>
  <c r="AQ77" i="22"/>
  <c r="AQ78" i="22" s="1"/>
  <c r="BO104" i="22"/>
  <c r="BO25" i="22"/>
  <c r="BO77" i="22"/>
  <c r="BO78" i="22" s="1"/>
  <c r="BO22" i="22"/>
  <c r="BO24" i="22" s="1"/>
  <c r="BA77" i="22"/>
  <c r="BA78" i="22" s="1"/>
  <c r="BA87" i="22"/>
  <c r="BA114" i="22"/>
  <c r="BA115" i="22" s="1"/>
  <c r="BA131" i="22" s="1"/>
  <c r="BA12" i="22"/>
  <c r="BA81" i="22" s="1"/>
  <c r="BA82" i="22" s="1"/>
  <c r="BA75" i="22"/>
  <c r="BA22" i="22"/>
  <c r="BA24" i="22" s="1"/>
  <c r="BA25" i="22"/>
  <c r="BA104" i="22"/>
  <c r="BG114" i="22"/>
  <c r="BG115" i="22" s="1"/>
  <c r="BG131" i="22" s="1"/>
  <c r="BG77" i="22"/>
  <c r="BG78" i="22" s="1"/>
  <c r="BH22" i="22"/>
  <c r="BH24" i="22" s="1"/>
  <c r="AJ22" i="22"/>
  <c r="AO104" i="22"/>
  <c r="AX12" i="22"/>
  <c r="AX81" i="22" s="1"/>
  <c r="AX82" i="22" s="1"/>
  <c r="BG22" i="22"/>
  <c r="BG24" i="22" s="1"/>
  <c r="AO75" i="22"/>
  <c r="BF22" i="22"/>
  <c r="BF24" i="22" s="1"/>
  <c r="AX22" i="22"/>
  <c r="AX24" i="22" s="1"/>
  <c r="AX26" i="22" s="1"/>
  <c r="BG25" i="22"/>
  <c r="BM22" i="22"/>
  <c r="BM24" i="22" s="1"/>
  <c r="AW22" i="22"/>
  <c r="AO22" i="22"/>
  <c r="AO77" i="22"/>
  <c r="AO78" i="22" s="1"/>
  <c r="AO114" i="22"/>
  <c r="AO115" i="22" s="1"/>
  <c r="AO131" i="22" s="1"/>
  <c r="BG104" i="22"/>
  <c r="AX75" i="22"/>
  <c r="BL22" i="22"/>
  <c r="BL24" i="22" s="1"/>
  <c r="BD22" i="22"/>
  <c r="BD24" i="22" s="1"/>
  <c r="AN22" i="22"/>
  <c r="AF22" i="22"/>
  <c r="BB115" i="22"/>
  <c r="BB131" i="22" s="1"/>
  <c r="BJ115" i="22"/>
  <c r="BJ131" i="22" s="1"/>
  <c r="BG12" i="22"/>
  <c r="BG81" i="22" s="1"/>
  <c r="BG82" i="22" s="1"/>
  <c r="AM22" i="22"/>
  <c r="AX104" i="22"/>
  <c r="BG87" i="22"/>
  <c r="AX114" i="22"/>
  <c r="AX115" i="22" s="1"/>
  <c r="AX131" i="22" s="1"/>
  <c r="AK115" i="22"/>
  <c r="AK131" i="22" s="1"/>
  <c r="BM25" i="22"/>
  <c r="BD25" i="22"/>
  <c r="BD12" i="22"/>
  <c r="BD81" i="22" s="1"/>
  <c r="BD82" i="22" s="1"/>
  <c r="BB22" i="22"/>
  <c r="BB24" i="22" s="1"/>
  <c r="AT22" i="22"/>
  <c r="BO12" i="22"/>
  <c r="BO81" i="22" s="1"/>
  <c r="BO82" i="22" s="1"/>
  <c r="BO75" i="22"/>
  <c r="BO114" i="22"/>
  <c r="BO115" i="22" s="1"/>
  <c r="BO131" i="22" s="1"/>
  <c r="BF75" i="22"/>
  <c r="BF12" i="22"/>
  <c r="BF81" i="22" s="1"/>
  <c r="BF82" i="22" s="1"/>
  <c r="BF114" i="22"/>
  <c r="BF115" i="22" s="1"/>
  <c r="BF131" i="22" s="1"/>
  <c r="BF77" i="22"/>
  <c r="BF78" i="22" s="1"/>
  <c r="AW114" i="22"/>
  <c r="AW115" i="22" s="1"/>
  <c r="AW131" i="22" s="1"/>
  <c r="AW77" i="22"/>
  <c r="AW78" i="22" s="1"/>
  <c r="AW12" i="22"/>
  <c r="AW81" i="22" s="1"/>
  <c r="AW82" i="22" s="1"/>
  <c r="AW104" i="22"/>
  <c r="AN114" i="22"/>
  <c r="AN115" i="22" s="1"/>
  <c r="AN131" i="22" s="1"/>
  <c r="AN77" i="22"/>
  <c r="AN78" i="22" s="1"/>
  <c r="AN12" i="22"/>
  <c r="AN81" i="22" s="1"/>
  <c r="AN82" i="22" s="1"/>
  <c r="AN104" i="22"/>
  <c r="BL14" i="22"/>
  <c r="BN75" i="22"/>
  <c r="BN114" i="22"/>
  <c r="BN115" i="22" s="1"/>
  <c r="BN131" i="22" s="1"/>
  <c r="BN77" i="22"/>
  <c r="BN78" i="22" s="1"/>
  <c r="BN12" i="22"/>
  <c r="BN81" i="22" s="1"/>
  <c r="BN82" i="22" s="1"/>
  <c r="BE12" i="22"/>
  <c r="BE81" i="22" s="1"/>
  <c r="BE82" i="22" s="1"/>
  <c r="BE114" i="22"/>
  <c r="BE115" i="22" s="1"/>
  <c r="BE131" i="22" s="1"/>
  <c r="BE24" i="22"/>
  <c r="BE77" i="22"/>
  <c r="BE78" i="22" s="1"/>
  <c r="BE104" i="22"/>
  <c r="AV77" i="22"/>
  <c r="AV78" i="22" s="1"/>
  <c r="AV12" i="22"/>
  <c r="AV81" i="22" s="1"/>
  <c r="AV82" i="22" s="1"/>
  <c r="AV104" i="22"/>
  <c r="AV75" i="22"/>
  <c r="AL104" i="22"/>
  <c r="AL12" i="22"/>
  <c r="AL81" i="22" s="1"/>
  <c r="AL82" i="22" s="1"/>
  <c r="AL114" i="22"/>
  <c r="AL115" i="22" s="1"/>
  <c r="AL131" i="22" s="1"/>
  <c r="AT77" i="22"/>
  <c r="AT78" i="22" s="1"/>
  <c r="AK77" i="22"/>
  <c r="AK78" i="22" s="1"/>
  <c r="BD75" i="22"/>
  <c r="BM12" i="22"/>
  <c r="BM81" i="22" s="1"/>
  <c r="BM82" i="22" s="1"/>
  <c r="AG12" i="22"/>
  <c r="AG81" i="22" s="1"/>
  <c r="AG82" i="22" s="1"/>
  <c r="AY114" i="22"/>
  <c r="AY115" i="22" s="1"/>
  <c r="AY131" i="22" s="1"/>
  <c r="AP114" i="22"/>
  <c r="AP115" i="22" s="1"/>
  <c r="AP131" i="22" s="1"/>
  <c r="BM104" i="22"/>
  <c r="AY87" i="22"/>
  <c r="AG77" i="22"/>
  <c r="AG78" i="22" s="1"/>
  <c r="AG114" i="22"/>
  <c r="AG115" i="22" s="1"/>
  <c r="AG131" i="22" s="1"/>
  <c r="BD104" i="22"/>
  <c r="AK87" i="22"/>
  <c r="BM77" i="22"/>
  <c r="BM78" i="22" s="1"/>
  <c r="AP75" i="22"/>
  <c r="BD77" i="22"/>
  <c r="BD78" i="22" s="1"/>
  <c r="AG75" i="22"/>
  <c r="AR12" i="22"/>
  <c r="AR81" i="22" s="1"/>
  <c r="AR82" i="22" s="1"/>
  <c r="AR75" i="22"/>
  <c r="AR114" i="22"/>
  <c r="AR115" i="22" s="1"/>
  <c r="AR131" i="22" s="1"/>
  <c r="AR104" i="22"/>
  <c r="AR77" i="22"/>
  <c r="AR78" i="22" s="1"/>
  <c r="AO14" i="22"/>
  <c r="AV87" i="22"/>
  <c r="BD87" i="22"/>
  <c r="AJ12" i="22"/>
  <c r="AJ81" i="22" s="1"/>
  <c r="AJ82" i="22" s="1"/>
  <c r="BK25" i="22"/>
  <c r="BK24" i="22"/>
  <c r="BK12" i="22"/>
  <c r="BK81" i="22" s="1"/>
  <c r="BK82" i="22" s="1"/>
  <c r="BC25" i="22"/>
  <c r="BC24" i="22"/>
  <c r="BC12" i="22"/>
  <c r="BC81" i="22" s="1"/>
  <c r="BC82" i="22" s="1"/>
  <c r="AU12" i="22"/>
  <c r="AU81" i="22" s="1"/>
  <c r="AU82" i="22" s="1"/>
  <c r="AM12" i="22"/>
  <c r="AM81" i="22" s="1"/>
  <c r="AM82" i="22" s="1"/>
  <c r="AZ24" i="22"/>
  <c r="AZ12" i="22"/>
  <c r="AZ81" i="22" s="1"/>
  <c r="AZ82" i="22" s="1"/>
  <c r="BH12" i="22"/>
  <c r="BH81" i="22" s="1"/>
  <c r="BH82" i="22" s="1"/>
  <c r="AF104" i="22"/>
  <c r="AF77" i="22"/>
  <c r="AF78" i="22" s="1"/>
  <c r="AF114" i="22"/>
  <c r="AF115" i="22" s="1"/>
  <c r="AF131" i="22" s="1"/>
  <c r="AF75" i="22"/>
  <c r="AF12" i="22"/>
  <c r="AF81" i="22" s="1"/>
  <c r="AF82" i="22" s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D82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D80" i="1"/>
  <c r="AK19" i="22" l="1"/>
  <c r="AK33" i="22" s="1"/>
  <c r="AK57" i="22" s="1"/>
  <c r="AW24" i="22"/>
  <c r="AW26" i="22" s="1"/>
  <c r="AW106" i="22" s="1"/>
  <c r="AW108" i="22" s="1"/>
  <c r="AT19" i="22"/>
  <c r="AT33" i="22" s="1"/>
  <c r="AT57" i="22" s="1"/>
  <c r="AK89" i="22"/>
  <c r="AK90" i="22" s="1"/>
  <c r="BH26" i="22"/>
  <c r="BH106" i="22" s="1"/>
  <c r="BH108" i="22" s="1"/>
  <c r="BN26" i="22"/>
  <c r="BN106" i="22" s="1"/>
  <c r="BN108" i="22" s="1"/>
  <c r="AZ26" i="22"/>
  <c r="AZ106" i="22" s="1"/>
  <c r="AZ108" i="22" s="1"/>
  <c r="AK17" i="22"/>
  <c r="BB26" i="22"/>
  <c r="BB106" i="22" s="1"/>
  <c r="BB109" i="22" s="1"/>
  <c r="BF26" i="22"/>
  <c r="BF106" i="22" s="1"/>
  <c r="BF109" i="22" s="1"/>
  <c r="BI26" i="22"/>
  <c r="BI106" i="22" s="1"/>
  <c r="BI109" i="22" s="1"/>
  <c r="J5" i="30"/>
  <c r="BJ14" i="22"/>
  <c r="BJ81" i="22"/>
  <c r="BJ82" i="22" s="1"/>
  <c r="BI14" i="22"/>
  <c r="BI81" i="22"/>
  <c r="BI82" i="22" s="1"/>
  <c r="AS14" i="22"/>
  <c r="AS19" i="22" s="1"/>
  <c r="AS85" i="22" s="1"/>
  <c r="AS81" i="22"/>
  <c r="AS82" i="22" s="1"/>
  <c r="BB14" i="22"/>
  <c r="BB19" i="22" s="1"/>
  <c r="BB81" i="22"/>
  <c r="BB82" i="22" s="1"/>
  <c r="BL26" i="22"/>
  <c r="BL106" i="22" s="1"/>
  <c r="BL109" i="22" s="1"/>
  <c r="AK52" i="22"/>
  <c r="BE26" i="22"/>
  <c r="BE106" i="22" s="1"/>
  <c r="BE108" i="22" s="1"/>
  <c r="AK32" i="22"/>
  <c r="AK56" i="22" s="1"/>
  <c r="BC26" i="22"/>
  <c r="BC106" i="22" s="1"/>
  <c r="BC109" i="22" s="1"/>
  <c r="BJ26" i="22"/>
  <c r="BJ106" i="22" s="1"/>
  <c r="BJ109" i="22" s="1"/>
  <c r="AK31" i="22"/>
  <c r="AK55" i="22" s="1"/>
  <c r="AX106" i="22"/>
  <c r="AX108" i="22" s="1"/>
  <c r="BA26" i="22"/>
  <c r="BA106" i="22" s="1"/>
  <c r="BA108" i="22" s="1"/>
  <c r="BO26" i="22"/>
  <c r="BO106" i="22" s="1"/>
  <c r="BO109" i="22" s="1"/>
  <c r="BM26" i="22"/>
  <c r="BM106" i="22" s="1"/>
  <c r="BM108" i="22" s="1"/>
  <c r="BG26" i="22"/>
  <c r="BG106" i="22" s="1"/>
  <c r="BG108" i="22" s="1"/>
  <c r="BD89" i="22"/>
  <c r="BD14" i="22"/>
  <c r="AY26" i="22"/>
  <c r="AY106" i="22" s="1"/>
  <c r="AY109" i="22" s="1"/>
  <c r="BD26" i="22"/>
  <c r="BD106" i="22" s="1"/>
  <c r="BD108" i="22" s="1"/>
  <c r="BG14" i="22"/>
  <c r="BG89" i="22"/>
  <c r="BA89" i="22"/>
  <c r="BA14" i="22"/>
  <c r="AH14" i="22"/>
  <c r="BK26" i="22"/>
  <c r="BK106" i="22" s="1"/>
  <c r="BK109" i="22" s="1"/>
  <c r="AQ14" i="22"/>
  <c r="AP14" i="22"/>
  <c r="AP19" i="22" s="1"/>
  <c r="AX14" i="22"/>
  <c r="AY14" i="22"/>
  <c r="AY89" i="22"/>
  <c r="AI89" i="22"/>
  <c r="AI14" i="22"/>
  <c r="AV14" i="22"/>
  <c r="AV89" i="22"/>
  <c r="AK84" i="22"/>
  <c r="AK85" i="22"/>
  <c r="AK86" i="22"/>
  <c r="AN14" i="22"/>
  <c r="BO14" i="22"/>
  <c r="BM14" i="22"/>
  <c r="BL15" i="22"/>
  <c r="BL19" i="22"/>
  <c r="BF14" i="22"/>
  <c r="BN14" i="22"/>
  <c r="AL14" i="22"/>
  <c r="AW14" i="22"/>
  <c r="AG14" i="22"/>
  <c r="BE14" i="22"/>
  <c r="AM14" i="22"/>
  <c r="BK14" i="22"/>
  <c r="AT86" i="22"/>
  <c r="AT84" i="22"/>
  <c r="AT87" i="22" s="1"/>
  <c r="AT89" i="22" s="1"/>
  <c r="AT32" i="22"/>
  <c r="AT56" i="22" s="1"/>
  <c r="AT85" i="22"/>
  <c r="BH14" i="22"/>
  <c r="AJ14" i="22"/>
  <c r="AZ14" i="22"/>
  <c r="AU14" i="22"/>
  <c r="BI87" i="22"/>
  <c r="BI89" i="22" s="1"/>
  <c r="AR14" i="22"/>
  <c r="AO19" i="22"/>
  <c r="AO15" i="22"/>
  <c r="BC14" i="22"/>
  <c r="AF14" i="22"/>
  <c r="D7" i="1"/>
  <c r="F24" i="18"/>
  <c r="G24" i="18"/>
  <c r="G69" i="1"/>
  <c r="H69" i="1"/>
  <c r="B9" i="30"/>
  <c r="B7" i="30"/>
  <c r="B10" i="30"/>
  <c r="B11" i="30" s="1"/>
  <c r="BB15" i="22" l="1"/>
  <c r="AT17" i="22"/>
  <c r="AT31" i="22"/>
  <c r="AT55" i="22" s="1"/>
  <c r="BH109" i="22"/>
  <c r="AW109" i="22"/>
  <c r="BK108" i="22"/>
  <c r="BM109" i="22"/>
  <c r="BB108" i="22"/>
  <c r="AJ13" i="30"/>
  <c r="AP13" i="30"/>
  <c r="AT13" i="30"/>
  <c r="AK13" i="30"/>
  <c r="AL13" i="30"/>
  <c r="AM13" i="30"/>
  <c r="AU13" i="30"/>
  <c r="AV13" i="30"/>
  <c r="AN13" i="30"/>
  <c r="AW13" i="30"/>
  <c r="AO13" i="30"/>
  <c r="AS13" i="30"/>
  <c r="AQ13" i="30"/>
  <c r="AR13" i="30"/>
  <c r="BO108" i="22"/>
  <c r="BA109" i="22"/>
  <c r="BN109" i="22"/>
  <c r="AX109" i="22"/>
  <c r="BC108" i="22"/>
  <c r="BD109" i="22"/>
  <c r="AY108" i="22"/>
  <c r="AZ109" i="22"/>
  <c r="BL108" i="22"/>
  <c r="BG109" i="22"/>
  <c r="BJ108" i="22"/>
  <c r="BI108" i="22"/>
  <c r="BF108" i="22"/>
  <c r="BE109" i="22"/>
  <c r="BB32" i="22"/>
  <c r="BB56" i="22" s="1"/>
  <c r="BB84" i="22"/>
  <c r="BB17" i="22"/>
  <c r="BB85" i="22"/>
  <c r="BB31" i="22"/>
  <c r="BB55" i="22" s="1"/>
  <c r="BB33" i="22"/>
  <c r="BB57" i="22" s="1"/>
  <c r="BB86" i="22"/>
  <c r="AK34" i="22"/>
  <c r="AK93" i="22" s="1"/>
  <c r="AK146" i="22" s="1"/>
  <c r="AS17" i="22"/>
  <c r="AS32" i="22"/>
  <c r="AS56" i="22" s="1"/>
  <c r="K5" i="30"/>
  <c r="J10" i="30"/>
  <c r="J12" i="30" s="1"/>
  <c r="AS33" i="22"/>
  <c r="AS57" i="22" s="1"/>
  <c r="AS86" i="22"/>
  <c r="AS84" i="22"/>
  <c r="AS87" i="22" s="1"/>
  <c r="AS89" i="22" s="1"/>
  <c r="AS90" i="22" s="1"/>
  <c r="AS31" i="22"/>
  <c r="AS55" i="22" s="1"/>
  <c r="BI19" i="22"/>
  <c r="BI15" i="22"/>
  <c r="AS15" i="22"/>
  <c r="BJ19" i="22"/>
  <c r="BJ15" i="22"/>
  <c r="AT52" i="22"/>
  <c r="AP15" i="22"/>
  <c r="AX19" i="22"/>
  <c r="AX15" i="22"/>
  <c r="AH15" i="22"/>
  <c r="AH19" i="22"/>
  <c r="AQ19" i="22"/>
  <c r="AQ15" i="22"/>
  <c r="BA19" i="22"/>
  <c r="BA15" i="22"/>
  <c r="AY15" i="22"/>
  <c r="AY19" i="22"/>
  <c r="AY90" i="22" s="1"/>
  <c r="BD19" i="22"/>
  <c r="BD15" i="22"/>
  <c r="AI15" i="22"/>
  <c r="AI19" i="22"/>
  <c r="BG19" i="22"/>
  <c r="BG15" i="22"/>
  <c r="BO15" i="22"/>
  <c r="BO19" i="22"/>
  <c r="AN19" i="22"/>
  <c r="AN15" i="22"/>
  <c r="BE15" i="22"/>
  <c r="BE19" i="22"/>
  <c r="AW19" i="22"/>
  <c r="AW15" i="22"/>
  <c r="AG19" i="22"/>
  <c r="AG15" i="22"/>
  <c r="AP17" i="22"/>
  <c r="AP31" i="22"/>
  <c r="AP55" i="22" s="1"/>
  <c r="AP84" i="22"/>
  <c r="AP87" i="22" s="1"/>
  <c r="AP89" i="22" s="1"/>
  <c r="AP90" i="22" s="1"/>
  <c r="AP85" i="22"/>
  <c r="AP86" i="22"/>
  <c r="AP33" i="22"/>
  <c r="AP57" i="22" s="1"/>
  <c r="AP32" i="22"/>
  <c r="AP56" i="22" s="1"/>
  <c r="AV15" i="22"/>
  <c r="AV19" i="22"/>
  <c r="BF19" i="22"/>
  <c r="BF15" i="22"/>
  <c r="BM15" i="22"/>
  <c r="BM19" i="22"/>
  <c r="BN15" i="22"/>
  <c r="BN19" i="22"/>
  <c r="AL19" i="22"/>
  <c r="AL15" i="22"/>
  <c r="BL31" i="22"/>
  <c r="BL17" i="22"/>
  <c r="BL33" i="22"/>
  <c r="BL57" i="22" s="1"/>
  <c r="BL86" i="22"/>
  <c r="BL32" i="22"/>
  <c r="BL56" i="22" s="1"/>
  <c r="BL85" i="22"/>
  <c r="BL84" i="22"/>
  <c r="BL87" i="22" s="1"/>
  <c r="BL89" i="22" s="1"/>
  <c r="BL90" i="22" s="1"/>
  <c r="AM19" i="22"/>
  <c r="AM15" i="22"/>
  <c r="AG87" i="22"/>
  <c r="AG89" i="22" s="1"/>
  <c r="AT34" i="22"/>
  <c r="AT93" i="22" s="1"/>
  <c r="AT146" i="22" s="1"/>
  <c r="BE87" i="22"/>
  <c r="BE89" i="22" s="1"/>
  <c r="BC19" i="22"/>
  <c r="BC15" i="22"/>
  <c r="AU19" i="22"/>
  <c r="AU15" i="22"/>
  <c r="AK60" i="22"/>
  <c r="AJ15" i="22"/>
  <c r="AJ19" i="22"/>
  <c r="AO17" i="22"/>
  <c r="AO32" i="22"/>
  <c r="AO56" i="22" s="1"/>
  <c r="AO33" i="22"/>
  <c r="AO57" i="22" s="1"/>
  <c r="AO85" i="22"/>
  <c r="AO31" i="22"/>
  <c r="AO55" i="22" s="1"/>
  <c r="AO84" i="22"/>
  <c r="AO86" i="22"/>
  <c r="AT90" i="22"/>
  <c r="BK19" i="22"/>
  <c r="BK15" i="22"/>
  <c r="AR15" i="22"/>
  <c r="AR19" i="22"/>
  <c r="BB87" i="22"/>
  <c r="BB89" i="22" s="1"/>
  <c r="AZ15" i="22"/>
  <c r="AZ19" i="22"/>
  <c r="BH15" i="22"/>
  <c r="BH19" i="22"/>
  <c r="BJ87" i="22"/>
  <c r="BJ89" i="22" s="1"/>
  <c r="AF19" i="22"/>
  <c r="AF15" i="22"/>
  <c r="G31" i="30"/>
  <c r="H31" i="30" s="1"/>
  <c r="G29" i="30"/>
  <c r="H29" i="30" s="1"/>
  <c r="AK58" i="22" l="1"/>
  <c r="BB34" i="22"/>
  <c r="BB93" i="22" s="1"/>
  <c r="BB146" i="22" s="1"/>
  <c r="AS52" i="22"/>
  <c r="BB52" i="22"/>
  <c r="BL55" i="22"/>
  <c r="AT58" i="22"/>
  <c r="BB58" i="22"/>
  <c r="AS58" i="22"/>
  <c r="L5" i="30"/>
  <c r="L1" i="30" s="1"/>
  <c r="BI32" i="22"/>
  <c r="BI56" i="22" s="1"/>
  <c r="BI31" i="22"/>
  <c r="BI55" i="22" s="1"/>
  <c r="BI85" i="22"/>
  <c r="BI17" i="22"/>
  <c r="BI33" i="22"/>
  <c r="BI57" i="22" s="1"/>
  <c r="BI86" i="22"/>
  <c r="BI84" i="22"/>
  <c r="AS60" i="22"/>
  <c r="AS34" i="22"/>
  <c r="AS93" i="22" s="1"/>
  <c r="AS146" i="22" s="1"/>
  <c r="BI90" i="22"/>
  <c r="BJ84" i="22"/>
  <c r="BJ85" i="22"/>
  <c r="BJ32" i="22"/>
  <c r="BJ56" i="22" s="1"/>
  <c r="BJ33" i="22"/>
  <c r="BJ57" i="22" s="1"/>
  <c r="BJ17" i="22"/>
  <c r="BJ31" i="22"/>
  <c r="BJ55" i="22" s="1"/>
  <c r="BJ86" i="22"/>
  <c r="AP52" i="22"/>
  <c r="AO52" i="22"/>
  <c r="BL52" i="22"/>
  <c r="AQ84" i="22"/>
  <c r="AQ17" i="22"/>
  <c r="AQ32" i="22"/>
  <c r="AQ56" i="22" s="1"/>
  <c r="AQ31" i="22"/>
  <c r="AQ55" i="22" s="1"/>
  <c r="AQ33" i="22"/>
  <c r="AQ57" i="22" s="1"/>
  <c r="AQ85" i="22"/>
  <c r="AQ86" i="22"/>
  <c r="AQ87" i="22" s="1"/>
  <c r="AQ89" i="22" s="1"/>
  <c r="AQ90" i="22" s="1"/>
  <c r="AY33" i="22"/>
  <c r="AY57" i="22" s="1"/>
  <c r="AY32" i="22"/>
  <c r="AY56" i="22" s="1"/>
  <c r="AY31" i="22"/>
  <c r="AY55" i="22" s="1"/>
  <c r="AY17" i="22"/>
  <c r="AY84" i="22"/>
  <c r="AY85" i="22"/>
  <c r="AY86" i="22"/>
  <c r="AH32" i="22"/>
  <c r="AH56" i="22" s="1"/>
  <c r="AH33" i="22"/>
  <c r="AH57" i="22" s="1"/>
  <c r="AH85" i="22"/>
  <c r="AH31" i="22"/>
  <c r="AH55" i="22" s="1"/>
  <c r="AH17" i="22"/>
  <c r="AH84" i="22"/>
  <c r="AH87" i="22" s="1"/>
  <c r="AH89" i="22" s="1"/>
  <c r="AH90" i="22" s="1"/>
  <c r="AH86" i="22"/>
  <c r="BG84" i="22"/>
  <c r="BG85" i="22"/>
  <c r="BG33" i="22"/>
  <c r="BG57" i="22" s="1"/>
  <c r="BG86" i="22"/>
  <c r="BG17" i="22"/>
  <c r="BG31" i="22"/>
  <c r="BG55" i="22" s="1"/>
  <c r="BG32" i="22"/>
  <c r="BG56" i="22" s="1"/>
  <c r="BG90" i="22"/>
  <c r="AI31" i="22"/>
  <c r="AI55" i="22" s="1"/>
  <c r="AI32" i="22"/>
  <c r="AI56" i="22" s="1"/>
  <c r="AI17" i="22"/>
  <c r="AI33" i="22"/>
  <c r="AI57" i="22" s="1"/>
  <c r="AI84" i="22"/>
  <c r="AI85" i="22"/>
  <c r="AI86" i="22"/>
  <c r="BA17" i="22"/>
  <c r="BA31" i="22"/>
  <c r="BA55" i="22" s="1"/>
  <c r="BA32" i="22"/>
  <c r="BA56" i="22" s="1"/>
  <c r="BA33" i="22"/>
  <c r="BA57" i="22" s="1"/>
  <c r="BA84" i="22"/>
  <c r="BA85" i="22"/>
  <c r="BA86" i="22"/>
  <c r="BA90" i="22"/>
  <c r="AX84" i="22"/>
  <c r="AX87" i="22" s="1"/>
  <c r="AX89" i="22" s="1"/>
  <c r="AX90" i="22" s="1"/>
  <c r="AX85" i="22"/>
  <c r="AX31" i="22"/>
  <c r="AX55" i="22" s="1"/>
  <c r="AX86" i="22"/>
  <c r="AX17" i="22"/>
  <c r="AX33" i="22"/>
  <c r="AX57" i="22" s="1"/>
  <c r="AX32" i="22"/>
  <c r="AX56" i="22" s="1"/>
  <c r="BD32" i="22"/>
  <c r="BD56" i="22" s="1"/>
  <c r="BD31" i="22"/>
  <c r="BD33" i="22"/>
  <c r="BD57" i="22" s="1"/>
  <c r="BD17" i="22"/>
  <c r="BD84" i="22"/>
  <c r="BD85" i="22"/>
  <c r="BD86" i="22"/>
  <c r="BD90" i="22"/>
  <c r="AI90" i="22"/>
  <c r="BN17" i="22"/>
  <c r="BN32" i="22"/>
  <c r="BN56" i="22" s="1"/>
  <c r="BN31" i="22"/>
  <c r="BN55" i="22" s="1"/>
  <c r="BN33" i="22"/>
  <c r="BN57" i="22" s="1"/>
  <c r="BN84" i="22"/>
  <c r="BN87" i="22" s="1"/>
  <c r="BN89" i="22" s="1"/>
  <c r="BN90" i="22" s="1"/>
  <c r="BN85" i="22"/>
  <c r="BN86" i="22"/>
  <c r="AN31" i="22"/>
  <c r="AN17" i="22"/>
  <c r="AN32" i="22"/>
  <c r="AN56" i="22" s="1"/>
  <c r="AN84" i="22"/>
  <c r="AN87" i="22" s="1"/>
  <c r="AN89" i="22" s="1"/>
  <c r="AN90" i="22" s="1"/>
  <c r="AN85" i="22"/>
  <c r="AN86" i="22"/>
  <c r="AN33" i="22"/>
  <c r="AN57" i="22" s="1"/>
  <c r="AP34" i="22"/>
  <c r="AP93" i="22" s="1"/>
  <c r="AP146" i="22" s="1"/>
  <c r="AP60" i="22"/>
  <c r="BO17" i="22"/>
  <c r="BO31" i="22"/>
  <c r="BO55" i="22" s="1"/>
  <c r="BO32" i="22"/>
  <c r="BO56" i="22" s="1"/>
  <c r="BO33" i="22"/>
  <c r="BO57" i="22" s="1"/>
  <c r="BO84" i="22"/>
  <c r="BO85" i="22"/>
  <c r="BO86" i="22"/>
  <c r="BO87" i="22" s="1"/>
  <c r="BO89" i="22" s="1"/>
  <c r="BO90" i="22" s="1"/>
  <c r="BL34" i="22"/>
  <c r="BL58" i="22" s="1"/>
  <c r="BB60" i="22"/>
  <c r="AL85" i="22"/>
  <c r="AL33" i="22"/>
  <c r="AL57" i="22" s="1"/>
  <c r="AL31" i="22"/>
  <c r="AL55" i="22" s="1"/>
  <c r="AL86" i="22"/>
  <c r="AL17" i="22"/>
  <c r="AL32" i="22"/>
  <c r="AL56" i="22" s="1"/>
  <c r="AL84" i="22"/>
  <c r="AL87" i="22" s="1"/>
  <c r="AL89" i="22" s="1"/>
  <c r="AL90" i="22" s="1"/>
  <c r="BF17" i="22"/>
  <c r="BF33" i="22"/>
  <c r="BF57" i="22" s="1"/>
  <c r="BF32" i="22"/>
  <c r="BF56" i="22" s="1"/>
  <c r="BF31" i="22"/>
  <c r="BF55" i="22" s="1"/>
  <c r="BF84" i="22"/>
  <c r="BF87" i="22" s="1"/>
  <c r="BF89" i="22" s="1"/>
  <c r="BF90" i="22" s="1"/>
  <c r="BF85" i="22"/>
  <c r="BF86" i="22"/>
  <c r="BE32" i="22"/>
  <c r="BE56" i="22" s="1"/>
  <c r="BE33" i="22"/>
  <c r="BE57" i="22" s="1"/>
  <c r="BE85" i="22"/>
  <c r="BE31" i="22"/>
  <c r="BE55" i="22" s="1"/>
  <c r="BE86" i="22"/>
  <c r="BE17" i="22"/>
  <c r="BE84" i="22"/>
  <c r="BM17" i="22"/>
  <c r="BM86" i="22"/>
  <c r="BM33" i="22"/>
  <c r="BM57" i="22" s="1"/>
  <c r="BM85" i="22"/>
  <c r="BM31" i="22"/>
  <c r="BM55" i="22" s="1"/>
  <c r="BM84" i="22"/>
  <c r="BM87" i="22" s="1"/>
  <c r="BM89" i="22" s="1"/>
  <c r="BM90" i="22" s="1"/>
  <c r="BM32" i="22"/>
  <c r="BM56" i="22" s="1"/>
  <c r="AW17" i="22"/>
  <c r="AW31" i="22"/>
  <c r="AW55" i="22" s="1"/>
  <c r="AW86" i="22"/>
  <c r="AW33" i="22"/>
  <c r="AW57" i="22" s="1"/>
  <c r="AW85" i="22"/>
  <c r="AW84" i="22"/>
  <c r="AW87" i="22" s="1"/>
  <c r="AW89" i="22" s="1"/>
  <c r="AW90" i="22" s="1"/>
  <c r="AW32" i="22"/>
  <c r="AW56" i="22" s="1"/>
  <c r="AG17" i="22"/>
  <c r="AG32" i="22"/>
  <c r="AG56" i="22" s="1"/>
  <c r="AG33" i="22"/>
  <c r="AG57" i="22" s="1"/>
  <c r="AG85" i="22"/>
  <c r="AG84" i="22"/>
  <c r="AG31" i="22"/>
  <c r="AG55" i="22" s="1"/>
  <c r="AG86" i="22"/>
  <c r="AV32" i="22"/>
  <c r="AV56" i="22" s="1"/>
  <c r="AV17" i="22"/>
  <c r="AV31" i="22"/>
  <c r="AV84" i="22"/>
  <c r="AV85" i="22"/>
  <c r="AV86" i="22"/>
  <c r="AV33" i="22"/>
  <c r="AV57" i="22" s="1"/>
  <c r="AV90" i="22"/>
  <c r="AT60" i="22"/>
  <c r="BJ90" i="22"/>
  <c r="BC32" i="22"/>
  <c r="BC56" i="22" s="1"/>
  <c r="BC33" i="22"/>
  <c r="BC57" i="22" s="1"/>
  <c r="BC31" i="22"/>
  <c r="BC17" i="22"/>
  <c r="BC86" i="22"/>
  <c r="BC84" i="22"/>
  <c r="BC85" i="22"/>
  <c r="AO87" i="22"/>
  <c r="AO89" i="22" s="1"/>
  <c r="BB90" i="22"/>
  <c r="BH33" i="22"/>
  <c r="BH57" i="22" s="1"/>
  <c r="BH31" i="22"/>
  <c r="BH17" i="22"/>
  <c r="BH32" i="22"/>
  <c r="BH56" i="22" s="1"/>
  <c r="BH84" i="22"/>
  <c r="BH86" i="22"/>
  <c r="BH85" i="22"/>
  <c r="BE90" i="22"/>
  <c r="AG90" i="22"/>
  <c r="AR33" i="22"/>
  <c r="AR57" i="22" s="1"/>
  <c r="AR31" i="22"/>
  <c r="AR17" i="22"/>
  <c r="AR32" i="22"/>
  <c r="AR56" i="22" s="1"/>
  <c r="AR84" i="22"/>
  <c r="AR85" i="22"/>
  <c r="AR86" i="22"/>
  <c r="AU32" i="22"/>
  <c r="AU56" i="22" s="1"/>
  <c r="AU33" i="22"/>
  <c r="AU57" i="22" s="1"/>
  <c r="AU31" i="22"/>
  <c r="AU17" i="22"/>
  <c r="AU86" i="22"/>
  <c r="AU84" i="22"/>
  <c r="AU85" i="22"/>
  <c r="AZ33" i="22"/>
  <c r="AZ57" i="22" s="1"/>
  <c r="AZ31" i="22"/>
  <c r="AZ17" i="22"/>
  <c r="AZ32" i="22"/>
  <c r="AZ56" i="22" s="1"/>
  <c r="AZ84" i="22"/>
  <c r="AZ85" i="22"/>
  <c r="AZ86" i="22"/>
  <c r="AO34" i="22"/>
  <c r="AO93" i="22" s="1"/>
  <c r="AO146" i="22" s="1"/>
  <c r="BK32" i="22"/>
  <c r="BK56" i="22" s="1"/>
  <c r="BK33" i="22"/>
  <c r="BK57" i="22" s="1"/>
  <c r="BK31" i="22"/>
  <c r="BK17" i="22"/>
  <c r="BK86" i="22"/>
  <c r="BK85" i="22"/>
  <c r="BK84" i="22"/>
  <c r="BK87" i="22" s="1"/>
  <c r="BK89" i="22" s="1"/>
  <c r="AJ33" i="22"/>
  <c r="AJ57" i="22" s="1"/>
  <c r="AJ31" i="22"/>
  <c r="AJ17" i="22"/>
  <c r="AJ32" i="22"/>
  <c r="AJ56" i="22" s="1"/>
  <c r="AJ84" i="22"/>
  <c r="AJ86" i="22"/>
  <c r="AJ85" i="22"/>
  <c r="AM32" i="22"/>
  <c r="AM56" i="22" s="1"/>
  <c r="AM33" i="22"/>
  <c r="AM57" i="22" s="1"/>
  <c r="AM31" i="22"/>
  <c r="AM17" i="22"/>
  <c r="AM86" i="22"/>
  <c r="AM85" i="22"/>
  <c r="AM84" i="22"/>
  <c r="AF33" i="22"/>
  <c r="AF57" i="22" s="1"/>
  <c r="AF17" i="22"/>
  <c r="AF85" i="22"/>
  <c r="AF86" i="22"/>
  <c r="AF32" i="22"/>
  <c r="AF56" i="22" s="1"/>
  <c r="AF84" i="22"/>
  <c r="AF31" i="22"/>
  <c r="E11" i="30"/>
  <c r="E2" i="30"/>
  <c r="AC13" i="30"/>
  <c r="AI7" i="30"/>
  <c r="AH7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J1" i="30"/>
  <c r="I1" i="30"/>
  <c r="H1" i="30"/>
  <c r="G1" i="30"/>
  <c r="F1" i="30"/>
  <c r="B2" i="30"/>
  <c r="K1" i="30"/>
  <c r="AJ11" i="30" l="1"/>
  <c r="AP11" i="30"/>
  <c r="AT11" i="30"/>
  <c r="AW11" i="30"/>
  <c r="AK11" i="30"/>
  <c r="AU11" i="30"/>
  <c r="AL11" i="30"/>
  <c r="AM11" i="30"/>
  <c r="AN11" i="30"/>
  <c r="AO11" i="30"/>
  <c r="AQ11" i="30"/>
  <c r="AS11" i="30"/>
  <c r="AV11" i="30"/>
  <c r="AR11" i="30"/>
  <c r="D23" i="22"/>
  <c r="D23" i="1"/>
  <c r="D25" i="1" s="1"/>
  <c r="AV55" i="22"/>
  <c r="AO58" i="22"/>
  <c r="AU55" i="22"/>
  <c r="AR55" i="22"/>
  <c r="AN55" i="22"/>
  <c r="AF55" i="22"/>
  <c r="BK55" i="22"/>
  <c r="BH55" i="22"/>
  <c r="BC55" i="22"/>
  <c r="AP58" i="22"/>
  <c r="AZ55" i="22"/>
  <c r="AM55" i="22"/>
  <c r="AJ55" i="22"/>
  <c r="BD55" i="22"/>
  <c r="F2" i="30"/>
  <c r="G2" i="30"/>
  <c r="H2" i="30"/>
  <c r="I2" i="30"/>
  <c r="M5" i="30"/>
  <c r="BI52" i="22"/>
  <c r="BJ34" i="22"/>
  <c r="BJ93" i="22" s="1"/>
  <c r="BJ146" i="22" s="1"/>
  <c r="BI60" i="22"/>
  <c r="BI34" i="22"/>
  <c r="BI93" i="22" s="1"/>
  <c r="BI146" i="22" s="1"/>
  <c r="BJ52" i="22"/>
  <c r="AM52" i="22"/>
  <c r="BK52" i="22"/>
  <c r="AJ52" i="22"/>
  <c r="AW52" i="22"/>
  <c r="BD52" i="22"/>
  <c r="BA52" i="22"/>
  <c r="AI52" i="22"/>
  <c r="AQ52" i="22"/>
  <c r="AZ52" i="22"/>
  <c r="AN52" i="22"/>
  <c r="BG52" i="22"/>
  <c r="AQ60" i="22"/>
  <c r="AF52" i="22"/>
  <c r="BH52" i="22"/>
  <c r="AG52" i="22"/>
  <c r="BM52" i="22"/>
  <c r="AH52" i="22"/>
  <c r="BC52" i="22"/>
  <c r="BE52" i="22"/>
  <c r="BF52" i="22"/>
  <c r="AL52" i="22"/>
  <c r="BO52" i="22"/>
  <c r="AX52" i="22"/>
  <c r="AY52" i="22"/>
  <c r="AU52" i="22"/>
  <c r="AR52" i="22"/>
  <c r="AV52" i="22"/>
  <c r="BN52" i="22"/>
  <c r="BL60" i="22"/>
  <c r="BG34" i="22"/>
  <c r="BG93" i="22" s="1"/>
  <c r="BG146" i="22" s="1"/>
  <c r="BG60" i="22"/>
  <c r="AX34" i="22"/>
  <c r="AX93" i="22" s="1"/>
  <c r="AX146" i="22" s="1"/>
  <c r="AH34" i="22"/>
  <c r="AH93" i="22" s="1"/>
  <c r="AH146" i="22" s="1"/>
  <c r="BD34" i="22"/>
  <c r="BD93" i="22" s="1"/>
  <c r="BD146" i="22" s="1"/>
  <c r="AQ34" i="22"/>
  <c r="AQ93" i="22" s="1"/>
  <c r="AQ146" i="22" s="1"/>
  <c r="BA34" i="22"/>
  <c r="BA93" i="22" s="1"/>
  <c r="BA146" i="22" s="1"/>
  <c r="AY34" i="22"/>
  <c r="AY93" i="22" s="1"/>
  <c r="AY146" i="22" s="1"/>
  <c r="AI34" i="22"/>
  <c r="AI93" i="22" s="1"/>
  <c r="AI146" i="22" s="1"/>
  <c r="AW60" i="22"/>
  <c r="AW34" i="22"/>
  <c r="AW93" i="22" s="1"/>
  <c r="AW146" i="22" s="1"/>
  <c r="AL34" i="22"/>
  <c r="AL93" i="22" s="1"/>
  <c r="AL146" i="22" s="1"/>
  <c r="AG34" i="22"/>
  <c r="AG93" i="22" s="1"/>
  <c r="AG146" i="22" s="1"/>
  <c r="BO34" i="22"/>
  <c r="BO93" i="22" s="1"/>
  <c r="BO146" i="22" s="1"/>
  <c r="AV34" i="22"/>
  <c r="AV93" i="22" s="1"/>
  <c r="AV146" i="22" s="1"/>
  <c r="BN34" i="22"/>
  <c r="BN93" i="22" s="1"/>
  <c r="BN146" i="22" s="1"/>
  <c r="BM34" i="22"/>
  <c r="BM93" i="22" s="1"/>
  <c r="BM146" i="22" s="1"/>
  <c r="BL93" i="22"/>
  <c r="BL146" i="22" s="1"/>
  <c r="AV60" i="22"/>
  <c r="BE34" i="22"/>
  <c r="BE93" i="22" s="1"/>
  <c r="BE146" i="22" s="1"/>
  <c r="BF34" i="22"/>
  <c r="BF93" i="22" s="1"/>
  <c r="BF146" i="22" s="1"/>
  <c r="AN34" i="22"/>
  <c r="AO60" i="22"/>
  <c r="BK90" i="22"/>
  <c r="AM87" i="22"/>
  <c r="AM89" i="22" s="1"/>
  <c r="AR34" i="22"/>
  <c r="AR93" i="22" s="1"/>
  <c r="AR146" i="22" s="1"/>
  <c r="BC87" i="22"/>
  <c r="BC89" i="22" s="1"/>
  <c r="AZ87" i="22"/>
  <c r="AZ89" i="22" s="1"/>
  <c r="AJ34" i="22"/>
  <c r="AJ93" i="22" s="1"/>
  <c r="AJ146" i="22" s="1"/>
  <c r="AZ34" i="22"/>
  <c r="AZ93" i="22" s="1"/>
  <c r="AZ146" i="22" s="1"/>
  <c r="BH87" i="22"/>
  <c r="BH89" i="22" s="1"/>
  <c r="AU34" i="22"/>
  <c r="AU93" i="22" s="1"/>
  <c r="AU146" i="22" s="1"/>
  <c r="AO90" i="22"/>
  <c r="AJ87" i="22"/>
  <c r="AJ89" i="22" s="1"/>
  <c r="AU87" i="22"/>
  <c r="AU89" i="22" s="1"/>
  <c r="BK34" i="22"/>
  <c r="BK93" i="22" s="1"/>
  <c r="BK146" i="22" s="1"/>
  <c r="BC34" i="22"/>
  <c r="BC93" i="22" s="1"/>
  <c r="BC146" i="22" s="1"/>
  <c r="AM34" i="22"/>
  <c r="AM93" i="22" s="1"/>
  <c r="AM146" i="22" s="1"/>
  <c r="AR87" i="22"/>
  <c r="AR89" i="22" s="1"/>
  <c r="BH34" i="22"/>
  <c r="BH93" i="22" s="1"/>
  <c r="BH146" i="22" s="1"/>
  <c r="AF87" i="22"/>
  <c r="AF89" i="22" s="1"/>
  <c r="AF90" i="22" s="1"/>
  <c r="AF34" i="22"/>
  <c r="AF93" i="22" s="1"/>
  <c r="AF146" i="22" s="1"/>
  <c r="AI11" i="30"/>
  <c r="M11" i="30"/>
  <c r="S11" i="30"/>
  <c r="K11" i="30"/>
  <c r="U11" i="30"/>
  <c r="AA11" i="30"/>
  <c r="AC11" i="30"/>
  <c r="J11" i="30"/>
  <c r="L11" i="30"/>
  <c r="T11" i="30"/>
  <c r="AB11" i="30"/>
  <c r="F11" i="30"/>
  <c r="N11" i="30"/>
  <c r="V11" i="30"/>
  <c r="AD11" i="30"/>
  <c r="G11" i="30"/>
  <c r="O11" i="30"/>
  <c r="W11" i="30"/>
  <c r="AE11" i="30"/>
  <c r="H11" i="30"/>
  <c r="P11" i="30"/>
  <c r="X11" i="30"/>
  <c r="AF11" i="30"/>
  <c r="I11" i="30"/>
  <c r="Q11" i="30"/>
  <c r="Y11" i="30"/>
  <c r="AG11" i="30"/>
  <c r="R11" i="30"/>
  <c r="Z11" i="30"/>
  <c r="AH11" i="30"/>
  <c r="G10" i="30"/>
  <c r="G12" i="30" s="1"/>
  <c r="G14" i="30" s="1"/>
  <c r="E13" i="30"/>
  <c r="M13" i="30"/>
  <c r="U13" i="30"/>
  <c r="H10" i="30"/>
  <c r="F13" i="30"/>
  <c r="N13" i="30"/>
  <c r="V13" i="30"/>
  <c r="AD13" i="30"/>
  <c r="I10" i="30"/>
  <c r="G13" i="30"/>
  <c r="O13" i="30"/>
  <c r="W13" i="30"/>
  <c r="AE13" i="30"/>
  <c r="H13" i="30"/>
  <c r="P13" i="30"/>
  <c r="X13" i="30"/>
  <c r="AF13" i="30"/>
  <c r="K10" i="30"/>
  <c r="I13" i="30"/>
  <c r="Q13" i="30"/>
  <c r="Y13" i="30"/>
  <c r="AG13" i="30"/>
  <c r="L10" i="30"/>
  <c r="J13" i="30"/>
  <c r="R13" i="30"/>
  <c r="Z13" i="30"/>
  <c r="AH13" i="30"/>
  <c r="E10" i="30"/>
  <c r="K13" i="30"/>
  <c r="S13" i="30"/>
  <c r="AA13" i="30"/>
  <c r="AI13" i="30"/>
  <c r="F10" i="30"/>
  <c r="L13" i="30"/>
  <c r="T13" i="30"/>
  <c r="AB13" i="30"/>
  <c r="AY58" i="22" l="1"/>
  <c r="BH58" i="22"/>
  <c r="AM58" i="22"/>
  <c r="BK58" i="22"/>
  <c r="AF58" i="22"/>
  <c r="BD58" i="22"/>
  <c r="AG58" i="22"/>
  <c r="AN58" i="22"/>
  <c r="AJ58" i="22"/>
  <c r="AR58" i="22"/>
  <c r="AU58" i="22"/>
  <c r="BA58" i="22"/>
  <c r="AL58" i="22"/>
  <c r="BE58" i="22"/>
  <c r="AZ58" i="22"/>
  <c r="H23" i="22"/>
  <c r="H23" i="1"/>
  <c r="G23" i="22"/>
  <c r="G23" i="1"/>
  <c r="F23" i="22"/>
  <c r="F23" i="1"/>
  <c r="E23" i="22"/>
  <c r="E23" i="1"/>
  <c r="BG58" i="22"/>
  <c r="BF58" i="22"/>
  <c r="BO58" i="22"/>
  <c r="BI58" i="22"/>
  <c r="BC58" i="22"/>
  <c r="BJ58" i="22"/>
  <c r="AQ58" i="22"/>
  <c r="BM58" i="22"/>
  <c r="AV58" i="22"/>
  <c r="AI58" i="22"/>
  <c r="AX58" i="22"/>
  <c r="BN58" i="22"/>
  <c r="AH58" i="22"/>
  <c r="AW58" i="22"/>
  <c r="N5" i="30"/>
  <c r="M1" i="30"/>
  <c r="M10" i="30"/>
  <c r="M12" i="30" s="1"/>
  <c r="M14" i="30" s="1"/>
  <c r="BJ60" i="22"/>
  <c r="BD60" i="22"/>
  <c r="BF60" i="22"/>
  <c r="BO60" i="22"/>
  <c r="BN60" i="22"/>
  <c r="AH60" i="22"/>
  <c r="BA60" i="22"/>
  <c r="AI60" i="22"/>
  <c r="AY60" i="22"/>
  <c r="AN60" i="22"/>
  <c r="AX60" i="22"/>
  <c r="BE60" i="22"/>
  <c r="AL60" i="22"/>
  <c r="AG60" i="22"/>
  <c r="BM60" i="22"/>
  <c r="BC60" i="22"/>
  <c r="AN93" i="22"/>
  <c r="AN146" i="22" s="1"/>
  <c r="AZ60" i="22"/>
  <c r="AU60" i="22"/>
  <c r="BH60" i="22"/>
  <c r="BK60" i="22"/>
  <c r="AR60" i="22"/>
  <c r="AM60" i="22"/>
  <c r="BC90" i="22"/>
  <c r="AU90" i="22"/>
  <c r="AZ90" i="22"/>
  <c r="AJ90" i="22"/>
  <c r="AJ60" i="22"/>
  <c r="BH90" i="22"/>
  <c r="AR90" i="22"/>
  <c r="AM90" i="22"/>
  <c r="AF60" i="22"/>
  <c r="AE146" i="22"/>
  <c r="J15" i="30"/>
  <c r="L15" i="30"/>
  <c r="I15" i="30"/>
  <c r="G15" i="30"/>
  <c r="K15" i="30"/>
  <c r="H15" i="30"/>
  <c r="I12" i="30"/>
  <c r="I14" i="30" s="1"/>
  <c r="F12" i="30"/>
  <c r="F14" i="30" s="1"/>
  <c r="F15" i="30"/>
  <c r="L12" i="30"/>
  <c r="L14" i="30" s="1"/>
  <c r="H12" i="30"/>
  <c r="H14" i="30" s="1"/>
  <c r="E12" i="30"/>
  <c r="E14" i="30" s="1"/>
  <c r="J14" i="30"/>
  <c r="K12" i="30"/>
  <c r="K14" i="30" s="1"/>
  <c r="E15" i="30"/>
  <c r="M15" i="30" l="1"/>
  <c r="O5" i="30"/>
  <c r="N1" i="30"/>
  <c r="N10" i="30"/>
  <c r="D69" i="1"/>
  <c r="D70" i="1" s="1"/>
  <c r="N12" i="30" l="1"/>
  <c r="N14" i="30" s="1"/>
  <c r="N15" i="30"/>
  <c r="P5" i="30"/>
  <c r="O1" i="30"/>
  <c r="O10" i="30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D52" i="1"/>
  <c r="A42" i="1"/>
  <c r="A43" i="1"/>
  <c r="A50" i="1"/>
  <c r="A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K7" i="7"/>
  <c r="L7" i="7"/>
  <c r="M7" i="7"/>
  <c r="J7" i="7"/>
  <c r="O15" i="30" l="1"/>
  <c r="O12" i="30"/>
  <c r="O14" i="30" s="1"/>
  <c r="P1" i="30"/>
  <c r="Q5" i="30"/>
  <c r="P10" i="30"/>
  <c r="E6" i="7"/>
  <c r="F6" i="7"/>
  <c r="G6" i="7"/>
  <c r="H6" i="7"/>
  <c r="I6" i="7"/>
  <c r="D6" i="7"/>
  <c r="I66" i="27"/>
  <c r="I140" i="27"/>
  <c r="P15" i="30" l="1"/>
  <c r="P12" i="30"/>
  <c r="P14" i="30" s="1"/>
  <c r="Q10" i="30"/>
  <c r="Q1" i="30"/>
  <c r="R5" i="30"/>
  <c r="E27" i="27"/>
  <c r="E29" i="27" s="1"/>
  <c r="E30" i="27" s="1"/>
  <c r="D27" i="27"/>
  <c r="D29" i="27" s="1"/>
  <c r="D30" i="27" s="1"/>
  <c r="D50" i="27"/>
  <c r="S5" i="30" l="1"/>
  <c r="R1" i="30"/>
  <c r="R10" i="30"/>
  <c r="Q15" i="30"/>
  <c r="Q12" i="30"/>
  <c r="Q14" i="30" s="1"/>
  <c r="I7" i="1"/>
  <c r="I12" i="1"/>
  <c r="I14" i="1" s="1"/>
  <c r="I69" i="1"/>
  <c r="I70" i="1" s="1"/>
  <c r="I72" i="1"/>
  <c r="I73" i="1" s="1"/>
  <c r="I75" i="1"/>
  <c r="I77" i="1"/>
  <c r="I78" i="1" s="1"/>
  <c r="I87" i="1"/>
  <c r="I94" i="1"/>
  <c r="I104" i="1"/>
  <c r="I114" i="1"/>
  <c r="F7" i="1"/>
  <c r="F9" i="1" s="1"/>
  <c r="F10" i="1"/>
  <c r="I15" i="27"/>
  <c r="I20" i="27"/>
  <c r="I157" i="27" s="1"/>
  <c r="I27" i="27"/>
  <c r="I29" i="27" s="1"/>
  <c r="I30" i="27" s="1"/>
  <c r="I42" i="27"/>
  <c r="I50" i="27"/>
  <c r="I61" i="27"/>
  <c r="I76" i="27"/>
  <c r="I78" i="27" s="1"/>
  <c r="I89" i="27"/>
  <c r="I109" i="27"/>
  <c r="I114" i="27" s="1"/>
  <c r="I133" i="27"/>
  <c r="E140" i="27"/>
  <c r="F140" i="27"/>
  <c r="G140" i="27"/>
  <c r="H140" i="27"/>
  <c r="D140" i="27"/>
  <c r="E133" i="27"/>
  <c r="F133" i="27"/>
  <c r="G133" i="27"/>
  <c r="H133" i="27"/>
  <c r="D133" i="27"/>
  <c r="T5" i="30" l="1"/>
  <c r="S1" i="30"/>
  <c r="S10" i="30"/>
  <c r="R15" i="30"/>
  <c r="R12" i="30"/>
  <c r="R14" i="30" s="1"/>
  <c r="F12" i="1"/>
  <c r="F14" i="1" s="1"/>
  <c r="H8" i="29"/>
  <c r="H7" i="29"/>
  <c r="H6" i="29"/>
  <c r="H3" i="29"/>
  <c r="H9" i="29"/>
  <c r="H10" i="29"/>
  <c r="I91" i="27"/>
  <c r="I15" i="1"/>
  <c r="I19" i="1"/>
  <c r="I81" i="1"/>
  <c r="I89" i="1" s="1"/>
  <c r="F15" i="1"/>
  <c r="F19" i="1"/>
  <c r="F17" i="1" s="1"/>
  <c r="H42" i="7"/>
  <c r="G42" i="7"/>
  <c r="G43" i="7" s="1"/>
  <c r="G44" i="7" s="1"/>
  <c r="G45" i="7" s="1"/>
  <c r="G46" i="7" s="1"/>
  <c r="F42" i="7"/>
  <c r="F43" i="7" s="1"/>
  <c r="F44" i="7" s="1"/>
  <c r="F45" i="7" s="1"/>
  <c r="F46" i="7" s="1"/>
  <c r="E42" i="7"/>
  <c r="E43" i="7" s="1"/>
  <c r="D42" i="7"/>
  <c r="D43" i="7" s="1"/>
  <c r="E145" i="24"/>
  <c r="F145" i="24" s="1"/>
  <c r="E142" i="22"/>
  <c r="S12" i="30" l="1"/>
  <c r="S14" i="30" s="1"/>
  <c r="S15" i="30"/>
  <c r="U5" i="30"/>
  <c r="T1" i="30"/>
  <c r="T10" i="30"/>
  <c r="H4" i="29"/>
  <c r="I155" i="27"/>
  <c r="I115" i="27"/>
  <c r="I116" i="27"/>
  <c r="I117" i="27" s="1"/>
  <c r="I90" i="1"/>
  <c r="I84" i="1"/>
  <c r="I85" i="1"/>
  <c r="I31" i="1"/>
  <c r="I86" i="1"/>
  <c r="H43" i="7"/>
  <c r="H44" i="7" s="1"/>
  <c r="H45" i="7" s="1"/>
  <c r="H46" i="7" s="1"/>
  <c r="G145" i="24"/>
  <c r="F142" i="22"/>
  <c r="T15" i="30" l="1"/>
  <c r="T12" i="30"/>
  <c r="T14" i="30" s="1"/>
  <c r="V5" i="30"/>
  <c r="U1" i="30"/>
  <c r="U10" i="30"/>
  <c r="I34" i="1"/>
  <c r="I50" i="1"/>
  <c r="I60" i="1"/>
  <c r="H145" i="24"/>
  <c r="G142" i="22"/>
  <c r="U15" i="30" l="1"/>
  <c r="U12" i="30"/>
  <c r="U14" i="30" s="1"/>
  <c r="W5" i="30"/>
  <c r="V1" i="30"/>
  <c r="V10" i="30"/>
  <c r="I93" i="1"/>
  <c r="I145" i="24"/>
  <c r="H142" i="22"/>
  <c r="V12" i="30" l="1"/>
  <c r="V14" i="30" s="1"/>
  <c r="V15" i="30"/>
  <c r="X5" i="30"/>
  <c r="W1" i="30"/>
  <c r="W10" i="30"/>
  <c r="J145" i="24"/>
  <c r="I142" i="22"/>
  <c r="W12" i="30" l="1"/>
  <c r="W14" i="30" s="1"/>
  <c r="W15" i="30"/>
  <c r="X10" i="30"/>
  <c r="X1" i="30"/>
  <c r="Y5" i="30"/>
  <c r="K145" i="24"/>
  <c r="J142" i="22"/>
  <c r="Z5" i="30" l="1"/>
  <c r="Y1" i="30"/>
  <c r="Y10" i="30"/>
  <c r="X12" i="30"/>
  <c r="X14" i="30" s="1"/>
  <c r="X15" i="30"/>
  <c r="L145" i="24"/>
  <c r="K142" i="22"/>
  <c r="AA5" i="30" l="1"/>
  <c r="Z10" i="30"/>
  <c r="Z1" i="30"/>
  <c r="Y15" i="30"/>
  <c r="Y12" i="30"/>
  <c r="Y14" i="30" s="1"/>
  <c r="M145" i="24"/>
  <c r="L142" i="22"/>
  <c r="AB5" i="30" l="1"/>
  <c r="AA1" i="30"/>
  <c r="AA10" i="30"/>
  <c r="Z15" i="30"/>
  <c r="Z12" i="30"/>
  <c r="Z14" i="30" s="1"/>
  <c r="N145" i="24"/>
  <c r="M142" i="22"/>
  <c r="AA12" i="30" l="1"/>
  <c r="AA14" i="30" s="1"/>
  <c r="AA15" i="30"/>
  <c r="AC5" i="30"/>
  <c r="AB1" i="30"/>
  <c r="AB10" i="30"/>
  <c r="O145" i="24"/>
  <c r="N142" i="22"/>
  <c r="AB12" i="30" l="1"/>
  <c r="AB14" i="30" s="1"/>
  <c r="AB15" i="30"/>
  <c r="AC10" i="30"/>
  <c r="AC1" i="30"/>
  <c r="AD5" i="30"/>
  <c r="P145" i="24"/>
  <c r="O142" i="22"/>
  <c r="AD10" i="30" l="1"/>
  <c r="AD1" i="30"/>
  <c r="AE5" i="30"/>
  <c r="AC12" i="30"/>
  <c r="AC14" i="30" s="1"/>
  <c r="AC15" i="30"/>
  <c r="Q145" i="24"/>
  <c r="P142" i="22"/>
  <c r="AF5" i="30" l="1"/>
  <c r="AE1" i="30"/>
  <c r="AE10" i="30"/>
  <c r="AD15" i="30"/>
  <c r="AD12" i="30"/>
  <c r="AD14" i="30" s="1"/>
  <c r="R145" i="24"/>
  <c r="Q142" i="22"/>
  <c r="AE12" i="30" l="1"/>
  <c r="AE14" i="30" s="1"/>
  <c r="AE15" i="30"/>
  <c r="AF10" i="30"/>
  <c r="AG5" i="30"/>
  <c r="AF1" i="30"/>
  <c r="S145" i="24"/>
  <c r="R142" i="22"/>
  <c r="AH5" i="30" l="1"/>
  <c r="AG1" i="30"/>
  <c r="AG10" i="30"/>
  <c r="AF12" i="30"/>
  <c r="AF14" i="30" s="1"/>
  <c r="AF15" i="30"/>
  <c r="T145" i="24"/>
  <c r="S142" i="22"/>
  <c r="AH1" i="30" l="1"/>
  <c r="AI5" i="30"/>
  <c r="AJ5" i="30" s="1"/>
  <c r="AH10" i="30"/>
  <c r="AG12" i="30"/>
  <c r="AG14" i="30" s="1"/>
  <c r="AG15" i="30"/>
  <c r="U145" i="24"/>
  <c r="T142" i="22"/>
  <c r="AJ1" i="30" l="1"/>
  <c r="AK5" i="30"/>
  <c r="AJ10" i="30"/>
  <c r="AH12" i="30"/>
  <c r="AH14" i="30" s="1"/>
  <c r="AH15" i="30"/>
  <c r="AI1" i="30"/>
  <c r="AI10" i="30"/>
  <c r="V145" i="24"/>
  <c r="U142" i="22"/>
  <c r="AJ12" i="30" l="1"/>
  <c r="AJ14" i="30" s="1"/>
  <c r="AJ15" i="30"/>
  <c r="AK1" i="30"/>
  <c r="AL5" i="30"/>
  <c r="AK10" i="30"/>
  <c r="AI12" i="30"/>
  <c r="AI14" i="30" s="1"/>
  <c r="AI15" i="30"/>
  <c r="W145" i="24"/>
  <c r="V142" i="22"/>
  <c r="AL1" i="30" l="1"/>
  <c r="AM5" i="30"/>
  <c r="AL10" i="30"/>
  <c r="AK12" i="30"/>
  <c r="AK14" i="30" s="1"/>
  <c r="AK15" i="30"/>
  <c r="X145" i="24"/>
  <c r="W142" i="22"/>
  <c r="AL12" i="30" l="1"/>
  <c r="AL14" i="30" s="1"/>
  <c r="AL15" i="30"/>
  <c r="AM1" i="30"/>
  <c r="AN5" i="30"/>
  <c r="AM10" i="30"/>
  <c r="Y145" i="24"/>
  <c r="X142" i="22"/>
  <c r="AM12" i="30" l="1"/>
  <c r="AM14" i="30" s="1"/>
  <c r="AM15" i="30"/>
  <c r="AN1" i="30"/>
  <c r="AO5" i="30"/>
  <c r="AN10" i="30"/>
  <c r="Z145" i="24"/>
  <c r="Y142" i="22"/>
  <c r="AN12" i="30" l="1"/>
  <c r="AN14" i="30" s="1"/>
  <c r="AN15" i="30"/>
  <c r="AP5" i="30"/>
  <c r="AQ5" i="30" s="1"/>
  <c r="AR5" i="30" s="1"/>
  <c r="AS5" i="30" s="1"/>
  <c r="AO1" i="30"/>
  <c r="AO10" i="30"/>
  <c r="AA145" i="24"/>
  <c r="Z142" i="22"/>
  <c r="AO12" i="30" l="1"/>
  <c r="AO14" i="30" s="1"/>
  <c r="AO15" i="30"/>
  <c r="AP1" i="30"/>
  <c r="AP10" i="30"/>
  <c r="AB145" i="24"/>
  <c r="AA142" i="22"/>
  <c r="AP12" i="30" l="1"/>
  <c r="AP14" i="30"/>
  <c r="AP15" i="30"/>
  <c r="AQ1" i="30"/>
  <c r="AQ10" i="30"/>
  <c r="AC145" i="24"/>
  <c r="AB142" i="22"/>
  <c r="AQ12" i="30" l="1"/>
  <c r="AQ14" i="30" s="1"/>
  <c r="AQ15" i="30"/>
  <c r="AR1" i="30"/>
  <c r="AR10" i="30"/>
  <c r="AD145" i="24"/>
  <c r="AC142" i="22"/>
  <c r="AE142" i="22" s="1"/>
  <c r="AG142" i="22" s="1"/>
  <c r="AR12" i="30" l="1"/>
  <c r="AR14" i="30" s="1"/>
  <c r="AR15" i="30"/>
  <c r="AS1" i="30"/>
  <c r="AT5" i="30"/>
  <c r="AU5" i="30" s="1"/>
  <c r="AV5" i="30" s="1"/>
  <c r="AW5" i="30" s="1"/>
  <c r="AS10" i="30"/>
  <c r="AI142" i="22"/>
  <c r="AD142" i="22"/>
  <c r="AF142" i="22" s="1"/>
  <c r="AS12" i="30" l="1"/>
  <c r="AS14" i="30" s="1"/>
  <c r="AS15" i="30"/>
  <c r="AT1" i="30"/>
  <c r="AT10" i="30"/>
  <c r="AH142" i="22"/>
  <c r="AK142" i="22"/>
  <c r="E142" i="1"/>
  <c r="AI42" i="7"/>
  <c r="AI43" i="7" s="1"/>
  <c r="AI44" i="7" s="1"/>
  <c r="AI45" i="7" s="1"/>
  <c r="AI46" i="7" s="1"/>
  <c r="AH42" i="7"/>
  <c r="AH43" i="7" s="1"/>
  <c r="AH44" i="7" s="1"/>
  <c r="AH45" i="7" s="1"/>
  <c r="AH46" i="7" s="1"/>
  <c r="AG42" i="7"/>
  <c r="AG43" i="7" s="1"/>
  <c r="AG44" i="7" s="1"/>
  <c r="AG45" i="7" s="1"/>
  <c r="AG46" i="7" s="1"/>
  <c r="AF42" i="7"/>
  <c r="AF43" i="7" s="1"/>
  <c r="AF44" i="7" s="1"/>
  <c r="AF45" i="7" s="1"/>
  <c r="AF46" i="7" s="1"/>
  <c r="AE42" i="7"/>
  <c r="AE43" i="7" s="1"/>
  <c r="AE44" i="7" s="1"/>
  <c r="AE45" i="7" s="1"/>
  <c r="AE46" i="7" s="1"/>
  <c r="AD42" i="7"/>
  <c r="AD43" i="7" s="1"/>
  <c r="AD44" i="7" s="1"/>
  <c r="AD45" i="7" s="1"/>
  <c r="AD46" i="7" s="1"/>
  <c r="AC42" i="7"/>
  <c r="AC43" i="7" s="1"/>
  <c r="AC44" i="7" s="1"/>
  <c r="AC45" i="7" s="1"/>
  <c r="AC46" i="7" s="1"/>
  <c r="AB42" i="7"/>
  <c r="AB43" i="7" s="1"/>
  <c r="AB44" i="7" s="1"/>
  <c r="AB45" i="7" s="1"/>
  <c r="AB46" i="7" s="1"/>
  <c r="AA42" i="7"/>
  <c r="AA43" i="7" s="1"/>
  <c r="AA44" i="7" s="1"/>
  <c r="AA45" i="7" s="1"/>
  <c r="AA46" i="7" s="1"/>
  <c r="Z42" i="7"/>
  <c r="Z43" i="7" s="1"/>
  <c r="Z44" i="7" s="1"/>
  <c r="Z45" i="7" s="1"/>
  <c r="Z46" i="7" s="1"/>
  <c r="Y42" i="7"/>
  <c r="Y43" i="7" s="1"/>
  <c r="Y44" i="7" s="1"/>
  <c r="Y45" i="7" s="1"/>
  <c r="Y46" i="7" s="1"/>
  <c r="X42" i="7"/>
  <c r="X43" i="7" s="1"/>
  <c r="X44" i="7" s="1"/>
  <c r="X45" i="7" s="1"/>
  <c r="X46" i="7" s="1"/>
  <c r="W42" i="7"/>
  <c r="W43" i="7" s="1"/>
  <c r="W44" i="7" s="1"/>
  <c r="W45" i="7" s="1"/>
  <c r="W46" i="7" s="1"/>
  <c r="V42" i="7"/>
  <c r="V43" i="7" s="1"/>
  <c r="V44" i="7" s="1"/>
  <c r="V45" i="7" s="1"/>
  <c r="V46" i="7" s="1"/>
  <c r="U42" i="7"/>
  <c r="U43" i="7" s="1"/>
  <c r="U44" i="7" s="1"/>
  <c r="U45" i="7" s="1"/>
  <c r="U46" i="7" s="1"/>
  <c r="T42" i="7"/>
  <c r="T43" i="7" s="1"/>
  <c r="T44" i="7" s="1"/>
  <c r="T45" i="7" s="1"/>
  <c r="T46" i="7" s="1"/>
  <c r="S42" i="7"/>
  <c r="S43" i="7" s="1"/>
  <c r="S44" i="7" s="1"/>
  <c r="S45" i="7" s="1"/>
  <c r="S46" i="7" s="1"/>
  <c r="R42" i="7"/>
  <c r="R43" i="7" s="1"/>
  <c r="R44" i="7" s="1"/>
  <c r="R45" i="7" s="1"/>
  <c r="R46" i="7" s="1"/>
  <c r="Q42" i="7"/>
  <c r="Q43" i="7" s="1"/>
  <c r="Q44" i="7" s="1"/>
  <c r="Q45" i="7" s="1"/>
  <c r="Q46" i="7" s="1"/>
  <c r="P42" i="7"/>
  <c r="P43" i="7" s="1"/>
  <c r="P44" i="7" s="1"/>
  <c r="P45" i="7" s="1"/>
  <c r="P46" i="7" s="1"/>
  <c r="O42" i="7"/>
  <c r="O43" i="7" s="1"/>
  <c r="O44" i="7" s="1"/>
  <c r="O45" i="7" s="1"/>
  <c r="O46" i="7" s="1"/>
  <c r="N42" i="7"/>
  <c r="N43" i="7" s="1"/>
  <c r="N44" i="7" s="1"/>
  <c r="N45" i="7" s="1"/>
  <c r="N46" i="7" s="1"/>
  <c r="M42" i="7"/>
  <c r="M43" i="7" s="1"/>
  <c r="M44" i="7" s="1"/>
  <c r="M45" i="7" s="1"/>
  <c r="M46" i="7" s="1"/>
  <c r="L42" i="7"/>
  <c r="L43" i="7" s="1"/>
  <c r="L44" i="7" s="1"/>
  <c r="L45" i="7" s="1"/>
  <c r="L46" i="7" s="1"/>
  <c r="K42" i="7"/>
  <c r="K43" i="7" s="1"/>
  <c r="K44" i="7" s="1"/>
  <c r="K45" i="7" s="1"/>
  <c r="K46" i="7" s="1"/>
  <c r="J42" i="7"/>
  <c r="J43" i="7" s="1"/>
  <c r="J44" i="7" s="1"/>
  <c r="J45" i="7" s="1"/>
  <c r="J46" i="7" s="1"/>
  <c r="I42" i="7"/>
  <c r="I43" i="7" s="1"/>
  <c r="I44" i="7" s="1"/>
  <c r="I45" i="7" s="1"/>
  <c r="I46" i="7" s="1"/>
  <c r="I156" i="27" s="1"/>
  <c r="H1" i="7"/>
  <c r="G1" i="7" s="1"/>
  <c r="F1" i="7" s="1"/>
  <c r="E1" i="7" s="1"/>
  <c r="D1" i="7" s="1"/>
  <c r="AU1" i="30" l="1"/>
  <c r="AU10" i="30"/>
  <c r="AT12" i="30"/>
  <c r="AT14" i="30" s="1"/>
  <c r="AT15" i="30"/>
  <c r="AM142" i="22"/>
  <c r="AJ142" i="22"/>
  <c r="I161" i="27"/>
  <c r="I158" i="27"/>
  <c r="I159" i="27" s="1"/>
  <c r="I120" i="27" s="1"/>
  <c r="F142" i="1"/>
  <c r="AU12" i="30" l="1"/>
  <c r="AU14" i="30" s="1"/>
  <c r="AU15" i="30"/>
  <c r="AV1" i="30"/>
  <c r="AV10" i="30"/>
  <c r="AL142" i="22"/>
  <c r="AO142" i="22"/>
  <c r="I121" i="27"/>
  <c r="I123" i="27" s="1"/>
  <c r="H11" i="29"/>
  <c r="G142" i="1"/>
  <c r="AV12" i="30" l="1"/>
  <c r="AV14" i="30" s="1"/>
  <c r="AV16" i="30"/>
  <c r="AV3" i="30" s="1"/>
  <c r="AV15" i="30"/>
  <c r="AW2" i="30"/>
  <c r="AV23" i="22" s="1"/>
  <c r="AW1" i="30"/>
  <c r="AW10" i="30"/>
  <c r="AQ142" i="22"/>
  <c r="AN142" i="22"/>
  <c r="I126" i="27"/>
  <c r="I124" i="27"/>
  <c r="H142" i="1"/>
  <c r="AV24" i="22" l="1"/>
  <c r="AV25" i="22"/>
  <c r="AW16" i="30"/>
  <c r="AW3" i="30" s="1"/>
  <c r="AW12" i="30"/>
  <c r="AW14" i="30" s="1"/>
  <c r="AW15" i="30"/>
  <c r="AP142" i="22"/>
  <c r="AS142" i="22"/>
  <c r="I143" i="27"/>
  <c r="H7" i="8" s="1"/>
  <c r="H11" i="8" s="1"/>
  <c r="I144" i="27"/>
  <c r="I142" i="1"/>
  <c r="AV26" i="22" l="1"/>
  <c r="AR142" i="22"/>
  <c r="AU142" i="22"/>
  <c r="I147" i="27"/>
  <c r="I148" i="27" s="1"/>
  <c r="H14" i="8" s="1"/>
  <c r="H18" i="8" s="1"/>
  <c r="J142" i="1"/>
  <c r="AW142" i="22" l="1"/>
  <c r="AT142" i="22"/>
  <c r="K142" i="1"/>
  <c r="AV142" i="22" l="1"/>
  <c r="AY142" i="22"/>
  <c r="L142" i="1"/>
  <c r="BA142" i="22" l="1"/>
  <c r="AX142" i="22"/>
  <c r="M142" i="1"/>
  <c r="BC142" i="22" l="1"/>
  <c r="AZ142" i="22"/>
  <c r="N142" i="1"/>
  <c r="BB142" i="22" l="1"/>
  <c r="BE142" i="22"/>
  <c r="O142" i="1"/>
  <c r="BG142" i="22" l="1"/>
  <c r="BD142" i="22"/>
  <c r="P142" i="1"/>
  <c r="BF142" i="22" l="1"/>
  <c r="BI142" i="22"/>
  <c r="Q142" i="1"/>
  <c r="BK142" i="22" l="1"/>
  <c r="BH142" i="22"/>
  <c r="R142" i="1"/>
  <c r="BM142" i="22" l="1"/>
  <c r="BJ142" i="22"/>
  <c r="S142" i="1"/>
  <c r="BL142" i="22" l="1"/>
  <c r="BO142" i="22"/>
  <c r="T142" i="1"/>
  <c r="BN142" i="22" l="1"/>
  <c r="U142" i="1"/>
  <c r="V142" i="1" l="1"/>
  <c r="W142" i="1" l="1"/>
  <c r="X142" i="1" l="1"/>
  <c r="Y142" i="1" l="1"/>
  <c r="Z142" i="1" l="1"/>
  <c r="AA142" i="1" l="1"/>
  <c r="AB142" i="1" l="1"/>
  <c r="AC142" i="1" l="1"/>
  <c r="AD142" i="1" l="1"/>
  <c r="D3" i="29" l="1"/>
  <c r="F27" i="27"/>
  <c r="F29" i="27" s="1"/>
  <c r="G27" i="27"/>
  <c r="G29" i="27" s="1"/>
  <c r="F3" i="29" s="1"/>
  <c r="H27" i="27"/>
  <c r="H29" i="27" s="1"/>
  <c r="G3" i="29" s="1"/>
  <c r="E3" i="29" l="1"/>
  <c r="F30" i="27"/>
  <c r="D155" i="27"/>
  <c r="D156" i="27" s="1"/>
  <c r="H30" i="27"/>
  <c r="G30" i="27"/>
  <c r="E20" i="27"/>
  <c r="F20" i="27"/>
  <c r="G20" i="27"/>
  <c r="H20" i="27"/>
  <c r="D20" i="27"/>
  <c r="E15" i="27"/>
  <c r="F15" i="27"/>
  <c r="G15" i="27"/>
  <c r="H15" i="27"/>
  <c r="D15" i="27"/>
  <c r="E109" i="27"/>
  <c r="E114" i="27" s="1"/>
  <c r="D8" i="29" s="1"/>
  <c r="F109" i="27"/>
  <c r="F114" i="27" s="1"/>
  <c r="G109" i="27"/>
  <c r="G114" i="27" s="1"/>
  <c r="H109" i="27"/>
  <c r="H114" i="27" s="1"/>
  <c r="D109" i="27"/>
  <c r="D114" i="27" s="1"/>
  <c r="E89" i="27"/>
  <c r="F89" i="27"/>
  <c r="G89" i="27"/>
  <c r="H89" i="27"/>
  <c r="D89" i="27"/>
  <c r="D91" i="27" s="1"/>
  <c r="E76" i="27"/>
  <c r="F76" i="27"/>
  <c r="G76" i="27"/>
  <c r="H76" i="27"/>
  <c r="D76" i="27"/>
  <c r="E66" i="27"/>
  <c r="F66" i="27"/>
  <c r="G66" i="27"/>
  <c r="H66" i="27"/>
  <c r="D66" i="27"/>
  <c r="E61" i="27"/>
  <c r="F61" i="27"/>
  <c r="G61" i="27"/>
  <c r="H61" i="27"/>
  <c r="D61" i="27"/>
  <c r="E50" i="27"/>
  <c r="F50" i="27"/>
  <c r="G50" i="27"/>
  <c r="H50" i="27"/>
  <c r="D42" i="27"/>
  <c r="E42" i="27"/>
  <c r="F42" i="27"/>
  <c r="G42" i="27"/>
  <c r="H42" i="27"/>
  <c r="G4" i="29" l="1"/>
  <c r="H155" i="27"/>
  <c r="H156" i="27" s="1"/>
  <c r="H161" i="27" s="1"/>
  <c r="G8" i="29"/>
  <c r="E8" i="29"/>
  <c r="H91" i="27"/>
  <c r="G7" i="29"/>
  <c r="F157" i="27"/>
  <c r="E9" i="29"/>
  <c r="E155" i="27"/>
  <c r="E156" i="27" s="1"/>
  <c r="E161" i="27" s="1"/>
  <c r="D4" i="29"/>
  <c r="F8" i="29"/>
  <c r="D9" i="29"/>
  <c r="D10" i="29"/>
  <c r="F155" i="27"/>
  <c r="F156" i="27" s="1"/>
  <c r="F161" i="27" s="1"/>
  <c r="E4" i="29"/>
  <c r="G155" i="27"/>
  <c r="G156" i="27" s="1"/>
  <c r="G161" i="27" s="1"/>
  <c r="F4" i="29"/>
  <c r="G91" i="27"/>
  <c r="F7" i="29"/>
  <c r="D157" i="27"/>
  <c r="D158" i="27" s="1"/>
  <c r="D159" i="27" s="1"/>
  <c r="D120" i="27" s="1"/>
  <c r="F91" i="27"/>
  <c r="E7" i="29"/>
  <c r="E91" i="27"/>
  <c r="D7" i="29"/>
  <c r="H157" i="27"/>
  <c r="G10" i="29"/>
  <c r="G9" i="29"/>
  <c r="G157" i="27"/>
  <c r="F10" i="29"/>
  <c r="F9" i="29"/>
  <c r="E157" i="27"/>
  <c r="D161" i="27"/>
  <c r="D78" i="27"/>
  <c r="D116" i="27" s="1"/>
  <c r="D117" i="27" s="1"/>
  <c r="C3" i="8" s="1"/>
  <c r="F78" i="27"/>
  <c r="G78" i="27"/>
  <c r="F6" i="29" s="1"/>
  <c r="H78" i="27"/>
  <c r="E78" i="27"/>
  <c r="H158" i="27" l="1"/>
  <c r="H159" i="27" s="1"/>
  <c r="H120" i="27" s="1"/>
  <c r="D121" i="27"/>
  <c r="E158" i="27"/>
  <c r="E159" i="27" s="1"/>
  <c r="E120" i="27" s="1"/>
  <c r="E121" i="27" s="1"/>
  <c r="E115" i="27"/>
  <c r="D6" i="29"/>
  <c r="F115" i="27"/>
  <c r="E6" i="29"/>
  <c r="H115" i="27"/>
  <c r="G6" i="29"/>
  <c r="H121" i="27"/>
  <c r="G11" i="29"/>
  <c r="F158" i="27"/>
  <c r="F159" i="27" s="1"/>
  <c r="F120" i="27" s="1"/>
  <c r="G158" i="27"/>
  <c r="G159" i="27" s="1"/>
  <c r="G120" i="27" s="1"/>
  <c r="E116" i="27"/>
  <c r="E117" i="27" s="1"/>
  <c r="D3" i="8" s="1"/>
  <c r="G116" i="27"/>
  <c r="G117" i="27" s="1"/>
  <c r="F3" i="8" s="1"/>
  <c r="G115" i="27"/>
  <c r="D115" i="27"/>
  <c r="F116" i="27"/>
  <c r="F117" i="27" s="1"/>
  <c r="E3" i="8" s="1"/>
  <c r="H116" i="27"/>
  <c r="H117" i="27" s="1"/>
  <c r="G3" i="8" s="1"/>
  <c r="D123" i="27" l="1"/>
  <c r="D11" i="29"/>
  <c r="E123" i="27"/>
  <c r="E124" i="27" s="1"/>
  <c r="H123" i="27"/>
  <c r="H126" i="27" s="1"/>
  <c r="H143" i="27" s="1"/>
  <c r="G7" i="8" s="1"/>
  <c r="G11" i="8" s="1"/>
  <c r="G121" i="27"/>
  <c r="G123" i="27" s="1"/>
  <c r="F11" i="29"/>
  <c r="F121" i="27"/>
  <c r="F123" i="27" s="1"/>
  <c r="E11" i="29"/>
  <c r="D124" i="27"/>
  <c r="D126" i="27"/>
  <c r="H144" i="27" l="1"/>
  <c r="H147" i="27" s="1"/>
  <c r="H148" i="27" s="1"/>
  <c r="G14" i="8" s="1"/>
  <c r="G18" i="8" s="1"/>
  <c r="E126" i="27"/>
  <c r="H124" i="27"/>
  <c r="F124" i="27"/>
  <c r="F126" i="27"/>
  <c r="F144" i="27" s="1"/>
  <c r="G124" i="27"/>
  <c r="G126" i="27"/>
  <c r="G144" i="27" s="1"/>
  <c r="D144" i="27"/>
  <c r="D143" i="27"/>
  <c r="C7" i="8" s="1"/>
  <c r="C11" i="8" s="1"/>
  <c r="E144" i="27"/>
  <c r="E143" i="27"/>
  <c r="D7" i="8" s="1"/>
  <c r="D11" i="8" s="1"/>
  <c r="F143" i="27" l="1"/>
  <c r="E7" i="8" s="1"/>
  <c r="E11" i="8" s="1"/>
  <c r="G143" i="27"/>
  <c r="F7" i="8" s="1"/>
  <c r="F11" i="8" s="1"/>
  <c r="G147" i="27"/>
  <c r="G148" i="27" s="1"/>
  <c r="F14" i="8" s="1"/>
  <c r="F18" i="8" s="1"/>
  <c r="F147" i="27"/>
  <c r="F148" i="27" s="1"/>
  <c r="E14" i="8" s="1"/>
  <c r="E18" i="8" s="1"/>
  <c r="E147" i="27"/>
  <c r="E148" i="27" s="1"/>
  <c r="D14" i="8" s="1"/>
  <c r="D18" i="8" s="1"/>
  <c r="D147" i="27"/>
  <c r="D148" i="27" s="1"/>
  <c r="C14" i="8" s="1"/>
  <c r="C18" i="8" s="1"/>
  <c r="C1" i="10"/>
  <c r="D1" i="10" s="1"/>
  <c r="E1" i="10" s="1"/>
  <c r="F1" i="10" s="1"/>
  <c r="G1" i="10" s="1"/>
  <c r="H1" i="10" s="1"/>
  <c r="I1" i="10" s="1"/>
  <c r="J1" i="10" s="1"/>
  <c r="K1" i="10" s="1"/>
  <c r="L1" i="10" s="1"/>
  <c r="M1" i="10" s="1"/>
  <c r="N1" i="10" s="1"/>
  <c r="O1" i="10" s="1"/>
  <c r="P1" i="10" s="1"/>
  <c r="Q1" i="10" s="1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E81" i="24"/>
  <c r="E82" i="24" s="1"/>
  <c r="F81" i="24"/>
  <c r="F82" i="24" s="1"/>
  <c r="G81" i="24"/>
  <c r="G82" i="24" s="1"/>
  <c r="H81" i="24"/>
  <c r="H82" i="24" s="1"/>
  <c r="I81" i="24"/>
  <c r="I82" i="24" s="1"/>
  <c r="Y81" i="24"/>
  <c r="Y82" i="24" s="1"/>
  <c r="Z81" i="24"/>
  <c r="Z82" i="24" s="1"/>
  <c r="AA81" i="24"/>
  <c r="AA82" i="24" s="1"/>
  <c r="AB81" i="24"/>
  <c r="AB82" i="24" s="1"/>
  <c r="AC81" i="24"/>
  <c r="AC82" i="24" s="1"/>
  <c r="AD81" i="24"/>
  <c r="AD82" i="24" s="1"/>
  <c r="D82" i="24"/>
  <c r="E78" i="24"/>
  <c r="E79" i="24" s="1"/>
  <c r="F78" i="24"/>
  <c r="F79" i="24" s="1"/>
  <c r="G78" i="24"/>
  <c r="G79" i="24" s="1"/>
  <c r="H78" i="24"/>
  <c r="H79" i="24" s="1"/>
  <c r="I78" i="24"/>
  <c r="I79" i="24" s="1"/>
  <c r="Y78" i="24"/>
  <c r="Y79" i="24" s="1"/>
  <c r="Z78" i="24"/>
  <c r="Z79" i="24" s="1"/>
  <c r="AA78" i="24"/>
  <c r="AA79" i="24" s="1"/>
  <c r="AB78" i="24"/>
  <c r="AB79" i="24" s="1"/>
  <c r="AC78" i="24"/>
  <c r="AC79" i="24" s="1"/>
  <c r="AD78" i="24"/>
  <c r="AD79" i="24" s="1"/>
  <c r="D78" i="24"/>
  <c r="D79" i="24" s="1"/>
  <c r="E76" i="24"/>
  <c r="F76" i="24"/>
  <c r="G76" i="24"/>
  <c r="H76" i="24"/>
  <c r="I76" i="24"/>
  <c r="Y76" i="24"/>
  <c r="Z76" i="24"/>
  <c r="AA76" i="24"/>
  <c r="AB76" i="24"/>
  <c r="AC76" i="24"/>
  <c r="AD76" i="24"/>
  <c r="E73" i="24"/>
  <c r="E74" i="24" s="1"/>
  <c r="F73" i="24"/>
  <c r="F74" i="24" s="1"/>
  <c r="G73" i="24"/>
  <c r="G74" i="24" s="1"/>
  <c r="H73" i="24"/>
  <c r="H74" i="24" s="1"/>
  <c r="I73" i="24"/>
  <c r="I74" i="24" s="1"/>
  <c r="Y73" i="24"/>
  <c r="Y74" i="24" s="1"/>
  <c r="Z73" i="24"/>
  <c r="Z74" i="24" s="1"/>
  <c r="AA73" i="24"/>
  <c r="AA74" i="24" s="1"/>
  <c r="AB73" i="24"/>
  <c r="AB74" i="24" s="1"/>
  <c r="AC73" i="24"/>
  <c r="AC74" i="24" s="1"/>
  <c r="AD73" i="24"/>
  <c r="AD74" i="24" s="1"/>
  <c r="D74" i="24"/>
  <c r="Z115" i="24"/>
  <c r="AA115" i="24"/>
  <c r="AB115" i="24"/>
  <c r="AC31" i="23"/>
  <c r="AD31" i="23"/>
  <c r="AC35" i="23"/>
  <c r="AD35" i="23"/>
  <c r="AC36" i="23"/>
  <c r="AD36" i="23"/>
  <c r="AC37" i="23"/>
  <c r="AD37" i="23"/>
  <c r="AC38" i="23"/>
  <c r="AD38" i="23"/>
  <c r="AC39" i="23"/>
  <c r="AD39" i="23"/>
  <c r="AC40" i="23"/>
  <c r="AD40" i="23"/>
  <c r="AC41" i="23"/>
  <c r="AD41" i="23"/>
  <c r="AC42" i="23"/>
  <c r="AD42" i="23"/>
  <c r="AC43" i="23"/>
  <c r="AD43" i="23"/>
  <c r="AC44" i="23"/>
  <c r="AD44" i="23"/>
  <c r="AC45" i="23"/>
  <c r="AD45" i="23"/>
  <c r="AC46" i="23"/>
  <c r="AD46" i="23"/>
  <c r="AC47" i="23"/>
  <c r="AD47" i="23"/>
  <c r="AC48" i="23"/>
  <c r="AD48" i="23"/>
  <c r="AC49" i="23"/>
  <c r="AD49" i="23"/>
  <c r="AC50" i="23"/>
  <c r="AD50" i="23"/>
  <c r="AC51" i="23"/>
  <c r="AD51" i="23"/>
  <c r="AC52" i="23"/>
  <c r="AD52" i="23"/>
  <c r="AC53" i="23"/>
  <c r="AD53" i="23"/>
  <c r="AC54" i="23"/>
  <c r="AD54" i="23"/>
  <c r="V31" i="23"/>
  <c r="W31" i="23"/>
  <c r="X31" i="23"/>
  <c r="Y31" i="23"/>
  <c r="Z31" i="23"/>
  <c r="AA31" i="23"/>
  <c r="AB31" i="23"/>
  <c r="V35" i="23"/>
  <c r="W35" i="23"/>
  <c r="X35" i="23"/>
  <c r="Y35" i="23"/>
  <c r="Z35" i="23"/>
  <c r="AA35" i="23"/>
  <c r="AB35" i="23"/>
  <c r="V36" i="23"/>
  <c r="W36" i="23"/>
  <c r="X36" i="23"/>
  <c r="Y36" i="23"/>
  <c r="Z36" i="23"/>
  <c r="AA36" i="23"/>
  <c r="AB36" i="23"/>
  <c r="V37" i="23"/>
  <c r="W37" i="23"/>
  <c r="X37" i="23"/>
  <c r="Y37" i="23"/>
  <c r="Z37" i="23"/>
  <c r="AA37" i="23"/>
  <c r="AB37" i="23"/>
  <c r="V38" i="23"/>
  <c r="W38" i="23"/>
  <c r="X38" i="23"/>
  <c r="Y38" i="23"/>
  <c r="Z38" i="23"/>
  <c r="AA38" i="23"/>
  <c r="AB38" i="23"/>
  <c r="V39" i="23"/>
  <c r="W39" i="23"/>
  <c r="X39" i="23"/>
  <c r="Y39" i="23"/>
  <c r="Z39" i="23"/>
  <c r="AA39" i="23"/>
  <c r="AB39" i="23"/>
  <c r="V40" i="23"/>
  <c r="W40" i="23"/>
  <c r="X40" i="23"/>
  <c r="Y40" i="23"/>
  <c r="Z40" i="23"/>
  <c r="AA40" i="23"/>
  <c r="AB40" i="23"/>
  <c r="V41" i="23"/>
  <c r="W41" i="23"/>
  <c r="X41" i="23"/>
  <c r="Y41" i="23"/>
  <c r="Z41" i="23"/>
  <c r="AA41" i="23"/>
  <c r="AB41" i="23"/>
  <c r="V42" i="23"/>
  <c r="W42" i="23"/>
  <c r="X42" i="23"/>
  <c r="Y42" i="23"/>
  <c r="Z42" i="23"/>
  <c r="AA42" i="23"/>
  <c r="AB42" i="23"/>
  <c r="V43" i="23"/>
  <c r="W43" i="23"/>
  <c r="X43" i="23"/>
  <c r="Y43" i="23"/>
  <c r="Z43" i="23"/>
  <c r="AA43" i="23"/>
  <c r="AB43" i="23"/>
  <c r="V44" i="23"/>
  <c r="W44" i="23"/>
  <c r="X44" i="23"/>
  <c r="Y44" i="23"/>
  <c r="Z44" i="23"/>
  <c r="AA44" i="23"/>
  <c r="AB44" i="23"/>
  <c r="V45" i="23"/>
  <c r="W45" i="23"/>
  <c r="X45" i="23"/>
  <c r="Y45" i="23"/>
  <c r="Z45" i="23"/>
  <c r="AA45" i="23"/>
  <c r="AB45" i="23"/>
  <c r="V46" i="23"/>
  <c r="W46" i="23"/>
  <c r="X46" i="23"/>
  <c r="Y46" i="23"/>
  <c r="Z46" i="23"/>
  <c r="AA46" i="23"/>
  <c r="AB46" i="23"/>
  <c r="V47" i="23"/>
  <c r="W47" i="23"/>
  <c r="X47" i="23"/>
  <c r="Y47" i="23"/>
  <c r="Z47" i="23"/>
  <c r="AA47" i="23"/>
  <c r="AB47" i="23"/>
  <c r="V48" i="23"/>
  <c r="W48" i="23"/>
  <c r="X48" i="23"/>
  <c r="Y48" i="23"/>
  <c r="Z48" i="23"/>
  <c r="AA48" i="23"/>
  <c r="AB48" i="23"/>
  <c r="V49" i="23"/>
  <c r="W49" i="23"/>
  <c r="X49" i="23"/>
  <c r="Y49" i="23"/>
  <c r="Z49" i="23"/>
  <c r="AA49" i="23"/>
  <c r="AB49" i="23"/>
  <c r="V50" i="23"/>
  <c r="W50" i="23"/>
  <c r="X50" i="23"/>
  <c r="Y50" i="23"/>
  <c r="Z50" i="23"/>
  <c r="AA50" i="23"/>
  <c r="AB50" i="23"/>
  <c r="V51" i="23"/>
  <c r="W51" i="23"/>
  <c r="X51" i="23"/>
  <c r="Y51" i="23"/>
  <c r="Z51" i="23"/>
  <c r="AA51" i="23"/>
  <c r="AB51" i="23"/>
  <c r="V52" i="23"/>
  <c r="W52" i="23"/>
  <c r="X52" i="23"/>
  <c r="Y52" i="23"/>
  <c r="Z52" i="23"/>
  <c r="AA52" i="23"/>
  <c r="AB52" i="23"/>
  <c r="V53" i="23"/>
  <c r="W53" i="23"/>
  <c r="X53" i="23"/>
  <c r="Y53" i="23"/>
  <c r="Z53" i="23"/>
  <c r="AA53" i="23"/>
  <c r="AB53" i="23"/>
  <c r="V54" i="23"/>
  <c r="W54" i="23"/>
  <c r="X54" i="23"/>
  <c r="Y54" i="23"/>
  <c r="Z54" i="23"/>
  <c r="AA54" i="23"/>
  <c r="AB54" i="23"/>
  <c r="V35" i="25"/>
  <c r="W35" i="25"/>
  <c r="X35" i="25"/>
  <c r="Y35" i="25"/>
  <c r="V36" i="25"/>
  <c r="W36" i="25"/>
  <c r="X36" i="25"/>
  <c r="Y36" i="25"/>
  <c r="V37" i="25"/>
  <c r="W37" i="25"/>
  <c r="X37" i="25"/>
  <c r="Y37" i="25"/>
  <c r="V38" i="25"/>
  <c r="W38" i="25"/>
  <c r="X38" i="25"/>
  <c r="Y38" i="25"/>
  <c r="V39" i="25"/>
  <c r="W39" i="25"/>
  <c r="X39" i="25"/>
  <c r="Y39" i="25"/>
  <c r="V40" i="25"/>
  <c r="W40" i="25"/>
  <c r="X40" i="25"/>
  <c r="Y40" i="25"/>
  <c r="V41" i="25"/>
  <c r="W41" i="25"/>
  <c r="X41" i="25"/>
  <c r="Y41" i="25"/>
  <c r="V42" i="25"/>
  <c r="W42" i="25"/>
  <c r="X42" i="25"/>
  <c r="Y42" i="25"/>
  <c r="V43" i="25"/>
  <c r="W43" i="25"/>
  <c r="X43" i="25"/>
  <c r="Y43" i="25"/>
  <c r="V44" i="25"/>
  <c r="W44" i="25"/>
  <c r="X44" i="25"/>
  <c r="Y44" i="25"/>
  <c r="V45" i="25"/>
  <c r="W45" i="25"/>
  <c r="X45" i="25"/>
  <c r="Y45" i="25"/>
  <c r="V46" i="25"/>
  <c r="W46" i="25"/>
  <c r="X46" i="25"/>
  <c r="Y46" i="25"/>
  <c r="V47" i="25"/>
  <c r="W47" i="25"/>
  <c r="X47" i="25"/>
  <c r="Y47" i="25"/>
  <c r="V48" i="25"/>
  <c r="W48" i="25"/>
  <c r="X48" i="25"/>
  <c r="Y48" i="25"/>
  <c r="V49" i="25"/>
  <c r="W49" i="25"/>
  <c r="X49" i="25"/>
  <c r="Y49" i="25"/>
  <c r="V50" i="25"/>
  <c r="W50" i="25"/>
  <c r="X50" i="25"/>
  <c r="Y50" i="25"/>
  <c r="V51" i="25"/>
  <c r="W51" i="25"/>
  <c r="X51" i="25"/>
  <c r="Y51" i="25"/>
  <c r="V52" i="25"/>
  <c r="W52" i="25"/>
  <c r="X52" i="25"/>
  <c r="Y52" i="25"/>
  <c r="V53" i="25"/>
  <c r="W53" i="25"/>
  <c r="X53" i="25"/>
  <c r="Y53" i="25"/>
  <c r="V54" i="25"/>
  <c r="W54" i="25"/>
  <c r="X54" i="25"/>
  <c r="Y54" i="25"/>
  <c r="V55" i="25"/>
  <c r="W55" i="25"/>
  <c r="X55" i="25"/>
  <c r="Y55" i="25"/>
  <c r="V56" i="25"/>
  <c r="W56" i="25"/>
  <c r="X56" i="25"/>
  <c r="Y56" i="25"/>
  <c r="V57" i="25"/>
  <c r="W57" i="25"/>
  <c r="X57" i="25"/>
  <c r="Y57" i="25"/>
  <c r="V58" i="25"/>
  <c r="W58" i="25"/>
  <c r="X58" i="25"/>
  <c r="Y58" i="25"/>
  <c r="V59" i="25"/>
  <c r="W59" i="25"/>
  <c r="X59" i="25"/>
  <c r="Y59" i="25"/>
  <c r="C59" i="25"/>
  <c r="D59" i="25"/>
  <c r="E59" i="25"/>
  <c r="F59" i="25"/>
  <c r="G59" i="25"/>
  <c r="H59" i="25"/>
  <c r="I59" i="25"/>
  <c r="J59" i="25"/>
  <c r="K59" i="25"/>
  <c r="L59" i="25"/>
  <c r="M59" i="25"/>
  <c r="N59" i="25"/>
  <c r="O59" i="25"/>
  <c r="P59" i="25"/>
  <c r="Q59" i="25"/>
  <c r="R59" i="25"/>
  <c r="S59" i="25"/>
  <c r="T59" i="25"/>
  <c r="U59" i="25"/>
  <c r="A58" i="25"/>
  <c r="A59" i="25"/>
  <c r="Y27" i="24"/>
  <c r="Z27" i="24"/>
  <c r="AA27" i="24"/>
  <c r="AB27" i="24"/>
  <c r="AC27" i="24"/>
  <c r="AD27" i="24"/>
  <c r="E116" i="24"/>
  <c r="F116" i="24"/>
  <c r="G116" i="24"/>
  <c r="H116" i="24"/>
  <c r="I116" i="24"/>
  <c r="Y116" i="24"/>
  <c r="Z116" i="24"/>
  <c r="AA116" i="24"/>
  <c r="AB116" i="24"/>
  <c r="AC116" i="24"/>
  <c r="AD116" i="24"/>
  <c r="D116" i="24"/>
  <c r="F68" i="24"/>
  <c r="H68" i="24"/>
  <c r="I68" i="24"/>
  <c r="Y68" i="24"/>
  <c r="Z68" i="24"/>
  <c r="AA68" i="24"/>
  <c r="AB68" i="24"/>
  <c r="AC68" i="24"/>
  <c r="AD68" i="24"/>
  <c r="G68" i="24"/>
  <c r="E71" i="24"/>
  <c r="F71" i="24"/>
  <c r="G71" i="24"/>
  <c r="H71" i="24"/>
  <c r="I71" i="24"/>
  <c r="Y71" i="24"/>
  <c r="Z71" i="24"/>
  <c r="AA71" i="24"/>
  <c r="AB71" i="24"/>
  <c r="AC71" i="24"/>
  <c r="AD71" i="24"/>
  <c r="D71" i="24"/>
  <c r="D68" i="24"/>
  <c r="E51" i="24"/>
  <c r="F51" i="24"/>
  <c r="G51" i="24"/>
  <c r="H51" i="24"/>
  <c r="I51" i="24"/>
  <c r="K81" i="24"/>
  <c r="L81" i="24"/>
  <c r="M81" i="24"/>
  <c r="N81" i="24"/>
  <c r="O81" i="24"/>
  <c r="P81" i="24"/>
  <c r="Q81" i="24"/>
  <c r="S81" i="24"/>
  <c r="U78" i="24"/>
  <c r="W81" i="24"/>
  <c r="X81" i="24"/>
  <c r="X24" i="24"/>
  <c r="W24" i="24"/>
  <c r="V24" i="24"/>
  <c r="U24" i="24"/>
  <c r="T24" i="24"/>
  <c r="S24" i="24"/>
  <c r="R24" i="24"/>
  <c r="Q24" i="24"/>
  <c r="P24" i="24"/>
  <c r="O24" i="24"/>
  <c r="N24" i="24"/>
  <c r="L24" i="24"/>
  <c r="K24" i="24"/>
  <c r="A51" i="25"/>
  <c r="C51" i="25"/>
  <c r="D51" i="25"/>
  <c r="E51" i="25"/>
  <c r="F51" i="25"/>
  <c r="G51" i="25"/>
  <c r="H51" i="25"/>
  <c r="I51" i="25"/>
  <c r="J51" i="25"/>
  <c r="K51" i="25"/>
  <c r="L51" i="25"/>
  <c r="M51" i="25"/>
  <c r="N51" i="25"/>
  <c r="O51" i="25"/>
  <c r="P51" i="25"/>
  <c r="Q51" i="25"/>
  <c r="R51" i="25"/>
  <c r="S51" i="25"/>
  <c r="T51" i="25"/>
  <c r="U51" i="25"/>
  <c r="A52" i="25"/>
  <c r="C52" i="25"/>
  <c r="D52" i="25"/>
  <c r="E52" i="25"/>
  <c r="F52" i="25"/>
  <c r="G52" i="25"/>
  <c r="H52" i="25"/>
  <c r="I52" i="25"/>
  <c r="J52" i="25"/>
  <c r="K52" i="25"/>
  <c r="L52" i="25"/>
  <c r="M52" i="25"/>
  <c r="N52" i="25"/>
  <c r="O52" i="25"/>
  <c r="P52" i="25"/>
  <c r="Q52" i="25"/>
  <c r="R52" i="25"/>
  <c r="S52" i="25"/>
  <c r="T52" i="25"/>
  <c r="U52" i="25"/>
  <c r="A53" i="25"/>
  <c r="C53" i="25"/>
  <c r="D53" i="25"/>
  <c r="E53" i="25"/>
  <c r="F53" i="25"/>
  <c r="G53" i="25"/>
  <c r="H53" i="25"/>
  <c r="I53" i="25"/>
  <c r="J53" i="25"/>
  <c r="K53" i="25"/>
  <c r="L53" i="25"/>
  <c r="M53" i="25"/>
  <c r="N53" i="25"/>
  <c r="O53" i="25"/>
  <c r="P53" i="25"/>
  <c r="Q53" i="25"/>
  <c r="R53" i="25"/>
  <c r="S53" i="25"/>
  <c r="T53" i="25"/>
  <c r="U53" i="25"/>
  <c r="A54" i="25"/>
  <c r="C54" i="25"/>
  <c r="D54" i="25"/>
  <c r="E54" i="25"/>
  <c r="F54" i="25"/>
  <c r="G54" i="25"/>
  <c r="H54" i="25"/>
  <c r="I54" i="25"/>
  <c r="J54" i="25"/>
  <c r="K54" i="25"/>
  <c r="L54" i="25"/>
  <c r="M54" i="25"/>
  <c r="N54" i="25"/>
  <c r="O54" i="25"/>
  <c r="P54" i="25"/>
  <c r="Q54" i="25"/>
  <c r="R54" i="25"/>
  <c r="S54" i="25"/>
  <c r="T54" i="25"/>
  <c r="U54" i="25"/>
  <c r="A55" i="25"/>
  <c r="C55" i="25"/>
  <c r="D55" i="25"/>
  <c r="E55" i="25"/>
  <c r="F55" i="25"/>
  <c r="G55" i="25"/>
  <c r="H55" i="25"/>
  <c r="I55" i="25"/>
  <c r="J55" i="25"/>
  <c r="K55" i="25"/>
  <c r="L55" i="25"/>
  <c r="M55" i="25"/>
  <c r="N55" i="25"/>
  <c r="O55" i="25"/>
  <c r="P55" i="25"/>
  <c r="Q55" i="25"/>
  <c r="R55" i="25"/>
  <c r="S55" i="25"/>
  <c r="T55" i="25"/>
  <c r="U55" i="25"/>
  <c r="A56" i="25"/>
  <c r="C56" i="25"/>
  <c r="D56" i="25"/>
  <c r="E56" i="25"/>
  <c r="F56" i="25"/>
  <c r="G56" i="25"/>
  <c r="H56" i="25"/>
  <c r="I56" i="25"/>
  <c r="J56" i="25"/>
  <c r="K56" i="25"/>
  <c r="L56" i="25"/>
  <c r="M56" i="25"/>
  <c r="N56" i="25"/>
  <c r="O56" i="25"/>
  <c r="P56" i="25"/>
  <c r="Q56" i="25"/>
  <c r="R56" i="25"/>
  <c r="S56" i="25"/>
  <c r="T56" i="25"/>
  <c r="U56" i="25"/>
  <c r="A57" i="25"/>
  <c r="C57" i="25"/>
  <c r="D57" i="25"/>
  <c r="E57" i="25"/>
  <c r="F57" i="25"/>
  <c r="G57" i="25"/>
  <c r="H57" i="25"/>
  <c r="I57" i="25"/>
  <c r="J57" i="25"/>
  <c r="K57" i="25"/>
  <c r="L57" i="25"/>
  <c r="M57" i="25"/>
  <c r="N57" i="25"/>
  <c r="O57" i="25"/>
  <c r="P57" i="25"/>
  <c r="Q57" i="25"/>
  <c r="R57" i="25"/>
  <c r="S57" i="25"/>
  <c r="T57" i="25"/>
  <c r="U57" i="25"/>
  <c r="C58" i="25"/>
  <c r="D58" i="25"/>
  <c r="E58" i="25"/>
  <c r="F58" i="25"/>
  <c r="G58" i="25"/>
  <c r="H58" i="25"/>
  <c r="I58" i="25"/>
  <c r="J58" i="25"/>
  <c r="K58" i="25"/>
  <c r="L58" i="25"/>
  <c r="M58" i="25"/>
  <c r="N58" i="25"/>
  <c r="O58" i="25"/>
  <c r="P58" i="25"/>
  <c r="Q58" i="25"/>
  <c r="R58" i="25"/>
  <c r="S58" i="25"/>
  <c r="T58" i="25"/>
  <c r="U58" i="25"/>
  <c r="D52" i="23"/>
  <c r="E52" i="23"/>
  <c r="F52" i="23"/>
  <c r="G52" i="23"/>
  <c r="H52" i="23"/>
  <c r="I52" i="23"/>
  <c r="J52" i="23"/>
  <c r="K52" i="23"/>
  <c r="L52" i="23"/>
  <c r="M52" i="23"/>
  <c r="N52" i="23"/>
  <c r="O52" i="23"/>
  <c r="P52" i="23"/>
  <c r="Q52" i="23"/>
  <c r="R52" i="23"/>
  <c r="S52" i="23"/>
  <c r="T52" i="23"/>
  <c r="U52" i="23"/>
  <c r="D53" i="23"/>
  <c r="E53" i="23"/>
  <c r="F53" i="23"/>
  <c r="G53" i="23"/>
  <c r="H53" i="23"/>
  <c r="I53" i="23"/>
  <c r="J53" i="23"/>
  <c r="K53" i="23"/>
  <c r="L53" i="23"/>
  <c r="M53" i="23"/>
  <c r="N53" i="23"/>
  <c r="O53" i="23"/>
  <c r="P53" i="23"/>
  <c r="Q53" i="23"/>
  <c r="R53" i="23"/>
  <c r="S53" i="23"/>
  <c r="T53" i="23"/>
  <c r="U53" i="23"/>
  <c r="D54" i="23"/>
  <c r="E54" i="23"/>
  <c r="F54" i="23"/>
  <c r="G54" i="23"/>
  <c r="H54" i="23"/>
  <c r="I54" i="23"/>
  <c r="J54" i="23"/>
  <c r="K54" i="23"/>
  <c r="L54" i="23"/>
  <c r="M54" i="23"/>
  <c r="N54" i="23"/>
  <c r="O54" i="23"/>
  <c r="P54" i="23"/>
  <c r="Q54" i="23"/>
  <c r="R54" i="23"/>
  <c r="S54" i="23"/>
  <c r="T54" i="23"/>
  <c r="U54" i="23"/>
  <c r="A50" i="23"/>
  <c r="C50" i="23"/>
  <c r="A51" i="23"/>
  <c r="C51" i="23"/>
  <c r="A52" i="23"/>
  <c r="C52" i="23"/>
  <c r="A53" i="23"/>
  <c r="C53" i="23"/>
  <c r="A54" i="23"/>
  <c r="C54" i="23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A50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A49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A48" i="25"/>
  <c r="U47" i="25"/>
  <c r="T47" i="25"/>
  <c r="S47" i="25"/>
  <c r="R47" i="25"/>
  <c r="Q47" i="25"/>
  <c r="P47" i="25"/>
  <c r="O47" i="25"/>
  <c r="N47" i="25"/>
  <c r="M47" i="25"/>
  <c r="L47" i="25"/>
  <c r="K47" i="25"/>
  <c r="J47" i="25"/>
  <c r="I47" i="25"/>
  <c r="H47" i="25"/>
  <c r="G47" i="25"/>
  <c r="F47" i="25"/>
  <c r="E47" i="25"/>
  <c r="D47" i="25"/>
  <c r="C47" i="25"/>
  <c r="A47" i="25"/>
  <c r="U46" i="25"/>
  <c r="T46" i="25"/>
  <c r="S46" i="25"/>
  <c r="R46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A46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A45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A44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A43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A42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A41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A40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A39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A38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A37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A36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A35" i="25"/>
  <c r="AD115" i="24"/>
  <c r="AC115" i="24"/>
  <c r="D107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H59" i="24"/>
  <c r="G59" i="24"/>
  <c r="F59" i="24"/>
  <c r="E59" i="24"/>
  <c r="D59" i="24"/>
  <c r="AD47" i="24"/>
  <c r="AC47" i="24"/>
  <c r="AB47" i="24"/>
  <c r="AA47" i="24"/>
  <c r="Z47" i="24"/>
  <c r="Y47" i="24"/>
  <c r="X47" i="24"/>
  <c r="W47" i="24"/>
  <c r="V47" i="24"/>
  <c r="U47" i="24"/>
  <c r="T47" i="24"/>
  <c r="S47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F47" i="24"/>
  <c r="E47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R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D46" i="24"/>
  <c r="E26" i="24"/>
  <c r="E1" i="24"/>
  <c r="F1" i="24" s="1"/>
  <c r="G1" i="24" s="1"/>
  <c r="H1" i="24" s="1"/>
  <c r="I1" i="24" s="1"/>
  <c r="J1" i="24" s="1"/>
  <c r="K1" i="24" s="1"/>
  <c r="L1" i="24" s="1"/>
  <c r="M1" i="24" s="1"/>
  <c r="N1" i="24" s="1"/>
  <c r="O1" i="24" s="1"/>
  <c r="P1" i="24" s="1"/>
  <c r="Q1" i="24" s="1"/>
  <c r="R1" i="24" s="1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AC1" i="24" s="1"/>
  <c r="AD1" i="24" s="1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A49" i="23"/>
  <c r="U48" i="23"/>
  <c r="T48" i="23"/>
  <c r="S48" i="23"/>
  <c r="R48" i="23"/>
  <c r="Q48" i="23"/>
  <c r="P48" i="23"/>
  <c r="O48" i="23"/>
  <c r="N48" i="23"/>
  <c r="M48" i="23"/>
  <c r="L48" i="23"/>
  <c r="K48" i="23"/>
  <c r="J48" i="23"/>
  <c r="I48" i="23"/>
  <c r="H48" i="23"/>
  <c r="G48" i="23"/>
  <c r="F48" i="23"/>
  <c r="E48" i="23"/>
  <c r="D48" i="23"/>
  <c r="C48" i="23"/>
  <c r="A48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E47" i="23"/>
  <c r="D47" i="23"/>
  <c r="C47" i="23"/>
  <c r="A47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46" i="23"/>
  <c r="C46" i="23"/>
  <c r="A46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A45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U42" i="23"/>
  <c r="T42" i="23"/>
  <c r="S42" i="23"/>
  <c r="R42" i="23"/>
  <c r="Q42" i="23"/>
  <c r="P42" i="23"/>
  <c r="O42" i="23"/>
  <c r="N42" i="23"/>
  <c r="M42" i="23"/>
  <c r="L42" i="23"/>
  <c r="K42" i="23"/>
  <c r="I42" i="23"/>
  <c r="H42" i="23"/>
  <c r="G42" i="23"/>
  <c r="F42" i="23"/>
  <c r="E42" i="23"/>
  <c r="D42" i="23"/>
  <c r="C42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U31" i="23"/>
  <c r="T31" i="23"/>
  <c r="S31" i="23"/>
  <c r="R31" i="23"/>
  <c r="Q31" i="23"/>
  <c r="P31" i="23"/>
  <c r="O31" i="23"/>
  <c r="N31" i="23"/>
  <c r="M31" i="23"/>
  <c r="L31" i="23"/>
  <c r="K31" i="23"/>
  <c r="K55" i="23" s="1"/>
  <c r="J31" i="23"/>
  <c r="I31" i="23"/>
  <c r="H31" i="23"/>
  <c r="G31" i="23"/>
  <c r="F31" i="23"/>
  <c r="E31" i="23"/>
  <c r="D31" i="23"/>
  <c r="C31" i="23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S72" i="22"/>
  <c r="S73" i="22" s="1"/>
  <c r="R72" i="22"/>
  <c r="R73" i="22" s="1"/>
  <c r="Q72" i="22"/>
  <c r="Q73" i="22" s="1"/>
  <c r="P72" i="22"/>
  <c r="P73" i="22" s="1"/>
  <c r="O72" i="22"/>
  <c r="O73" i="22" s="1"/>
  <c r="N72" i="22"/>
  <c r="N73" i="22" s="1"/>
  <c r="M72" i="22"/>
  <c r="M73" i="22" s="1"/>
  <c r="L72" i="22"/>
  <c r="L73" i="22" s="1"/>
  <c r="K72" i="22"/>
  <c r="K73" i="22" s="1"/>
  <c r="J72" i="22"/>
  <c r="J73" i="22" s="1"/>
  <c r="I72" i="22"/>
  <c r="I73" i="22" s="1"/>
  <c r="H72" i="22"/>
  <c r="H73" i="22" s="1"/>
  <c r="G72" i="22"/>
  <c r="G73" i="22" s="1"/>
  <c r="F72" i="22"/>
  <c r="F73" i="22" s="1"/>
  <c r="E72" i="22"/>
  <c r="E73" i="22" s="1"/>
  <c r="D72" i="22"/>
  <c r="D73" i="22" s="1"/>
  <c r="S69" i="22"/>
  <c r="S70" i="22" s="1"/>
  <c r="R69" i="22"/>
  <c r="R70" i="22" s="1"/>
  <c r="Q69" i="22"/>
  <c r="Q70" i="22" s="1"/>
  <c r="P69" i="22"/>
  <c r="P70" i="22" s="1"/>
  <c r="O69" i="22"/>
  <c r="O70" i="22" s="1"/>
  <c r="N69" i="22"/>
  <c r="N70" i="22" s="1"/>
  <c r="M69" i="22"/>
  <c r="M70" i="22" s="1"/>
  <c r="L69" i="22"/>
  <c r="L70" i="22" s="1"/>
  <c r="K69" i="22"/>
  <c r="K70" i="22" s="1"/>
  <c r="J70" i="22"/>
  <c r="F49" i="29" s="1"/>
  <c r="I69" i="22"/>
  <c r="I70" i="22" s="1"/>
  <c r="H69" i="22"/>
  <c r="H70" i="22" s="1"/>
  <c r="G69" i="22"/>
  <c r="G70" i="22" s="1"/>
  <c r="F69" i="22"/>
  <c r="F70" i="22" s="1"/>
  <c r="E69" i="22"/>
  <c r="E70" i="22" s="1"/>
  <c r="D69" i="22"/>
  <c r="D70" i="22" s="1"/>
  <c r="H61" i="22"/>
  <c r="G61" i="22"/>
  <c r="F61" i="22"/>
  <c r="E61" i="22"/>
  <c r="D61" i="22"/>
  <c r="A56" i="22"/>
  <c r="A55" i="22"/>
  <c r="A51" i="22"/>
  <c r="A50" i="22"/>
  <c r="S47" i="22"/>
  <c r="R47" i="22"/>
  <c r="Q47" i="22"/>
  <c r="P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S46" i="22"/>
  <c r="R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A43" i="22"/>
  <c r="A42" i="22"/>
  <c r="A38" i="22"/>
  <c r="A37" i="22"/>
  <c r="BT20" i="22"/>
  <c r="S7" i="22"/>
  <c r="S9" i="22" s="1"/>
  <c r="S22" i="22" s="1"/>
  <c r="R7" i="22"/>
  <c r="R9" i="22" s="1"/>
  <c r="R22" i="22" s="1"/>
  <c r="Q7" i="22"/>
  <c r="Q9" i="22" s="1"/>
  <c r="Q22" i="22" s="1"/>
  <c r="P7" i="22"/>
  <c r="P9" i="22" s="1"/>
  <c r="O7" i="22"/>
  <c r="O9" i="22" s="1"/>
  <c r="O22" i="22" s="1"/>
  <c r="N7" i="22"/>
  <c r="N9" i="22" s="1"/>
  <c r="N22" i="22" s="1"/>
  <c r="M7" i="22"/>
  <c r="M9" i="22" s="1"/>
  <c r="M22" i="22" s="1"/>
  <c r="L7" i="22"/>
  <c r="L9" i="22" s="1"/>
  <c r="K7" i="22"/>
  <c r="K9" i="22" s="1"/>
  <c r="K22" i="22" s="1"/>
  <c r="J7" i="22"/>
  <c r="J9" i="22" s="1"/>
  <c r="I7" i="22"/>
  <c r="G7" i="22"/>
  <c r="G9" i="22" s="1"/>
  <c r="F7" i="22"/>
  <c r="F9" i="22" s="1"/>
  <c r="E7" i="22"/>
  <c r="E9" i="22" s="1"/>
  <c r="D7" i="22"/>
  <c r="BT17" i="22"/>
  <c r="AD4" i="22"/>
  <c r="AC4" i="22"/>
  <c r="AA4" i="22"/>
  <c r="Z4" i="22"/>
  <c r="W4" i="22"/>
  <c r="V4" i="22"/>
  <c r="E1" i="22"/>
  <c r="F1" i="22" s="1"/>
  <c r="G1" i="22" s="1"/>
  <c r="H1" i="22" s="1"/>
  <c r="I1" i="22" s="1"/>
  <c r="J1" i="22" s="1"/>
  <c r="K1" i="22" s="1"/>
  <c r="L1" i="22" s="1"/>
  <c r="M1" i="22" s="1"/>
  <c r="N1" i="22" s="1"/>
  <c r="O1" i="22" s="1"/>
  <c r="P1" i="22" s="1"/>
  <c r="Q1" i="22" s="1"/>
  <c r="R1" i="22" s="1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AC1" i="22" s="1"/>
  <c r="N4" i="7"/>
  <c r="S55" i="23" l="1"/>
  <c r="O55" i="23"/>
  <c r="G55" i="23"/>
  <c r="G56" i="23" s="1"/>
  <c r="G57" i="23" s="1"/>
  <c r="Z55" i="23"/>
  <c r="N55" i="23"/>
  <c r="F55" i="23"/>
  <c r="F56" i="23" s="1"/>
  <c r="F57" i="23" s="1"/>
  <c r="Q55" i="23"/>
  <c r="Q56" i="23" s="1"/>
  <c r="Q57" i="23" s="1"/>
  <c r="Q113" i="22" s="1"/>
  <c r="I55" i="23"/>
  <c r="I56" i="23" s="1"/>
  <c r="I57" i="23" s="1"/>
  <c r="D55" i="23"/>
  <c r="D56" i="23" s="1"/>
  <c r="D57" i="23" s="1"/>
  <c r="T55" i="23"/>
  <c r="L55" i="23"/>
  <c r="L56" i="23" s="1"/>
  <c r="L57" i="23" s="1"/>
  <c r="L113" i="22" s="1"/>
  <c r="J55" i="23"/>
  <c r="J56" i="23" s="1"/>
  <c r="J57" i="23" s="1"/>
  <c r="J113" i="22" s="1"/>
  <c r="R55" i="23"/>
  <c r="E55" i="23"/>
  <c r="E56" i="23" s="1"/>
  <c r="E57" i="23" s="1"/>
  <c r="M55" i="23"/>
  <c r="M56" i="23" s="1"/>
  <c r="M57" i="23" s="1"/>
  <c r="M113" i="22" s="1"/>
  <c r="U55" i="23"/>
  <c r="U56" i="23" s="1"/>
  <c r="U57" i="23" s="1"/>
  <c r="U113" i="22" s="1"/>
  <c r="U115" i="22" s="1"/>
  <c r="U131" i="22" s="1"/>
  <c r="Y55" i="23"/>
  <c r="Y56" i="23" s="1"/>
  <c r="Y57" i="23" s="1"/>
  <c r="Y113" i="22" s="1"/>
  <c r="Y115" i="22" s="1"/>
  <c r="Y131" i="22" s="1"/>
  <c r="X55" i="23"/>
  <c r="X56" i="23" s="1"/>
  <c r="X57" i="23" s="1"/>
  <c r="X113" i="22" s="1"/>
  <c r="X115" i="22" s="1"/>
  <c r="X131" i="22" s="1"/>
  <c r="W55" i="23"/>
  <c r="W56" i="23" s="1"/>
  <c r="W57" i="23" s="1"/>
  <c r="W113" i="22" s="1"/>
  <c r="W115" i="22" s="1"/>
  <c r="W131" i="22" s="1"/>
  <c r="V55" i="23"/>
  <c r="V56" i="23" s="1"/>
  <c r="V57" i="23" s="1"/>
  <c r="V113" i="22" s="1"/>
  <c r="V115" i="22" s="1"/>
  <c r="V131" i="22" s="1"/>
  <c r="H55" i="23"/>
  <c r="H56" i="23" s="1"/>
  <c r="H57" i="23" s="1"/>
  <c r="P55" i="23"/>
  <c r="P56" i="23" s="1"/>
  <c r="P57" i="23" s="1"/>
  <c r="P113" i="22" s="1"/>
  <c r="AD55" i="23"/>
  <c r="AD56" i="23" s="1"/>
  <c r="AD57" i="23" s="1"/>
  <c r="AB55" i="23"/>
  <c r="AB56" i="23" s="1"/>
  <c r="AB57" i="23" s="1"/>
  <c r="AB113" i="22" s="1"/>
  <c r="AB115" i="22" s="1"/>
  <c r="AB131" i="22" s="1"/>
  <c r="AC55" i="23"/>
  <c r="AC56" i="23" s="1"/>
  <c r="AC57" i="23" s="1"/>
  <c r="AC113" i="22" s="1"/>
  <c r="AC115" i="22" s="1"/>
  <c r="AC131" i="22" s="1"/>
  <c r="AA55" i="23"/>
  <c r="AA56" i="23" s="1"/>
  <c r="AA57" i="23" s="1"/>
  <c r="AA113" i="22" s="1"/>
  <c r="AA115" i="22" s="1"/>
  <c r="AA131" i="22" s="1"/>
  <c r="BT18" i="22"/>
  <c r="BQ73" i="22"/>
  <c r="I9" i="22"/>
  <c r="BQ9" i="22" s="1"/>
  <c r="BQ7" i="22"/>
  <c r="BT19" i="22" s="1"/>
  <c r="BT21" i="22" s="1"/>
  <c r="BQ70" i="22"/>
  <c r="H75" i="22"/>
  <c r="H87" i="22"/>
  <c r="I22" i="22"/>
  <c r="Q35" i="24"/>
  <c r="Q55" i="24" s="1"/>
  <c r="Q34" i="24"/>
  <c r="Q54" i="24" s="1"/>
  <c r="P34" i="24"/>
  <c r="P54" i="24" s="1"/>
  <c r="P35" i="24"/>
  <c r="P55" i="24" s="1"/>
  <c r="X35" i="24"/>
  <c r="X55" i="24" s="1"/>
  <c r="AF55" i="24" s="1"/>
  <c r="X34" i="24"/>
  <c r="X54" i="24" s="1"/>
  <c r="AF54" i="24" s="1"/>
  <c r="R35" i="24"/>
  <c r="R55" i="24" s="1"/>
  <c r="R34" i="24"/>
  <c r="R54" i="24" s="1"/>
  <c r="S35" i="24"/>
  <c r="S55" i="24" s="1"/>
  <c r="S34" i="24"/>
  <c r="S54" i="24" s="1"/>
  <c r="K35" i="24"/>
  <c r="K34" i="24"/>
  <c r="T34" i="24"/>
  <c r="T54" i="24" s="1"/>
  <c r="T35" i="24"/>
  <c r="T55" i="24" s="1"/>
  <c r="L34" i="24"/>
  <c r="L54" i="24" s="1"/>
  <c r="L35" i="24"/>
  <c r="U34" i="24"/>
  <c r="U54" i="24" s="1"/>
  <c r="U35" i="24"/>
  <c r="U55" i="24" s="1"/>
  <c r="N34" i="24"/>
  <c r="N54" i="24" s="1"/>
  <c r="N35" i="24"/>
  <c r="N55" i="24" s="1"/>
  <c r="V34" i="24"/>
  <c r="V54" i="24" s="1"/>
  <c r="V35" i="24"/>
  <c r="V55" i="24" s="1"/>
  <c r="O34" i="24"/>
  <c r="O54" i="24" s="1"/>
  <c r="O35" i="24"/>
  <c r="O55" i="24" s="1"/>
  <c r="W34" i="24"/>
  <c r="W54" i="24" s="1"/>
  <c r="W35" i="24"/>
  <c r="W55" i="24" s="1"/>
  <c r="F26" i="24"/>
  <c r="E29" i="24"/>
  <c r="E107" i="24" s="1"/>
  <c r="L22" i="22"/>
  <c r="P22" i="22"/>
  <c r="J22" i="22"/>
  <c r="H25" i="22"/>
  <c r="H24" i="22"/>
  <c r="AD1" i="22"/>
  <c r="AF1" i="22" s="1"/>
  <c r="AH1" i="22" s="1"/>
  <c r="AJ1" i="22" s="1"/>
  <c r="AL1" i="22" s="1"/>
  <c r="AN1" i="22" s="1"/>
  <c r="AP1" i="22" s="1"/>
  <c r="AR1" i="22" s="1"/>
  <c r="AT1" i="22" s="1"/>
  <c r="AV1" i="22" s="1"/>
  <c r="AX1" i="22" s="1"/>
  <c r="AZ1" i="22" s="1"/>
  <c r="BB1" i="22" s="1"/>
  <c r="BD1" i="22" s="1"/>
  <c r="BF1" i="22" s="1"/>
  <c r="BH1" i="22" s="1"/>
  <c r="BJ1" i="22" s="1"/>
  <c r="BL1" i="22" s="1"/>
  <c r="BN1" i="22" s="1"/>
  <c r="AE1" i="22"/>
  <c r="AG1" i="22" s="1"/>
  <c r="AI1" i="22" s="1"/>
  <c r="AK1" i="22" s="1"/>
  <c r="AM1" i="22" s="1"/>
  <c r="AO1" i="22" s="1"/>
  <c r="AQ1" i="22" s="1"/>
  <c r="AS1" i="22" s="1"/>
  <c r="AU1" i="22" s="1"/>
  <c r="AW1" i="22" s="1"/>
  <c r="AY1" i="22" s="1"/>
  <c r="BA1" i="22" s="1"/>
  <c r="BC1" i="22" s="1"/>
  <c r="BE1" i="22" s="1"/>
  <c r="BG1" i="22" s="1"/>
  <c r="BI1" i="22" s="1"/>
  <c r="BK1" i="22" s="1"/>
  <c r="BM1" i="22" s="1"/>
  <c r="BO1" i="22" s="1"/>
  <c r="E87" i="22"/>
  <c r="E25" i="22"/>
  <c r="E108" i="22" s="1"/>
  <c r="F87" i="22"/>
  <c r="F25" i="22"/>
  <c r="F108" i="22" s="1"/>
  <c r="G87" i="22"/>
  <c r="G25" i="22"/>
  <c r="G108" i="22" s="1"/>
  <c r="J51" i="24"/>
  <c r="O4" i="7"/>
  <c r="P4" i="7" s="1"/>
  <c r="Q4" i="7" s="1"/>
  <c r="R4" i="7" s="1"/>
  <c r="S4" i="7" s="1"/>
  <c r="T4" i="7" s="1"/>
  <c r="U4" i="7" s="1"/>
  <c r="V4" i="7" s="1"/>
  <c r="W4" i="7" s="1"/>
  <c r="X4" i="7" s="1"/>
  <c r="Y4" i="7" s="1"/>
  <c r="I61" i="1"/>
  <c r="I62" i="1" s="1"/>
  <c r="I63" i="1" s="1"/>
  <c r="W61" i="25"/>
  <c r="W62" i="25" s="1"/>
  <c r="W115" i="24" s="1"/>
  <c r="S114" i="22"/>
  <c r="S12" i="22"/>
  <c r="S81" i="22" s="1"/>
  <c r="S82" i="22" s="1"/>
  <c r="S77" i="22"/>
  <c r="S78" i="22" s="1"/>
  <c r="O114" i="22"/>
  <c r="O75" i="22"/>
  <c r="Y61" i="25"/>
  <c r="Y62" i="25" s="1"/>
  <c r="Y115" i="24" s="1"/>
  <c r="Y117" i="24" s="1"/>
  <c r="Y133" i="24" s="1"/>
  <c r="L61" i="22"/>
  <c r="J77" i="22"/>
  <c r="J78" i="22" s="1"/>
  <c r="U81" i="24"/>
  <c r="U82" i="24" s="1"/>
  <c r="M61" i="22"/>
  <c r="K59" i="24"/>
  <c r="P59" i="24"/>
  <c r="P61" i="22"/>
  <c r="N114" i="22"/>
  <c r="N104" i="22"/>
  <c r="N75" i="22"/>
  <c r="N12" i="22"/>
  <c r="Q114" i="22"/>
  <c r="Q75" i="22"/>
  <c r="J81" i="24"/>
  <c r="J82" i="24" s="1"/>
  <c r="R114" i="22"/>
  <c r="R75" i="22"/>
  <c r="T78" i="24"/>
  <c r="T79" i="24" s="1"/>
  <c r="T81" i="24"/>
  <c r="T82" i="24" s="1"/>
  <c r="M104" i="22"/>
  <c r="M12" i="22"/>
  <c r="M81" i="22" s="1"/>
  <c r="M82" i="22" s="1"/>
  <c r="M75" i="22"/>
  <c r="M114" i="22"/>
  <c r="M77" i="22"/>
  <c r="M78" i="22" s="1"/>
  <c r="P114" i="22"/>
  <c r="P75" i="22"/>
  <c r="P104" i="22"/>
  <c r="P12" i="22"/>
  <c r="P81" i="22" s="1"/>
  <c r="P82" i="22" s="1"/>
  <c r="K12" i="22"/>
  <c r="K81" i="22" s="1"/>
  <c r="K82" i="22" s="1"/>
  <c r="K114" i="22"/>
  <c r="K75" i="22"/>
  <c r="K104" i="22"/>
  <c r="K77" i="22"/>
  <c r="K78" i="22" s="1"/>
  <c r="L77" i="22"/>
  <c r="L78" i="22" s="1"/>
  <c r="L12" i="22"/>
  <c r="L81" i="22" s="1"/>
  <c r="L82" i="22" s="1"/>
  <c r="L75" i="22"/>
  <c r="L104" i="22"/>
  <c r="L114" i="22"/>
  <c r="N61" i="22"/>
  <c r="J104" i="22"/>
  <c r="Q59" i="24"/>
  <c r="N61" i="25"/>
  <c r="N62" i="25" s="1"/>
  <c r="N115" i="24" s="1"/>
  <c r="V78" i="24"/>
  <c r="V79" i="24" s="1"/>
  <c r="X61" i="25"/>
  <c r="X62" i="25" s="1"/>
  <c r="X115" i="24" s="1"/>
  <c r="J75" i="22"/>
  <c r="I59" i="24"/>
  <c r="J59" i="24"/>
  <c r="V81" i="24"/>
  <c r="V82" i="24" s="1"/>
  <c r="Z56" i="23"/>
  <c r="Z57" i="23" s="1"/>
  <c r="Z113" i="22" s="1"/>
  <c r="Z115" i="22" s="1"/>
  <c r="Z131" i="22" s="1"/>
  <c r="I61" i="22"/>
  <c r="S75" i="22"/>
  <c r="L59" i="24"/>
  <c r="J12" i="22"/>
  <c r="J14" i="22" s="1"/>
  <c r="J15" i="22" s="1"/>
  <c r="J61" i="22"/>
  <c r="M59" i="24"/>
  <c r="K61" i="22"/>
  <c r="N59" i="24"/>
  <c r="R81" i="24"/>
  <c r="R82" i="24" s="1"/>
  <c r="J114" i="22"/>
  <c r="O59" i="24"/>
  <c r="U116" i="24"/>
  <c r="U79" i="24"/>
  <c r="Q82" i="24"/>
  <c r="Q78" i="24"/>
  <c r="S82" i="24"/>
  <c r="P78" i="24"/>
  <c r="P82" i="24"/>
  <c r="O78" i="24"/>
  <c r="O82" i="24"/>
  <c r="N78" i="24"/>
  <c r="N82" i="24"/>
  <c r="M78" i="24"/>
  <c r="M82" i="24"/>
  <c r="L78" i="24"/>
  <c r="L82" i="24"/>
  <c r="W78" i="24"/>
  <c r="W82" i="24"/>
  <c r="K78" i="24"/>
  <c r="K82" i="24"/>
  <c r="X82" i="24"/>
  <c r="X78" i="24"/>
  <c r="S78" i="24"/>
  <c r="R78" i="24"/>
  <c r="V116" i="24"/>
  <c r="V61" i="25"/>
  <c r="V62" i="25" s="1"/>
  <c r="V115" i="24" s="1"/>
  <c r="E61" i="25"/>
  <c r="E62" i="25" s="1"/>
  <c r="E115" i="24" s="1"/>
  <c r="E117" i="24" s="1"/>
  <c r="E133" i="24" s="1"/>
  <c r="Q61" i="25"/>
  <c r="Q62" i="25" s="1"/>
  <c r="Q115" i="24" s="1"/>
  <c r="F61" i="25"/>
  <c r="F62" i="25" s="1"/>
  <c r="F115" i="24" s="1"/>
  <c r="F117" i="24" s="1"/>
  <c r="F133" i="24" s="1"/>
  <c r="R61" i="25"/>
  <c r="R62" i="25" s="1"/>
  <c r="R115" i="24" s="1"/>
  <c r="S61" i="25"/>
  <c r="S62" i="25" s="1"/>
  <c r="S115" i="24" s="1"/>
  <c r="AA105" i="24"/>
  <c r="U22" i="24"/>
  <c r="V22" i="24"/>
  <c r="M24" i="24"/>
  <c r="AF24" i="24" s="1"/>
  <c r="H61" i="25"/>
  <c r="H62" i="25" s="1"/>
  <c r="H115" i="24" s="1"/>
  <c r="T61" i="25"/>
  <c r="T62" i="25" s="1"/>
  <c r="T115" i="24" s="1"/>
  <c r="G61" i="25"/>
  <c r="G62" i="25" s="1"/>
  <c r="G115" i="24" s="1"/>
  <c r="J61" i="25"/>
  <c r="J62" i="25" s="1"/>
  <c r="J115" i="24" s="1"/>
  <c r="K61" i="25"/>
  <c r="K62" i="25" s="1"/>
  <c r="K115" i="24" s="1"/>
  <c r="L61" i="25"/>
  <c r="L62" i="25" s="1"/>
  <c r="L115" i="24" s="1"/>
  <c r="M61" i="25"/>
  <c r="M62" i="25" s="1"/>
  <c r="M115" i="24" s="1"/>
  <c r="O61" i="25"/>
  <c r="O62" i="25" s="1"/>
  <c r="O115" i="24" s="1"/>
  <c r="D61" i="25"/>
  <c r="D62" i="25" s="1"/>
  <c r="D115" i="24" s="1"/>
  <c r="P61" i="25"/>
  <c r="P62" i="25" s="1"/>
  <c r="P115" i="24" s="1"/>
  <c r="O56" i="23"/>
  <c r="O57" i="23" s="1"/>
  <c r="O113" i="22" s="1"/>
  <c r="Z105" i="24"/>
  <c r="Z117" i="24"/>
  <c r="Z133" i="24" s="1"/>
  <c r="AA117" i="24"/>
  <c r="AA133" i="24" s="1"/>
  <c r="D105" i="24"/>
  <c r="D90" i="24"/>
  <c r="AB117" i="24"/>
  <c r="AB133" i="24" s="1"/>
  <c r="E105" i="24"/>
  <c r="E88" i="24"/>
  <c r="AC105" i="24"/>
  <c r="AC117" i="24"/>
  <c r="AC133" i="24" s="1"/>
  <c r="F105" i="24"/>
  <c r="F88" i="24"/>
  <c r="F90" i="24" s="1"/>
  <c r="AD105" i="24"/>
  <c r="H105" i="24"/>
  <c r="H88" i="24"/>
  <c r="H90" i="24" s="1"/>
  <c r="Y105" i="24"/>
  <c r="I61" i="25"/>
  <c r="I62" i="25" s="1"/>
  <c r="I115" i="24" s="1"/>
  <c r="U61" i="25"/>
  <c r="U62" i="25" s="1"/>
  <c r="U115" i="24" s="1"/>
  <c r="I105" i="24"/>
  <c r="I88" i="24"/>
  <c r="I90" i="24" s="1"/>
  <c r="G105" i="24"/>
  <c r="G88" i="24"/>
  <c r="G90" i="24" s="1"/>
  <c r="R56" i="23"/>
  <c r="R57" i="23" s="1"/>
  <c r="R113" i="22" s="1"/>
  <c r="S56" i="23"/>
  <c r="S57" i="23" s="1"/>
  <c r="S113" i="22" s="1"/>
  <c r="N56" i="23"/>
  <c r="N57" i="23" s="1"/>
  <c r="N113" i="22" s="1"/>
  <c r="T56" i="23"/>
  <c r="T57" i="23" s="1"/>
  <c r="T113" i="22" s="1"/>
  <c r="T115" i="22" s="1"/>
  <c r="T131" i="22" s="1"/>
  <c r="K56" i="23"/>
  <c r="K57" i="23" s="1"/>
  <c r="K113" i="22" s="1"/>
  <c r="O104" i="22"/>
  <c r="O12" i="22"/>
  <c r="N77" i="22"/>
  <c r="N78" i="22" s="1"/>
  <c r="O77" i="22"/>
  <c r="O78" i="22" s="1"/>
  <c r="Q12" i="22"/>
  <c r="Q81" i="22" s="1"/>
  <c r="Q82" i="22" s="1"/>
  <c r="Q104" i="22"/>
  <c r="R12" i="22"/>
  <c r="R81" i="22" s="1"/>
  <c r="R82" i="22" s="1"/>
  <c r="R104" i="22"/>
  <c r="S104" i="22"/>
  <c r="P77" i="22"/>
  <c r="P78" i="22" s="1"/>
  <c r="Q77" i="22"/>
  <c r="Q78" i="22" s="1"/>
  <c r="R77" i="22"/>
  <c r="R78" i="22" s="1"/>
  <c r="D9" i="22"/>
  <c r="D104" i="22" s="1"/>
  <c r="E75" i="22"/>
  <c r="E114" i="22"/>
  <c r="E77" i="22"/>
  <c r="E78" i="22" s="1"/>
  <c r="E12" i="22"/>
  <c r="E81" i="22" s="1"/>
  <c r="E82" i="22" s="1"/>
  <c r="E104" i="22"/>
  <c r="H104" i="22"/>
  <c r="H12" i="22"/>
  <c r="H77" i="22"/>
  <c r="H78" i="22" s="1"/>
  <c r="H114" i="22"/>
  <c r="I104" i="22"/>
  <c r="I114" i="22"/>
  <c r="I77" i="22"/>
  <c r="I78" i="22" s="1"/>
  <c r="I12" i="22"/>
  <c r="I14" i="22" s="1"/>
  <c r="F114" i="22"/>
  <c r="F77" i="22"/>
  <c r="F78" i="22" s="1"/>
  <c r="F12" i="22"/>
  <c r="F81" i="22" s="1"/>
  <c r="F82" i="22" s="1"/>
  <c r="F75" i="22"/>
  <c r="G77" i="22"/>
  <c r="G78" i="22" s="1"/>
  <c r="G75" i="22"/>
  <c r="F104" i="22"/>
  <c r="G104" i="22"/>
  <c r="G114" i="22"/>
  <c r="G12" i="22"/>
  <c r="G81" i="22" s="1"/>
  <c r="G82" i="22" s="1"/>
  <c r="Q61" i="22" l="1"/>
  <c r="Z4" i="7"/>
  <c r="T61" i="22"/>
  <c r="S61" i="22"/>
  <c r="T59" i="24"/>
  <c r="S59" i="24"/>
  <c r="R59" i="24"/>
  <c r="R61" i="22"/>
  <c r="O61" i="22"/>
  <c r="H81" i="22"/>
  <c r="H82" i="22" s="1"/>
  <c r="H14" i="22"/>
  <c r="H15" i="22" s="1"/>
  <c r="I75" i="22"/>
  <c r="AF115" i="24"/>
  <c r="I113" i="22"/>
  <c r="I115" i="22" s="1"/>
  <c r="H113" i="22"/>
  <c r="H115" i="22" s="1"/>
  <c r="H131" i="22" s="1"/>
  <c r="G113" i="22"/>
  <c r="G115" i="22" s="1"/>
  <c r="G131" i="22" s="1"/>
  <c r="E113" i="22"/>
  <c r="E115" i="22" s="1"/>
  <c r="E131" i="22" s="1"/>
  <c r="F113" i="22"/>
  <c r="F115" i="22" s="1"/>
  <c r="F131" i="22" s="1"/>
  <c r="D113" i="22"/>
  <c r="J19" i="22"/>
  <c r="J17" i="22" s="1"/>
  <c r="AD113" i="22"/>
  <c r="AD115" i="22" s="1"/>
  <c r="AD131" i="22" s="1"/>
  <c r="AE113" i="22"/>
  <c r="AE115" i="22" s="1"/>
  <c r="AE131" i="22" s="1"/>
  <c r="BQ22" i="22"/>
  <c r="S14" i="22"/>
  <c r="S15" i="22" s="1"/>
  <c r="BQ104" i="22"/>
  <c r="I81" i="22"/>
  <c r="I82" i="22" s="1"/>
  <c r="AF82" i="24"/>
  <c r="E90" i="24"/>
  <c r="K54" i="24"/>
  <c r="AF34" i="24"/>
  <c r="K51" i="24"/>
  <c r="K55" i="24"/>
  <c r="L51" i="24"/>
  <c r="L55" i="24"/>
  <c r="M34" i="24"/>
  <c r="M54" i="24" s="1"/>
  <c r="M35" i="24"/>
  <c r="M55" i="24" s="1"/>
  <c r="H26" i="22"/>
  <c r="H106" i="22" s="1"/>
  <c r="G26" i="24"/>
  <c r="F29" i="24"/>
  <c r="F107" i="24" s="1"/>
  <c r="F111" i="24" s="1"/>
  <c r="D30" i="30"/>
  <c r="O14" i="22"/>
  <c r="O15" i="22" s="1"/>
  <c r="O81" i="22"/>
  <c r="O82" i="22" s="1"/>
  <c r="N14" i="22"/>
  <c r="N19" i="22" s="1"/>
  <c r="N81" i="22"/>
  <c r="N82" i="22" s="1"/>
  <c r="D25" i="22"/>
  <c r="J81" i="22"/>
  <c r="J82" i="22" s="1"/>
  <c r="M115" i="22"/>
  <c r="M131" i="22" s="1"/>
  <c r="O115" i="22"/>
  <c r="O131" i="22" s="1"/>
  <c r="D87" i="22"/>
  <c r="R115" i="22"/>
  <c r="R131" i="22" s="1"/>
  <c r="M14" i="22"/>
  <c r="M19" i="22" s="1"/>
  <c r="M17" i="22" s="1"/>
  <c r="T116" i="24"/>
  <c r="T117" i="24" s="1"/>
  <c r="T133" i="24" s="1"/>
  <c r="P115" i="22"/>
  <c r="P131" i="22" s="1"/>
  <c r="Q115" i="22"/>
  <c r="Q131" i="22" s="1"/>
  <c r="K115" i="22"/>
  <c r="K131" i="22" s="1"/>
  <c r="V71" i="24"/>
  <c r="J22" i="24"/>
  <c r="L115" i="22"/>
  <c r="L131" i="22" s="1"/>
  <c r="N115" i="22"/>
  <c r="N131" i="22" s="1"/>
  <c r="T22" i="24"/>
  <c r="J115" i="22"/>
  <c r="J131" i="22" s="1"/>
  <c r="S115" i="22"/>
  <c r="S131" i="22" s="1"/>
  <c r="L22" i="24"/>
  <c r="Q22" i="24"/>
  <c r="K14" i="22"/>
  <c r="K19" i="22" s="1"/>
  <c r="K17" i="22" s="1"/>
  <c r="O22" i="24"/>
  <c r="S22" i="24"/>
  <c r="L14" i="22"/>
  <c r="L19" i="22" s="1"/>
  <c r="L17" i="22" s="1"/>
  <c r="U117" i="24"/>
  <c r="U133" i="24" s="1"/>
  <c r="P14" i="22"/>
  <c r="P15" i="22" s="1"/>
  <c r="J116" i="24"/>
  <c r="J78" i="24"/>
  <c r="J79" i="24" s="1"/>
  <c r="P79" i="24"/>
  <c r="P116" i="24"/>
  <c r="P117" i="24" s="1"/>
  <c r="P133" i="24" s="1"/>
  <c r="M116" i="24"/>
  <c r="M117" i="24" s="1"/>
  <c r="M133" i="24" s="1"/>
  <c r="M79" i="24"/>
  <c r="R116" i="24"/>
  <c r="R117" i="24" s="1"/>
  <c r="R133" i="24" s="1"/>
  <c r="R79" i="24"/>
  <c r="Q116" i="24"/>
  <c r="Q117" i="24" s="1"/>
  <c r="Q133" i="24" s="1"/>
  <c r="Q79" i="24"/>
  <c r="V68" i="24"/>
  <c r="V8" i="24"/>
  <c r="P22" i="24"/>
  <c r="W116" i="24"/>
  <c r="W117" i="24" s="1"/>
  <c r="W133" i="24" s="1"/>
  <c r="W79" i="24"/>
  <c r="N79" i="24"/>
  <c r="N116" i="24"/>
  <c r="N117" i="24" s="1"/>
  <c r="N133" i="24" s="1"/>
  <c r="W22" i="24"/>
  <c r="X79" i="24"/>
  <c r="X116" i="24"/>
  <c r="X117" i="24" s="1"/>
  <c r="X133" i="24" s="1"/>
  <c r="O79" i="24"/>
  <c r="O116" i="24"/>
  <c r="O117" i="24" s="1"/>
  <c r="O133" i="24" s="1"/>
  <c r="R22" i="24"/>
  <c r="S79" i="24"/>
  <c r="S116" i="24"/>
  <c r="S117" i="24" s="1"/>
  <c r="S133" i="24" s="1"/>
  <c r="M22" i="24"/>
  <c r="K116" i="24"/>
  <c r="K117" i="24" s="1"/>
  <c r="K133" i="24" s="1"/>
  <c r="AI26" i="24"/>
  <c r="K79" i="24"/>
  <c r="X22" i="24"/>
  <c r="N22" i="24"/>
  <c r="K22" i="24"/>
  <c r="L79" i="24"/>
  <c r="L116" i="24"/>
  <c r="L117" i="24" s="1"/>
  <c r="L133" i="24" s="1"/>
  <c r="AB105" i="24"/>
  <c r="AD117" i="24"/>
  <c r="AD133" i="24" s="1"/>
  <c r="H117" i="24"/>
  <c r="H133" i="24" s="1"/>
  <c r="V117" i="24"/>
  <c r="V133" i="24" s="1"/>
  <c r="G117" i="24"/>
  <c r="G133" i="24" s="1"/>
  <c r="E111" i="24"/>
  <c r="E110" i="24"/>
  <c r="I117" i="24"/>
  <c r="I133" i="24" s="1"/>
  <c r="D111" i="24"/>
  <c r="D110" i="24"/>
  <c r="D117" i="24"/>
  <c r="Q14" i="22"/>
  <c r="R14" i="22"/>
  <c r="F109" i="22"/>
  <c r="E109" i="22"/>
  <c r="G14" i="22"/>
  <c r="G89" i="22"/>
  <c r="E89" i="22"/>
  <c r="E14" i="22"/>
  <c r="D77" i="22"/>
  <c r="D78" i="22" s="1"/>
  <c r="BQ78" i="22" s="1"/>
  <c r="D75" i="22"/>
  <c r="BQ75" i="22" s="1"/>
  <c r="D114" i="22"/>
  <c r="BQ114" i="22" s="1"/>
  <c r="D12" i="22"/>
  <c r="BQ12" i="22" s="1"/>
  <c r="G109" i="22"/>
  <c r="F89" i="22"/>
  <c r="F14" i="22"/>
  <c r="AF79" i="24" l="1"/>
  <c r="AF35" i="24"/>
  <c r="AA4" i="7"/>
  <c r="U61" i="22"/>
  <c r="U59" i="24"/>
  <c r="J32" i="22"/>
  <c r="S19" i="22"/>
  <c r="S17" i="22" s="1"/>
  <c r="N32" i="22"/>
  <c r="N17" i="22"/>
  <c r="O19" i="22"/>
  <c r="O17" i="22" s="1"/>
  <c r="N85" i="22"/>
  <c r="N33" i="22"/>
  <c r="N57" i="22" s="1"/>
  <c r="N31" i="22"/>
  <c r="N55" i="22" s="1"/>
  <c r="N86" i="22"/>
  <c r="N84" i="22"/>
  <c r="BQ113" i="22"/>
  <c r="I131" i="22"/>
  <c r="H108" i="22"/>
  <c r="H109" i="22"/>
  <c r="AF116" i="24"/>
  <c r="V9" i="24"/>
  <c r="V27" i="24" s="1"/>
  <c r="V12" i="24"/>
  <c r="N51" i="24"/>
  <c r="F110" i="24"/>
  <c r="T68" i="24"/>
  <c r="H26" i="24"/>
  <c r="G29" i="24"/>
  <c r="G107" i="24" s="1"/>
  <c r="M51" i="24"/>
  <c r="T71" i="24"/>
  <c r="D81" i="22"/>
  <c r="D82" i="22" s="1"/>
  <c r="BQ82" i="22" s="1"/>
  <c r="N15" i="22"/>
  <c r="J117" i="24"/>
  <c r="AF117" i="24" s="1"/>
  <c r="J33" i="22"/>
  <c r="J57" i="22" s="1"/>
  <c r="J31" i="22"/>
  <c r="L84" i="22"/>
  <c r="L31" i="22"/>
  <c r="L32" i="22"/>
  <c r="L33" i="22"/>
  <c r="L57" i="22" s="1"/>
  <c r="S33" i="22"/>
  <c r="S57" i="22" s="1"/>
  <c r="M31" i="22"/>
  <c r="M55" i="22" s="1"/>
  <c r="M32" i="22"/>
  <c r="M33" i="22"/>
  <c r="M57" i="22" s="1"/>
  <c r="K31" i="22"/>
  <c r="K55" i="22" s="1"/>
  <c r="K32" i="22"/>
  <c r="K33" i="22"/>
  <c r="K57" i="22" s="1"/>
  <c r="M15" i="22"/>
  <c r="S85" i="22"/>
  <c r="S84" i="22"/>
  <c r="K15" i="22"/>
  <c r="N68" i="24"/>
  <c r="N71" i="24"/>
  <c r="P19" i="22"/>
  <c r="P17" i="22" s="1"/>
  <c r="L86" i="22"/>
  <c r="L85" i="22"/>
  <c r="L15" i="22"/>
  <c r="S8" i="24"/>
  <c r="T8" i="24"/>
  <c r="R68" i="24"/>
  <c r="S68" i="24"/>
  <c r="V14" i="24"/>
  <c r="V76" i="24" s="1"/>
  <c r="U71" i="24"/>
  <c r="J8" i="24"/>
  <c r="J12" i="24" s="1"/>
  <c r="J68" i="24"/>
  <c r="U68" i="24"/>
  <c r="U8" i="24"/>
  <c r="J71" i="24"/>
  <c r="AF20" i="24"/>
  <c r="F91" i="24"/>
  <c r="G91" i="24"/>
  <c r="D133" i="24"/>
  <c r="Q15" i="22"/>
  <c r="Q19" i="22"/>
  <c r="Q17" i="22" s="1"/>
  <c r="M86" i="22"/>
  <c r="M85" i="22"/>
  <c r="M84" i="22"/>
  <c r="R15" i="22"/>
  <c r="R19" i="22"/>
  <c r="R17" i="22" s="1"/>
  <c r="D115" i="22"/>
  <c r="BQ115" i="22" s="1"/>
  <c r="E15" i="22"/>
  <c r="E19" i="22"/>
  <c r="I15" i="22"/>
  <c r="I19" i="22"/>
  <c r="I17" i="22" s="1"/>
  <c r="D14" i="22"/>
  <c r="BQ14" i="22" s="1"/>
  <c r="BQ15" i="22" s="1"/>
  <c r="H19" i="22"/>
  <c r="H17" i="22" s="1"/>
  <c r="G15" i="22"/>
  <c r="G19" i="22"/>
  <c r="J84" i="22"/>
  <c r="J86" i="22"/>
  <c r="J85" i="22"/>
  <c r="F15" i="22"/>
  <c r="F19" i="22"/>
  <c r="K85" i="22"/>
  <c r="K84" i="22"/>
  <c r="K86" i="22"/>
  <c r="AB4" i="7" l="1"/>
  <c r="V61" i="22"/>
  <c r="V59" i="24"/>
  <c r="S32" i="22"/>
  <c r="S31" i="22"/>
  <c r="S55" i="22" s="1"/>
  <c r="S86" i="22"/>
  <c r="O86" i="22"/>
  <c r="O85" i="22"/>
  <c r="O32" i="22"/>
  <c r="O31" i="22"/>
  <c r="O55" i="22" s="1"/>
  <c r="O84" i="22"/>
  <c r="O33" i="22"/>
  <c r="O57" i="22" s="1"/>
  <c r="N87" i="22"/>
  <c r="N89" i="22" s="1"/>
  <c r="N90" i="22" s="1"/>
  <c r="S4" i="8" s="1"/>
  <c r="N52" i="22"/>
  <c r="N34" i="22"/>
  <c r="J55" i="22"/>
  <c r="J34" i="22"/>
  <c r="D108" i="22"/>
  <c r="V73" i="24"/>
  <c r="V74" i="24" s="1"/>
  <c r="V105" i="24"/>
  <c r="I84" i="22"/>
  <c r="I85" i="22"/>
  <c r="I86" i="22"/>
  <c r="L55" i="22"/>
  <c r="T9" i="24"/>
  <c r="T12" i="24"/>
  <c r="U9" i="24"/>
  <c r="U12" i="24"/>
  <c r="S9" i="24"/>
  <c r="S27" i="24" s="1"/>
  <c r="S12" i="24"/>
  <c r="O51" i="24"/>
  <c r="G111" i="24"/>
  <c r="G110" i="24"/>
  <c r="I26" i="24"/>
  <c r="H29" i="24"/>
  <c r="H107" i="24" s="1"/>
  <c r="J9" i="24"/>
  <c r="J27" i="24" s="1"/>
  <c r="L52" i="22"/>
  <c r="K52" i="22"/>
  <c r="M52" i="22"/>
  <c r="O52" i="22"/>
  <c r="S52" i="22"/>
  <c r="J52" i="22"/>
  <c r="Z146" i="22"/>
  <c r="J133" i="24"/>
  <c r="AF7" i="24"/>
  <c r="AI24" i="24" s="1"/>
  <c r="E31" i="22"/>
  <c r="E55" i="22" s="1"/>
  <c r="E32" i="22"/>
  <c r="E56" i="22" s="1"/>
  <c r="E33" i="22"/>
  <c r="E57" i="22" s="1"/>
  <c r="Q32" i="22"/>
  <c r="Q33" i="22"/>
  <c r="Q57" i="22" s="1"/>
  <c r="Q31" i="22"/>
  <c r="Q55" i="22" s="1"/>
  <c r="W146" i="22"/>
  <c r="K34" i="22"/>
  <c r="H31" i="22"/>
  <c r="H32" i="22"/>
  <c r="H33" i="22"/>
  <c r="H57" i="22" s="1"/>
  <c r="L34" i="22"/>
  <c r="M34" i="22"/>
  <c r="F31" i="22"/>
  <c r="F55" i="22" s="1"/>
  <c r="F32" i="22"/>
  <c r="F56" i="22" s="1"/>
  <c r="F33" i="22"/>
  <c r="F57" i="22" s="1"/>
  <c r="I32" i="22"/>
  <c r="I33" i="22"/>
  <c r="I57" i="22" s="1"/>
  <c r="I31" i="22"/>
  <c r="I55" i="22" s="1"/>
  <c r="P32" i="22"/>
  <c r="P33" i="22"/>
  <c r="P57" i="22" s="1"/>
  <c r="P31" i="22"/>
  <c r="V146" i="22"/>
  <c r="G33" i="22"/>
  <c r="G57" i="22" s="1"/>
  <c r="G31" i="22"/>
  <c r="G32" i="22"/>
  <c r="G56" i="22" s="1"/>
  <c r="R32" i="22"/>
  <c r="R33" i="22"/>
  <c r="R57" i="22" s="1"/>
  <c r="R31" i="22"/>
  <c r="R55" i="22" s="1"/>
  <c r="S34" i="22"/>
  <c r="S87" i="22"/>
  <c r="J87" i="22"/>
  <c r="J89" i="22" s="1"/>
  <c r="P85" i="22"/>
  <c r="P84" i="22"/>
  <c r="N8" i="24"/>
  <c r="N12" i="24" s="1"/>
  <c r="P86" i="22"/>
  <c r="S71" i="24"/>
  <c r="L87" i="22"/>
  <c r="K71" i="24"/>
  <c r="AA146" i="22"/>
  <c r="K87" i="22"/>
  <c r="M87" i="22"/>
  <c r="T27" i="24"/>
  <c r="T73" i="24"/>
  <c r="T74" i="24" s="1"/>
  <c r="T105" i="24"/>
  <c r="T14" i="24"/>
  <c r="T76" i="24" s="1"/>
  <c r="K68" i="24"/>
  <c r="K8" i="24"/>
  <c r="U14" i="24"/>
  <c r="U76" i="24" s="1"/>
  <c r="U27" i="24"/>
  <c r="U73" i="24"/>
  <c r="U74" i="24" s="1"/>
  <c r="U105" i="24"/>
  <c r="S14" i="24"/>
  <c r="S76" i="24" s="1"/>
  <c r="Q8" i="24"/>
  <c r="Q68" i="24"/>
  <c r="O71" i="24"/>
  <c r="Q71" i="24"/>
  <c r="M71" i="24"/>
  <c r="W68" i="24"/>
  <c r="W8" i="24"/>
  <c r="O8" i="24"/>
  <c r="O68" i="24"/>
  <c r="W71" i="24"/>
  <c r="X68" i="24"/>
  <c r="X8" i="24"/>
  <c r="X71" i="24"/>
  <c r="P8" i="24"/>
  <c r="P68" i="24"/>
  <c r="J14" i="24"/>
  <c r="M8" i="24"/>
  <c r="M68" i="24"/>
  <c r="L68" i="24"/>
  <c r="L8" i="24"/>
  <c r="P71" i="24"/>
  <c r="R8" i="24"/>
  <c r="R71" i="24"/>
  <c r="L71" i="24"/>
  <c r="V85" i="24"/>
  <c r="V86" i="24"/>
  <c r="V87" i="24"/>
  <c r="V84" i="24"/>
  <c r="J85" i="24"/>
  <c r="J86" i="24"/>
  <c r="J87" i="24"/>
  <c r="J84" i="24"/>
  <c r="Q84" i="24"/>
  <c r="Q85" i="24"/>
  <c r="Q86" i="24"/>
  <c r="Q87" i="24"/>
  <c r="Z87" i="24"/>
  <c r="Z84" i="24"/>
  <c r="Z85" i="24"/>
  <c r="Z86" i="24"/>
  <c r="AD84" i="24"/>
  <c r="AD85" i="24"/>
  <c r="AD86" i="24"/>
  <c r="AD87" i="24"/>
  <c r="U85" i="24"/>
  <c r="U86" i="24"/>
  <c r="U87" i="24"/>
  <c r="U84" i="24"/>
  <c r="O87" i="24"/>
  <c r="O84" i="24"/>
  <c r="O85" i="24"/>
  <c r="O86" i="24"/>
  <c r="R84" i="24"/>
  <c r="R85" i="24"/>
  <c r="R86" i="24"/>
  <c r="R87" i="24"/>
  <c r="H91" i="24"/>
  <c r="P87" i="24"/>
  <c r="P84" i="24"/>
  <c r="P85" i="24"/>
  <c r="P86" i="24"/>
  <c r="N87" i="24"/>
  <c r="N84" i="24"/>
  <c r="N85" i="24"/>
  <c r="N86" i="24"/>
  <c r="K86" i="24"/>
  <c r="K87" i="24"/>
  <c r="K84" i="24"/>
  <c r="K85" i="24"/>
  <c r="D91" i="24"/>
  <c r="M86" i="24"/>
  <c r="M87" i="24"/>
  <c r="M84" i="24"/>
  <c r="M85" i="24"/>
  <c r="T85" i="24"/>
  <c r="T86" i="24"/>
  <c r="T87" i="24"/>
  <c r="T84" i="24"/>
  <c r="AC84" i="24"/>
  <c r="AC85" i="24"/>
  <c r="AC86" i="24"/>
  <c r="AC87" i="24"/>
  <c r="W86" i="24"/>
  <c r="W87" i="24"/>
  <c r="W84" i="24"/>
  <c r="W85" i="24"/>
  <c r="S84" i="24"/>
  <c r="S85" i="24"/>
  <c r="S86" i="24"/>
  <c r="S87" i="24"/>
  <c r="AB87" i="24"/>
  <c r="AB84" i="24"/>
  <c r="AB85" i="24"/>
  <c r="AB86" i="24"/>
  <c r="L86" i="24"/>
  <c r="L87" i="24"/>
  <c r="L84" i="24"/>
  <c r="L85" i="24"/>
  <c r="E91" i="24"/>
  <c r="X86" i="24"/>
  <c r="X87" i="24"/>
  <c r="X84" i="24"/>
  <c r="X85" i="24"/>
  <c r="AA87" i="24"/>
  <c r="AA84" i="24"/>
  <c r="AA85" i="24"/>
  <c r="AA86" i="24"/>
  <c r="Y86" i="24"/>
  <c r="Y87" i="24"/>
  <c r="Y84" i="24"/>
  <c r="Y85" i="24"/>
  <c r="I91" i="24"/>
  <c r="Q85" i="22"/>
  <c r="Q84" i="22"/>
  <c r="Q86" i="22"/>
  <c r="R86" i="22"/>
  <c r="R85" i="22"/>
  <c r="R84" i="22"/>
  <c r="E17" i="22"/>
  <c r="G17" i="22"/>
  <c r="G90" i="22"/>
  <c r="L4" i="8" s="1"/>
  <c r="F17" i="22"/>
  <c r="D89" i="22"/>
  <c r="D109" i="22"/>
  <c r="D15" i="22"/>
  <c r="D19" i="22"/>
  <c r="BQ19" i="22" s="1"/>
  <c r="BQ17" i="22" s="1"/>
  <c r="D131" i="22"/>
  <c r="E90" i="22"/>
  <c r="J4" i="8" s="1"/>
  <c r="F90" i="22"/>
  <c r="K4" i="8" s="1"/>
  <c r="AF68" i="24" l="1"/>
  <c r="AC4" i="7"/>
  <c r="W61" i="22"/>
  <c r="W59" i="24"/>
  <c r="O34" i="22"/>
  <c r="O93" i="22" s="1"/>
  <c r="O146" i="22" s="1"/>
  <c r="O87" i="22"/>
  <c r="N93" i="22"/>
  <c r="N146" i="22" s="1"/>
  <c r="J93" i="22"/>
  <c r="J146" i="22" s="1"/>
  <c r="S89" i="22"/>
  <c r="S90" i="22" s="1"/>
  <c r="X4" i="8" s="1"/>
  <c r="K89" i="22"/>
  <c r="K90" i="22" s="1"/>
  <c r="P4" i="8" s="1"/>
  <c r="M93" i="22"/>
  <c r="M146" i="22" s="1"/>
  <c r="S93" i="22"/>
  <c r="S146" i="22" s="1"/>
  <c r="L89" i="22"/>
  <c r="L90" i="22" s="1"/>
  <c r="Q4" i="8" s="1"/>
  <c r="L93" i="22"/>
  <c r="L146" i="22" s="1"/>
  <c r="M89" i="22"/>
  <c r="M90" i="22" s="1"/>
  <c r="R4" i="8" s="1"/>
  <c r="K93" i="22"/>
  <c r="K146" i="22" s="1"/>
  <c r="O89" i="22"/>
  <c r="O90" i="22" s="1"/>
  <c r="T4" i="8" s="1"/>
  <c r="I87" i="22"/>
  <c r="P55" i="22"/>
  <c r="G55" i="22"/>
  <c r="H55" i="22"/>
  <c r="W9" i="24"/>
  <c r="W73" i="24" s="1"/>
  <c r="W74" i="24" s="1"/>
  <c r="W12" i="24"/>
  <c r="P9" i="24"/>
  <c r="P12" i="24"/>
  <c r="R9" i="24"/>
  <c r="R73" i="24" s="1"/>
  <c r="R74" i="24" s="1"/>
  <c r="R12" i="24"/>
  <c r="X9" i="24"/>
  <c r="X105" i="24" s="1"/>
  <c r="X12" i="24"/>
  <c r="M9" i="24"/>
  <c r="M12" i="24"/>
  <c r="Q9" i="24"/>
  <c r="Q73" i="24" s="1"/>
  <c r="Q74" i="24" s="1"/>
  <c r="Q12" i="24"/>
  <c r="L9" i="24"/>
  <c r="L105" i="24" s="1"/>
  <c r="L12" i="24"/>
  <c r="K9" i="24"/>
  <c r="K27" i="24" s="1"/>
  <c r="K12" i="24"/>
  <c r="O9" i="24"/>
  <c r="O12" i="24"/>
  <c r="Q36" i="24"/>
  <c r="Q109" i="24" s="1"/>
  <c r="P51" i="24"/>
  <c r="J105" i="24"/>
  <c r="J73" i="24"/>
  <c r="J74" i="24" s="1"/>
  <c r="H111" i="24"/>
  <c r="H110" i="24"/>
  <c r="J26" i="24"/>
  <c r="I29" i="24"/>
  <c r="I107" i="24" s="1"/>
  <c r="W27" i="24"/>
  <c r="N14" i="24"/>
  <c r="N76" i="24" s="1"/>
  <c r="N9" i="24"/>
  <c r="N88" i="24" s="1"/>
  <c r="W105" i="24"/>
  <c r="AF8" i="24"/>
  <c r="AF12" i="24" s="1"/>
  <c r="P52" i="22"/>
  <c r="Q52" i="22"/>
  <c r="R52" i="22"/>
  <c r="I52" i="22"/>
  <c r="H52" i="22"/>
  <c r="Q34" i="22"/>
  <c r="Q93" i="22" s="1"/>
  <c r="Q146" i="22" s="1"/>
  <c r="Y146" i="22"/>
  <c r="I34" i="22"/>
  <c r="J76" i="24"/>
  <c r="H34" i="22"/>
  <c r="D57" i="29" s="1"/>
  <c r="D33" i="22"/>
  <c r="D31" i="22"/>
  <c r="BQ31" i="22" s="1"/>
  <c r="D32" i="22"/>
  <c r="P34" i="22"/>
  <c r="F51" i="22"/>
  <c r="AB146" i="22"/>
  <c r="R34" i="22"/>
  <c r="F34" i="22"/>
  <c r="T146" i="22"/>
  <c r="G51" i="22"/>
  <c r="X146" i="22"/>
  <c r="G34" i="22"/>
  <c r="E51" i="22"/>
  <c r="AD146" i="22"/>
  <c r="E34" i="22"/>
  <c r="S73" i="24"/>
  <c r="S74" i="24" s="1"/>
  <c r="P87" i="22"/>
  <c r="S105" i="24"/>
  <c r="Q87" i="22"/>
  <c r="R87" i="22"/>
  <c r="L14" i="24"/>
  <c r="L76" i="24" s="1"/>
  <c r="W14" i="24"/>
  <c r="W76" i="24" s="1"/>
  <c r="R14" i="24"/>
  <c r="R76" i="24" s="1"/>
  <c r="O14" i="24"/>
  <c r="O76" i="24" s="1"/>
  <c r="M14" i="24"/>
  <c r="M76" i="24" s="1"/>
  <c r="X14" i="24"/>
  <c r="M27" i="24"/>
  <c r="M73" i="24"/>
  <c r="M74" i="24" s="1"/>
  <c r="M105" i="24"/>
  <c r="R27" i="24"/>
  <c r="R105" i="24"/>
  <c r="P14" i="24"/>
  <c r="P76" i="24" s="1"/>
  <c r="K14" i="24"/>
  <c r="K76" i="24" s="1"/>
  <c r="Q27" i="24"/>
  <c r="Q105" i="24"/>
  <c r="O27" i="24"/>
  <c r="O73" i="24"/>
  <c r="O74" i="24" s="1"/>
  <c r="O105" i="24"/>
  <c r="P27" i="24"/>
  <c r="P73" i="24"/>
  <c r="P74" i="24" s="1"/>
  <c r="P105" i="24"/>
  <c r="Q14" i="24"/>
  <c r="Q76" i="24" s="1"/>
  <c r="Y88" i="24"/>
  <c r="Y90" i="24" s="1"/>
  <c r="AB88" i="24"/>
  <c r="AB90" i="24" s="1"/>
  <c r="M36" i="24"/>
  <c r="M109" i="24" s="1"/>
  <c r="P88" i="24"/>
  <c r="E36" i="24"/>
  <c r="E109" i="24" s="1"/>
  <c r="U88" i="24"/>
  <c r="U90" i="24" s="1"/>
  <c r="J88" i="24"/>
  <c r="S88" i="24"/>
  <c r="M88" i="24"/>
  <c r="N36" i="24"/>
  <c r="N109" i="24" s="1"/>
  <c r="Z88" i="24"/>
  <c r="Z90" i="24" s="1"/>
  <c r="F36" i="24"/>
  <c r="F109" i="24" s="1"/>
  <c r="AC88" i="24"/>
  <c r="AC90" i="24" s="1"/>
  <c r="O36" i="24"/>
  <c r="O109" i="24" s="1"/>
  <c r="W88" i="24"/>
  <c r="H36" i="24"/>
  <c r="H109" i="24" s="1"/>
  <c r="I36" i="24"/>
  <c r="I109" i="24" s="1"/>
  <c r="T88" i="24"/>
  <c r="T90" i="24" s="1"/>
  <c r="D58" i="24"/>
  <c r="AA88" i="24"/>
  <c r="AA90" i="24" s="1"/>
  <c r="G36" i="24"/>
  <c r="G109" i="24" s="1"/>
  <c r="G58" i="24"/>
  <c r="G60" i="24" s="1"/>
  <c r="P36" i="24"/>
  <c r="P109" i="24" s="1"/>
  <c r="O88" i="24"/>
  <c r="V88" i="24"/>
  <c r="V90" i="24" s="1"/>
  <c r="L36" i="24"/>
  <c r="L109" i="24" s="1"/>
  <c r="K36" i="24"/>
  <c r="K109" i="24" s="1"/>
  <c r="AD88" i="24"/>
  <c r="AD90" i="24" s="1"/>
  <c r="Q88" i="24"/>
  <c r="J36" i="24"/>
  <c r="J109" i="24" s="1"/>
  <c r="D17" i="22"/>
  <c r="F50" i="22"/>
  <c r="G50" i="22"/>
  <c r="E50" i="22"/>
  <c r="D90" i="22"/>
  <c r="I4" i="8" s="1"/>
  <c r="U146" i="22"/>
  <c r="J90" i="22"/>
  <c r="O4" i="8" s="1"/>
  <c r="AD4" i="7" l="1"/>
  <c r="X61" i="22"/>
  <c r="X59" i="24"/>
  <c r="D50" i="29"/>
  <c r="D49" i="29"/>
  <c r="D51" i="29"/>
  <c r="D53" i="29"/>
  <c r="G58" i="22"/>
  <c r="E93" i="22"/>
  <c r="D57" i="22"/>
  <c r="BQ33" i="22"/>
  <c r="Q89" i="22"/>
  <c r="Q90" i="22" s="1"/>
  <c r="V4" i="8" s="1"/>
  <c r="D56" i="22"/>
  <c r="BQ32" i="22"/>
  <c r="BQ87" i="22"/>
  <c r="P93" i="22"/>
  <c r="P146" i="22" s="1"/>
  <c r="F93" i="22"/>
  <c r="F146" i="22" s="1"/>
  <c r="R93" i="22"/>
  <c r="R146" i="22" s="1"/>
  <c r="P89" i="22"/>
  <c r="P90" i="22" s="1"/>
  <c r="U4" i="8" s="1"/>
  <c r="I89" i="22"/>
  <c r="R89" i="22"/>
  <c r="R90" i="22" s="1"/>
  <c r="W4" i="8" s="1"/>
  <c r="AF14" i="24"/>
  <c r="D55" i="22"/>
  <c r="AC146" i="22"/>
  <c r="E58" i="22"/>
  <c r="F58" i="22"/>
  <c r="K88" i="24"/>
  <c r="L27" i="24"/>
  <c r="L88" i="24"/>
  <c r="L90" i="24" s="1"/>
  <c r="L73" i="24"/>
  <c r="L74" i="24" s="1"/>
  <c r="X88" i="24"/>
  <c r="R88" i="24"/>
  <c r="K73" i="24"/>
  <c r="K74" i="24" s="1"/>
  <c r="K105" i="24"/>
  <c r="AF105" i="24" s="1"/>
  <c r="X73" i="24"/>
  <c r="X74" i="24" s="1"/>
  <c r="X27" i="24"/>
  <c r="Q51" i="24"/>
  <c r="AV106" i="22"/>
  <c r="AV108" i="22" s="1"/>
  <c r="I110" i="24"/>
  <c r="I111" i="24"/>
  <c r="K26" i="24"/>
  <c r="J29" i="24"/>
  <c r="J107" i="24" s="1"/>
  <c r="J110" i="24" s="1"/>
  <c r="N27" i="24"/>
  <c r="AF27" i="24" s="1"/>
  <c r="AF9" i="24"/>
  <c r="AF22" i="24" s="1"/>
  <c r="N73" i="24"/>
  <c r="N74" i="24" s="1"/>
  <c r="N105" i="24"/>
  <c r="S90" i="24"/>
  <c r="S91" i="24" s="1"/>
  <c r="J90" i="24"/>
  <c r="G60" i="22"/>
  <c r="G62" i="22" s="1"/>
  <c r="D51" i="22"/>
  <c r="D34" i="22"/>
  <c r="D60" i="24"/>
  <c r="K94" i="24"/>
  <c r="M94" i="24"/>
  <c r="J94" i="24"/>
  <c r="I94" i="24"/>
  <c r="F94" i="24"/>
  <c r="E94" i="24"/>
  <c r="H94" i="24"/>
  <c r="Q94" i="24"/>
  <c r="W90" i="24"/>
  <c r="W91" i="24" s="1"/>
  <c r="O90" i="24"/>
  <c r="M90" i="24"/>
  <c r="P90" i="24"/>
  <c r="X76" i="24"/>
  <c r="AF76" i="24" s="1"/>
  <c r="Q90" i="24"/>
  <c r="I56" i="24"/>
  <c r="I58" i="24"/>
  <c r="I60" i="24" s="1"/>
  <c r="H58" i="24"/>
  <c r="H60" i="24" s="1"/>
  <c r="H56" i="24"/>
  <c r="P94" i="24"/>
  <c r="P149" i="24" s="1"/>
  <c r="D94" i="24"/>
  <c r="N94" i="24"/>
  <c r="N149" i="24" s="1"/>
  <c r="L94" i="24"/>
  <c r="L149" i="24" s="1"/>
  <c r="G94" i="24"/>
  <c r="G56" i="24"/>
  <c r="G61" i="24"/>
  <c r="G147" i="24" s="1"/>
  <c r="O94" i="24"/>
  <c r="O149" i="24" s="1"/>
  <c r="T91" i="24"/>
  <c r="F58" i="24"/>
  <c r="F60" i="24" s="1"/>
  <c r="F56" i="24"/>
  <c r="V91" i="24"/>
  <c r="U91" i="24"/>
  <c r="E58" i="24"/>
  <c r="E60" i="24" s="1"/>
  <c r="E56" i="24"/>
  <c r="E60" i="22"/>
  <c r="E62" i="22" s="1"/>
  <c r="G93" i="22"/>
  <c r="G146" i="22" s="1"/>
  <c r="H89" i="22"/>
  <c r="D50" i="22"/>
  <c r="I93" i="22"/>
  <c r="H93" i="22"/>
  <c r="H146" i="22" s="1"/>
  <c r="F60" i="22"/>
  <c r="F62" i="22" s="1"/>
  <c r="AE4" i="7" l="1"/>
  <c r="Y61" i="22"/>
  <c r="Y59" i="24"/>
  <c r="D52" i="29"/>
  <c r="AV109" i="22"/>
  <c r="BQ34" i="22"/>
  <c r="BQ89" i="22"/>
  <c r="BQ90" i="22" s="1"/>
  <c r="I146" i="22"/>
  <c r="G63" i="22"/>
  <c r="I90" i="22"/>
  <c r="N4" i="8" s="1"/>
  <c r="D58" i="22"/>
  <c r="E146" i="22"/>
  <c r="K90" i="24"/>
  <c r="AF74" i="24"/>
  <c r="AF88" i="24"/>
  <c r="R90" i="24"/>
  <c r="R91" i="24" s="1"/>
  <c r="AF110" i="24"/>
  <c r="X90" i="24"/>
  <c r="R51" i="24"/>
  <c r="R36" i="24"/>
  <c r="N90" i="24"/>
  <c r="J111" i="24"/>
  <c r="L26" i="24"/>
  <c r="K29" i="24"/>
  <c r="K107" i="24" s="1"/>
  <c r="H90" i="22"/>
  <c r="M4" i="8" s="1"/>
  <c r="D61" i="24"/>
  <c r="D147" i="24" s="1"/>
  <c r="D148" i="24" s="1"/>
  <c r="G149" i="24"/>
  <c r="H149" i="24"/>
  <c r="E149" i="24"/>
  <c r="M149" i="24"/>
  <c r="F149" i="24"/>
  <c r="Q149" i="24"/>
  <c r="I149" i="24"/>
  <c r="J149" i="24"/>
  <c r="K149" i="24"/>
  <c r="D149" i="24"/>
  <c r="G148" i="24"/>
  <c r="I61" i="24"/>
  <c r="I147" i="24" s="1"/>
  <c r="E61" i="24"/>
  <c r="E147" i="24" s="1"/>
  <c r="H61" i="24"/>
  <c r="H147" i="24" s="1"/>
  <c r="F61" i="24"/>
  <c r="F147" i="24" s="1"/>
  <c r="E63" i="22"/>
  <c r="E144" i="22" s="1"/>
  <c r="F63" i="22"/>
  <c r="D60" i="22"/>
  <c r="D93" i="22"/>
  <c r="D94" i="22"/>
  <c r="R94" i="24" l="1"/>
  <c r="R109" i="24"/>
  <c r="AF4" i="7"/>
  <c r="Z61" i="22"/>
  <c r="Z59" i="24"/>
  <c r="BQ93" i="22"/>
  <c r="G144" i="22"/>
  <c r="G145" i="22" s="1"/>
  <c r="G147" i="22" s="1"/>
  <c r="G148" i="22" s="1"/>
  <c r="G95" i="22" s="1"/>
  <c r="G96" i="22" s="1"/>
  <c r="G98" i="22" s="1"/>
  <c r="G99" i="22" s="1"/>
  <c r="F144" i="22"/>
  <c r="AF90" i="24"/>
  <c r="R149" i="24"/>
  <c r="S51" i="24"/>
  <c r="S36" i="24"/>
  <c r="M26" i="24"/>
  <c r="L29" i="24"/>
  <c r="L107" i="24" s="1"/>
  <c r="K110" i="24"/>
  <c r="K111" i="24"/>
  <c r="G150" i="24"/>
  <c r="G151" i="24" s="1"/>
  <c r="G96" i="24" s="1"/>
  <c r="G97" i="24" s="1"/>
  <c r="G99" i="24" s="1"/>
  <c r="G102" i="24" s="1"/>
  <c r="D62" i="22"/>
  <c r="D150" i="24"/>
  <c r="D151" i="24" s="1"/>
  <c r="D96" i="24" s="1"/>
  <c r="G153" i="24"/>
  <c r="D146" i="22"/>
  <c r="D153" i="24"/>
  <c r="F145" i="22"/>
  <c r="F150" i="22" s="1"/>
  <c r="F148" i="24"/>
  <c r="F153" i="24" s="1"/>
  <c r="H148" i="24"/>
  <c r="H153" i="24" s="1"/>
  <c r="I148" i="24"/>
  <c r="I153" i="24" s="1"/>
  <c r="E145" i="22"/>
  <c r="E150" i="22" s="1"/>
  <c r="E148" i="24"/>
  <c r="E153" i="24" s="1"/>
  <c r="S94" i="24" l="1"/>
  <c r="S149" i="24" s="1"/>
  <c r="S109" i="24"/>
  <c r="AG4" i="7"/>
  <c r="AA61" i="22"/>
  <c r="AA59" i="24"/>
  <c r="G150" i="22"/>
  <c r="G101" i="22"/>
  <c r="G118" i="22" s="1"/>
  <c r="L8" i="8" s="1"/>
  <c r="D63" i="22"/>
  <c r="T51" i="24"/>
  <c r="T36" i="24"/>
  <c r="N26" i="24"/>
  <c r="M29" i="24"/>
  <c r="M107" i="24" s="1"/>
  <c r="L111" i="24"/>
  <c r="L110" i="24"/>
  <c r="G100" i="24"/>
  <c r="D97" i="24"/>
  <c r="D99" i="24" s="1"/>
  <c r="I150" i="24"/>
  <c r="I151" i="24" s="1"/>
  <c r="I96" i="24" s="1"/>
  <c r="I97" i="24" s="1"/>
  <c r="I99" i="24" s="1"/>
  <c r="I100" i="24" s="1"/>
  <c r="F147" i="22"/>
  <c r="F148" i="22" s="1"/>
  <c r="F95" i="22" s="1"/>
  <c r="F96" i="22" s="1"/>
  <c r="F98" i="22" s="1"/>
  <c r="F99" i="22" s="1"/>
  <c r="F150" i="24"/>
  <c r="F151" i="24" s="1"/>
  <c r="F96" i="24" s="1"/>
  <c r="F97" i="24" s="1"/>
  <c r="F99" i="24" s="1"/>
  <c r="H150" i="24"/>
  <c r="H151" i="24" s="1"/>
  <c r="H96" i="24" s="1"/>
  <c r="H97" i="24" s="1"/>
  <c r="H99" i="24" s="1"/>
  <c r="E150" i="24"/>
  <c r="E151" i="24" s="1"/>
  <c r="E96" i="24" s="1"/>
  <c r="E97" i="24" s="1"/>
  <c r="E99" i="24" s="1"/>
  <c r="E147" i="22"/>
  <c r="E148" i="22" s="1"/>
  <c r="E95" i="22" s="1"/>
  <c r="E96" i="22" s="1"/>
  <c r="E98" i="22" s="1"/>
  <c r="G120" i="24"/>
  <c r="T94" i="24" l="1"/>
  <c r="T149" i="24" s="1"/>
  <c r="T109" i="24"/>
  <c r="AH4" i="7"/>
  <c r="AB61" i="22"/>
  <c r="AB62" i="22" s="1"/>
  <c r="AB63" i="22" s="1"/>
  <c r="AB59" i="24"/>
  <c r="D144" i="22"/>
  <c r="D145" i="22" s="1"/>
  <c r="D147" i="22" s="1"/>
  <c r="D148" i="22" s="1"/>
  <c r="D95" i="22" s="1"/>
  <c r="U51" i="24"/>
  <c r="U36" i="24"/>
  <c r="M110" i="24"/>
  <c r="M111" i="24"/>
  <c r="O26" i="24"/>
  <c r="N29" i="24"/>
  <c r="N107" i="24" s="1"/>
  <c r="I102" i="24"/>
  <c r="I120" i="24" s="1"/>
  <c r="D96" i="22"/>
  <c r="D98" i="22" s="1"/>
  <c r="D100" i="24"/>
  <c r="D102" i="24"/>
  <c r="F101" i="22"/>
  <c r="F100" i="24"/>
  <c r="F102" i="24"/>
  <c r="D150" i="22"/>
  <c r="E99" i="22"/>
  <c r="E101" i="22"/>
  <c r="E100" i="24"/>
  <c r="E102" i="24"/>
  <c r="H100" i="24"/>
  <c r="H102" i="24"/>
  <c r="H120" i="24" s="1"/>
  <c r="U94" i="24" l="1"/>
  <c r="U109" i="24"/>
  <c r="AI4" i="7"/>
  <c r="AC61" i="22"/>
  <c r="AC62" i="22" s="1"/>
  <c r="AC63" i="22" s="1"/>
  <c r="AC59" i="24"/>
  <c r="D101" i="22"/>
  <c r="D118" i="22" s="1"/>
  <c r="I8" i="8" s="1"/>
  <c r="U149" i="24"/>
  <c r="V51" i="24"/>
  <c r="V36" i="24"/>
  <c r="N111" i="24"/>
  <c r="N110" i="24"/>
  <c r="P26" i="24"/>
  <c r="O29" i="24"/>
  <c r="O107" i="24" s="1"/>
  <c r="D99" i="22"/>
  <c r="D120" i="24"/>
  <c r="F118" i="22"/>
  <c r="F120" i="24"/>
  <c r="E120" i="24"/>
  <c r="E118" i="22"/>
  <c r="V94" i="24" l="1"/>
  <c r="V149" i="24" s="1"/>
  <c r="V109" i="24"/>
  <c r="AD61" i="22"/>
  <c r="AD62" i="22" s="1"/>
  <c r="AD63" i="22" s="1"/>
  <c r="AE61" i="22"/>
  <c r="AE62" i="22" s="1"/>
  <c r="AJ4" i="7"/>
  <c r="AD59" i="24"/>
  <c r="J8" i="8"/>
  <c r="K8" i="8"/>
  <c r="W51" i="24"/>
  <c r="W36" i="24"/>
  <c r="O110" i="24"/>
  <c r="O111" i="24"/>
  <c r="Q26" i="24"/>
  <c r="P29" i="24"/>
  <c r="P107" i="24" s="1"/>
  <c r="W94" i="24" l="1"/>
  <c r="W149" i="24" s="1"/>
  <c r="W109" i="24"/>
  <c r="AF61" i="22"/>
  <c r="AF62" i="22" s="1"/>
  <c r="AK4" i="7"/>
  <c r="AE63" i="22"/>
  <c r="AE144" i="22" s="1"/>
  <c r="X51" i="24"/>
  <c r="X36" i="24"/>
  <c r="P111" i="24"/>
  <c r="P110" i="24"/>
  <c r="R26" i="24"/>
  <c r="Q29" i="24"/>
  <c r="Q107" i="24" s="1"/>
  <c r="X94" i="24" l="1"/>
  <c r="X149" i="24" s="1"/>
  <c r="X109" i="24"/>
  <c r="AE145" i="22"/>
  <c r="AE147" i="22" s="1"/>
  <c r="AE148" i="22" s="1"/>
  <c r="AE95" i="22" s="1"/>
  <c r="AE96" i="22" s="1"/>
  <c r="AE98" i="22" s="1"/>
  <c r="AE150" i="22"/>
  <c r="AL4" i="7"/>
  <c r="AG61" i="22"/>
  <c r="AG62" i="22" s="1"/>
  <c r="AF63" i="22"/>
  <c r="AF144" i="22" s="1"/>
  <c r="Y51" i="24"/>
  <c r="Y36" i="24"/>
  <c r="Y56" i="24"/>
  <c r="Y58" i="24"/>
  <c r="Y60" i="24" s="1"/>
  <c r="Y61" i="24" s="1"/>
  <c r="Y147" i="24" s="1"/>
  <c r="S26" i="24"/>
  <c r="R29" i="24"/>
  <c r="R107" i="24" s="1"/>
  <c r="Q111" i="24"/>
  <c r="Q110" i="24"/>
  <c r="Y94" i="24" l="1"/>
  <c r="Y149" i="24" s="1"/>
  <c r="Y109" i="24"/>
  <c r="AG63" i="22"/>
  <c r="AG144" i="22" s="1"/>
  <c r="AF145" i="22"/>
  <c r="AF150" i="22" s="1"/>
  <c r="AF147" i="22"/>
  <c r="AF148" i="22" s="1"/>
  <c r="AF95" i="22" s="1"/>
  <c r="AF96" i="22" s="1"/>
  <c r="AF98" i="22" s="1"/>
  <c r="AM4" i="7"/>
  <c r="AH61" i="22"/>
  <c r="AH62" i="22" s="1"/>
  <c r="AE99" i="22"/>
  <c r="AE101" i="22"/>
  <c r="Y148" i="24"/>
  <c r="Y153" i="24" s="1"/>
  <c r="Z51" i="24"/>
  <c r="Z58" i="24" s="1"/>
  <c r="Z60" i="24" s="1"/>
  <c r="Z61" i="24" s="1"/>
  <c r="Z147" i="24" s="1"/>
  <c r="Z36" i="24"/>
  <c r="Z56" i="24"/>
  <c r="R111" i="24"/>
  <c r="R110" i="24"/>
  <c r="T26" i="24"/>
  <c r="S29" i="24"/>
  <c r="S107" i="24" s="1"/>
  <c r="Z94" i="24" l="1"/>
  <c r="Z149" i="24" s="1"/>
  <c r="Z109" i="24"/>
  <c r="AI61" i="22"/>
  <c r="AI62" i="22" s="1"/>
  <c r="AN4" i="7"/>
  <c r="AH63" i="22"/>
  <c r="AH144" i="22" s="1"/>
  <c r="AF99" i="22"/>
  <c r="AF101" i="22"/>
  <c r="AG145" i="22"/>
  <c r="AG147" i="22" s="1"/>
  <c r="AG148" i="22" s="1"/>
  <c r="AG95" i="22" s="1"/>
  <c r="AG96" i="22" s="1"/>
  <c r="AG98" i="22" s="1"/>
  <c r="AG150" i="22"/>
  <c r="Y150" i="24"/>
  <c r="Y151" i="24" s="1"/>
  <c r="Y96" i="24" s="1"/>
  <c r="Y97" i="24" s="1"/>
  <c r="AA51" i="24"/>
  <c r="AA58" i="24" s="1"/>
  <c r="AA60" i="24" s="1"/>
  <c r="AA61" i="24" s="1"/>
  <c r="AA147" i="24" s="1"/>
  <c r="AA36" i="24"/>
  <c r="AA56" i="24"/>
  <c r="Z148" i="24"/>
  <c r="Z153" i="24" s="1"/>
  <c r="S110" i="24"/>
  <c r="S111" i="24"/>
  <c r="U26" i="24"/>
  <c r="T29" i="24"/>
  <c r="T107" i="24" s="1"/>
  <c r="AA94" i="24" l="1"/>
  <c r="AA149" i="24" s="1"/>
  <c r="AA109" i="24"/>
  <c r="AG99" i="22"/>
  <c r="AG101" i="22"/>
  <c r="AH145" i="22"/>
  <c r="AH147" i="22" s="1"/>
  <c r="AH148" i="22" s="1"/>
  <c r="AH95" i="22" s="1"/>
  <c r="AH96" i="22" s="1"/>
  <c r="AH98" i="22" s="1"/>
  <c r="AH150" i="22"/>
  <c r="AJ61" i="22"/>
  <c r="AJ62" i="22" s="1"/>
  <c r="AO4" i="7"/>
  <c r="AI63" i="22"/>
  <c r="AI144" i="22" s="1"/>
  <c r="Z150" i="24"/>
  <c r="Z151" i="24" s="1"/>
  <c r="Z96" i="24" s="1"/>
  <c r="Z97" i="24" s="1"/>
  <c r="AA148" i="24"/>
  <c r="AA150" i="24" s="1"/>
  <c r="AA151" i="24" s="1"/>
  <c r="AA96" i="24" s="1"/>
  <c r="AA97" i="24" s="1"/>
  <c r="AB51" i="24"/>
  <c r="AB58" i="24" s="1"/>
  <c r="AB60" i="24" s="1"/>
  <c r="AB61" i="24" s="1"/>
  <c r="AB147" i="24" s="1"/>
  <c r="AB36" i="24"/>
  <c r="T111" i="24"/>
  <c r="T110" i="24"/>
  <c r="V26" i="24"/>
  <c r="U29" i="24"/>
  <c r="U107" i="24" s="1"/>
  <c r="AB94" i="24" l="1"/>
  <c r="AB149" i="24" s="1"/>
  <c r="AB109" i="24"/>
  <c r="AK61" i="22"/>
  <c r="AK62" i="22" s="1"/>
  <c r="AP4" i="7"/>
  <c r="AJ63" i="22"/>
  <c r="AJ144" i="22" s="1"/>
  <c r="AI145" i="22"/>
  <c r="AI147" i="22" s="1"/>
  <c r="AI148" i="22" s="1"/>
  <c r="AI95" i="22" s="1"/>
  <c r="AI96" i="22" s="1"/>
  <c r="AI98" i="22" s="1"/>
  <c r="AH99" i="22"/>
  <c r="AH101" i="22"/>
  <c r="AA153" i="24"/>
  <c r="AB56" i="24"/>
  <c r="AB148" i="24"/>
  <c r="AB153" i="24" s="1"/>
  <c r="AC51" i="24"/>
  <c r="AC36" i="24"/>
  <c r="U111" i="24"/>
  <c r="U110" i="24"/>
  <c r="W26" i="24"/>
  <c r="V29" i="24"/>
  <c r="V107" i="24" s="1"/>
  <c r="AC94" i="24" l="1"/>
  <c r="AC149" i="24" s="1"/>
  <c r="AC109" i="24"/>
  <c r="AI99" i="22"/>
  <c r="AI101" i="22"/>
  <c r="AQ4" i="7"/>
  <c r="AL61" i="22"/>
  <c r="AL62" i="22" s="1"/>
  <c r="AI150" i="22"/>
  <c r="AJ145" i="22"/>
  <c r="AJ150" i="22" s="1"/>
  <c r="AK63" i="22"/>
  <c r="AK144" i="22" s="1"/>
  <c r="AC56" i="24"/>
  <c r="AC58" i="24"/>
  <c r="AC60" i="24" s="1"/>
  <c r="AC61" i="24" s="1"/>
  <c r="AC147" i="24" s="1"/>
  <c r="AC148" i="24" s="1"/>
  <c r="AC153" i="24" s="1"/>
  <c r="AB150" i="24"/>
  <c r="AB151" i="24" s="1"/>
  <c r="AB96" i="24" s="1"/>
  <c r="AB97" i="24" s="1"/>
  <c r="AD51" i="24"/>
  <c r="AD58" i="24"/>
  <c r="AD60" i="24" s="1"/>
  <c r="AD61" i="24" s="1"/>
  <c r="AD147" i="24" s="1"/>
  <c r="AD36" i="24"/>
  <c r="AF36" i="24"/>
  <c r="V110" i="24"/>
  <c r="V111" i="24"/>
  <c r="X26" i="24"/>
  <c r="W29" i="24"/>
  <c r="W107" i="24" s="1"/>
  <c r="AD94" i="24" l="1"/>
  <c r="AF94" i="24" s="1"/>
  <c r="AD109" i="24"/>
  <c r="AK145" i="22"/>
  <c r="AK150" i="22" s="1"/>
  <c r="AK147" i="22"/>
  <c r="AK148" i="22" s="1"/>
  <c r="AK95" i="22" s="1"/>
  <c r="AK96" i="22" s="1"/>
  <c r="AK98" i="22" s="1"/>
  <c r="AJ147" i="22"/>
  <c r="AJ148" i="22" s="1"/>
  <c r="AJ95" i="22" s="1"/>
  <c r="AJ96" i="22" s="1"/>
  <c r="AJ98" i="22" s="1"/>
  <c r="AL63" i="22"/>
  <c r="AL144" i="22" s="1"/>
  <c r="AR4" i="7"/>
  <c r="AM61" i="22"/>
  <c r="AM62" i="22" s="1"/>
  <c r="AD56" i="24"/>
  <c r="AC150" i="24"/>
  <c r="AC151" i="24" s="1"/>
  <c r="AC96" i="24" s="1"/>
  <c r="AC97" i="24" s="1"/>
  <c r="AD149" i="24"/>
  <c r="AD148" i="24"/>
  <c r="AD153" i="24" s="1"/>
  <c r="W111" i="24"/>
  <c r="W110" i="24"/>
  <c r="Y26" i="24"/>
  <c r="X29" i="24"/>
  <c r="X107" i="24" s="1"/>
  <c r="AL145" i="22" l="1"/>
  <c r="AL150" i="22" s="1"/>
  <c r="AL147" i="22"/>
  <c r="AL148" i="22" s="1"/>
  <c r="AL95" i="22" s="1"/>
  <c r="AL96" i="22" s="1"/>
  <c r="AL98" i="22" s="1"/>
  <c r="AM63" i="22"/>
  <c r="AM144" i="22" s="1"/>
  <c r="AK99" i="22"/>
  <c r="AK101" i="22"/>
  <c r="AN61" i="22"/>
  <c r="AN62" i="22" s="1"/>
  <c r="AS4" i="7"/>
  <c r="AJ99" i="22"/>
  <c r="AJ101" i="22"/>
  <c r="AD150" i="24"/>
  <c r="AD151" i="24" s="1"/>
  <c r="AD96" i="24" s="1"/>
  <c r="AD97" i="24" s="1"/>
  <c r="Z26" i="24"/>
  <c r="Y29" i="24"/>
  <c r="Y107" i="24" s="1"/>
  <c r="Y110" i="24" s="1"/>
  <c r="Y111" i="24" s="1"/>
  <c r="X110" i="24"/>
  <c r="X111" i="24"/>
  <c r="AT4" i="7" l="1"/>
  <c r="AO61" i="22"/>
  <c r="AO62" i="22" s="1"/>
  <c r="AL99" i="22"/>
  <c r="AL101" i="22"/>
  <c r="AN63" i="22"/>
  <c r="AN144" i="22" s="1"/>
  <c r="AM145" i="22"/>
  <c r="AM147" i="22" s="1"/>
  <c r="AM148" i="22" s="1"/>
  <c r="AM95" i="22" s="1"/>
  <c r="AM96" i="22" s="1"/>
  <c r="AM98" i="22" s="1"/>
  <c r="AA26" i="24"/>
  <c r="Z29" i="24"/>
  <c r="Z107" i="24" s="1"/>
  <c r="AM150" i="22" l="1"/>
  <c r="AO63" i="22"/>
  <c r="AO144" i="22" s="1"/>
  <c r="AM99" i="22"/>
  <c r="AM101" i="22"/>
  <c r="AN145" i="22"/>
  <c r="AN150" i="22" s="1"/>
  <c r="AP61" i="22"/>
  <c r="AP62" i="22" s="1"/>
  <c r="AU4" i="7"/>
  <c r="Z111" i="24"/>
  <c r="Z110" i="24"/>
  <c r="AB26" i="24"/>
  <c r="AA29" i="24"/>
  <c r="AA107" i="24" s="1"/>
  <c r="AQ61" i="22" l="1"/>
  <c r="AQ62" i="22" s="1"/>
  <c r="AV4" i="7"/>
  <c r="AP63" i="22"/>
  <c r="AP144" i="22" s="1"/>
  <c r="AN147" i="22"/>
  <c r="AN148" i="22" s="1"/>
  <c r="AN95" i="22" s="1"/>
  <c r="AN96" i="22" s="1"/>
  <c r="AN98" i="22" s="1"/>
  <c r="AO145" i="22"/>
  <c r="AO147" i="22" s="1"/>
  <c r="AO148" i="22" s="1"/>
  <c r="AO95" i="22" s="1"/>
  <c r="AO96" i="22" s="1"/>
  <c r="AO98" i="22" s="1"/>
  <c r="AO150" i="22"/>
  <c r="AA111" i="24"/>
  <c r="AA110" i="24"/>
  <c r="AC26" i="24"/>
  <c r="AB29" i="24"/>
  <c r="AB107" i="24" s="1"/>
  <c r="AO99" i="22" l="1"/>
  <c r="AO101" i="22"/>
  <c r="AN99" i="22"/>
  <c r="AN101" i="22"/>
  <c r="AP145" i="22"/>
  <c r="AP150" i="22" s="1"/>
  <c r="AP147" i="22"/>
  <c r="AP148" i="22" s="1"/>
  <c r="AP95" i="22" s="1"/>
  <c r="AP96" i="22" s="1"/>
  <c r="AP98" i="22" s="1"/>
  <c r="AR61" i="22"/>
  <c r="AR62" i="22" s="1"/>
  <c r="AW4" i="7"/>
  <c r="AQ63" i="22"/>
  <c r="AQ144" i="22" s="1"/>
  <c r="AB110" i="24"/>
  <c r="AB111" i="24"/>
  <c r="AD26" i="24"/>
  <c r="AD29" i="24" s="1"/>
  <c r="AD107" i="24" s="1"/>
  <c r="AD110" i="24" s="1"/>
  <c r="AD111" i="24" s="1"/>
  <c r="AC29" i="24"/>
  <c r="AC107" i="24" s="1"/>
  <c r="AQ145" i="22" l="1"/>
  <c r="AQ147" i="22" s="1"/>
  <c r="AQ148" i="22" s="1"/>
  <c r="AQ95" i="22" s="1"/>
  <c r="AQ96" i="22" s="1"/>
  <c r="AQ98" i="22" s="1"/>
  <c r="AQ150" i="22"/>
  <c r="AR63" i="22"/>
  <c r="AR144" i="22" s="1"/>
  <c r="AS61" i="22"/>
  <c r="AS62" i="22" s="1"/>
  <c r="AX4" i="7"/>
  <c r="AP99" i="22"/>
  <c r="AP101" i="22"/>
  <c r="AC110" i="24"/>
  <c r="AC111" i="24"/>
  <c r="AY4" i="7" l="1"/>
  <c r="AT61" i="22"/>
  <c r="AT62" i="22" s="1"/>
  <c r="AS63" i="22"/>
  <c r="AS144" i="22" s="1"/>
  <c r="AR145" i="22"/>
  <c r="AR147" i="22" s="1"/>
  <c r="AR148" i="22" s="1"/>
  <c r="AR95" i="22" s="1"/>
  <c r="AR96" i="22" s="1"/>
  <c r="AR98" i="22" s="1"/>
  <c r="AR150" i="22"/>
  <c r="AQ99" i="22"/>
  <c r="AQ101" i="22"/>
  <c r="AR99" i="22" l="1"/>
  <c r="AR101" i="22"/>
  <c r="AS145" i="22"/>
  <c r="AS147" i="22" s="1"/>
  <c r="AS148" i="22" s="1"/>
  <c r="AS95" i="22" s="1"/>
  <c r="AS96" i="22" s="1"/>
  <c r="AS98" i="22" s="1"/>
  <c r="AS150" i="22"/>
  <c r="AT63" i="22"/>
  <c r="AT144" i="22" s="1"/>
  <c r="AZ4" i="7"/>
  <c r="AU61" i="22"/>
  <c r="AU62" i="22" s="1"/>
  <c r="AU63" i="22" l="1"/>
  <c r="AU144" i="22" s="1"/>
  <c r="AV61" i="22"/>
  <c r="AV62" i="22" s="1"/>
  <c r="AV63" i="22" s="1"/>
  <c r="AV144" i="22" s="1"/>
  <c r="BA4" i="7"/>
  <c r="AT145" i="22"/>
  <c r="AT147" i="22" s="1"/>
  <c r="AT148" i="22" s="1"/>
  <c r="AT95" i="22" s="1"/>
  <c r="AT96" i="22" s="1"/>
  <c r="AT98" i="22" s="1"/>
  <c r="AS99" i="22"/>
  <c r="AS101" i="22"/>
  <c r="AT99" i="22" l="1"/>
  <c r="AT101" i="22"/>
  <c r="AT150" i="22"/>
  <c r="BB4" i="7"/>
  <c r="AW61" i="22"/>
  <c r="AW62" i="22" s="1"/>
  <c r="AV145" i="22"/>
  <c r="AV150" i="22" s="1"/>
  <c r="AU145" i="22"/>
  <c r="AU147" i="22" s="1"/>
  <c r="AU148" i="22" s="1"/>
  <c r="AU95" i="22" s="1"/>
  <c r="AU96" i="22" s="1"/>
  <c r="AU98" i="22" s="1"/>
  <c r="AU150" i="22" l="1"/>
  <c r="AU99" i="22"/>
  <c r="AU101" i="22"/>
  <c r="AV147" i="22"/>
  <c r="AV148" i="22" s="1"/>
  <c r="AV95" i="22" s="1"/>
  <c r="AV96" i="22" s="1"/>
  <c r="AV98" i="22" s="1"/>
  <c r="AW63" i="22"/>
  <c r="AW144" i="22" s="1"/>
  <c r="AX61" i="22"/>
  <c r="AX62" i="22" s="1"/>
  <c r="BC4" i="7"/>
  <c r="AY61" i="22" l="1"/>
  <c r="AY62" i="22" s="1"/>
  <c r="BD4" i="7"/>
  <c r="AX63" i="22"/>
  <c r="AX144" i="22" s="1"/>
  <c r="AW145" i="22"/>
  <c r="AW150" i="22" s="1"/>
  <c r="AW147" i="22"/>
  <c r="AW148" i="22" s="1"/>
  <c r="AW95" i="22" s="1"/>
  <c r="AW96" i="22" s="1"/>
  <c r="AW98" i="22" s="1"/>
  <c r="AV101" i="22"/>
  <c r="AV118" i="22" s="1"/>
  <c r="AV99" i="22"/>
  <c r="AW99" i="22" l="1"/>
  <c r="AW101" i="22"/>
  <c r="AW118" i="22" s="1"/>
  <c r="AX145" i="22"/>
  <c r="AX150" i="22" s="1"/>
  <c r="AX147" i="22"/>
  <c r="AX148" i="22" s="1"/>
  <c r="AX95" i="22" s="1"/>
  <c r="AX96" i="22" s="1"/>
  <c r="AX98" i="22" s="1"/>
  <c r="AZ61" i="22"/>
  <c r="AZ62" i="22" s="1"/>
  <c r="BE4" i="7"/>
  <c r="AY63" i="22"/>
  <c r="AY144" i="22" s="1"/>
  <c r="AY145" i="22" l="1"/>
  <c r="AY147" i="22" s="1"/>
  <c r="AY148" i="22" s="1"/>
  <c r="AY95" i="22" s="1"/>
  <c r="AY96" i="22" s="1"/>
  <c r="AY98" i="22" s="1"/>
  <c r="AY150" i="22"/>
  <c r="AZ63" i="22"/>
  <c r="AZ144" i="22" s="1"/>
  <c r="BA61" i="22"/>
  <c r="BA62" i="22" s="1"/>
  <c r="BF4" i="7"/>
  <c r="AX99" i="22"/>
  <c r="AX101" i="22"/>
  <c r="AX118" i="22" s="1"/>
  <c r="BA63" i="22" l="1"/>
  <c r="BA144" i="22" s="1"/>
  <c r="BG4" i="7"/>
  <c r="BB61" i="22"/>
  <c r="BB62" i="22" s="1"/>
  <c r="AZ145" i="22"/>
  <c r="AZ150" i="22" s="1"/>
  <c r="AZ147" i="22"/>
  <c r="AZ148" i="22" s="1"/>
  <c r="AZ95" i="22" s="1"/>
  <c r="AZ96" i="22" s="1"/>
  <c r="AZ98" i="22" s="1"/>
  <c r="AY99" i="22"/>
  <c r="AY101" i="22"/>
  <c r="AY118" i="22" s="1"/>
  <c r="BB63" i="22" l="1"/>
  <c r="BB144" i="22" s="1"/>
  <c r="AZ99" i="22"/>
  <c r="AZ101" i="22"/>
  <c r="AZ118" i="22" s="1"/>
  <c r="BC61" i="22"/>
  <c r="BC62" i="22" s="1"/>
  <c r="BH4" i="7"/>
  <c r="BA145" i="22"/>
  <c r="BA150" i="22" s="1"/>
  <c r="BC63" i="22" l="1"/>
  <c r="BC144" i="22" s="1"/>
  <c r="BA147" i="22"/>
  <c r="BA148" i="22" s="1"/>
  <c r="BA95" i="22" s="1"/>
  <c r="BA96" i="22" s="1"/>
  <c r="BA98" i="22" s="1"/>
  <c r="BD61" i="22"/>
  <c r="BD62" i="22" s="1"/>
  <c r="BI4" i="7"/>
  <c r="BB145" i="22"/>
  <c r="BB147" i="22" s="1"/>
  <c r="BB148" i="22" s="1"/>
  <c r="BB95" i="22" s="1"/>
  <c r="BB96" i="22" s="1"/>
  <c r="BB98" i="22" s="1"/>
  <c r="BB150" i="22"/>
  <c r="BB99" i="22" l="1"/>
  <c r="BB101" i="22"/>
  <c r="BB118" i="22" s="1"/>
  <c r="BD63" i="22"/>
  <c r="BD144" i="22" s="1"/>
  <c r="BJ4" i="7"/>
  <c r="BE61" i="22"/>
  <c r="BE62" i="22" s="1"/>
  <c r="BA99" i="22"/>
  <c r="BA101" i="22"/>
  <c r="BA118" i="22" s="1"/>
  <c r="BC145" i="22"/>
  <c r="BC147" i="22" s="1"/>
  <c r="BC148" i="22" s="1"/>
  <c r="BC95" i="22" s="1"/>
  <c r="BC96" i="22" s="1"/>
  <c r="BC98" i="22" s="1"/>
  <c r="BC150" i="22"/>
  <c r="BF61" i="22" l="1"/>
  <c r="BF62" i="22" s="1"/>
  <c r="BK4" i="7"/>
  <c r="BC99" i="22"/>
  <c r="BC101" i="22"/>
  <c r="BC118" i="22" s="1"/>
  <c r="BE63" i="22"/>
  <c r="BE144" i="22" s="1"/>
  <c r="BD145" i="22"/>
  <c r="BD147" i="22" s="1"/>
  <c r="BD148" i="22" s="1"/>
  <c r="BD95" i="22" s="1"/>
  <c r="BD96" i="22" s="1"/>
  <c r="BD98" i="22" s="1"/>
  <c r="BD150" i="22"/>
  <c r="BE145" i="22" l="1"/>
  <c r="BE150" i="22" s="1"/>
  <c r="BE147" i="22"/>
  <c r="BE148" i="22" s="1"/>
  <c r="BE95" i="22" s="1"/>
  <c r="BE96" i="22" s="1"/>
  <c r="BE98" i="22" s="1"/>
  <c r="BD99" i="22"/>
  <c r="BD101" i="22"/>
  <c r="BD118" i="22" s="1"/>
  <c r="BL4" i="7"/>
  <c r="BG61" i="22"/>
  <c r="BG62" i="22" s="1"/>
  <c r="BF63" i="22"/>
  <c r="BF144" i="22" s="1"/>
  <c r="BF145" i="22" l="1"/>
  <c r="BF147" i="22" s="1"/>
  <c r="BF148" i="22" s="1"/>
  <c r="BF95" i="22" s="1"/>
  <c r="BF96" i="22" s="1"/>
  <c r="BF98" i="22" s="1"/>
  <c r="BF150" i="22"/>
  <c r="BG63" i="22"/>
  <c r="BG144" i="22" s="1"/>
  <c r="BM4" i="7"/>
  <c r="BH61" i="22"/>
  <c r="BH62" i="22" s="1"/>
  <c r="BH63" i="22" s="1"/>
  <c r="BH144" i="22" s="1"/>
  <c r="BE99" i="22"/>
  <c r="BE101" i="22"/>
  <c r="BE118" i="22" s="1"/>
  <c r="BI61" i="22" l="1"/>
  <c r="BI62" i="22" s="1"/>
  <c r="BN4" i="7"/>
  <c r="BH145" i="22"/>
  <c r="BH150" i="22" s="1"/>
  <c r="BH147" i="22"/>
  <c r="BH148" i="22" s="1"/>
  <c r="BH95" i="22" s="1"/>
  <c r="BH96" i="22" s="1"/>
  <c r="BH98" i="22" s="1"/>
  <c r="BG145" i="22"/>
  <c r="BG147" i="22" s="1"/>
  <c r="BG148" i="22" s="1"/>
  <c r="BG95" i="22" s="1"/>
  <c r="BG96" i="22" s="1"/>
  <c r="BG98" i="22" s="1"/>
  <c r="BG150" i="22"/>
  <c r="BF99" i="22"/>
  <c r="BF101" i="22"/>
  <c r="BF118" i="22" s="1"/>
  <c r="BH101" i="22" l="1"/>
  <c r="BH118" i="22" s="1"/>
  <c r="BH99" i="22"/>
  <c r="BG99" i="22"/>
  <c r="BG101" i="22"/>
  <c r="BG118" i="22" s="1"/>
  <c r="BO4" i="7"/>
  <c r="BJ61" i="22"/>
  <c r="BJ62" i="22" s="1"/>
  <c r="BJ63" i="22" s="1"/>
  <c r="BJ144" i="22" s="1"/>
  <c r="BI63" i="22"/>
  <c r="BI144" i="22" s="1"/>
  <c r="BJ145" i="22" l="1"/>
  <c r="BJ150" i="22" s="1"/>
  <c r="BJ147" i="22"/>
  <c r="BJ148" i="22" s="1"/>
  <c r="BJ95" i="22" s="1"/>
  <c r="BJ96" i="22" s="1"/>
  <c r="BJ98" i="22" s="1"/>
  <c r="BI145" i="22"/>
  <c r="BI147" i="22" s="1"/>
  <c r="BI148" i="22" s="1"/>
  <c r="BI95" i="22" s="1"/>
  <c r="BI96" i="22" s="1"/>
  <c r="BI98" i="22" s="1"/>
  <c r="BK61" i="22"/>
  <c r="BK62" i="22" s="1"/>
  <c r="BP4" i="7"/>
  <c r="BI99" i="22" l="1"/>
  <c r="BI101" i="22"/>
  <c r="BI118" i="22" s="1"/>
  <c r="BL61" i="22"/>
  <c r="BL62" i="22" s="1"/>
  <c r="BQ4" i="7"/>
  <c r="BK63" i="22"/>
  <c r="BK144" i="22" s="1"/>
  <c r="BI150" i="22"/>
  <c r="BJ101" i="22"/>
  <c r="BJ118" i="22" s="1"/>
  <c r="BJ99" i="22"/>
  <c r="BK145" i="22" l="1"/>
  <c r="BK147" i="22" s="1"/>
  <c r="BK148" i="22" s="1"/>
  <c r="BK95" i="22" s="1"/>
  <c r="BK96" i="22" s="1"/>
  <c r="BK98" i="22" s="1"/>
  <c r="BK150" i="22"/>
  <c r="BR4" i="7"/>
  <c r="BM61" i="22"/>
  <c r="BM62" i="22" s="1"/>
  <c r="BL63" i="22"/>
  <c r="BL144" i="22" s="1"/>
  <c r="BS4" i="7" l="1"/>
  <c r="BN61" i="22"/>
  <c r="BN62" i="22" s="1"/>
  <c r="BL145" i="22"/>
  <c r="BL150" i="22" s="1"/>
  <c r="BL147" i="22"/>
  <c r="BL148" i="22" s="1"/>
  <c r="BL95" i="22" s="1"/>
  <c r="BL96" i="22" s="1"/>
  <c r="BL98" i="22" s="1"/>
  <c r="BM63" i="22"/>
  <c r="BM144" i="22" s="1"/>
  <c r="BK99" i="22"/>
  <c r="BK101" i="22"/>
  <c r="BK118" i="22" s="1"/>
  <c r="BL99" i="22" l="1"/>
  <c r="BL101" i="22"/>
  <c r="BL118" i="22" s="1"/>
  <c r="BM145" i="22"/>
  <c r="BM147" i="22" s="1"/>
  <c r="BM148" i="22" s="1"/>
  <c r="BM95" i="22" s="1"/>
  <c r="BM96" i="22" s="1"/>
  <c r="BM98" i="22" s="1"/>
  <c r="BM150" i="22"/>
  <c r="BN63" i="22"/>
  <c r="BN144" i="22" s="1"/>
  <c r="BO61" i="22"/>
  <c r="BO62" i="22" s="1"/>
  <c r="BT4" i="7"/>
  <c r="BU4" i="7" s="1"/>
  <c r="BV4" i="7" s="1"/>
  <c r="BN145" i="22" l="1"/>
  <c r="BN147" i="22" s="1"/>
  <c r="BN148" i="22" s="1"/>
  <c r="BN95" i="22" s="1"/>
  <c r="BN96" i="22" s="1"/>
  <c r="BN98" i="22" s="1"/>
  <c r="BN150" i="22"/>
  <c r="BO63" i="22"/>
  <c r="BO144" i="22" s="1"/>
  <c r="BM99" i="22"/>
  <c r="BM101" i="22"/>
  <c r="BM118" i="22" s="1"/>
  <c r="BO145" i="22" l="1"/>
  <c r="BO147" i="22" s="1"/>
  <c r="BO148" i="22" s="1"/>
  <c r="BO95" i="22" s="1"/>
  <c r="BO96" i="22" s="1"/>
  <c r="BO98" i="22" s="1"/>
  <c r="BO150" i="22"/>
  <c r="BN99" i="22"/>
  <c r="BN101" i="22"/>
  <c r="BN118" i="22" s="1"/>
  <c r="BO99" i="22" l="1"/>
  <c r="BO101" i="22"/>
  <c r="BO118" i="22" s="1"/>
  <c r="E7" i="1" l="1"/>
  <c r="G7" i="1"/>
  <c r="G9" i="1" s="1"/>
  <c r="H7" i="1"/>
  <c r="J7" i="1"/>
  <c r="K7" i="1"/>
  <c r="L7" i="1"/>
  <c r="M7" i="1"/>
  <c r="N7" i="1"/>
  <c r="N9" i="1" s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D9" i="1"/>
  <c r="E10" i="1" l="1"/>
  <c r="G10" i="1"/>
  <c r="H10" i="1"/>
  <c r="D10" i="1"/>
  <c r="D24" i="1" l="1"/>
  <c r="F94" i="1"/>
  <c r="G94" i="1"/>
  <c r="H94" i="1"/>
  <c r="M9" i="29" s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D26" i="1" l="1"/>
  <c r="J12" i="1"/>
  <c r="J14" i="1" s="1"/>
  <c r="J87" i="1"/>
  <c r="H72" i="1"/>
  <c r="H73" i="1" s="1"/>
  <c r="H70" i="1"/>
  <c r="H61" i="1"/>
  <c r="H9" i="1"/>
  <c r="D29" i="30" l="1"/>
  <c r="I17" i="1"/>
  <c r="H12" i="1"/>
  <c r="H14" i="1" s="1"/>
  <c r="J81" i="1"/>
  <c r="H75" i="1"/>
  <c r="H77" i="1"/>
  <c r="H78" i="1" s="1"/>
  <c r="D31" i="30" l="1"/>
  <c r="B8" i="30"/>
  <c r="H81" i="1"/>
  <c r="AS6" i="30" l="1"/>
  <c r="AR6" i="30"/>
  <c r="AM6" i="30"/>
  <c r="AV6" i="30"/>
  <c r="AV4" i="30" s="1"/>
  <c r="AV2" i="30" s="1"/>
  <c r="AU23" i="22" s="1"/>
  <c r="AT6" i="30"/>
  <c r="AK6" i="30"/>
  <c r="G6" i="30"/>
  <c r="G4" i="30" s="1"/>
  <c r="AL6" i="30"/>
  <c r="AU6" i="30"/>
  <c r="AW6" i="30"/>
  <c r="AW4" i="30" s="1"/>
  <c r="AP6" i="30"/>
  <c r="AQ6" i="30"/>
  <c r="AJ6" i="30"/>
  <c r="AN6" i="30"/>
  <c r="AO6" i="30"/>
  <c r="R6" i="30"/>
  <c r="R4" i="30" s="1"/>
  <c r="S6" i="30"/>
  <c r="S4" i="30" s="1"/>
  <c r="AH6" i="30"/>
  <c r="AH4" i="30" s="1"/>
  <c r="P6" i="30"/>
  <c r="P4" i="30" s="1"/>
  <c r="Y6" i="30"/>
  <c r="Y4" i="30" s="1"/>
  <c r="U6" i="30"/>
  <c r="U4" i="30" s="1"/>
  <c r="K6" i="30"/>
  <c r="K4" i="30" s="1"/>
  <c r="Q6" i="30"/>
  <c r="Q4" i="30" s="1"/>
  <c r="AD6" i="30"/>
  <c r="AD4" i="30" s="1"/>
  <c r="AA6" i="30"/>
  <c r="AA4" i="30" s="1"/>
  <c r="X6" i="30"/>
  <c r="X4" i="30" s="1"/>
  <c r="AG6" i="30"/>
  <c r="AG4" i="30" s="1"/>
  <c r="L6" i="30"/>
  <c r="L4" i="30" s="1"/>
  <c r="AC6" i="30"/>
  <c r="AC4" i="30" s="1"/>
  <c r="J6" i="30"/>
  <c r="J4" i="30" s="1"/>
  <c r="O6" i="30"/>
  <c r="O4" i="30" s="1"/>
  <c r="AF6" i="30"/>
  <c r="AF4" i="30" s="1"/>
  <c r="T6" i="30"/>
  <c r="T4" i="30" s="1"/>
  <c r="AB6" i="30"/>
  <c r="AB4" i="30" s="1"/>
  <c r="F6" i="30"/>
  <c r="F4" i="30" s="1"/>
  <c r="Z6" i="30"/>
  <c r="Z4" i="30" s="1"/>
  <c r="M6" i="30"/>
  <c r="M4" i="30" s="1"/>
  <c r="W6" i="30"/>
  <c r="W4" i="30" s="1"/>
  <c r="AE6" i="30"/>
  <c r="AE4" i="30" s="1"/>
  <c r="AI6" i="30"/>
  <c r="AI4" i="30" s="1"/>
  <c r="N6" i="30"/>
  <c r="N4" i="30" s="1"/>
  <c r="H6" i="30"/>
  <c r="H4" i="30" s="1"/>
  <c r="I6" i="30"/>
  <c r="E6" i="30"/>
  <c r="E4" i="30" s="1"/>
  <c r="V6" i="30"/>
  <c r="V4" i="30" s="1"/>
  <c r="H19" i="1"/>
  <c r="H15" i="1"/>
  <c r="AL4" i="30" l="1"/>
  <c r="AL16" i="30"/>
  <c r="AL3" i="30" s="1"/>
  <c r="AL2" i="30" s="1"/>
  <c r="AK23" i="22" s="1"/>
  <c r="AO4" i="30"/>
  <c r="AO16" i="30"/>
  <c r="AO3" i="30" s="1"/>
  <c r="AO2" i="30" s="1"/>
  <c r="AN23" i="22" s="1"/>
  <c r="AN4" i="30"/>
  <c r="AN16" i="30"/>
  <c r="AN3" i="30" s="1"/>
  <c r="AN2" i="30" s="1"/>
  <c r="AM23" i="22" s="1"/>
  <c r="AT4" i="30"/>
  <c r="AT16" i="30"/>
  <c r="AT3" i="30" s="1"/>
  <c r="AM4" i="30"/>
  <c r="AM16" i="30"/>
  <c r="AM3" i="30" s="1"/>
  <c r="AM2" i="30" s="1"/>
  <c r="AL23" i="22" s="1"/>
  <c r="AR4" i="30"/>
  <c r="AR16" i="30"/>
  <c r="AR3" i="30" s="1"/>
  <c r="AR2" i="30" s="1"/>
  <c r="AQ23" i="22" s="1"/>
  <c r="AK4" i="30"/>
  <c r="AK16" i="30"/>
  <c r="AK3" i="30" s="1"/>
  <c r="AK2" i="30" s="1"/>
  <c r="AJ23" i="22" s="1"/>
  <c r="AJ4" i="30"/>
  <c r="AJ16" i="30"/>
  <c r="AJ3" i="30" s="1"/>
  <c r="AJ2" i="30" s="1"/>
  <c r="AI23" i="22" s="1"/>
  <c r="AQ4" i="30"/>
  <c r="AQ16" i="30"/>
  <c r="AQ3" i="30" s="1"/>
  <c r="AQ2" i="30" s="1"/>
  <c r="AP23" i="22" s="1"/>
  <c r="AP4" i="30"/>
  <c r="AP16" i="30"/>
  <c r="AP3" i="30" s="1"/>
  <c r="AP2" i="30" s="1"/>
  <c r="AO23" i="22" s="1"/>
  <c r="AU4" i="30"/>
  <c r="AU16" i="30"/>
  <c r="AU3" i="30" s="1"/>
  <c r="AU2" i="30" s="1"/>
  <c r="AT23" i="22" s="1"/>
  <c r="AS4" i="30"/>
  <c r="AS16" i="30"/>
  <c r="AS3" i="30" s="1"/>
  <c r="AS2" i="30" s="1"/>
  <c r="AR23" i="22" s="1"/>
  <c r="AU25" i="22"/>
  <c r="AU24" i="22"/>
  <c r="AE16" i="30"/>
  <c r="AE3" i="30" s="1"/>
  <c r="AE2" i="30" s="1"/>
  <c r="AD23" i="22" s="1"/>
  <c r="AI16" i="30"/>
  <c r="AI3" i="30" s="1"/>
  <c r="AI2" i="30" s="1"/>
  <c r="AH23" i="22" s="1"/>
  <c r="AF16" i="30"/>
  <c r="AF3" i="30" s="1"/>
  <c r="AF2" i="30" s="1"/>
  <c r="AE23" i="22" s="1"/>
  <c r="AH16" i="30"/>
  <c r="AH3" i="30" s="1"/>
  <c r="AH2" i="30" s="1"/>
  <c r="AG23" i="22" s="1"/>
  <c r="AG16" i="30"/>
  <c r="AG3" i="30" s="1"/>
  <c r="AG2" i="30" s="1"/>
  <c r="AF23" i="22" s="1"/>
  <c r="AD16" i="30"/>
  <c r="AD3" i="30" s="1"/>
  <c r="AC16" i="30"/>
  <c r="AC3" i="30" s="1"/>
  <c r="T16" i="30"/>
  <c r="T3" i="30" s="1"/>
  <c r="T2" i="30" s="1"/>
  <c r="O16" i="30"/>
  <c r="O3" i="30" s="1"/>
  <c r="O2" i="30" s="1"/>
  <c r="P16" i="30"/>
  <c r="P3" i="30" s="1"/>
  <c r="P2" i="30" s="1"/>
  <c r="W16" i="30"/>
  <c r="W3" i="30" s="1"/>
  <c r="W2" i="30" s="1"/>
  <c r="V23" i="22" s="1"/>
  <c r="I4" i="30"/>
  <c r="I16" i="30"/>
  <c r="I3" i="30" s="1"/>
  <c r="X16" i="30"/>
  <c r="X3" i="30" s="1"/>
  <c r="X2" i="30" s="1"/>
  <c r="W23" i="22" s="1"/>
  <c r="V16" i="30"/>
  <c r="V3" i="30" s="1"/>
  <c r="V2" i="30" s="1"/>
  <c r="U23" i="22" s="1"/>
  <c r="E16" i="30"/>
  <c r="E3" i="30" s="1"/>
  <c r="S16" i="30"/>
  <c r="S3" i="30" s="1"/>
  <c r="S2" i="30" s="1"/>
  <c r="H16" i="30"/>
  <c r="H3" i="30" s="1"/>
  <c r="G25" i="1" s="1"/>
  <c r="J16" i="30"/>
  <c r="J3" i="30" s="1"/>
  <c r="J2" i="30" s="1"/>
  <c r="N16" i="30"/>
  <c r="N3" i="30" s="1"/>
  <c r="N2" i="30" s="1"/>
  <c r="Y16" i="30"/>
  <c r="Y3" i="30" s="1"/>
  <c r="Y2" i="30" s="1"/>
  <c r="X23" i="22" s="1"/>
  <c r="AA16" i="30"/>
  <c r="AA3" i="30" s="1"/>
  <c r="AA2" i="30" s="1"/>
  <c r="Z23" i="22" s="1"/>
  <c r="M16" i="30"/>
  <c r="M3" i="30" s="1"/>
  <c r="M2" i="30" s="1"/>
  <c r="G16" i="30"/>
  <c r="G3" i="30" s="1"/>
  <c r="Z16" i="30"/>
  <c r="Z3" i="30" s="1"/>
  <c r="Z2" i="30" s="1"/>
  <c r="Y23" i="22" s="1"/>
  <c r="Q16" i="30"/>
  <c r="Q3" i="30" s="1"/>
  <c r="Q2" i="30" s="1"/>
  <c r="F16" i="30"/>
  <c r="F3" i="30" s="1"/>
  <c r="K16" i="30"/>
  <c r="K3" i="30" s="1"/>
  <c r="K2" i="30" s="1"/>
  <c r="AB16" i="30"/>
  <c r="AB3" i="30" s="1"/>
  <c r="AB2" i="30" s="1"/>
  <c r="AA23" i="22" s="1"/>
  <c r="L16" i="30"/>
  <c r="L3" i="30" s="1"/>
  <c r="L2" i="30" s="1"/>
  <c r="U16" i="30"/>
  <c r="U3" i="30" s="1"/>
  <c r="U2" i="30" s="1"/>
  <c r="T23" i="22" s="1"/>
  <c r="R16" i="30"/>
  <c r="R3" i="30" s="1"/>
  <c r="R2" i="30" s="1"/>
  <c r="H84" i="1"/>
  <c r="H85" i="1"/>
  <c r="H86" i="1"/>
  <c r="H17" i="1"/>
  <c r="H31" i="1"/>
  <c r="H34" i="1" s="1"/>
  <c r="AU26" i="22" l="1"/>
  <c r="AU106" i="22" s="1"/>
  <c r="AT2" i="30"/>
  <c r="AS23" i="22" s="1"/>
  <c r="AT24" i="22"/>
  <c r="AT25" i="22"/>
  <c r="AJ24" i="22"/>
  <c r="AJ25" i="22"/>
  <c r="AM25" i="22"/>
  <c r="AM24" i="22"/>
  <c r="AR25" i="22"/>
  <c r="AR24" i="22"/>
  <c r="AQ24" i="22"/>
  <c r="AQ25" i="22"/>
  <c r="AN25" i="22"/>
  <c r="AN24" i="22"/>
  <c r="AO24" i="22"/>
  <c r="AO25" i="22"/>
  <c r="AS25" i="22"/>
  <c r="AS24" i="22"/>
  <c r="AP25" i="22"/>
  <c r="AP24" i="22"/>
  <c r="AL25" i="22"/>
  <c r="AL24" i="22"/>
  <c r="AK25" i="22"/>
  <c r="AK24" i="22"/>
  <c r="AI25" i="22"/>
  <c r="AI24" i="22"/>
  <c r="AU109" i="22"/>
  <c r="AU108" i="22"/>
  <c r="AU118" i="22" s="1"/>
  <c r="U24" i="22"/>
  <c r="U25" i="22"/>
  <c r="W24" i="22"/>
  <c r="W25" i="22"/>
  <c r="T24" i="22"/>
  <c r="T25" i="22"/>
  <c r="AE24" i="22"/>
  <c r="AE25" i="22"/>
  <c r="Y24" i="22"/>
  <c r="Y25" i="22"/>
  <c r="AA24" i="22"/>
  <c r="AA25" i="22"/>
  <c r="AD24" i="22"/>
  <c r="AD25" i="22"/>
  <c r="V24" i="22"/>
  <c r="V25" i="22"/>
  <c r="X24" i="22"/>
  <c r="X25" i="22"/>
  <c r="Z24" i="22"/>
  <c r="Z25" i="22"/>
  <c r="K23" i="22"/>
  <c r="K25" i="22" s="1"/>
  <c r="K23" i="1"/>
  <c r="K25" i="1" s="1"/>
  <c r="Z23" i="1"/>
  <c r="Z25" i="1" s="1"/>
  <c r="W23" i="1"/>
  <c r="W25" i="1" s="1"/>
  <c r="AA23" i="1"/>
  <c r="AA25" i="1" s="1"/>
  <c r="U23" i="1"/>
  <c r="U25" i="1" s="1"/>
  <c r="J23" i="22"/>
  <c r="J25" i="22" s="1"/>
  <c r="J23" i="1"/>
  <c r="M23" i="22"/>
  <c r="M24" i="22" s="1"/>
  <c r="M23" i="1"/>
  <c r="X23" i="1"/>
  <c r="X25" i="1" s="1"/>
  <c r="I23" i="22"/>
  <c r="I24" i="22" s="1"/>
  <c r="I23" i="1"/>
  <c r="V23" i="1"/>
  <c r="V25" i="1" s="1"/>
  <c r="AD23" i="1"/>
  <c r="AD25" i="1" s="1"/>
  <c r="P23" i="22"/>
  <c r="P25" i="22" s="1"/>
  <c r="P23" i="1"/>
  <c r="P25" i="1" s="1"/>
  <c r="O23" i="22"/>
  <c r="O24" i="22" s="1"/>
  <c r="O23" i="1"/>
  <c r="O25" i="1" s="1"/>
  <c r="L23" i="22"/>
  <c r="L25" i="22" s="1"/>
  <c r="L23" i="1"/>
  <c r="L25" i="1" s="1"/>
  <c r="Y23" i="1"/>
  <c r="Y25" i="1" s="1"/>
  <c r="R23" i="22"/>
  <c r="R24" i="22" s="1"/>
  <c r="R23" i="1"/>
  <c r="R25" i="1" s="1"/>
  <c r="N23" i="22"/>
  <c r="N24" i="22" s="1"/>
  <c r="N23" i="1"/>
  <c r="N24" i="1" s="1"/>
  <c r="T23" i="1"/>
  <c r="T25" i="1" s="1"/>
  <c r="Q23" i="22"/>
  <c r="Q25" i="22" s="1"/>
  <c r="Q23" i="1"/>
  <c r="S23" i="22"/>
  <c r="S24" i="22" s="1"/>
  <c r="S23" i="1"/>
  <c r="S25" i="1" s="1"/>
  <c r="AD2" i="30"/>
  <c r="AC23" i="22" s="1"/>
  <c r="AH25" i="22"/>
  <c r="AH24" i="22"/>
  <c r="AF25" i="22"/>
  <c r="AF24" i="22"/>
  <c r="AG25" i="22"/>
  <c r="AG24" i="22"/>
  <c r="AC2" i="30"/>
  <c r="AB23" i="22" s="1"/>
  <c r="H25" i="1"/>
  <c r="F24" i="1"/>
  <c r="F25" i="1"/>
  <c r="H50" i="1"/>
  <c r="H87" i="1"/>
  <c r="AM26" i="22" l="1"/>
  <c r="AO26" i="22"/>
  <c r="AN26" i="22"/>
  <c r="AP26" i="22"/>
  <c r="AP106" i="22" s="1"/>
  <c r="AQ26" i="22"/>
  <c r="AQ106" i="22" s="1"/>
  <c r="AQ109" i="22" s="1"/>
  <c r="AL26" i="22"/>
  <c r="AK26" i="22"/>
  <c r="AK106" i="22" s="1"/>
  <c r="AK108" i="22" s="1"/>
  <c r="AK118" i="22" s="1"/>
  <c r="AI26" i="22"/>
  <c r="AI106" i="22" s="1"/>
  <c r="AI108" i="22" s="1"/>
  <c r="AI118" i="22" s="1"/>
  <c r="AS26" i="22"/>
  <c r="AS106" i="22" s="1"/>
  <c r="AS109" i="22" s="1"/>
  <c r="AR26" i="22"/>
  <c r="AR106" i="22" s="1"/>
  <c r="AR109" i="22" s="1"/>
  <c r="AJ26" i="22"/>
  <c r="AJ106" i="22" s="1"/>
  <c r="AJ109" i="22" s="1"/>
  <c r="AP109" i="22"/>
  <c r="AP108" i="22"/>
  <c r="AP118" i="22" s="1"/>
  <c r="AT26" i="22"/>
  <c r="AT106" i="22" s="1"/>
  <c r="M25" i="22"/>
  <c r="M26" i="22" s="1"/>
  <c r="M106" i="22" s="1"/>
  <c r="K24" i="22"/>
  <c r="K26" i="22" s="1"/>
  <c r="AD26" i="22"/>
  <c r="AD106" i="22" s="1"/>
  <c r="AD108" i="22" s="1"/>
  <c r="AD109" i="22" s="1"/>
  <c r="J24" i="22"/>
  <c r="J26" i="22" s="1"/>
  <c r="J106" i="22" s="1"/>
  <c r="O25" i="22"/>
  <c r="O26" i="22" s="1"/>
  <c r="O106" i="22" s="1"/>
  <c r="Y26" i="22"/>
  <c r="Y106" i="22" s="1"/>
  <c r="T26" i="22"/>
  <c r="T106" i="22" s="1"/>
  <c r="AA26" i="22"/>
  <c r="AA106" i="22" s="1"/>
  <c r="AC25" i="22"/>
  <c r="AC24" i="22"/>
  <c r="L24" i="22"/>
  <c r="L26" i="22" s="1"/>
  <c r="L106" i="22" s="1"/>
  <c r="AE26" i="22"/>
  <c r="AE106" i="22" s="1"/>
  <c r="AE108" i="22" s="1"/>
  <c r="AE118" i="22" s="1"/>
  <c r="AB24" i="22"/>
  <c r="AB25" i="22"/>
  <c r="Z26" i="22"/>
  <c r="Z106" i="22" s="1"/>
  <c r="X26" i="22"/>
  <c r="X106" i="22" s="1"/>
  <c r="W26" i="22"/>
  <c r="W106" i="22" s="1"/>
  <c r="V26" i="22"/>
  <c r="V106" i="22" s="1"/>
  <c r="U26" i="22"/>
  <c r="U106" i="22" s="1"/>
  <c r="Q24" i="22"/>
  <c r="Q26" i="22" s="1"/>
  <c r="Q106" i="22" s="1"/>
  <c r="N25" i="22"/>
  <c r="S25" i="22"/>
  <c r="AH26" i="22"/>
  <c r="AH106" i="22" s="1"/>
  <c r="AH109" i="22" s="1"/>
  <c r="R25" i="22"/>
  <c r="AB23" i="1"/>
  <c r="AB25" i="1" s="1"/>
  <c r="P24" i="22"/>
  <c r="P26" i="22" s="1"/>
  <c r="P106" i="22" s="1"/>
  <c r="I24" i="1"/>
  <c r="AC23" i="1"/>
  <c r="AC25" i="1" s="1"/>
  <c r="I25" i="22"/>
  <c r="AG26" i="22"/>
  <c r="AG106" i="22" s="1"/>
  <c r="AG108" i="22" s="1"/>
  <c r="AG118" i="22" s="1"/>
  <c r="AN106" i="22"/>
  <c r="AN108" i="22" s="1"/>
  <c r="AN118" i="22" s="1"/>
  <c r="AM106" i="22"/>
  <c r="AM108" i="22" s="1"/>
  <c r="AM118" i="22" s="1"/>
  <c r="AO106" i="22"/>
  <c r="AO108" i="22" s="1"/>
  <c r="AO118" i="22" s="1"/>
  <c r="AL106" i="22"/>
  <c r="AL108" i="22" s="1"/>
  <c r="AL118" i="22" s="1"/>
  <c r="AF26" i="22"/>
  <c r="AF106" i="22" s="1"/>
  <c r="AF108" i="22" s="1"/>
  <c r="AF118" i="22" s="1"/>
  <c r="N25" i="1"/>
  <c r="N26" i="1" s="1"/>
  <c r="N106" i="1" s="1"/>
  <c r="H24" i="1"/>
  <c r="H26" i="1" s="1"/>
  <c r="H106" i="1" s="1"/>
  <c r="M10" i="29" s="1"/>
  <c r="I25" i="1"/>
  <c r="F26" i="1"/>
  <c r="M25" i="1"/>
  <c r="Q25" i="1"/>
  <c r="J24" i="1"/>
  <c r="J25" i="1"/>
  <c r="H89" i="1"/>
  <c r="H90" i="1" s="1"/>
  <c r="H93" i="1"/>
  <c r="AR108" i="22" l="1"/>
  <c r="AR118" i="22" s="1"/>
  <c r="AS108" i="22"/>
  <c r="AS118" i="22" s="1"/>
  <c r="K106" i="22"/>
  <c r="G53" i="29" s="1"/>
  <c r="AQ108" i="22"/>
  <c r="AQ118" i="22" s="1"/>
  <c r="M109" i="22"/>
  <c r="I53" i="29"/>
  <c r="O109" i="22"/>
  <c r="K53" i="29"/>
  <c r="J109" i="22"/>
  <c r="F53" i="29"/>
  <c r="Y108" i="22"/>
  <c r="U53" i="29"/>
  <c r="Q109" i="22"/>
  <c r="M53" i="29"/>
  <c r="L109" i="22"/>
  <c r="H53" i="29"/>
  <c r="P108" i="22"/>
  <c r="L53" i="29"/>
  <c r="W108" i="22"/>
  <c r="S53" i="29"/>
  <c r="U108" i="22"/>
  <c r="Q53" i="29"/>
  <c r="X108" i="22"/>
  <c r="T53" i="29"/>
  <c r="AA109" i="22"/>
  <c r="W53" i="29"/>
  <c r="AT109" i="22"/>
  <c r="AT108" i="22"/>
  <c r="AT118" i="22" s="1"/>
  <c r="V109" i="22"/>
  <c r="R53" i="29"/>
  <c r="Z108" i="22"/>
  <c r="V53" i="29"/>
  <c r="T109" i="22"/>
  <c r="P53" i="29"/>
  <c r="P109" i="22"/>
  <c r="AF109" i="22"/>
  <c r="AL109" i="22"/>
  <c r="Y109" i="22"/>
  <c r="AK109" i="22"/>
  <c r="K108" i="22"/>
  <c r="X109" i="22"/>
  <c r="T108" i="22"/>
  <c r="L108" i="22"/>
  <c r="AM109" i="22"/>
  <c r="AI109" i="22"/>
  <c r="N26" i="22"/>
  <c r="N106" i="22" s="1"/>
  <c r="AA108" i="22"/>
  <c r="U109" i="22"/>
  <c r="Z109" i="22"/>
  <c r="AJ108" i="22"/>
  <c r="AJ118" i="22" s="1"/>
  <c r="V108" i="22"/>
  <c r="O108" i="22"/>
  <c r="AH108" i="22"/>
  <c r="AH118" i="22" s="1"/>
  <c r="AB26" i="22"/>
  <c r="AB106" i="22" s="1"/>
  <c r="AB108" i="22" s="1"/>
  <c r="AN109" i="22"/>
  <c r="AE109" i="22"/>
  <c r="M108" i="22"/>
  <c r="Q108" i="22"/>
  <c r="AG109" i="22"/>
  <c r="W109" i="22"/>
  <c r="AO109" i="22"/>
  <c r="S26" i="22"/>
  <c r="S106" i="22" s="1"/>
  <c r="AC26" i="22"/>
  <c r="AC106" i="22" s="1"/>
  <c r="AC109" i="22" s="1"/>
  <c r="R26" i="22"/>
  <c r="R106" i="22" s="1"/>
  <c r="I26" i="1"/>
  <c r="I106" i="1" s="1"/>
  <c r="I108" i="1" s="1"/>
  <c r="I109" i="1" s="1"/>
  <c r="BQ23" i="22"/>
  <c r="BQ24" i="22"/>
  <c r="I26" i="22"/>
  <c r="I106" i="22" s="1"/>
  <c r="AF23" i="1"/>
  <c r="J108" i="22"/>
  <c r="J26" i="1"/>
  <c r="J106" i="1" s="1"/>
  <c r="H146" i="1"/>
  <c r="AD113" i="1"/>
  <c r="AC113" i="1"/>
  <c r="AB113" i="1"/>
  <c r="AD72" i="1"/>
  <c r="AD73" i="1" s="1"/>
  <c r="AC72" i="1"/>
  <c r="AC73" i="1" s="1"/>
  <c r="AB72" i="1"/>
  <c r="AB73" i="1" s="1"/>
  <c r="AD69" i="1"/>
  <c r="AD70" i="1" s="1"/>
  <c r="AC69" i="1"/>
  <c r="AC70" i="1" s="1"/>
  <c r="AB69" i="1"/>
  <c r="AB70" i="1" s="1"/>
  <c r="AD61" i="1"/>
  <c r="AC61" i="1"/>
  <c r="AB61" i="1"/>
  <c r="AD9" i="1"/>
  <c r="AC9" i="1"/>
  <c r="AB9" i="1"/>
  <c r="AD4" i="1"/>
  <c r="AC4" i="1"/>
  <c r="X61" i="1"/>
  <c r="Y61" i="1"/>
  <c r="Z61" i="1"/>
  <c r="AA61" i="1"/>
  <c r="AA113" i="1"/>
  <c r="Z113" i="1"/>
  <c r="Y113" i="1"/>
  <c r="X113" i="1"/>
  <c r="AA72" i="1"/>
  <c r="AA73" i="1" s="1"/>
  <c r="Z72" i="1"/>
  <c r="Z73" i="1" s="1"/>
  <c r="Y72" i="1"/>
  <c r="Y73" i="1" s="1"/>
  <c r="X72" i="1"/>
  <c r="X73" i="1" s="1"/>
  <c r="AA69" i="1"/>
  <c r="AA70" i="1" s="1"/>
  <c r="Z69" i="1"/>
  <c r="Z70" i="1" s="1"/>
  <c r="Y69" i="1"/>
  <c r="Y70" i="1" s="1"/>
  <c r="X69" i="1"/>
  <c r="X70" i="1" s="1"/>
  <c r="AA9" i="1"/>
  <c r="Z9" i="1"/>
  <c r="Y9" i="1"/>
  <c r="Y24" i="1" s="1"/>
  <c r="Y26" i="1" s="1"/>
  <c r="X9" i="1"/>
  <c r="X24" i="1" s="1"/>
  <c r="X26" i="1" s="1"/>
  <c r="AA4" i="1"/>
  <c r="Z4" i="1"/>
  <c r="K109" i="22" l="1"/>
  <c r="R109" i="22"/>
  <c r="N53" i="29"/>
  <c r="S108" i="22"/>
  <c r="O53" i="29"/>
  <c r="I109" i="22"/>
  <c r="E53" i="29"/>
  <c r="N108" i="22"/>
  <c r="J53" i="29"/>
  <c r="N109" i="22"/>
  <c r="AB109" i="22"/>
  <c r="I108" i="22"/>
  <c r="AC108" i="22"/>
  <c r="R108" i="22"/>
  <c r="S109" i="22"/>
  <c r="BQ106" i="22"/>
  <c r="BQ108" i="22" s="1"/>
  <c r="BQ25" i="22"/>
  <c r="BQ26" i="22" s="1"/>
  <c r="Z24" i="1"/>
  <c r="Z26" i="1" s="1"/>
  <c r="Z106" i="1" s="1"/>
  <c r="AA24" i="1"/>
  <c r="AA26" i="1" s="1"/>
  <c r="AA106" i="1" s="1"/>
  <c r="AC24" i="1"/>
  <c r="AC26" i="1" s="1"/>
  <c r="AC106" i="1" s="1"/>
  <c r="AD24" i="1"/>
  <c r="AD26" i="1" s="1"/>
  <c r="AD106" i="1" s="1"/>
  <c r="AB24" i="1"/>
  <c r="AB26" i="1" s="1"/>
  <c r="AB106" i="1" s="1"/>
  <c r="X106" i="1"/>
  <c r="X75" i="1"/>
  <c r="Y106" i="1"/>
  <c r="Y75" i="1"/>
  <c r="Z114" i="1"/>
  <c r="Z12" i="1"/>
  <c r="Z87" i="1"/>
  <c r="AA104" i="1"/>
  <c r="AA12" i="1"/>
  <c r="AA87" i="1"/>
  <c r="Y114" i="1"/>
  <c r="Y115" i="1" s="1"/>
  <c r="Y131" i="1" s="1"/>
  <c r="Y12" i="1"/>
  <c r="Y87" i="1"/>
  <c r="AB104" i="1"/>
  <c r="AB12" i="1"/>
  <c r="AB87" i="1"/>
  <c r="AC12" i="1"/>
  <c r="AC87" i="1"/>
  <c r="AD12" i="1"/>
  <c r="AD87" i="1"/>
  <c r="Z115" i="1"/>
  <c r="AA115" i="1"/>
  <c r="X114" i="1"/>
  <c r="X115" i="1" s="1"/>
  <c r="X131" i="1" s="1"/>
  <c r="X12" i="1"/>
  <c r="X87" i="1"/>
  <c r="Z75" i="1"/>
  <c r="AB75" i="1"/>
  <c r="AA75" i="1"/>
  <c r="AC75" i="1"/>
  <c r="AB114" i="1"/>
  <c r="AA77" i="1"/>
  <c r="AA78" i="1" s="1"/>
  <c r="AB77" i="1"/>
  <c r="AB78" i="1" s="1"/>
  <c r="AC114" i="1"/>
  <c r="AC115" i="1" s="1"/>
  <c r="AC77" i="1"/>
  <c r="AC78" i="1" s="1"/>
  <c r="AD114" i="1"/>
  <c r="AD115" i="1" s="1"/>
  <c r="AD77" i="1"/>
  <c r="AD78" i="1" s="1"/>
  <c r="AD75" i="1"/>
  <c r="AC104" i="1"/>
  <c r="AD104" i="1"/>
  <c r="Z104" i="1"/>
  <c r="AA114" i="1"/>
  <c r="X104" i="1"/>
  <c r="Y104" i="1"/>
  <c r="X77" i="1"/>
  <c r="X78" i="1" s="1"/>
  <c r="Y77" i="1"/>
  <c r="Y78" i="1" s="1"/>
  <c r="Z77" i="1"/>
  <c r="Z78" i="1" s="1"/>
  <c r="V9" i="1"/>
  <c r="V24" i="1" s="1"/>
  <c r="V26" i="1" s="1"/>
  <c r="U9" i="1"/>
  <c r="U24" i="1" s="1"/>
  <c r="U26" i="1" s="1"/>
  <c r="T9" i="1"/>
  <c r="T24" i="1" s="1"/>
  <c r="T26" i="1" s="1"/>
  <c r="S9" i="1"/>
  <c r="R9" i="1"/>
  <c r="Q9" i="1"/>
  <c r="P9" i="1"/>
  <c r="O9" i="1"/>
  <c r="M9" i="1"/>
  <c r="L9" i="1"/>
  <c r="K9" i="1"/>
  <c r="AB109" i="1" l="1"/>
  <c r="BQ109" i="22"/>
  <c r="Y108" i="1"/>
  <c r="O24" i="1"/>
  <c r="O26" i="1" s="1"/>
  <c r="O106" i="1" s="1"/>
  <c r="P24" i="1"/>
  <c r="P26" i="1" s="1"/>
  <c r="P106" i="1" s="1"/>
  <c r="R24" i="1"/>
  <c r="R26" i="1" s="1"/>
  <c r="R106" i="1" s="1"/>
  <c r="S24" i="1"/>
  <c r="S26" i="1" s="1"/>
  <c r="S106" i="1" s="1"/>
  <c r="K24" i="1"/>
  <c r="K26" i="1" s="1"/>
  <c r="K106" i="1" s="1"/>
  <c r="L24" i="1"/>
  <c r="L26" i="1" s="1"/>
  <c r="L106" i="1" s="1"/>
  <c r="Q24" i="1"/>
  <c r="Q26" i="1" s="1"/>
  <c r="Q106" i="1" s="1"/>
  <c r="M24" i="1"/>
  <c r="M26" i="1" s="1"/>
  <c r="M106" i="1" s="1"/>
  <c r="U106" i="1"/>
  <c r="U75" i="1"/>
  <c r="V106" i="1"/>
  <c r="V75" i="1"/>
  <c r="T106" i="1"/>
  <c r="T75" i="1"/>
  <c r="AB108" i="1"/>
  <c r="AC109" i="1"/>
  <c r="AC108" i="1"/>
  <c r="AA109" i="1"/>
  <c r="AA108" i="1"/>
  <c r="Z109" i="1"/>
  <c r="Z108" i="1"/>
  <c r="AD109" i="1"/>
  <c r="AD108" i="1"/>
  <c r="X109" i="1"/>
  <c r="X108" i="1"/>
  <c r="P12" i="1"/>
  <c r="P87" i="1"/>
  <c r="K12" i="1"/>
  <c r="K87" i="1"/>
  <c r="M12" i="1"/>
  <c r="M87" i="1"/>
  <c r="Y81" i="1"/>
  <c r="Y14" i="1"/>
  <c r="Q12" i="1"/>
  <c r="Q87" i="1"/>
  <c r="AA14" i="1"/>
  <c r="AA19" i="1" s="1"/>
  <c r="AA81" i="1"/>
  <c r="O12" i="1"/>
  <c r="O87" i="1"/>
  <c r="AD131" i="1"/>
  <c r="AD14" i="1"/>
  <c r="AD19" i="1" s="1"/>
  <c r="AD81" i="1"/>
  <c r="AB14" i="1"/>
  <c r="AB81" i="1"/>
  <c r="AA131" i="1"/>
  <c r="L12" i="1"/>
  <c r="L87" i="1"/>
  <c r="AB115" i="1"/>
  <c r="AB131" i="1" s="1"/>
  <c r="S12" i="1"/>
  <c r="S87" i="1"/>
  <c r="T87" i="1"/>
  <c r="T12" i="1"/>
  <c r="U12" i="1"/>
  <c r="U87" i="1"/>
  <c r="Y109" i="1"/>
  <c r="AC131" i="1"/>
  <c r="Z14" i="1"/>
  <c r="Z81" i="1"/>
  <c r="R12" i="1"/>
  <c r="R87" i="1"/>
  <c r="V12" i="1"/>
  <c r="V87" i="1"/>
  <c r="X81" i="1"/>
  <c r="X14" i="1"/>
  <c r="AC14" i="1"/>
  <c r="AC19" i="1" s="1"/>
  <c r="AC81" i="1"/>
  <c r="Z131" i="1"/>
  <c r="N6" i="7"/>
  <c r="N7" i="7"/>
  <c r="H56" i="22" s="1"/>
  <c r="H60" i="22" l="1"/>
  <c r="H62" i="22" s="1"/>
  <c r="H58" i="22"/>
  <c r="O6" i="7"/>
  <c r="H55" i="1"/>
  <c r="H58" i="1" s="1"/>
  <c r="AB89" i="1"/>
  <c r="AD89" i="1"/>
  <c r="AD90" i="1" s="1"/>
  <c r="Z89" i="1"/>
  <c r="X89" i="1"/>
  <c r="Y89" i="1"/>
  <c r="AC89" i="1"/>
  <c r="AC90" i="1" s="1"/>
  <c r="AA89" i="1"/>
  <c r="AA90" i="1" s="1"/>
  <c r="P6" i="7"/>
  <c r="AC15" i="1"/>
  <c r="O7" i="7"/>
  <c r="I56" i="22" s="1"/>
  <c r="I58" i="22" s="1"/>
  <c r="AC84" i="1"/>
  <c r="AC85" i="1"/>
  <c r="AC86" i="1"/>
  <c r="AA31" i="1"/>
  <c r="AA34" i="1" s="1"/>
  <c r="AA84" i="1"/>
  <c r="AA85" i="1"/>
  <c r="AA86" i="1"/>
  <c r="AD84" i="1"/>
  <c r="AD86" i="1"/>
  <c r="AD85" i="1"/>
  <c r="AD15" i="1"/>
  <c r="M81" i="1"/>
  <c r="M14" i="1"/>
  <c r="L81" i="1"/>
  <c r="L14" i="1"/>
  <c r="U14" i="1"/>
  <c r="U81" i="1"/>
  <c r="V81" i="1"/>
  <c r="V14" i="1"/>
  <c r="Z15" i="1"/>
  <c r="Z19" i="1"/>
  <c r="S14" i="1"/>
  <c r="S81" i="1"/>
  <c r="K81" i="1"/>
  <c r="K14" i="1"/>
  <c r="R14" i="1"/>
  <c r="R81" i="1"/>
  <c r="Q14" i="1"/>
  <c r="Q81" i="1"/>
  <c r="T14" i="1"/>
  <c r="T81" i="1"/>
  <c r="O14" i="1"/>
  <c r="O81" i="1"/>
  <c r="P14" i="1"/>
  <c r="P81" i="1"/>
  <c r="AA17" i="1"/>
  <c r="AA15" i="1"/>
  <c r="AB19" i="1"/>
  <c r="AB15" i="1"/>
  <c r="AD17" i="1"/>
  <c r="AD31" i="1"/>
  <c r="AC17" i="1"/>
  <c r="AC31" i="1"/>
  <c r="X19" i="1"/>
  <c r="X15" i="1"/>
  <c r="Y19" i="1"/>
  <c r="Y15" i="1"/>
  <c r="H63" i="22" l="1"/>
  <c r="D46" i="29"/>
  <c r="AD34" i="1"/>
  <c r="AC34" i="1"/>
  <c r="AA50" i="1"/>
  <c r="AD50" i="1"/>
  <c r="AC50" i="1"/>
  <c r="J56" i="24"/>
  <c r="J58" i="24"/>
  <c r="Q6" i="7"/>
  <c r="I60" i="22"/>
  <c r="P7" i="7"/>
  <c r="J56" i="22" s="1"/>
  <c r="J58" i="22" s="1"/>
  <c r="X85" i="1"/>
  <c r="X86" i="1"/>
  <c r="X84" i="1"/>
  <c r="Z84" i="1"/>
  <c r="Z85" i="1"/>
  <c r="Z86" i="1"/>
  <c r="Y85" i="1"/>
  <c r="Y86" i="1"/>
  <c r="Y84" i="1"/>
  <c r="AB84" i="1"/>
  <c r="AB85" i="1"/>
  <c r="AB86" i="1"/>
  <c r="Z17" i="1"/>
  <c r="Z31" i="1"/>
  <c r="Z90" i="1"/>
  <c r="Y90" i="1"/>
  <c r="AB31" i="1"/>
  <c r="AB17" i="1"/>
  <c r="AB90" i="1"/>
  <c r="AD60" i="1"/>
  <c r="AD62" i="1" s="1"/>
  <c r="X17" i="1"/>
  <c r="X31" i="1"/>
  <c r="Y17" i="1"/>
  <c r="Y31" i="1"/>
  <c r="X90" i="1"/>
  <c r="H144" i="22" l="1"/>
  <c r="D47" i="29"/>
  <c r="Y34" i="1"/>
  <c r="AB34" i="1"/>
  <c r="X34" i="1"/>
  <c r="Z34" i="1"/>
  <c r="AA93" i="1"/>
  <c r="X50" i="1"/>
  <c r="Z50" i="1"/>
  <c r="Y50" i="1"/>
  <c r="AB50" i="1"/>
  <c r="J60" i="24"/>
  <c r="I62" i="22"/>
  <c r="E46" i="29" s="1"/>
  <c r="AA146" i="1"/>
  <c r="K56" i="24"/>
  <c r="K58" i="24"/>
  <c r="K60" i="24" s="1"/>
  <c r="R6" i="7"/>
  <c r="J60" i="22"/>
  <c r="J62" i="22" s="1"/>
  <c r="F46" i="29" s="1"/>
  <c r="Q7" i="7"/>
  <c r="K56" i="22" s="1"/>
  <c r="K58" i="22" s="1"/>
  <c r="AA60" i="1"/>
  <c r="AA62" i="1" s="1"/>
  <c r="AD93" i="1"/>
  <c r="AC93" i="1"/>
  <c r="AC60" i="1"/>
  <c r="AC62" i="1" s="1"/>
  <c r="AD63" i="1"/>
  <c r="AE27" i="1"/>
  <c r="H145" i="22" l="1"/>
  <c r="H147" i="22" s="1"/>
  <c r="H148" i="22" s="1"/>
  <c r="H95" i="22" s="1"/>
  <c r="H150" i="22"/>
  <c r="I63" i="22"/>
  <c r="E47" i="29" s="1"/>
  <c r="J61" i="24"/>
  <c r="J147" i="24" s="1"/>
  <c r="AD146" i="1"/>
  <c r="AC146" i="1"/>
  <c r="AD144" i="1"/>
  <c r="AD145" i="1" s="1"/>
  <c r="AD150" i="1" s="1"/>
  <c r="J148" i="24"/>
  <c r="J150" i="24" s="1"/>
  <c r="J151" i="24" s="1"/>
  <c r="J96" i="24" s="1"/>
  <c r="L58" i="24"/>
  <c r="L60" i="24" s="1"/>
  <c r="L56" i="24"/>
  <c r="S6" i="7"/>
  <c r="K61" i="24"/>
  <c r="K147" i="24" s="1"/>
  <c r="K60" i="22"/>
  <c r="K62" i="22" s="1"/>
  <c r="G46" i="29" s="1"/>
  <c r="R7" i="7"/>
  <c r="L56" i="22" s="1"/>
  <c r="L58" i="22" s="1"/>
  <c r="J63" i="22"/>
  <c r="F47" i="29" s="1"/>
  <c r="AA63" i="1"/>
  <c r="Z60" i="1"/>
  <c r="Z62" i="1" s="1"/>
  <c r="Z93" i="1"/>
  <c r="AC63" i="1"/>
  <c r="Y93" i="1"/>
  <c r="AB93" i="1"/>
  <c r="X93" i="1"/>
  <c r="Y60" i="1"/>
  <c r="Y62" i="1" s="1"/>
  <c r="AB60" i="1"/>
  <c r="AB62" i="1" s="1"/>
  <c r="X60" i="1"/>
  <c r="X62" i="1" s="1"/>
  <c r="AE10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H96" i="22" l="1"/>
  <c r="H98" i="22" s="1"/>
  <c r="D54" i="29"/>
  <c r="J144" i="22"/>
  <c r="I144" i="22"/>
  <c r="I145" i="22" s="1"/>
  <c r="I147" i="22" s="1"/>
  <c r="I148" i="22" s="1"/>
  <c r="I95" i="22" s="1"/>
  <c r="J97" i="24"/>
  <c r="X146" i="1"/>
  <c r="AB146" i="1"/>
  <c r="Y146" i="1"/>
  <c r="Z146" i="1"/>
  <c r="AA144" i="1"/>
  <c r="AA145" i="1" s="1"/>
  <c r="AA150" i="1" s="1"/>
  <c r="AC144" i="1"/>
  <c r="AC145" i="1" s="1"/>
  <c r="AC147" i="1" s="1"/>
  <c r="AC148" i="1" s="1"/>
  <c r="AC95" i="1" s="1"/>
  <c r="J153" i="24"/>
  <c r="AD147" i="1"/>
  <c r="AD148" i="1" s="1"/>
  <c r="AD95" i="1" s="1"/>
  <c r="K148" i="24"/>
  <c r="K153" i="24" s="1"/>
  <c r="J145" i="22"/>
  <c r="J147" i="22" s="1"/>
  <c r="J148" i="22" s="1"/>
  <c r="J95" i="22" s="1"/>
  <c r="F54" i="29" s="1"/>
  <c r="M58" i="24"/>
  <c r="M60" i="24" s="1"/>
  <c r="M56" i="24"/>
  <c r="T6" i="7"/>
  <c r="L61" i="24"/>
  <c r="L147" i="24" s="1"/>
  <c r="S7" i="7"/>
  <c r="M56" i="22" s="1"/>
  <c r="M58" i="22" s="1"/>
  <c r="K63" i="22"/>
  <c r="G47" i="29" s="1"/>
  <c r="L60" i="22"/>
  <c r="L62" i="22" s="1"/>
  <c r="H46" i="29" s="1"/>
  <c r="X63" i="1"/>
  <c r="AB63" i="1"/>
  <c r="Y63" i="1"/>
  <c r="Z63" i="1"/>
  <c r="C33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C34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C36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A33" i="18"/>
  <c r="A34" i="18"/>
  <c r="A35" i="18"/>
  <c r="H99" i="22" l="1"/>
  <c r="H101" i="22"/>
  <c r="H118" i="22" s="1"/>
  <c r="I96" i="22"/>
  <c r="I98" i="22" s="1"/>
  <c r="E54" i="29"/>
  <c r="K144" i="22"/>
  <c r="I150" i="22"/>
  <c r="J96" i="22"/>
  <c r="J98" i="22" s="1"/>
  <c r="J99" i="22" s="1"/>
  <c r="I99" i="22"/>
  <c r="I101" i="22"/>
  <c r="I118" i="22" s="1"/>
  <c r="AA147" i="1"/>
  <c r="AA148" i="1" s="1"/>
  <c r="AA95" i="1" s="1"/>
  <c r="X144" i="1"/>
  <c r="X145" i="1" s="1"/>
  <c r="X150" i="1" s="1"/>
  <c r="Z144" i="1"/>
  <c r="Z145" i="1" s="1"/>
  <c r="Z147" i="1" s="1"/>
  <c r="Z148" i="1" s="1"/>
  <c r="Z95" i="1" s="1"/>
  <c r="AB144" i="1"/>
  <c r="AB145" i="1" s="1"/>
  <c r="Y144" i="1"/>
  <c r="Y145" i="1" s="1"/>
  <c r="Y147" i="1" s="1"/>
  <c r="Y148" i="1" s="1"/>
  <c r="Y95" i="1" s="1"/>
  <c r="AC96" i="1"/>
  <c r="AC98" i="1" s="1"/>
  <c r="AD96" i="1"/>
  <c r="AD98" i="1" s="1"/>
  <c r="J150" i="22"/>
  <c r="K150" i="24"/>
  <c r="K151" i="24" s="1"/>
  <c r="K96" i="24" s="1"/>
  <c r="L148" i="24"/>
  <c r="L153" i="24" s="1"/>
  <c r="K145" i="22"/>
  <c r="K147" i="22" s="1"/>
  <c r="K148" i="22" s="1"/>
  <c r="K95" i="22" s="1"/>
  <c r="AC150" i="1"/>
  <c r="N58" i="24"/>
  <c r="N60" i="24" s="1"/>
  <c r="N56" i="24"/>
  <c r="U6" i="7"/>
  <c r="M61" i="24"/>
  <c r="M147" i="24" s="1"/>
  <c r="M60" i="22"/>
  <c r="M62" i="22" s="1"/>
  <c r="I46" i="29" s="1"/>
  <c r="L63" i="22"/>
  <c r="H47" i="29" s="1"/>
  <c r="T7" i="7"/>
  <c r="N56" i="22" s="1"/>
  <c r="N58" i="22" s="1"/>
  <c r="W113" i="1"/>
  <c r="M8" i="8" l="1"/>
  <c r="K96" i="22"/>
  <c r="K98" i="22" s="1"/>
  <c r="K99" i="22" s="1"/>
  <c r="G54" i="29"/>
  <c r="J101" i="22"/>
  <c r="J118" i="22" s="1"/>
  <c r="O8" i="8" s="1"/>
  <c r="L144" i="22"/>
  <c r="L145" i="22" s="1"/>
  <c r="L147" i="22" s="1"/>
  <c r="L148" i="22" s="1"/>
  <c r="L95" i="22" s="1"/>
  <c r="AA96" i="1"/>
  <c r="AA98" i="1" s="1"/>
  <c r="N8" i="8"/>
  <c r="K97" i="24"/>
  <c r="X147" i="1"/>
  <c r="X148" i="1" s="1"/>
  <c r="X95" i="1" s="1"/>
  <c r="AB147" i="1"/>
  <c r="AB148" i="1" s="1"/>
  <c r="AB95" i="1" s="1"/>
  <c r="AB150" i="1"/>
  <c r="Y96" i="1"/>
  <c r="Y98" i="1" s="1"/>
  <c r="Y99" i="1" s="1"/>
  <c r="Z96" i="1"/>
  <c r="Z98" i="1" s="1"/>
  <c r="Z99" i="1" s="1"/>
  <c r="AC99" i="1"/>
  <c r="AC101" i="1"/>
  <c r="AC118" i="1" s="1"/>
  <c r="AH7" i="8" s="1"/>
  <c r="AD99" i="1"/>
  <c r="AD101" i="1"/>
  <c r="AD118" i="1" s="1"/>
  <c r="AA99" i="1"/>
  <c r="AA101" i="1"/>
  <c r="AA118" i="1" s="1"/>
  <c r="AF7" i="8" s="1"/>
  <c r="K150" i="22"/>
  <c r="Z150" i="1"/>
  <c r="L150" i="24"/>
  <c r="L151" i="24" s="1"/>
  <c r="L96" i="24" s="1"/>
  <c r="L97" i="24" s="1"/>
  <c r="Y150" i="1"/>
  <c r="M148" i="24"/>
  <c r="M153" i="24" s="1"/>
  <c r="N61" i="24"/>
  <c r="N147" i="24" s="1"/>
  <c r="O58" i="24"/>
  <c r="O60" i="24" s="1"/>
  <c r="O56" i="24"/>
  <c r="V6" i="7"/>
  <c r="M63" i="22"/>
  <c r="I47" i="29" s="1"/>
  <c r="N60" i="22"/>
  <c r="N62" i="22" s="1"/>
  <c r="J46" i="29" s="1"/>
  <c r="U7" i="7"/>
  <c r="O56" i="22" s="1"/>
  <c r="O58" i="22" s="1"/>
  <c r="K101" i="22" l="1"/>
  <c r="L96" i="22"/>
  <c r="L98" i="22" s="1"/>
  <c r="L99" i="22" s="1"/>
  <c r="H54" i="29"/>
  <c r="M144" i="22"/>
  <c r="AB96" i="1"/>
  <c r="AB98" i="1" s="1"/>
  <c r="AB99" i="1" s="1"/>
  <c r="X96" i="1"/>
  <c r="X98" i="1" s="1"/>
  <c r="X99" i="1" s="1"/>
  <c r="Y101" i="1"/>
  <c r="Y118" i="1" s="1"/>
  <c r="AD7" i="8" s="1"/>
  <c r="Z101" i="1"/>
  <c r="Z118" i="1" s="1"/>
  <c r="AE7" i="8" s="1"/>
  <c r="AB101" i="1"/>
  <c r="AB118" i="1" s="1"/>
  <c r="X101" i="1"/>
  <c r="X118" i="1" s="1"/>
  <c r="AC7" i="8" s="1"/>
  <c r="K118" i="22"/>
  <c r="L150" i="22"/>
  <c r="M150" i="24"/>
  <c r="M151" i="24" s="1"/>
  <c r="M96" i="24" s="1"/>
  <c r="M97" i="24" s="1"/>
  <c r="L101" i="22"/>
  <c r="L118" i="22" s="1"/>
  <c r="M145" i="22"/>
  <c r="M150" i="22" s="1"/>
  <c r="N148" i="24"/>
  <c r="N153" i="24" s="1"/>
  <c r="W6" i="7"/>
  <c r="P58" i="24"/>
  <c r="P60" i="24" s="1"/>
  <c r="P56" i="24"/>
  <c r="O61" i="24"/>
  <c r="O147" i="24" s="1"/>
  <c r="O60" i="22"/>
  <c r="O62" i="22" s="1"/>
  <c r="K46" i="29" s="1"/>
  <c r="V7" i="7"/>
  <c r="P56" i="22" s="1"/>
  <c r="P58" i="22" s="1"/>
  <c r="N63" i="22"/>
  <c r="J47" i="29" s="1"/>
  <c r="A36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A32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A31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A30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A29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A28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A27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A26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A25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E24" i="18"/>
  <c r="D24" i="18"/>
  <c r="C24" i="18"/>
  <c r="A24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A23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A22" i="18"/>
  <c r="N144" i="22" l="1"/>
  <c r="AG7" i="8"/>
  <c r="Q8" i="8"/>
  <c r="P8" i="8"/>
  <c r="M147" i="22"/>
  <c r="M148" i="22" s="1"/>
  <c r="M95" i="22" s="1"/>
  <c r="I54" i="29" s="1"/>
  <c r="N150" i="24"/>
  <c r="N151" i="24" s="1"/>
  <c r="N96" i="24" s="1"/>
  <c r="N97" i="24" s="1"/>
  <c r="O148" i="24"/>
  <c r="O153" i="24" s="1"/>
  <c r="N145" i="22"/>
  <c r="N150" i="22" s="1"/>
  <c r="P61" i="24"/>
  <c r="P147" i="24" s="1"/>
  <c r="Q58" i="24"/>
  <c r="Q60" i="24" s="1"/>
  <c r="Q56" i="24"/>
  <c r="X6" i="7"/>
  <c r="P60" i="22"/>
  <c r="P62" i="22" s="1"/>
  <c r="L46" i="29" s="1"/>
  <c r="W7" i="7"/>
  <c r="Q56" i="22" s="1"/>
  <c r="Q58" i="22" s="1"/>
  <c r="O63" i="22"/>
  <c r="K47" i="29" s="1"/>
  <c r="U37" i="18"/>
  <c r="U38" i="18" s="1"/>
  <c r="U39" i="18" s="1"/>
  <c r="U113" i="1" s="1"/>
  <c r="N37" i="18"/>
  <c r="N38" i="18" s="1"/>
  <c r="N39" i="18" s="1"/>
  <c r="N113" i="1" s="1"/>
  <c r="E37" i="18"/>
  <c r="E38" i="18" s="1"/>
  <c r="E39" i="18" s="1"/>
  <c r="E113" i="1" s="1"/>
  <c r="AF113" i="1" s="1"/>
  <c r="Q37" i="18"/>
  <c r="Q38" i="18" s="1"/>
  <c r="Q39" i="18" s="1"/>
  <c r="Q113" i="1" s="1"/>
  <c r="I37" i="18"/>
  <c r="I38" i="18" s="1"/>
  <c r="I39" i="18" s="1"/>
  <c r="I113" i="1" s="1"/>
  <c r="I115" i="1" s="1"/>
  <c r="I131" i="1" s="1"/>
  <c r="R37" i="18"/>
  <c r="R38" i="18" s="1"/>
  <c r="R39" i="18" s="1"/>
  <c r="R113" i="1" s="1"/>
  <c r="O37" i="18"/>
  <c r="O38" i="18" s="1"/>
  <c r="O39" i="18" s="1"/>
  <c r="O113" i="1" s="1"/>
  <c r="G37" i="18"/>
  <c r="G38" i="18" s="1"/>
  <c r="G39" i="18" s="1"/>
  <c r="G113" i="1" s="1"/>
  <c r="T37" i="18"/>
  <c r="T38" i="18" s="1"/>
  <c r="T39" i="18" s="1"/>
  <c r="T113" i="1" s="1"/>
  <c r="D37" i="18"/>
  <c r="D38" i="18" s="1"/>
  <c r="D39" i="18" s="1"/>
  <c r="D113" i="1" s="1"/>
  <c r="S37" i="18"/>
  <c r="S38" i="18" s="1"/>
  <c r="S39" i="18" s="1"/>
  <c r="S113" i="1" s="1"/>
  <c r="H37" i="18"/>
  <c r="H38" i="18" s="1"/>
  <c r="H39" i="18" s="1"/>
  <c r="H113" i="1" s="1"/>
  <c r="P37" i="18"/>
  <c r="P38" i="18" s="1"/>
  <c r="P39" i="18" s="1"/>
  <c r="P113" i="1" s="1"/>
  <c r="V37" i="18"/>
  <c r="V38" i="18" s="1"/>
  <c r="V39" i="18" s="1"/>
  <c r="V113" i="1" s="1"/>
  <c r="J37" i="18"/>
  <c r="J38" i="18" s="1"/>
  <c r="J39" i="18" s="1"/>
  <c r="J113" i="1" s="1"/>
  <c r="M37" i="18"/>
  <c r="M38" i="18" s="1"/>
  <c r="M39" i="18" s="1"/>
  <c r="M113" i="1" s="1"/>
  <c r="K37" i="18"/>
  <c r="K38" i="18" s="1"/>
  <c r="K39" i="18" s="1"/>
  <c r="K113" i="1" s="1"/>
  <c r="L37" i="18"/>
  <c r="L38" i="18" s="1"/>
  <c r="L39" i="18" s="1"/>
  <c r="L113" i="1" s="1"/>
  <c r="F37" i="18"/>
  <c r="F38" i="18" s="1"/>
  <c r="F39" i="18" s="1"/>
  <c r="F113" i="1" s="1"/>
  <c r="O144" i="22" l="1"/>
  <c r="M96" i="22"/>
  <c r="M98" i="22" s="1"/>
  <c r="N147" i="22"/>
  <c r="N148" i="22" s="1"/>
  <c r="N95" i="22" s="1"/>
  <c r="O150" i="24"/>
  <c r="O151" i="24" s="1"/>
  <c r="O96" i="24" s="1"/>
  <c r="O97" i="24" s="1"/>
  <c r="P148" i="24"/>
  <c r="P153" i="24" s="1"/>
  <c r="O145" i="22"/>
  <c r="O150" i="22" s="1"/>
  <c r="R56" i="24"/>
  <c r="R58" i="24"/>
  <c r="R60" i="24" s="1"/>
  <c r="Y6" i="7"/>
  <c r="Q61" i="24"/>
  <c r="Q147" i="24" s="1"/>
  <c r="X7" i="7"/>
  <c r="R56" i="22" s="1"/>
  <c r="R58" i="22" s="1"/>
  <c r="Q60" i="22"/>
  <c r="Q62" i="22" s="1"/>
  <c r="M46" i="29" s="1"/>
  <c r="P63" i="22"/>
  <c r="L47" i="29" s="1"/>
  <c r="N96" i="22" l="1"/>
  <c r="N98" i="22" s="1"/>
  <c r="N101" i="22" s="1"/>
  <c r="N118" i="22" s="1"/>
  <c r="S8" i="8" s="1"/>
  <c r="J54" i="29"/>
  <c r="P144" i="22"/>
  <c r="M99" i="22"/>
  <c r="M101" i="22"/>
  <c r="M118" i="22" s="1"/>
  <c r="N99" i="22"/>
  <c r="P150" i="24"/>
  <c r="P151" i="24" s="1"/>
  <c r="P96" i="24" s="1"/>
  <c r="P97" i="24" s="1"/>
  <c r="P145" i="22"/>
  <c r="P150" i="22" s="1"/>
  <c r="O147" i="22"/>
  <c r="O148" i="22" s="1"/>
  <c r="O95" i="22" s="1"/>
  <c r="Q148" i="24"/>
  <c r="Q150" i="24" s="1"/>
  <c r="Q151" i="24" s="1"/>
  <c r="Q96" i="24" s="1"/>
  <c r="Q97" i="24" s="1"/>
  <c r="R61" i="24"/>
  <c r="R147" i="24" s="1"/>
  <c r="S58" i="24"/>
  <c r="S60" i="24" s="1"/>
  <c r="S56" i="24"/>
  <c r="Z6" i="7"/>
  <c r="Y7" i="7"/>
  <c r="S56" i="22" s="1"/>
  <c r="S58" i="22" s="1"/>
  <c r="Q63" i="22"/>
  <c r="M47" i="29" s="1"/>
  <c r="R60" i="22"/>
  <c r="R62" i="22" s="1"/>
  <c r="N46" i="29" s="1"/>
  <c r="A56" i="1"/>
  <c r="A55" i="1"/>
  <c r="A38" i="1"/>
  <c r="A37" i="1"/>
  <c r="O96" i="22" l="1"/>
  <c r="O98" i="22" s="1"/>
  <c r="K54" i="29"/>
  <c r="Q144" i="22"/>
  <c r="R8" i="8"/>
  <c r="P147" i="22"/>
  <c r="P148" i="22" s="1"/>
  <c r="P95" i="22" s="1"/>
  <c r="Q145" i="22"/>
  <c r="Q150" i="22" s="1"/>
  <c r="Q153" i="24"/>
  <c r="R148" i="24"/>
  <c r="R153" i="24" s="1"/>
  <c r="O99" i="22"/>
  <c r="O101" i="22"/>
  <c r="T58" i="24"/>
  <c r="T60" i="24" s="1"/>
  <c r="T56" i="24"/>
  <c r="AA6" i="7"/>
  <c r="S61" i="24"/>
  <c r="S147" i="24" s="1"/>
  <c r="R63" i="22"/>
  <c r="N47" i="29" s="1"/>
  <c r="S60" i="22"/>
  <c r="Z7" i="7"/>
  <c r="T56" i="22" s="1"/>
  <c r="T60" i="22" l="1"/>
  <c r="T62" i="22" s="1"/>
  <c r="T58" i="22"/>
  <c r="P96" i="22"/>
  <c r="P98" i="22" s="1"/>
  <c r="P101" i="22" s="1"/>
  <c r="P118" i="22" s="1"/>
  <c r="U8" i="8" s="1"/>
  <c r="L54" i="29"/>
  <c r="S62" i="22"/>
  <c r="O46" i="29" s="1"/>
  <c r="R144" i="22"/>
  <c r="P99" i="22"/>
  <c r="Q147" i="22"/>
  <c r="Q148" i="22" s="1"/>
  <c r="Q95" i="22" s="1"/>
  <c r="R150" i="24"/>
  <c r="R151" i="24" s="1"/>
  <c r="R96" i="24" s="1"/>
  <c r="R97" i="24" s="1"/>
  <c r="R99" i="24" s="1"/>
  <c r="R145" i="22"/>
  <c r="R150" i="22" s="1"/>
  <c r="O118" i="22"/>
  <c r="S148" i="24"/>
  <c r="S150" i="24" s="1"/>
  <c r="S151" i="24" s="1"/>
  <c r="S96" i="24" s="1"/>
  <c r="S97" i="24" s="1"/>
  <c r="S99" i="24" s="1"/>
  <c r="S100" i="24" s="1"/>
  <c r="U56" i="24"/>
  <c r="U58" i="24"/>
  <c r="U60" i="24" s="1"/>
  <c r="AB6" i="7"/>
  <c r="T61" i="24"/>
  <c r="T147" i="24" s="1"/>
  <c r="S63" i="22"/>
  <c r="O47" i="29" s="1"/>
  <c r="AA7" i="7"/>
  <c r="U56" i="22" s="1"/>
  <c r="AE60" i="1"/>
  <c r="AE34" i="1"/>
  <c r="U58" i="22" l="1"/>
  <c r="U60" i="22"/>
  <c r="P46" i="29"/>
  <c r="T63" i="22"/>
  <c r="P47" i="29" s="1"/>
  <c r="Q96" i="22"/>
  <c r="Q98" i="22" s="1"/>
  <c r="M54" i="29"/>
  <c r="S144" i="22"/>
  <c r="T8" i="8"/>
  <c r="R147" i="22"/>
  <c r="R148" i="22" s="1"/>
  <c r="R95" i="22" s="1"/>
  <c r="Q99" i="22"/>
  <c r="Q101" i="22"/>
  <c r="R100" i="24"/>
  <c r="R102" i="24"/>
  <c r="T148" i="24"/>
  <c r="T150" i="24" s="1"/>
  <c r="T151" i="24" s="1"/>
  <c r="T96" i="24" s="1"/>
  <c r="T97" i="24" s="1"/>
  <c r="T99" i="24" s="1"/>
  <c r="T100" i="24" s="1"/>
  <c r="S102" i="24"/>
  <c r="S153" i="24"/>
  <c r="S145" i="22"/>
  <c r="S147" i="22" s="1"/>
  <c r="S148" i="22" s="1"/>
  <c r="S95" i="22" s="1"/>
  <c r="V58" i="24"/>
  <c r="V60" i="24" s="1"/>
  <c r="V56" i="24"/>
  <c r="AC6" i="7"/>
  <c r="U61" i="24"/>
  <c r="U147" i="24" s="1"/>
  <c r="AB7" i="7"/>
  <c r="V56" i="22" s="1"/>
  <c r="T144" i="22"/>
  <c r="V60" i="22" l="1"/>
  <c r="V62" i="22" s="1"/>
  <c r="V58" i="22"/>
  <c r="U62" i="22"/>
  <c r="S96" i="22"/>
  <c r="S98" i="22" s="1"/>
  <c r="S99" i="22" s="1"/>
  <c r="O54" i="29"/>
  <c r="R96" i="22"/>
  <c r="R98" i="22" s="1"/>
  <c r="N54" i="29"/>
  <c r="S120" i="24"/>
  <c r="Q118" i="22"/>
  <c r="S101" i="22"/>
  <c r="S118" i="22" s="1"/>
  <c r="R99" i="22"/>
  <c r="R101" i="22"/>
  <c r="T153" i="24"/>
  <c r="R120" i="24"/>
  <c r="T102" i="24"/>
  <c r="T120" i="24" s="1"/>
  <c r="U148" i="24"/>
  <c r="U150" i="24" s="1"/>
  <c r="U151" i="24" s="1"/>
  <c r="U96" i="24" s="1"/>
  <c r="U97" i="24" s="1"/>
  <c r="U99" i="24" s="1"/>
  <c r="U100" i="24" s="1"/>
  <c r="T145" i="22"/>
  <c r="T147" i="22" s="1"/>
  <c r="T148" i="22" s="1"/>
  <c r="T95" i="22" s="1"/>
  <c r="S150" i="22"/>
  <c r="AD6" i="7"/>
  <c r="AE6" i="7" s="1"/>
  <c r="AF6" i="7" s="1"/>
  <c r="AG6" i="7" s="1"/>
  <c r="AH6" i="7" s="1"/>
  <c r="AI6" i="7" s="1"/>
  <c r="AJ6" i="7" s="1"/>
  <c r="AK6" i="7" s="1"/>
  <c r="AL6" i="7" s="1"/>
  <c r="AM6" i="7" s="1"/>
  <c r="AN6" i="7" s="1"/>
  <c r="AO6" i="7" s="1"/>
  <c r="AP6" i="7" s="1"/>
  <c r="AQ6" i="7" s="1"/>
  <c r="AR6" i="7" s="1"/>
  <c r="AS6" i="7" s="1"/>
  <c r="AT6" i="7" s="1"/>
  <c r="AU6" i="7" s="1"/>
  <c r="AV6" i="7" s="1"/>
  <c r="AW6" i="7" s="1"/>
  <c r="AX6" i="7" s="1"/>
  <c r="AY6" i="7" s="1"/>
  <c r="AZ6" i="7" s="1"/>
  <c r="BA6" i="7" s="1"/>
  <c r="BB6" i="7" s="1"/>
  <c r="BC6" i="7" s="1"/>
  <c r="BD6" i="7" s="1"/>
  <c r="BE6" i="7" s="1"/>
  <c r="BF6" i="7" s="1"/>
  <c r="BG6" i="7" s="1"/>
  <c r="BH6" i="7" s="1"/>
  <c r="BI6" i="7" s="1"/>
  <c r="BJ6" i="7" s="1"/>
  <c r="BK6" i="7" s="1"/>
  <c r="BL6" i="7" s="1"/>
  <c r="BM6" i="7" s="1"/>
  <c r="BN6" i="7" s="1"/>
  <c r="BO6" i="7" s="1"/>
  <c r="BP6" i="7" s="1"/>
  <c r="BQ6" i="7" s="1"/>
  <c r="BR6" i="7" s="1"/>
  <c r="BS6" i="7" s="1"/>
  <c r="BT6" i="7" s="1"/>
  <c r="BU6" i="7" s="1"/>
  <c r="BV6" i="7" s="1"/>
  <c r="V61" i="24"/>
  <c r="V147" i="24" s="1"/>
  <c r="W56" i="24"/>
  <c r="W58" i="24"/>
  <c r="W60" i="24" s="1"/>
  <c r="AC7" i="7"/>
  <c r="W56" i="22" s="1"/>
  <c r="Q46" i="29" l="1"/>
  <c r="U63" i="22"/>
  <c r="W60" i="22"/>
  <c r="W58" i="22"/>
  <c r="R46" i="29"/>
  <c r="V63" i="22"/>
  <c r="R47" i="29" s="1"/>
  <c r="T96" i="22"/>
  <c r="T98" i="22" s="1"/>
  <c r="P54" i="29"/>
  <c r="T99" i="22"/>
  <c r="T101" i="22"/>
  <c r="X8" i="8"/>
  <c r="V8" i="8"/>
  <c r="R118" i="22"/>
  <c r="T150" i="22"/>
  <c r="U153" i="24"/>
  <c r="V148" i="24"/>
  <c r="V150" i="24" s="1"/>
  <c r="V151" i="24" s="1"/>
  <c r="V96" i="24" s="1"/>
  <c r="V97" i="24" s="1"/>
  <c r="V99" i="24" s="1"/>
  <c r="V100" i="24" s="1"/>
  <c r="U102" i="24"/>
  <c r="X58" i="24"/>
  <c r="AF58" i="24" s="1"/>
  <c r="X56" i="24"/>
  <c r="AF56" i="24" s="1"/>
  <c r="W61" i="24"/>
  <c r="W147" i="24" s="1"/>
  <c r="V144" i="22"/>
  <c r="AD7" i="7"/>
  <c r="X56" i="22" s="1"/>
  <c r="W62" i="22" l="1"/>
  <c r="Q47" i="29"/>
  <c r="U144" i="22"/>
  <c r="U145" i="22" s="1"/>
  <c r="U147" i="22" s="1"/>
  <c r="U148" i="22" s="1"/>
  <c r="U95" i="22" s="1"/>
  <c r="X60" i="22"/>
  <c r="X62" i="22" s="1"/>
  <c r="X58" i="22"/>
  <c r="U96" i="22"/>
  <c r="U98" i="22" s="1"/>
  <c r="Q54" i="29"/>
  <c r="U99" i="22"/>
  <c r="U101" i="22"/>
  <c r="T118" i="22"/>
  <c r="Y8" i="8"/>
  <c r="W8" i="8"/>
  <c r="X60" i="24"/>
  <c r="U150" i="22"/>
  <c r="V153" i="24"/>
  <c r="V102" i="24"/>
  <c r="V120" i="24" s="1"/>
  <c r="U120" i="24"/>
  <c r="W148" i="24"/>
  <c r="W153" i="24" s="1"/>
  <c r="V145" i="22"/>
  <c r="V147" i="22" s="1"/>
  <c r="V148" i="22" s="1"/>
  <c r="V95" i="22" s="1"/>
  <c r="AE7" i="7"/>
  <c r="Y56" i="22" s="1"/>
  <c r="Y58" i="22" l="1"/>
  <c r="Y60" i="22"/>
  <c r="Y62" i="22" s="1"/>
  <c r="T46" i="29"/>
  <c r="X63" i="22"/>
  <c r="T47" i="29" s="1"/>
  <c r="S46" i="29"/>
  <c r="W63" i="22"/>
  <c r="V96" i="22"/>
  <c r="V98" i="22" s="1"/>
  <c r="R54" i="29"/>
  <c r="V99" i="22"/>
  <c r="V101" i="22"/>
  <c r="U118" i="22"/>
  <c r="Z8" i="8" s="1"/>
  <c r="AF60" i="24"/>
  <c r="AF61" i="24" s="1"/>
  <c r="X61" i="24"/>
  <c r="X147" i="24" s="1"/>
  <c r="X148" i="24" s="1"/>
  <c r="X150" i="24" s="1"/>
  <c r="X151" i="24" s="1"/>
  <c r="X96" i="24" s="1"/>
  <c r="W150" i="24"/>
  <c r="W151" i="24" s="1"/>
  <c r="W96" i="24" s="1"/>
  <c r="V150" i="22"/>
  <c r="X144" i="22"/>
  <c r="AF7" i="7"/>
  <c r="Z56" i="22" s="1"/>
  <c r="Z60" i="22" l="1"/>
  <c r="Z58" i="22"/>
  <c r="S47" i="29"/>
  <c r="W144" i="22"/>
  <c r="W145" i="22" s="1"/>
  <c r="W147" i="22" s="1"/>
  <c r="W148" i="22" s="1"/>
  <c r="W95" i="22" s="1"/>
  <c r="U46" i="29"/>
  <c r="Y63" i="22"/>
  <c r="U47" i="29" s="1"/>
  <c r="W96" i="22"/>
  <c r="W98" i="22" s="1"/>
  <c r="S54" i="29"/>
  <c r="W99" i="22"/>
  <c r="W101" i="22"/>
  <c r="V118" i="22"/>
  <c r="AA8" i="8" s="1"/>
  <c r="AF96" i="24"/>
  <c r="AF97" i="24" s="1"/>
  <c r="W97" i="24"/>
  <c r="W99" i="24" s="1"/>
  <c r="W100" i="24" s="1"/>
  <c r="X97" i="24"/>
  <c r="X145" i="22"/>
  <c r="X150" i="22" s="1"/>
  <c r="X153" i="24"/>
  <c r="W150" i="22"/>
  <c r="AG7" i="7"/>
  <c r="AA56" i="22" s="1"/>
  <c r="AA58" i="22" l="1"/>
  <c r="AA60" i="22"/>
  <c r="AA62" i="22" s="1"/>
  <c r="Z62" i="22"/>
  <c r="W118" i="22"/>
  <c r="W102" i="24"/>
  <c r="Y144" i="22"/>
  <c r="Y145" i="22" s="1"/>
  <c r="Y150" i="22" s="1"/>
  <c r="X147" i="22"/>
  <c r="X148" i="22" s="1"/>
  <c r="X95" i="22" s="1"/>
  <c r="T54" i="29" s="1"/>
  <c r="AH7" i="7"/>
  <c r="W46" i="29" l="1"/>
  <c r="AA63" i="22"/>
  <c r="W47" i="29" s="1"/>
  <c r="BQ60" i="22"/>
  <c r="V46" i="29"/>
  <c r="Z63" i="22"/>
  <c r="V47" i="29" s="1"/>
  <c r="BQ62" i="22"/>
  <c r="BQ63" i="22" s="1"/>
  <c r="X96" i="22"/>
  <c r="X98" i="22" s="1"/>
  <c r="AB8" i="8"/>
  <c r="W120" i="24"/>
  <c r="Z144" i="22"/>
  <c r="Z145" i="22" s="1"/>
  <c r="Z147" i="22" s="1"/>
  <c r="Z148" i="22" s="1"/>
  <c r="Z95" i="22" s="1"/>
  <c r="V54" i="29" s="1"/>
  <c r="Y147" i="22"/>
  <c r="Y148" i="22" s="1"/>
  <c r="Y95" i="22" s="1"/>
  <c r="U54" i="29" s="1"/>
  <c r="AI7" i="7"/>
  <c r="AJ7" i="7" s="1"/>
  <c r="AK7" i="7" s="1"/>
  <c r="AL7" i="7" s="1"/>
  <c r="AM7" i="7" s="1"/>
  <c r="AN7" i="7" s="1"/>
  <c r="AO7" i="7" s="1"/>
  <c r="AP7" i="7" s="1"/>
  <c r="AQ7" i="7" s="1"/>
  <c r="AR7" i="7" s="1"/>
  <c r="AS7" i="7" s="1"/>
  <c r="AT7" i="7" s="1"/>
  <c r="AU7" i="7" s="1"/>
  <c r="AV7" i="7" s="1"/>
  <c r="AW7" i="7" s="1"/>
  <c r="AX7" i="7" s="1"/>
  <c r="AY7" i="7" s="1"/>
  <c r="AZ7" i="7" s="1"/>
  <c r="BA7" i="7" s="1"/>
  <c r="BB7" i="7" s="1"/>
  <c r="BC7" i="7" s="1"/>
  <c r="BD7" i="7" s="1"/>
  <c r="BE7" i="7" s="1"/>
  <c r="BF7" i="7" s="1"/>
  <c r="BG7" i="7" s="1"/>
  <c r="BH7" i="7" s="1"/>
  <c r="BI7" i="7" s="1"/>
  <c r="BJ7" i="7" s="1"/>
  <c r="BK7" i="7" s="1"/>
  <c r="BL7" i="7" s="1"/>
  <c r="BM7" i="7" s="1"/>
  <c r="BN7" i="7" s="1"/>
  <c r="BO7" i="7" s="1"/>
  <c r="BP7" i="7" s="1"/>
  <c r="BQ7" i="7" s="1"/>
  <c r="BR7" i="7" s="1"/>
  <c r="BS7" i="7" s="1"/>
  <c r="BT7" i="7" s="1"/>
  <c r="BU7" i="7" s="1"/>
  <c r="BV7" i="7" s="1"/>
  <c r="Y96" i="22" l="1"/>
  <c r="Y98" i="22" s="1"/>
  <c r="Z96" i="22"/>
  <c r="Z98" i="22" s="1"/>
  <c r="X99" i="22"/>
  <c r="X101" i="22"/>
  <c r="AA144" i="22"/>
  <c r="AA145" i="22" s="1"/>
  <c r="AA150" i="22" s="1"/>
  <c r="Z150" i="22"/>
  <c r="X118" i="22" l="1"/>
  <c r="AC11" i="8" s="1"/>
  <c r="Z99" i="22"/>
  <c r="Z101" i="22"/>
  <c r="Y99" i="22"/>
  <c r="Y101" i="22"/>
  <c r="AB144" i="22"/>
  <c r="AB145" i="22" s="1"/>
  <c r="AB150" i="22" s="1"/>
  <c r="AA147" i="22"/>
  <c r="AA148" i="22" s="1"/>
  <c r="AA95" i="22" s="1"/>
  <c r="W54" i="29" s="1"/>
  <c r="AC8" i="8" l="1"/>
  <c r="AA96" i="22"/>
  <c r="AA98" i="22" s="1"/>
  <c r="Y118" i="22"/>
  <c r="AD11" i="8" s="1"/>
  <c r="Z118" i="22"/>
  <c r="AE11" i="8" s="1"/>
  <c r="AD144" i="22"/>
  <c r="AD145" i="22" s="1"/>
  <c r="AD150" i="22" s="1"/>
  <c r="AC144" i="22"/>
  <c r="AC145" i="22" s="1"/>
  <c r="AC147" i="22" s="1"/>
  <c r="AC148" i="22" s="1"/>
  <c r="AC95" i="22" s="1"/>
  <c r="AB147" i="22"/>
  <c r="AB148" i="22" s="1"/>
  <c r="AB95" i="22" s="1"/>
  <c r="W4" i="1"/>
  <c r="V4" i="1"/>
  <c r="AE8" i="8" l="1"/>
  <c r="AD8" i="8"/>
  <c r="AB96" i="22"/>
  <c r="AB98" i="22" s="1"/>
  <c r="AC96" i="22"/>
  <c r="AC98" i="22" s="1"/>
  <c r="AA99" i="22"/>
  <c r="AA101" i="22"/>
  <c r="AC150" i="22"/>
  <c r="AD147" i="22"/>
  <c r="AD148" i="22" s="1"/>
  <c r="AD95" i="22" s="1"/>
  <c r="AD96" i="22" s="1"/>
  <c r="AD98" i="22" s="1"/>
  <c r="AA118" i="22" l="1"/>
  <c r="AF8" i="8" s="1"/>
  <c r="AD99" i="22"/>
  <c r="AD101" i="22"/>
  <c r="AC99" i="22"/>
  <c r="AC101" i="22"/>
  <c r="AB99" i="22"/>
  <c r="AB101" i="22"/>
  <c r="BQ95" i="22"/>
  <c r="BQ96" i="22" s="1"/>
  <c r="BQ98" i="22"/>
  <c r="AF11" i="8" l="1"/>
  <c r="AD118" i="22"/>
  <c r="AC118" i="22"/>
  <c r="AH8" i="8" s="1"/>
  <c r="AB118" i="22"/>
  <c r="BQ99" i="22"/>
  <c r="BQ101" i="22"/>
  <c r="BQ118" i="22" s="1"/>
  <c r="H60" i="1"/>
  <c r="H62" i="1" s="1"/>
  <c r="M3" i="29" s="1"/>
  <c r="AH11" i="8" l="1"/>
  <c r="AG8" i="8"/>
  <c r="AG11" i="8"/>
  <c r="H63" i="1"/>
  <c r="M4" i="29" s="1"/>
  <c r="I2" i="7"/>
  <c r="H144" i="1" l="1"/>
  <c r="H145" i="1" s="1"/>
  <c r="H147" i="1" s="1"/>
  <c r="H148" i="1" s="1"/>
  <c r="H95" i="1" s="1"/>
  <c r="M11" i="29" s="1"/>
  <c r="H150" i="1" l="1"/>
  <c r="J1" i="8" l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D72" i="1" l="1"/>
  <c r="W72" i="1"/>
  <c r="W73" i="1" s="1"/>
  <c r="V72" i="1"/>
  <c r="V73" i="1" s="1"/>
  <c r="U72" i="1"/>
  <c r="U73" i="1" s="1"/>
  <c r="T72" i="1"/>
  <c r="T73" i="1" s="1"/>
  <c r="S72" i="1"/>
  <c r="S73" i="1" s="1"/>
  <c r="R72" i="1"/>
  <c r="R73" i="1" s="1"/>
  <c r="Q72" i="1"/>
  <c r="Q73" i="1" s="1"/>
  <c r="P72" i="1"/>
  <c r="P73" i="1" s="1"/>
  <c r="O72" i="1"/>
  <c r="O73" i="1" s="1"/>
  <c r="N72" i="1"/>
  <c r="N73" i="1" s="1"/>
  <c r="M72" i="1"/>
  <c r="M73" i="1" s="1"/>
  <c r="L72" i="1"/>
  <c r="L73" i="1" s="1"/>
  <c r="K72" i="1"/>
  <c r="K73" i="1" s="1"/>
  <c r="J72" i="1"/>
  <c r="J73" i="1" s="1"/>
  <c r="G72" i="1"/>
  <c r="G73" i="1" s="1"/>
  <c r="F72" i="1"/>
  <c r="F73" i="1" s="1"/>
  <c r="E72" i="1"/>
  <c r="E73" i="1" s="1"/>
  <c r="D73" i="1" l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G70" i="1"/>
  <c r="F69" i="1"/>
  <c r="F70" i="1" s="1"/>
  <c r="E69" i="1"/>
  <c r="E70" i="1" s="1"/>
  <c r="W61" i="1" l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G61" i="1"/>
  <c r="F61" i="1"/>
  <c r="E61" i="1"/>
  <c r="D61" i="1"/>
  <c r="E1" i="1"/>
  <c r="F1" i="1" s="1"/>
  <c r="G1" i="1" s="1"/>
  <c r="H1" i="1" s="1"/>
  <c r="AI20" i="1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W9" i="1"/>
  <c r="W24" i="1" s="1"/>
  <c r="W26" i="1" s="1"/>
  <c r="E9" i="1"/>
  <c r="E25" i="1" s="1"/>
  <c r="W106" i="1" l="1"/>
  <c r="W75" i="1"/>
  <c r="D106" i="1"/>
  <c r="I10" i="29" s="1"/>
  <c r="E12" i="1"/>
  <c r="E81" i="1" s="1"/>
  <c r="F106" i="1"/>
  <c r="K10" i="29" s="1"/>
  <c r="G12" i="1"/>
  <c r="G14" i="1" s="1"/>
  <c r="G19" i="1" s="1"/>
  <c r="W12" i="1"/>
  <c r="W87" i="1"/>
  <c r="D12" i="1"/>
  <c r="M19" i="1"/>
  <c r="O19" i="1"/>
  <c r="S19" i="1"/>
  <c r="U15" i="1"/>
  <c r="V15" i="1"/>
  <c r="K15" i="1"/>
  <c r="T15" i="1"/>
  <c r="M15" i="1"/>
  <c r="L19" i="1"/>
  <c r="L15" i="1"/>
  <c r="P15" i="1"/>
  <c r="P19" i="1"/>
  <c r="R15" i="1"/>
  <c r="R19" i="1"/>
  <c r="Q15" i="1"/>
  <c r="Q19" i="1"/>
  <c r="R114" i="1"/>
  <c r="R104" i="1"/>
  <c r="R108" i="1" s="1"/>
  <c r="Q114" i="1"/>
  <c r="Q104" i="1"/>
  <c r="Q108" i="1" s="1"/>
  <c r="S114" i="1"/>
  <c r="S104" i="1"/>
  <c r="L114" i="1"/>
  <c r="L104" i="1"/>
  <c r="L108" i="1" s="1"/>
  <c r="M114" i="1"/>
  <c r="M104" i="1"/>
  <c r="M108" i="1" s="1"/>
  <c r="G114" i="1"/>
  <c r="G104" i="1"/>
  <c r="O114" i="1"/>
  <c r="O104" i="1"/>
  <c r="O108" i="1" s="1"/>
  <c r="W114" i="1"/>
  <c r="W104" i="1"/>
  <c r="J104" i="1"/>
  <c r="J108" i="1" s="1"/>
  <c r="J114" i="1"/>
  <c r="K114" i="1"/>
  <c r="K104" i="1"/>
  <c r="K108" i="1" s="1"/>
  <c r="D114" i="1"/>
  <c r="D115" i="1" s="1"/>
  <c r="D104" i="1"/>
  <c r="T114" i="1"/>
  <c r="T104" i="1"/>
  <c r="E104" i="1"/>
  <c r="E114" i="1"/>
  <c r="U104" i="1"/>
  <c r="U114" i="1"/>
  <c r="F114" i="1"/>
  <c r="F104" i="1"/>
  <c r="V114" i="1"/>
  <c r="V104" i="1"/>
  <c r="H114" i="1"/>
  <c r="H104" i="1"/>
  <c r="H108" i="1" s="1"/>
  <c r="P114" i="1"/>
  <c r="P104" i="1"/>
  <c r="P108" i="1" s="1"/>
  <c r="J77" i="1"/>
  <c r="J78" i="1" s="1"/>
  <c r="J75" i="1"/>
  <c r="K77" i="1"/>
  <c r="K78" i="1" s="1"/>
  <c r="K75" i="1"/>
  <c r="S77" i="1"/>
  <c r="S78" i="1" s="1"/>
  <c r="S75" i="1"/>
  <c r="D77" i="1"/>
  <c r="D75" i="1"/>
  <c r="R77" i="1"/>
  <c r="R78" i="1" s="1"/>
  <c r="R75" i="1"/>
  <c r="L75" i="1"/>
  <c r="L77" i="1"/>
  <c r="L78" i="1" s="1"/>
  <c r="U77" i="1"/>
  <c r="U78" i="1" s="1"/>
  <c r="G77" i="1"/>
  <c r="G78" i="1" s="1"/>
  <c r="G75" i="1"/>
  <c r="O75" i="1"/>
  <c r="O77" i="1"/>
  <c r="O78" i="1" s="1"/>
  <c r="W77" i="1"/>
  <c r="W78" i="1" s="1"/>
  <c r="Q75" i="1"/>
  <c r="Q77" i="1"/>
  <c r="Q78" i="1" s="1"/>
  <c r="T77" i="1"/>
  <c r="T78" i="1" s="1"/>
  <c r="E77" i="1"/>
  <c r="E78" i="1" s="1"/>
  <c r="E75" i="1"/>
  <c r="M77" i="1"/>
  <c r="M78" i="1" s="1"/>
  <c r="M75" i="1"/>
  <c r="F75" i="1"/>
  <c r="F77" i="1"/>
  <c r="F78" i="1" s="1"/>
  <c r="V77" i="1"/>
  <c r="V78" i="1" s="1"/>
  <c r="P77" i="1"/>
  <c r="P78" i="1" s="1"/>
  <c r="P75" i="1"/>
  <c r="E24" i="1" l="1"/>
  <c r="E26" i="1" s="1"/>
  <c r="E106" i="1" s="1"/>
  <c r="J10" i="29" s="1"/>
  <c r="AF22" i="1"/>
  <c r="G24" i="1"/>
  <c r="E14" i="1"/>
  <c r="E19" i="1" s="1"/>
  <c r="N77" i="1"/>
  <c r="N78" i="1" s="1"/>
  <c r="D15" i="1"/>
  <c r="F108" i="1"/>
  <c r="N12" i="1"/>
  <c r="N114" i="1"/>
  <c r="N75" i="1"/>
  <c r="N104" i="1"/>
  <c r="N108" i="1" s="1"/>
  <c r="S109" i="1"/>
  <c r="S108" i="1"/>
  <c r="T109" i="1"/>
  <c r="T108" i="1"/>
  <c r="U109" i="1"/>
  <c r="U108" i="1"/>
  <c r="W109" i="1"/>
  <c r="W108" i="1"/>
  <c r="V109" i="1"/>
  <c r="V108" i="1"/>
  <c r="G81" i="1"/>
  <c r="F81" i="1"/>
  <c r="D109" i="1"/>
  <c r="E84" i="1"/>
  <c r="E85" i="1"/>
  <c r="E86" i="1"/>
  <c r="Q84" i="1"/>
  <c r="Q85" i="1"/>
  <c r="Q86" i="1"/>
  <c r="M86" i="1"/>
  <c r="M85" i="1"/>
  <c r="M84" i="1"/>
  <c r="R84" i="1"/>
  <c r="R85" i="1"/>
  <c r="R86" i="1"/>
  <c r="S84" i="1"/>
  <c r="S86" i="1"/>
  <c r="S85" i="1"/>
  <c r="L17" i="1"/>
  <c r="L85" i="1"/>
  <c r="L86" i="1"/>
  <c r="L84" i="1"/>
  <c r="P84" i="1"/>
  <c r="P85" i="1"/>
  <c r="P86" i="1"/>
  <c r="G84" i="1"/>
  <c r="G86" i="1"/>
  <c r="G85" i="1"/>
  <c r="F84" i="1"/>
  <c r="F86" i="1"/>
  <c r="F85" i="1"/>
  <c r="O84" i="1"/>
  <c r="O85" i="1"/>
  <c r="O86" i="1"/>
  <c r="H115" i="1"/>
  <c r="H131" i="1" s="1"/>
  <c r="V115" i="1"/>
  <c r="V131" i="1" s="1"/>
  <c r="F115" i="1"/>
  <c r="F131" i="1" s="1"/>
  <c r="U115" i="1"/>
  <c r="U131" i="1" s="1"/>
  <c r="W81" i="1"/>
  <c r="W14" i="1"/>
  <c r="W15" i="1" s="1"/>
  <c r="K115" i="1"/>
  <c r="K131" i="1" s="1"/>
  <c r="J115" i="1"/>
  <c r="J131" i="1" s="1"/>
  <c r="S115" i="1"/>
  <c r="S131" i="1" s="1"/>
  <c r="O115" i="1"/>
  <c r="O131" i="1" s="1"/>
  <c r="Q115" i="1"/>
  <c r="Q131" i="1" s="1"/>
  <c r="D81" i="1"/>
  <c r="M115" i="1"/>
  <c r="M131" i="1" s="1"/>
  <c r="W115" i="1"/>
  <c r="W131" i="1" s="1"/>
  <c r="E115" i="1"/>
  <c r="P115" i="1"/>
  <c r="P131" i="1" s="1"/>
  <c r="T115" i="1"/>
  <c r="T131" i="1" s="1"/>
  <c r="G115" i="1"/>
  <c r="G131" i="1" s="1"/>
  <c r="R115" i="1"/>
  <c r="R131" i="1" s="1"/>
  <c r="L115" i="1"/>
  <c r="L131" i="1" s="1"/>
  <c r="M31" i="1"/>
  <c r="G31" i="1"/>
  <c r="G34" i="1" s="1"/>
  <c r="R31" i="1"/>
  <c r="P31" i="1"/>
  <c r="O31" i="1"/>
  <c r="Q31" i="1"/>
  <c r="L31" i="1"/>
  <c r="E31" i="1"/>
  <c r="E34" i="1" s="1"/>
  <c r="D78" i="1"/>
  <c r="S15" i="1"/>
  <c r="F31" i="1"/>
  <c r="F34" i="1" s="1"/>
  <c r="G15" i="1"/>
  <c r="O15" i="1"/>
  <c r="O109" i="1"/>
  <c r="L109" i="1"/>
  <c r="K109" i="1"/>
  <c r="Q109" i="1"/>
  <c r="K19" i="1"/>
  <c r="F109" i="1"/>
  <c r="P109" i="1"/>
  <c r="G17" i="1"/>
  <c r="H109" i="1"/>
  <c r="J109" i="1"/>
  <c r="V19" i="1"/>
  <c r="U19" i="1"/>
  <c r="J15" i="1"/>
  <c r="M109" i="1"/>
  <c r="R109" i="1"/>
  <c r="M17" i="1"/>
  <c r="S17" i="1"/>
  <c r="S31" i="1"/>
  <c r="T19" i="1"/>
  <c r="R17" i="1"/>
  <c r="O17" i="1"/>
  <c r="Q17" i="1"/>
  <c r="P17" i="1"/>
  <c r="J1" i="7"/>
  <c r="D2" i="24" l="1"/>
  <c r="E2" i="24"/>
  <c r="D2" i="22"/>
  <c r="E131" i="1"/>
  <c r="AF115" i="1"/>
  <c r="AF24" i="1"/>
  <c r="E109" i="1"/>
  <c r="E108" i="1"/>
  <c r="G26" i="1"/>
  <c r="G106" i="1" s="1"/>
  <c r="L10" i="29" s="1"/>
  <c r="E15" i="1"/>
  <c r="J2" i="7"/>
  <c r="D2" i="1"/>
  <c r="D132" i="1" s="1"/>
  <c r="D116" i="1" s="1"/>
  <c r="M34" i="1"/>
  <c r="Q34" i="1"/>
  <c r="O34" i="1"/>
  <c r="R34" i="1"/>
  <c r="S34" i="1"/>
  <c r="L34" i="1"/>
  <c r="P34" i="1"/>
  <c r="E50" i="1"/>
  <c r="F50" i="1"/>
  <c r="G50" i="1"/>
  <c r="L50" i="1"/>
  <c r="P50" i="1"/>
  <c r="O50" i="1"/>
  <c r="R50" i="1"/>
  <c r="M50" i="1"/>
  <c r="S50" i="1"/>
  <c r="Q50" i="1"/>
  <c r="N115" i="1"/>
  <c r="N131" i="1" s="1"/>
  <c r="E17" i="1"/>
  <c r="AF108" i="1"/>
  <c r="N14" i="1"/>
  <c r="AF15" i="1" s="1"/>
  <c r="N81" i="1"/>
  <c r="N109" i="1"/>
  <c r="D108" i="1"/>
  <c r="W19" i="1"/>
  <c r="W17" i="1" s="1"/>
  <c r="U84" i="1"/>
  <c r="U86" i="1"/>
  <c r="U85" i="1"/>
  <c r="V86" i="1"/>
  <c r="V84" i="1"/>
  <c r="V85" i="1"/>
  <c r="T84" i="1"/>
  <c r="T85" i="1"/>
  <c r="T86" i="1"/>
  <c r="D19" i="1"/>
  <c r="D17" i="1" s="1"/>
  <c r="K86" i="1"/>
  <c r="K84" i="1"/>
  <c r="K85" i="1"/>
  <c r="E87" i="1"/>
  <c r="G87" i="1"/>
  <c r="F87" i="1"/>
  <c r="V31" i="1"/>
  <c r="T31" i="1"/>
  <c r="U31" i="1"/>
  <c r="J19" i="1"/>
  <c r="U17" i="1"/>
  <c r="V17" i="1"/>
  <c r="K31" i="1"/>
  <c r="K17" i="1"/>
  <c r="T17" i="1"/>
  <c r="K1" i="7"/>
  <c r="D131" i="1"/>
  <c r="AI21" i="1"/>
  <c r="AI18" i="1"/>
  <c r="E2" i="22" l="1"/>
  <c r="F2" i="22" s="1"/>
  <c r="G2" i="22" s="1"/>
  <c r="D1" i="23"/>
  <c r="E1" i="23" s="1"/>
  <c r="F1" i="23" s="1"/>
  <c r="G1" i="23" s="1"/>
  <c r="H1" i="23" s="1"/>
  <c r="I1" i="23" s="1"/>
  <c r="J1" i="23" s="1"/>
  <c r="K1" i="23" s="1"/>
  <c r="L1" i="23" s="1"/>
  <c r="M1" i="23" s="1"/>
  <c r="N1" i="23" s="1"/>
  <c r="O1" i="23" s="1"/>
  <c r="P1" i="23" s="1"/>
  <c r="Q1" i="23" s="1"/>
  <c r="R1" i="23" s="1"/>
  <c r="S1" i="23" s="1"/>
  <c r="T1" i="23" s="1"/>
  <c r="U1" i="23" s="1"/>
  <c r="V1" i="23" s="1"/>
  <c r="W1" i="23" s="1"/>
  <c r="X1" i="23" s="1"/>
  <c r="Y1" i="23" s="1"/>
  <c r="Z1" i="23" s="1"/>
  <c r="AA1" i="23" s="1"/>
  <c r="AB1" i="23" s="1"/>
  <c r="AC1" i="23" s="1"/>
  <c r="AD1" i="23" s="1"/>
  <c r="D132" i="22"/>
  <c r="K2" i="7"/>
  <c r="F2" i="24"/>
  <c r="D1" i="25"/>
  <c r="E1" i="25" s="1"/>
  <c r="F1" i="25" s="1"/>
  <c r="G1" i="25" s="1"/>
  <c r="H1" i="25" s="1"/>
  <c r="I1" i="25" s="1"/>
  <c r="J1" i="25" s="1"/>
  <c r="K1" i="25" s="1"/>
  <c r="L1" i="25" s="1"/>
  <c r="M1" i="25" s="1"/>
  <c r="N1" i="25" s="1"/>
  <c r="O1" i="25" s="1"/>
  <c r="P1" i="25" s="1"/>
  <c r="Q1" i="25" s="1"/>
  <c r="R1" i="25" s="1"/>
  <c r="S1" i="25" s="1"/>
  <c r="T1" i="25" s="1"/>
  <c r="U1" i="25" s="1"/>
  <c r="V1" i="25" s="1"/>
  <c r="W1" i="25" s="1"/>
  <c r="X1" i="25" s="1"/>
  <c r="Y1" i="25" s="1"/>
  <c r="D134" i="24"/>
  <c r="G109" i="1"/>
  <c r="G108" i="1"/>
  <c r="D1" i="18"/>
  <c r="E1" i="18" s="1"/>
  <c r="F1" i="18" s="1"/>
  <c r="G1" i="18" s="1"/>
  <c r="H1" i="18" s="1"/>
  <c r="I1" i="18" s="1"/>
  <c r="J1" i="18" s="1"/>
  <c r="K1" i="18" s="1"/>
  <c r="L1" i="18" s="1"/>
  <c r="M1" i="18" s="1"/>
  <c r="N1" i="18" s="1"/>
  <c r="O1" i="18" s="1"/>
  <c r="P1" i="18" s="1"/>
  <c r="Q1" i="18" s="1"/>
  <c r="R1" i="18" s="1"/>
  <c r="S1" i="18" s="1"/>
  <c r="T1" i="18" s="1"/>
  <c r="U1" i="18" s="1"/>
  <c r="V1" i="18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T34" i="1"/>
  <c r="K34" i="1"/>
  <c r="U60" i="1"/>
  <c r="U62" i="1" s="1"/>
  <c r="U34" i="1"/>
  <c r="V60" i="1"/>
  <c r="V62" i="1" s="1"/>
  <c r="V34" i="1"/>
  <c r="T50" i="1"/>
  <c r="V50" i="1"/>
  <c r="U50" i="1"/>
  <c r="K50" i="1"/>
  <c r="M89" i="1"/>
  <c r="M90" i="1" s="1"/>
  <c r="K60" i="1"/>
  <c r="K62" i="1" s="1"/>
  <c r="T60" i="1"/>
  <c r="T62" i="1" s="1"/>
  <c r="N15" i="1"/>
  <c r="N19" i="1"/>
  <c r="AF17" i="1" s="1"/>
  <c r="W85" i="1"/>
  <c r="W84" i="1"/>
  <c r="W31" i="1"/>
  <c r="W86" i="1"/>
  <c r="D84" i="1"/>
  <c r="J86" i="1"/>
  <c r="J84" i="1"/>
  <c r="J85" i="1"/>
  <c r="D31" i="1"/>
  <c r="D85" i="1"/>
  <c r="D86" i="1"/>
  <c r="J17" i="1"/>
  <c r="O93" i="1"/>
  <c r="J31" i="1"/>
  <c r="F93" i="1"/>
  <c r="L93" i="1"/>
  <c r="G93" i="1"/>
  <c r="E93" i="1"/>
  <c r="S93" i="1"/>
  <c r="P93" i="1"/>
  <c r="M93" i="1"/>
  <c r="Q93" i="1"/>
  <c r="R93" i="1"/>
  <c r="S60" i="1"/>
  <c r="S62" i="1" s="1"/>
  <c r="R60" i="1"/>
  <c r="R62" i="1" s="1"/>
  <c r="M60" i="1"/>
  <c r="M62" i="1" s="1"/>
  <c r="Q60" i="1"/>
  <c r="Q62" i="1" s="1"/>
  <c r="O60" i="1"/>
  <c r="O62" i="1" s="1"/>
  <c r="L60" i="1"/>
  <c r="L62" i="1" s="1"/>
  <c r="P60" i="1"/>
  <c r="P62" i="1" s="1"/>
  <c r="E60" i="1"/>
  <c r="E62" i="1" s="1"/>
  <c r="J3" i="29" s="1"/>
  <c r="F60" i="1"/>
  <c r="F62" i="1" s="1"/>
  <c r="K3" i="29" s="1"/>
  <c r="Z2" i="1"/>
  <c r="G60" i="1"/>
  <c r="G62" i="1" s="1"/>
  <c r="L3" i="29" s="1"/>
  <c r="L1" i="7"/>
  <c r="L2" i="7" l="1"/>
  <c r="G2" i="24"/>
  <c r="D118" i="24"/>
  <c r="D121" i="24" s="1"/>
  <c r="D124" i="24" s="1"/>
  <c r="D126" i="24" s="1"/>
  <c r="D135" i="24"/>
  <c r="E132" i="24" s="1"/>
  <c r="D116" i="22"/>
  <c r="D119" i="22" s="1"/>
  <c r="D122" i="22" s="1"/>
  <c r="D133" i="22"/>
  <c r="E130" i="22" s="1"/>
  <c r="H2" i="22"/>
  <c r="D34" i="1"/>
  <c r="W60" i="1"/>
  <c r="W62" i="1" s="1"/>
  <c r="W34" i="1"/>
  <c r="J34" i="1"/>
  <c r="W50" i="1"/>
  <c r="J50" i="1"/>
  <c r="D50" i="1"/>
  <c r="Q146" i="1"/>
  <c r="M146" i="1"/>
  <c r="P146" i="1"/>
  <c r="V93" i="1"/>
  <c r="S146" i="1"/>
  <c r="E146" i="1"/>
  <c r="G146" i="1"/>
  <c r="R146" i="1"/>
  <c r="L146" i="1"/>
  <c r="O146" i="1"/>
  <c r="F146" i="1"/>
  <c r="J89" i="1"/>
  <c r="J90" i="1" s="1"/>
  <c r="P89" i="1"/>
  <c r="P90" i="1" s="1"/>
  <c r="K89" i="1"/>
  <c r="K90" i="1" s="1"/>
  <c r="Q89" i="1"/>
  <c r="Q90" i="1" s="1"/>
  <c r="U89" i="1"/>
  <c r="U90" i="1" s="1"/>
  <c r="S89" i="1"/>
  <c r="S90" i="1" s="1"/>
  <c r="R89" i="1"/>
  <c r="R90" i="1" s="1"/>
  <c r="E89" i="1"/>
  <c r="E90" i="1" s="1"/>
  <c r="T89" i="1"/>
  <c r="T90" i="1" s="1"/>
  <c r="G89" i="1"/>
  <c r="G90" i="1" s="1"/>
  <c r="V89" i="1"/>
  <c r="V90" i="1" s="1"/>
  <c r="F89" i="1"/>
  <c r="F90" i="1" s="1"/>
  <c r="W89" i="1"/>
  <c r="W90" i="1" s="1"/>
  <c r="O89" i="1"/>
  <c r="O90" i="1" s="1"/>
  <c r="L89" i="1"/>
  <c r="L90" i="1" s="1"/>
  <c r="D133" i="1"/>
  <c r="E130" i="1" s="1"/>
  <c r="E132" i="1" s="1"/>
  <c r="E116" i="1" s="1"/>
  <c r="J60" i="1"/>
  <c r="J62" i="1" s="1"/>
  <c r="N85" i="1"/>
  <c r="N84" i="1"/>
  <c r="N31" i="1"/>
  <c r="N86" i="1"/>
  <c r="N17" i="1"/>
  <c r="E63" i="1"/>
  <c r="J4" i="29" s="1"/>
  <c r="Q63" i="1"/>
  <c r="F63" i="1"/>
  <c r="K4" i="29" s="1"/>
  <c r="U63" i="1"/>
  <c r="D87" i="1"/>
  <c r="T63" i="1"/>
  <c r="U93" i="1"/>
  <c r="K93" i="1"/>
  <c r="T93" i="1"/>
  <c r="O63" i="1"/>
  <c r="AA2" i="1"/>
  <c r="AB2" i="1" s="1"/>
  <c r="P63" i="1"/>
  <c r="L63" i="1"/>
  <c r="G63" i="1"/>
  <c r="L4" i="29" s="1"/>
  <c r="R63" i="1"/>
  <c r="V63" i="1"/>
  <c r="S63" i="1"/>
  <c r="K63" i="1"/>
  <c r="M63" i="1"/>
  <c r="M1" i="7"/>
  <c r="E132" i="22" l="1"/>
  <c r="E116" i="22" s="1"/>
  <c r="E119" i="22" s="1"/>
  <c r="E122" i="22" s="1"/>
  <c r="I2" i="22"/>
  <c r="D127" i="24"/>
  <c r="D125" i="24"/>
  <c r="M2" i="7"/>
  <c r="H2" i="24"/>
  <c r="D123" i="22"/>
  <c r="E125" i="22"/>
  <c r="D125" i="22"/>
  <c r="E134" i="24"/>
  <c r="E118" i="24" s="1"/>
  <c r="E121" i="24" s="1"/>
  <c r="E124" i="24" s="1"/>
  <c r="N34" i="1"/>
  <c r="N50" i="1"/>
  <c r="K146" i="1"/>
  <c r="V146" i="1"/>
  <c r="J93" i="1"/>
  <c r="W93" i="1"/>
  <c r="T146" i="1"/>
  <c r="U146" i="1"/>
  <c r="D89" i="1"/>
  <c r="D90" i="1" s="1"/>
  <c r="E144" i="1"/>
  <c r="E145" i="1" s="1"/>
  <c r="E150" i="1" s="1"/>
  <c r="U144" i="1"/>
  <c r="U145" i="1" s="1"/>
  <c r="U150" i="1" s="1"/>
  <c r="M144" i="1"/>
  <c r="M145" i="1" s="1"/>
  <c r="M147" i="1" s="1"/>
  <c r="M148" i="1" s="1"/>
  <c r="M95" i="1" s="1"/>
  <c r="Q144" i="1"/>
  <c r="Q145" i="1" s="1"/>
  <c r="Q147" i="1" s="1"/>
  <c r="Q148" i="1" s="1"/>
  <c r="Q95" i="1" s="1"/>
  <c r="S144" i="1"/>
  <c r="S145" i="1" s="1"/>
  <c r="S147" i="1" s="1"/>
  <c r="S148" i="1" s="1"/>
  <c r="S95" i="1" s="1"/>
  <c r="T144" i="1"/>
  <c r="T145" i="1" s="1"/>
  <c r="F144" i="1"/>
  <c r="F145" i="1" s="1"/>
  <c r="F150" i="1" s="1"/>
  <c r="O144" i="1"/>
  <c r="O145" i="1" s="1"/>
  <c r="O147" i="1" s="1"/>
  <c r="O148" i="1" s="1"/>
  <c r="O95" i="1" s="1"/>
  <c r="K144" i="1"/>
  <c r="K145" i="1" s="1"/>
  <c r="K150" i="1" s="1"/>
  <c r="V144" i="1"/>
  <c r="V145" i="1" s="1"/>
  <c r="V150" i="1" s="1"/>
  <c r="R144" i="1"/>
  <c r="R145" i="1" s="1"/>
  <c r="R150" i="1" s="1"/>
  <c r="G144" i="1"/>
  <c r="G145" i="1" s="1"/>
  <c r="G150" i="1" s="1"/>
  <c r="L144" i="1"/>
  <c r="L145" i="1" s="1"/>
  <c r="L150" i="1" s="1"/>
  <c r="P144" i="1"/>
  <c r="P145" i="1" s="1"/>
  <c r="P147" i="1" s="1"/>
  <c r="P148" i="1" s="1"/>
  <c r="P95" i="1" s="1"/>
  <c r="E133" i="1"/>
  <c r="F130" i="1" s="1"/>
  <c r="F132" i="1" s="1"/>
  <c r="F116" i="1" s="1"/>
  <c r="N60" i="1"/>
  <c r="N62" i="1" s="1"/>
  <c r="N87" i="1"/>
  <c r="J63" i="1"/>
  <c r="W63" i="1"/>
  <c r="AC2" i="1"/>
  <c r="N1" i="7"/>
  <c r="E135" i="24" l="1"/>
  <c r="F132" i="24" s="1"/>
  <c r="E133" i="22"/>
  <c r="F130" i="22" s="1"/>
  <c r="F132" i="22" s="1"/>
  <c r="F116" i="22" s="1"/>
  <c r="F119" i="22" s="1"/>
  <c r="F122" i="22" s="1"/>
  <c r="E125" i="24"/>
  <c r="E126" i="24"/>
  <c r="F134" i="24"/>
  <c r="F118" i="24" s="1"/>
  <c r="F121" i="24" s="1"/>
  <c r="F124" i="24" s="1"/>
  <c r="F127" i="24" s="1"/>
  <c r="J2" i="22"/>
  <c r="N2" i="7"/>
  <c r="I2" i="24"/>
  <c r="D124" i="22"/>
  <c r="E127" i="24"/>
  <c r="E123" i="22"/>
  <c r="E124" i="22"/>
  <c r="W146" i="1"/>
  <c r="J146" i="1"/>
  <c r="T147" i="1"/>
  <c r="T148" i="1" s="1"/>
  <c r="T95" i="1" s="1"/>
  <c r="I146" i="1"/>
  <c r="O150" i="1"/>
  <c r="N89" i="1"/>
  <c r="N90" i="1" s="1"/>
  <c r="S96" i="1"/>
  <c r="S98" i="1" s="1"/>
  <c r="S99" i="1" s="1"/>
  <c r="Q96" i="1"/>
  <c r="Q98" i="1" s="1"/>
  <c r="Q99" i="1" s="1"/>
  <c r="M96" i="1"/>
  <c r="M98" i="1" s="1"/>
  <c r="M99" i="1" s="1"/>
  <c r="M150" i="1"/>
  <c r="J144" i="1"/>
  <c r="J145" i="1" s="1"/>
  <c r="O96" i="1"/>
  <c r="O98" i="1" s="1"/>
  <c r="O101" i="1" s="1"/>
  <c r="O118" i="1" s="1"/>
  <c r="V147" i="1"/>
  <c r="V148" i="1" s="1"/>
  <c r="V95" i="1" s="1"/>
  <c r="P96" i="1"/>
  <c r="P98" i="1" s="1"/>
  <c r="P99" i="1" s="1"/>
  <c r="W144" i="1"/>
  <c r="W145" i="1" s="1"/>
  <c r="W147" i="1" s="1"/>
  <c r="W148" i="1" s="1"/>
  <c r="W95" i="1" s="1"/>
  <c r="U147" i="1"/>
  <c r="U148" i="1" s="1"/>
  <c r="U95" i="1" s="1"/>
  <c r="T150" i="1"/>
  <c r="R147" i="1"/>
  <c r="R148" i="1" s="1"/>
  <c r="R95" i="1" s="1"/>
  <c r="P150" i="1"/>
  <c r="L147" i="1"/>
  <c r="L148" i="1" s="1"/>
  <c r="L95" i="1" s="1"/>
  <c r="S150" i="1"/>
  <c r="K147" i="1"/>
  <c r="K148" i="1" s="1"/>
  <c r="K95" i="1" s="1"/>
  <c r="Q150" i="1"/>
  <c r="G147" i="1"/>
  <c r="G148" i="1" s="1"/>
  <c r="G95" i="1" s="1"/>
  <c r="L11" i="29" s="1"/>
  <c r="E147" i="1"/>
  <c r="E148" i="1" s="1"/>
  <c r="E95" i="1" s="1"/>
  <c r="J11" i="29" s="1"/>
  <c r="F147" i="1"/>
  <c r="F148" i="1" s="1"/>
  <c r="F95" i="1" s="1"/>
  <c r="K11" i="29" s="1"/>
  <c r="N93" i="1"/>
  <c r="N63" i="1"/>
  <c r="D93" i="1"/>
  <c r="D60" i="1"/>
  <c r="D62" i="1" s="1"/>
  <c r="AD2" i="1"/>
  <c r="AF34" i="1"/>
  <c r="AF60" i="1"/>
  <c r="O1" i="7"/>
  <c r="F133" i="1"/>
  <c r="G130" i="1" s="1"/>
  <c r="G132" i="1" s="1"/>
  <c r="F135" i="24" l="1"/>
  <c r="G132" i="24" s="1"/>
  <c r="F133" i="22"/>
  <c r="G130" i="22" s="1"/>
  <c r="G132" i="22"/>
  <c r="G116" i="22" s="1"/>
  <c r="G119" i="22" s="1"/>
  <c r="G122" i="22" s="1"/>
  <c r="G134" i="24"/>
  <c r="G118" i="24" s="1"/>
  <c r="G121" i="24" s="1"/>
  <c r="G124" i="24" s="1"/>
  <c r="F123" i="22"/>
  <c r="F124" i="22"/>
  <c r="F125" i="22"/>
  <c r="G125" i="22"/>
  <c r="I24" i="8"/>
  <c r="J24" i="8"/>
  <c r="K24" i="8"/>
  <c r="F125" i="24"/>
  <c r="F126" i="24"/>
  <c r="O2" i="7"/>
  <c r="J2" i="24"/>
  <c r="K2" i="22"/>
  <c r="D63" i="1"/>
  <c r="I4" i="29" s="1"/>
  <c r="I3" i="29"/>
  <c r="AF62" i="1"/>
  <c r="T7" i="8"/>
  <c r="T11" i="8"/>
  <c r="T96" i="1"/>
  <c r="T98" i="1" s="1"/>
  <c r="T101" i="1" s="1"/>
  <c r="T118" i="1" s="1"/>
  <c r="N146" i="1"/>
  <c r="J147" i="1"/>
  <c r="J148" i="1" s="1"/>
  <c r="J95" i="1" s="1"/>
  <c r="D146" i="1"/>
  <c r="AF90" i="1"/>
  <c r="Q101" i="1"/>
  <c r="Q118" i="1" s="1"/>
  <c r="W96" i="1"/>
  <c r="W98" i="1" s="1"/>
  <c r="W101" i="1" s="1"/>
  <c r="W118" i="1" s="1"/>
  <c r="K96" i="1"/>
  <c r="K98" i="1" s="1"/>
  <c r="K99" i="1" s="1"/>
  <c r="R96" i="1"/>
  <c r="R98" i="1" s="1"/>
  <c r="R99" i="1" s="1"/>
  <c r="U96" i="1"/>
  <c r="U98" i="1" s="1"/>
  <c r="S101" i="1"/>
  <c r="S118" i="1" s="1"/>
  <c r="N144" i="1"/>
  <c r="N145" i="1" s="1"/>
  <c r="I144" i="1"/>
  <c r="I145" i="1" s="1"/>
  <c r="I150" i="1" s="1"/>
  <c r="P101" i="1"/>
  <c r="P118" i="1" s="1"/>
  <c r="M101" i="1"/>
  <c r="M118" i="1" s="1"/>
  <c r="V96" i="1"/>
  <c r="V98" i="1" s="1"/>
  <c r="O99" i="1"/>
  <c r="L96" i="1"/>
  <c r="L98" i="1" s="1"/>
  <c r="L101" i="1" s="1"/>
  <c r="L118" i="1" s="1"/>
  <c r="G96" i="1"/>
  <c r="G98" i="1" s="1"/>
  <c r="G101" i="1" s="1"/>
  <c r="G118" i="1" s="1"/>
  <c r="F96" i="1"/>
  <c r="F98" i="1" s="1"/>
  <c r="F99" i="1" s="1"/>
  <c r="E96" i="1"/>
  <c r="E98" i="1" s="1"/>
  <c r="E101" i="1" s="1"/>
  <c r="W150" i="1"/>
  <c r="J150" i="1"/>
  <c r="H96" i="1"/>
  <c r="H98" i="1" s="1"/>
  <c r="H99" i="1" s="1"/>
  <c r="P1" i="7"/>
  <c r="G116" i="1"/>
  <c r="P2" i="7" l="1"/>
  <c r="K2" i="24"/>
  <c r="L2" i="22"/>
  <c r="G123" i="22"/>
  <c r="G124" i="22"/>
  <c r="G133" i="22"/>
  <c r="H130" i="22" s="1"/>
  <c r="G135" i="24"/>
  <c r="H132" i="24" s="1"/>
  <c r="G125" i="24"/>
  <c r="G126" i="24"/>
  <c r="G127" i="24"/>
  <c r="J96" i="1"/>
  <c r="J98" i="1" s="1"/>
  <c r="J99" i="1" s="1"/>
  <c r="Y7" i="8"/>
  <c r="Y11" i="8"/>
  <c r="V7" i="8"/>
  <c r="V11" i="8"/>
  <c r="R7" i="8"/>
  <c r="R11" i="8"/>
  <c r="U7" i="8"/>
  <c r="U11" i="8"/>
  <c r="AB7" i="8"/>
  <c r="AB11" i="8"/>
  <c r="X7" i="8"/>
  <c r="X11" i="8"/>
  <c r="L7" i="8"/>
  <c r="L11" i="8"/>
  <c r="Q7" i="8"/>
  <c r="Q11" i="8"/>
  <c r="T99" i="1"/>
  <c r="K101" i="1"/>
  <c r="K118" i="1" s="1"/>
  <c r="N147" i="1"/>
  <c r="N148" i="1" s="1"/>
  <c r="N95" i="1" s="1"/>
  <c r="R101" i="1"/>
  <c r="R118" i="1" s="1"/>
  <c r="G99" i="1"/>
  <c r="W99" i="1"/>
  <c r="L99" i="1"/>
  <c r="E99" i="1"/>
  <c r="V101" i="1"/>
  <c r="V118" i="1" s="1"/>
  <c r="V99" i="1"/>
  <c r="F101" i="1"/>
  <c r="F119" i="1" s="1"/>
  <c r="D144" i="1"/>
  <c r="D145" i="1" s="1"/>
  <c r="D147" i="1" s="1"/>
  <c r="D148" i="1" s="1"/>
  <c r="D95" i="1" s="1"/>
  <c r="I11" i="29" s="1"/>
  <c r="U99" i="1"/>
  <c r="U101" i="1"/>
  <c r="U118" i="1" s="1"/>
  <c r="I147" i="1"/>
  <c r="I148" i="1" s="1"/>
  <c r="I95" i="1" s="1"/>
  <c r="N150" i="1"/>
  <c r="E118" i="1"/>
  <c r="E119" i="1"/>
  <c r="G119" i="1"/>
  <c r="G122" i="1" s="1"/>
  <c r="G123" i="1" s="1"/>
  <c r="H101" i="1"/>
  <c r="H118" i="1" s="1"/>
  <c r="AF63" i="1"/>
  <c r="G133" i="1"/>
  <c r="H130" i="1" s="1"/>
  <c r="Q1" i="7"/>
  <c r="J101" i="1" l="1"/>
  <c r="J118" i="1" s="1"/>
  <c r="H134" i="24"/>
  <c r="H118" i="24" s="1"/>
  <c r="H121" i="24" s="1"/>
  <c r="H124" i="24" s="1"/>
  <c r="Q2" i="7"/>
  <c r="L2" i="24"/>
  <c r="H132" i="22"/>
  <c r="H116" i="22" s="1"/>
  <c r="H119" i="22" s="1"/>
  <c r="H122" i="22" s="1"/>
  <c r="L24" i="8"/>
  <c r="M2" i="22"/>
  <c r="N96" i="1"/>
  <c r="N98" i="1" s="1"/>
  <c r="N101" i="1" s="1"/>
  <c r="N118" i="1" s="1"/>
  <c r="S11" i="8" s="1"/>
  <c r="I96" i="1"/>
  <c r="I98" i="1" s="1"/>
  <c r="I99" i="1" s="1"/>
  <c r="W7" i="8"/>
  <c r="W11" i="8"/>
  <c r="L15" i="8"/>
  <c r="L14" i="8"/>
  <c r="O7" i="8"/>
  <c r="O11" i="8"/>
  <c r="J7" i="8"/>
  <c r="J11" i="8"/>
  <c r="Z7" i="8"/>
  <c r="Z11" i="8"/>
  <c r="M7" i="8"/>
  <c r="M11" i="8"/>
  <c r="AA7" i="8"/>
  <c r="AA11" i="8"/>
  <c r="P7" i="8"/>
  <c r="P11" i="8"/>
  <c r="AF95" i="1"/>
  <c r="AF96" i="1" s="1"/>
  <c r="H132" i="1"/>
  <c r="H133" i="1" s="1"/>
  <c r="I130" i="1" s="1"/>
  <c r="F118" i="1"/>
  <c r="D96" i="1"/>
  <c r="D98" i="1" s="1"/>
  <c r="D150" i="1"/>
  <c r="E122" i="1"/>
  <c r="G124" i="1"/>
  <c r="R1" i="7"/>
  <c r="R2" i="7" l="1"/>
  <c r="M2" i="24"/>
  <c r="H123" i="22"/>
  <c r="H124" i="22"/>
  <c r="H125" i="22"/>
  <c r="N2" i="22"/>
  <c r="H133" i="22"/>
  <c r="I130" i="22" s="1"/>
  <c r="I101" i="1"/>
  <c r="H135" i="24"/>
  <c r="I132" i="24" s="1"/>
  <c r="N99" i="1"/>
  <c r="H125" i="24"/>
  <c r="H126" i="24"/>
  <c r="H127" i="24"/>
  <c r="S7" i="8"/>
  <c r="K7" i="8"/>
  <c r="K11" i="8"/>
  <c r="L19" i="8"/>
  <c r="L18" i="8"/>
  <c r="F122" i="1"/>
  <c r="F123" i="1" s="1"/>
  <c r="D101" i="1"/>
  <c r="D119" i="1" s="1"/>
  <c r="AF98" i="1"/>
  <c r="AF101" i="1" s="1"/>
  <c r="AF118" i="1" s="1"/>
  <c r="H116" i="1"/>
  <c r="H119" i="1" s="1"/>
  <c r="H122" i="1" s="1"/>
  <c r="H123" i="1" s="1"/>
  <c r="I132" i="1"/>
  <c r="I116" i="1" s="1"/>
  <c r="I119" i="1" s="1"/>
  <c r="I118" i="1"/>
  <c r="D99" i="1"/>
  <c r="E123" i="1"/>
  <c r="E124" i="1"/>
  <c r="S1" i="7"/>
  <c r="S2" i="7" l="1"/>
  <c r="N2" i="24"/>
  <c r="I134" i="24"/>
  <c r="I118" i="24" s="1"/>
  <c r="I121" i="24" s="1"/>
  <c r="I124" i="24" s="1"/>
  <c r="M24" i="8"/>
  <c r="I132" i="22"/>
  <c r="I116" i="22" s="1"/>
  <c r="I119" i="22" s="1"/>
  <c r="I122" i="22" s="1"/>
  <c r="O2" i="22"/>
  <c r="D118" i="1"/>
  <c r="D122" i="1" s="1"/>
  <c r="D123" i="1" s="1"/>
  <c r="K15" i="8"/>
  <c r="K14" i="8"/>
  <c r="F124" i="1"/>
  <c r="N7" i="8"/>
  <c r="N11" i="8"/>
  <c r="M14" i="8"/>
  <c r="M15" i="8"/>
  <c r="J19" i="8"/>
  <c r="J18" i="8"/>
  <c r="J14" i="8"/>
  <c r="J15" i="8"/>
  <c r="H124" i="1"/>
  <c r="I133" i="1"/>
  <c r="J130" i="1" s="1"/>
  <c r="J132" i="1" s="1"/>
  <c r="I122" i="1"/>
  <c r="I123" i="1" s="1"/>
  <c r="AF99" i="1"/>
  <c r="T1" i="7"/>
  <c r="J116" i="1"/>
  <c r="J119" i="1" s="1"/>
  <c r="I11" i="8" l="1"/>
  <c r="I7" i="8"/>
  <c r="I123" i="22"/>
  <c r="I124" i="22"/>
  <c r="I125" i="22"/>
  <c r="I133" i="22"/>
  <c r="J130" i="22" s="1"/>
  <c r="T2" i="7"/>
  <c r="O2" i="24"/>
  <c r="P2" i="22"/>
  <c r="I125" i="24"/>
  <c r="I126" i="24"/>
  <c r="I127" i="24"/>
  <c r="I135" i="24"/>
  <c r="J132" i="24" s="1"/>
  <c r="K19" i="8"/>
  <c r="K18" i="8"/>
  <c r="M19" i="8"/>
  <c r="M18" i="8"/>
  <c r="N14" i="8"/>
  <c r="N15" i="8"/>
  <c r="I15" i="8"/>
  <c r="I14" i="8"/>
  <c r="I125" i="1"/>
  <c r="I124" i="1"/>
  <c r="D124" i="1"/>
  <c r="I18" i="8" s="1"/>
  <c r="D125" i="1"/>
  <c r="E125" i="1"/>
  <c r="F125" i="1"/>
  <c r="G125" i="1"/>
  <c r="H125" i="1"/>
  <c r="U1" i="7"/>
  <c r="J133" i="1"/>
  <c r="K130" i="1" s="1"/>
  <c r="K132" i="1" s="1"/>
  <c r="J122" i="1"/>
  <c r="J123" i="1" s="1"/>
  <c r="J22" i="8" l="1"/>
  <c r="I22" i="8"/>
  <c r="K22" i="8"/>
  <c r="L22" i="8"/>
  <c r="M22" i="8"/>
  <c r="U2" i="7"/>
  <c r="P2" i="24"/>
  <c r="J132" i="22"/>
  <c r="J116" i="22" s="1"/>
  <c r="J119" i="22" s="1"/>
  <c r="J122" i="22" s="1"/>
  <c r="J134" i="24"/>
  <c r="J118" i="24" s="1"/>
  <c r="Q2" i="22"/>
  <c r="N24" i="8"/>
  <c r="N19" i="8"/>
  <c r="N18" i="8"/>
  <c r="I19" i="8"/>
  <c r="I23" i="8" s="1"/>
  <c r="K116" i="1"/>
  <c r="K119" i="1" s="1"/>
  <c r="K122" i="1" s="1"/>
  <c r="J125" i="1"/>
  <c r="J124" i="1"/>
  <c r="V1" i="7"/>
  <c r="K133" i="1"/>
  <c r="L130" i="1" s="1"/>
  <c r="L132" i="1" s="1"/>
  <c r="N22" i="8" l="1"/>
  <c r="V2" i="7"/>
  <c r="Q2" i="24"/>
  <c r="J133" i="22"/>
  <c r="K130" i="22" s="1"/>
  <c r="J123" i="22"/>
  <c r="O14" i="8" s="1"/>
  <c r="J124" i="22"/>
  <c r="O18" i="8" s="1"/>
  <c r="J125" i="22"/>
  <c r="R2" i="22"/>
  <c r="J135" i="24"/>
  <c r="K132" i="24" s="1"/>
  <c r="O19" i="8"/>
  <c r="O23" i="8" s="1"/>
  <c r="J23" i="8"/>
  <c r="K23" i="8"/>
  <c r="M23" i="8"/>
  <c r="N23" i="8"/>
  <c r="L23" i="8"/>
  <c r="K123" i="1"/>
  <c r="L116" i="1"/>
  <c r="L119" i="1" s="1"/>
  <c r="L122" i="1" s="1"/>
  <c r="L123" i="1" s="1"/>
  <c r="K125" i="1"/>
  <c r="K124" i="1"/>
  <c r="W1" i="7"/>
  <c r="O22" i="8" l="1"/>
  <c r="O24" i="8"/>
  <c r="W2" i="7"/>
  <c r="R2" i="24"/>
  <c r="K134" i="24"/>
  <c r="K118" i="24" s="1"/>
  <c r="S2" i="22"/>
  <c r="K132" i="22"/>
  <c r="K116" i="22" s="1"/>
  <c r="K119" i="22" s="1"/>
  <c r="K122" i="22" s="1"/>
  <c r="P19" i="8"/>
  <c r="L133" i="1"/>
  <c r="M130" i="1" s="1"/>
  <c r="M132" i="1" s="1"/>
  <c r="L125" i="1"/>
  <c r="L124" i="1"/>
  <c r="X1" i="7"/>
  <c r="K135" i="24" l="1"/>
  <c r="L132" i="24" s="1"/>
  <c r="X2" i="7"/>
  <c r="S2" i="24"/>
  <c r="K123" i="22"/>
  <c r="P14" i="8" s="1"/>
  <c r="K124" i="22"/>
  <c r="K125" i="22"/>
  <c r="L134" i="24"/>
  <c r="L118" i="24" s="1"/>
  <c r="K133" i="22"/>
  <c r="L130" i="22" s="1"/>
  <c r="T2" i="22"/>
  <c r="Q19" i="8"/>
  <c r="Q23" i="8" s="1"/>
  <c r="P23" i="8"/>
  <c r="M133" i="1"/>
  <c r="N130" i="1" s="1"/>
  <c r="N132" i="1" s="1"/>
  <c r="Y1" i="7"/>
  <c r="Y2" i="7" l="1"/>
  <c r="T2" i="24"/>
  <c r="U2" i="22"/>
  <c r="L132" i="22"/>
  <c r="L116" i="22" s="1"/>
  <c r="L119" i="22" s="1"/>
  <c r="L122" i="22" s="1"/>
  <c r="L135" i="24"/>
  <c r="M132" i="24" s="1"/>
  <c r="P24" i="8"/>
  <c r="P18" i="8"/>
  <c r="N116" i="1"/>
  <c r="N119" i="1" s="1"/>
  <c r="N122" i="1" s="1"/>
  <c r="N133" i="1"/>
  <c r="O130" i="1" s="1"/>
  <c r="O132" i="1" s="1"/>
  <c r="M116" i="1"/>
  <c r="M119" i="1" s="1"/>
  <c r="M122" i="1" s="1"/>
  <c r="Z1" i="7"/>
  <c r="P22" i="8" l="1"/>
  <c r="Z2" i="7"/>
  <c r="U2" i="24"/>
  <c r="M134" i="24"/>
  <c r="M118" i="24" s="1"/>
  <c r="L123" i="22"/>
  <c r="Q14" i="8" s="1"/>
  <c r="L124" i="22"/>
  <c r="L125" i="22"/>
  <c r="L133" i="22"/>
  <c r="M130" i="22" s="1"/>
  <c r="V2" i="22"/>
  <c r="W2" i="22" s="1"/>
  <c r="X2" i="22" s="1"/>
  <c r="Y2" i="22" s="1"/>
  <c r="Z2" i="22" s="1"/>
  <c r="N123" i="1"/>
  <c r="N125" i="1"/>
  <c r="N124" i="1"/>
  <c r="M125" i="1"/>
  <c r="M123" i="1"/>
  <c r="M124" i="1"/>
  <c r="O133" i="1"/>
  <c r="P130" i="1" s="1"/>
  <c r="P132" i="1" s="1"/>
  <c r="AA1" i="7"/>
  <c r="V2" i="24" s="1"/>
  <c r="M132" i="22" l="1"/>
  <c r="M116" i="22" s="1"/>
  <c r="M119" i="22" s="1"/>
  <c r="M122" i="22" s="1"/>
  <c r="AA2" i="22"/>
  <c r="Q18" i="8"/>
  <c r="Q24" i="8"/>
  <c r="M135" i="24"/>
  <c r="N132" i="24" s="1"/>
  <c r="R19" i="8"/>
  <c r="S19" i="8"/>
  <c r="P116" i="1"/>
  <c r="P119" i="1" s="1"/>
  <c r="P122" i="1" s="1"/>
  <c r="O116" i="1"/>
  <c r="O119" i="1" s="1"/>
  <c r="O122" i="1" s="1"/>
  <c r="AA2" i="7"/>
  <c r="AB1" i="7"/>
  <c r="W2" i="24" s="1"/>
  <c r="M133" i="22" l="1"/>
  <c r="N130" i="22" s="1"/>
  <c r="Q22" i="8"/>
  <c r="N134" i="24"/>
  <c r="N118" i="24" s="1"/>
  <c r="AB2" i="22"/>
  <c r="AC2" i="22" s="1"/>
  <c r="N132" i="22"/>
  <c r="N116" i="22" s="1"/>
  <c r="N119" i="22" s="1"/>
  <c r="N122" i="22" s="1"/>
  <c r="M123" i="22"/>
  <c r="R14" i="8" s="1"/>
  <c r="M124" i="22"/>
  <c r="M125" i="22"/>
  <c r="S23" i="8"/>
  <c r="R23" i="8"/>
  <c r="P123" i="1"/>
  <c r="P124" i="1"/>
  <c r="P125" i="1"/>
  <c r="O125" i="1"/>
  <c r="O123" i="1"/>
  <c r="O124" i="1"/>
  <c r="P133" i="1"/>
  <c r="Q130" i="1" s="1"/>
  <c r="Q132" i="1" s="1"/>
  <c r="AC1" i="7"/>
  <c r="X2" i="24" s="1"/>
  <c r="AB2" i="7"/>
  <c r="R24" i="8" l="1"/>
  <c r="R18" i="8"/>
  <c r="N123" i="22"/>
  <c r="S14" i="8" s="1"/>
  <c r="N124" i="22"/>
  <c r="S18" i="8" s="1"/>
  <c r="N125" i="22"/>
  <c r="N133" i="22"/>
  <c r="O130" i="22" s="1"/>
  <c r="AE2" i="22"/>
  <c r="AD2" i="22"/>
  <c r="N135" i="24"/>
  <c r="O132" i="24" s="1"/>
  <c r="U19" i="8"/>
  <c r="T19" i="8"/>
  <c r="Q116" i="1"/>
  <c r="Q119" i="1" s="1"/>
  <c r="Q122" i="1" s="1"/>
  <c r="Q133" i="1"/>
  <c r="R130" i="1" s="1"/>
  <c r="R132" i="1" s="1"/>
  <c r="AC2" i="7"/>
  <c r="AD1" i="7"/>
  <c r="Y2" i="24" s="1"/>
  <c r="R22" i="8" l="1"/>
  <c r="S22" i="8"/>
  <c r="AF2" i="22"/>
  <c r="AG2" i="22"/>
  <c r="O134" i="24"/>
  <c r="O118" i="24" s="1"/>
  <c r="O132" i="22"/>
  <c r="O116" i="22" s="1"/>
  <c r="O119" i="22" s="1"/>
  <c r="O122" i="22" s="1"/>
  <c r="S24" i="8"/>
  <c r="T23" i="8"/>
  <c r="U23" i="8"/>
  <c r="R116" i="1"/>
  <c r="R119" i="1" s="1"/>
  <c r="R122" i="1" s="1"/>
  <c r="Q124" i="1"/>
  <c r="Q123" i="1"/>
  <c r="Q125" i="1"/>
  <c r="R133" i="1"/>
  <c r="S130" i="1" s="1"/>
  <c r="S132" i="1" s="1"/>
  <c r="AD2" i="7"/>
  <c r="AE1" i="7"/>
  <c r="Z2" i="24" s="1"/>
  <c r="O135" i="24" l="1"/>
  <c r="P132" i="24" s="1"/>
  <c r="P134" i="24"/>
  <c r="P118" i="24" s="1"/>
  <c r="O123" i="22"/>
  <c r="T14" i="8" s="1"/>
  <c r="O124" i="22"/>
  <c r="O125" i="22"/>
  <c r="O133" i="22"/>
  <c r="P130" i="22" s="1"/>
  <c r="AI2" i="22"/>
  <c r="AK2" i="22" s="1"/>
  <c r="AM2" i="22" s="1"/>
  <c r="AH2" i="22"/>
  <c r="V19" i="8"/>
  <c r="S116" i="1"/>
  <c r="S119" i="1" s="1"/>
  <c r="S122" i="1" s="1"/>
  <c r="R124" i="1"/>
  <c r="R123" i="1"/>
  <c r="R125" i="1"/>
  <c r="AE2" i="7"/>
  <c r="AF1" i="7"/>
  <c r="AA2" i="24" s="1"/>
  <c r="P132" i="22" l="1"/>
  <c r="P116" i="22" s="1"/>
  <c r="P119" i="22" s="1"/>
  <c r="P122" i="22" s="1"/>
  <c r="T18" i="8"/>
  <c r="T22" i="8" s="1"/>
  <c r="T24" i="8"/>
  <c r="AJ2" i="22"/>
  <c r="AO2" i="22"/>
  <c r="P135" i="24"/>
  <c r="Q132" i="24" s="1"/>
  <c r="W19" i="8"/>
  <c r="W23" i="8" s="1"/>
  <c r="V23" i="8"/>
  <c r="S133" i="1"/>
  <c r="T130" i="1" s="1"/>
  <c r="T132" i="1" s="1"/>
  <c r="T116" i="1" s="1"/>
  <c r="T119" i="1" s="1"/>
  <c r="S125" i="1"/>
  <c r="S123" i="1"/>
  <c r="AF2" i="7"/>
  <c r="AG1" i="7"/>
  <c r="AB2" i="24" s="1"/>
  <c r="S124" i="1"/>
  <c r="AQ2" i="22" l="1"/>
  <c r="AL2" i="22"/>
  <c r="P123" i="22"/>
  <c r="U14" i="8" s="1"/>
  <c r="P125" i="22"/>
  <c r="P124" i="22"/>
  <c r="Q134" i="24"/>
  <c r="Q118" i="24" s="1"/>
  <c r="P133" i="22"/>
  <c r="Q130" i="22" s="1"/>
  <c r="X19" i="8"/>
  <c r="AG2" i="7"/>
  <c r="AH1" i="7"/>
  <c r="AC2" i="24" s="1"/>
  <c r="T122" i="1"/>
  <c r="T133" i="1"/>
  <c r="U130" i="1" s="1"/>
  <c r="U132" i="1" s="1"/>
  <c r="Q132" i="22" l="1"/>
  <c r="Q116" i="22" s="1"/>
  <c r="Q119" i="22" s="1"/>
  <c r="Q122" i="22" s="1"/>
  <c r="Q135" i="24"/>
  <c r="R132" i="24" s="1"/>
  <c r="U18" i="8"/>
  <c r="U22" i="8" s="1"/>
  <c r="U24" i="8"/>
  <c r="AS2" i="22"/>
  <c r="AN2" i="22"/>
  <c r="X23" i="8"/>
  <c r="T125" i="1"/>
  <c r="T123" i="1"/>
  <c r="AH2" i="7"/>
  <c r="AI1" i="7"/>
  <c r="T124" i="1"/>
  <c r="U116" i="1"/>
  <c r="U119" i="1" s="1"/>
  <c r="AI2" i="7" l="1"/>
  <c r="AD2" i="24"/>
  <c r="AJ1" i="7"/>
  <c r="AU2" i="22"/>
  <c r="Q123" i="22"/>
  <c r="V14" i="8" s="1"/>
  <c r="Q125" i="22"/>
  <c r="Q124" i="22"/>
  <c r="AP2" i="22"/>
  <c r="R134" i="24"/>
  <c r="R118" i="24" s="1"/>
  <c r="R121" i="24" s="1"/>
  <c r="R124" i="24" s="1"/>
  <c r="Q133" i="22"/>
  <c r="R130" i="22" s="1"/>
  <c r="Y19" i="8"/>
  <c r="Y23" i="8" s="1"/>
  <c r="U122" i="1"/>
  <c r="U133" i="1"/>
  <c r="V130" i="1" s="1"/>
  <c r="V132" i="1" s="1"/>
  <c r="V18" i="8" l="1"/>
  <c r="V22" i="8" s="1"/>
  <c r="V24" i="8"/>
  <c r="R125" i="24"/>
  <c r="R126" i="24"/>
  <c r="AJ2" i="7"/>
  <c r="AK1" i="7"/>
  <c r="R132" i="22"/>
  <c r="R116" i="22" s="1"/>
  <c r="R119" i="22" s="1"/>
  <c r="R122" i="22" s="1"/>
  <c r="R135" i="24"/>
  <c r="S132" i="24" s="1"/>
  <c r="AR2" i="22"/>
  <c r="AW2" i="22"/>
  <c r="U125" i="1"/>
  <c r="U123" i="1"/>
  <c r="U124" i="1"/>
  <c r="V116" i="1"/>
  <c r="V119" i="1" s="1"/>
  <c r="S134" i="24" l="1"/>
  <c r="S118" i="24" s="1"/>
  <c r="S121" i="24" s="1"/>
  <c r="S124" i="24" s="1"/>
  <c r="AT2" i="22"/>
  <c r="AV2" i="22" s="1"/>
  <c r="AY2" i="22"/>
  <c r="BA2" i="22" s="1"/>
  <c r="BC2" i="22" s="1"/>
  <c r="R133" i="22"/>
  <c r="S130" i="22" s="1"/>
  <c r="R123" i="22"/>
  <c r="R125" i="22"/>
  <c r="R124" i="22"/>
  <c r="AK2" i="7"/>
  <c r="AL1" i="7"/>
  <c r="Z19" i="8"/>
  <c r="Z23" i="8" s="1"/>
  <c r="V122" i="1"/>
  <c r="V133" i="1"/>
  <c r="W130" i="1" s="1"/>
  <c r="W132" i="1" s="1"/>
  <c r="S132" i="22" l="1"/>
  <c r="S116" i="22" s="1"/>
  <c r="S119" i="22" s="1"/>
  <c r="S122" i="22" s="1"/>
  <c r="AX2" i="22"/>
  <c r="AM1" i="7"/>
  <c r="AL2" i="7"/>
  <c r="W18" i="8"/>
  <c r="W22" i="8" s="1"/>
  <c r="W24" i="8"/>
  <c r="W14" i="8"/>
  <c r="W15" i="8"/>
  <c r="BE2" i="22"/>
  <c r="S125" i="24"/>
  <c r="S126" i="24"/>
  <c r="S135" i="24"/>
  <c r="T132" i="24" s="1"/>
  <c r="V125" i="1"/>
  <c r="V123" i="1"/>
  <c r="V124" i="1"/>
  <c r="W116" i="1"/>
  <c r="W119" i="1" s="1"/>
  <c r="T134" i="24" l="1"/>
  <c r="T118" i="24" s="1"/>
  <c r="T121" i="24" s="1"/>
  <c r="T124" i="24" s="1"/>
  <c r="BG2" i="22"/>
  <c r="BI2" i="22" s="1"/>
  <c r="BK2" i="22" s="1"/>
  <c r="BM2" i="22" s="1"/>
  <c r="BO2" i="22" s="1"/>
  <c r="AN1" i="7"/>
  <c r="AM2" i="7"/>
  <c r="AZ2" i="22"/>
  <c r="BB2" i="22" s="1"/>
  <c r="BD2" i="22" s="1"/>
  <c r="BF2" i="22" s="1"/>
  <c r="S123" i="22"/>
  <c r="S125" i="22"/>
  <c r="S124" i="22"/>
  <c r="S133" i="22"/>
  <c r="T130" i="22" s="1"/>
  <c r="AA19" i="8"/>
  <c r="AA23" i="8" s="1"/>
  <c r="W133" i="1"/>
  <c r="X130" i="1" s="1"/>
  <c r="X132" i="1" s="1"/>
  <c r="W122" i="1"/>
  <c r="BH2" i="22" l="1"/>
  <c r="T125" i="24"/>
  <c r="T126" i="24"/>
  <c r="T132" i="22"/>
  <c r="T116" i="22" s="1"/>
  <c r="T119" i="22" s="1"/>
  <c r="T122" i="22" s="1"/>
  <c r="X18" i="8"/>
  <c r="X22" i="8" s="1"/>
  <c r="X24" i="8"/>
  <c r="X14" i="8"/>
  <c r="X15" i="8"/>
  <c r="AN2" i="7"/>
  <c r="AO1" i="7"/>
  <c r="T135" i="24"/>
  <c r="U132" i="24" s="1"/>
  <c r="W125" i="1"/>
  <c r="W123" i="1"/>
  <c r="X116" i="1"/>
  <c r="X119" i="1" s="1"/>
  <c r="X122" i="1" s="1"/>
  <c r="X123" i="1" s="1"/>
  <c r="W124" i="1"/>
  <c r="AO2" i="7" l="1"/>
  <c r="AP1" i="7"/>
  <c r="U134" i="24"/>
  <c r="U118" i="24" s="1"/>
  <c r="U121" i="24" s="1"/>
  <c r="U124" i="24" s="1"/>
  <c r="T124" i="22"/>
  <c r="T123" i="22"/>
  <c r="T125" i="22"/>
  <c r="T133" i="22"/>
  <c r="U130" i="22" s="1"/>
  <c r="BJ2" i="22"/>
  <c r="AB19" i="8"/>
  <c r="AB23" i="8" s="1"/>
  <c r="X125" i="1"/>
  <c r="X124" i="1"/>
  <c r="X133" i="1"/>
  <c r="Y130" i="1" s="1"/>
  <c r="Y132" i="1" s="1"/>
  <c r="BL2" i="22" l="1"/>
  <c r="BN2" i="22" s="1"/>
  <c r="U132" i="22"/>
  <c r="U116" i="22" s="1"/>
  <c r="U119" i="22" s="1"/>
  <c r="U122" i="22" s="1"/>
  <c r="Y15" i="8"/>
  <c r="Y14" i="8"/>
  <c r="AP2" i="7"/>
  <c r="AQ1" i="7"/>
  <c r="Y18" i="8"/>
  <c r="Y22" i="8" s="1"/>
  <c r="Y24" i="8"/>
  <c r="U125" i="24"/>
  <c r="U126" i="24"/>
  <c r="U135" i="24"/>
  <c r="V132" i="24" s="1"/>
  <c r="AC19" i="8"/>
  <c r="AC23" i="8" s="1"/>
  <c r="Y116" i="1"/>
  <c r="Y119" i="1" s="1"/>
  <c r="Y122" i="1" s="1"/>
  <c r="Y123" i="1" s="1"/>
  <c r="AR1" i="7" l="1"/>
  <c r="AQ2" i="7"/>
  <c r="V134" i="24"/>
  <c r="V118" i="24" s="1"/>
  <c r="V121" i="24" s="1"/>
  <c r="V124" i="24" s="1"/>
  <c r="U123" i="22"/>
  <c r="U124" i="22"/>
  <c r="U125" i="22"/>
  <c r="U133" i="22"/>
  <c r="V130" i="22" s="1"/>
  <c r="Y125" i="1"/>
  <c r="Y124" i="1"/>
  <c r="Y133" i="1"/>
  <c r="Z130" i="1" s="1"/>
  <c r="Z132" i="1" s="1"/>
  <c r="V135" i="24" l="1"/>
  <c r="W132" i="24" s="1"/>
  <c r="V132" i="22"/>
  <c r="V116" i="22" s="1"/>
  <c r="V119" i="22" s="1"/>
  <c r="V122" i="22" s="1"/>
  <c r="V133" i="22"/>
  <c r="W130" i="22" s="1"/>
  <c r="Z14" i="8"/>
  <c r="Z15" i="8"/>
  <c r="W134" i="24"/>
  <c r="W118" i="24" s="1"/>
  <c r="W121" i="24" s="1"/>
  <c r="W124" i="24" s="1"/>
  <c r="Z18" i="8"/>
  <c r="Z22" i="8" s="1"/>
  <c r="Z24" i="8"/>
  <c r="V125" i="24"/>
  <c r="V126" i="24"/>
  <c r="AS1" i="7"/>
  <c r="AR2" i="7"/>
  <c r="AD19" i="8"/>
  <c r="AD23" i="8" s="1"/>
  <c r="Z116" i="1"/>
  <c r="Z119" i="1" s="1"/>
  <c r="Z122" i="1" s="1"/>
  <c r="Z123" i="1" s="1"/>
  <c r="W135" i="24" l="1"/>
  <c r="X132" i="24" s="1"/>
  <c r="AS2" i="7"/>
  <c r="AT1" i="7"/>
  <c r="X134" i="24"/>
  <c r="X118" i="24" s="1"/>
  <c r="W132" i="22"/>
  <c r="W116" i="22" s="1"/>
  <c r="W119" i="22" s="1"/>
  <c r="W122" i="22" s="1"/>
  <c r="W125" i="24"/>
  <c r="W126" i="24"/>
  <c r="V123" i="22"/>
  <c r="V124" i="22"/>
  <c r="V125" i="22"/>
  <c r="Z125" i="1"/>
  <c r="Z124" i="1"/>
  <c r="Z133" i="1"/>
  <c r="AA130" i="1" s="1"/>
  <c r="AA132" i="1" s="1"/>
  <c r="AA18" i="8" l="1"/>
  <c r="AA22" i="8" s="1"/>
  <c r="AA24" i="8"/>
  <c r="W124" i="22"/>
  <c r="W123" i="22"/>
  <c r="W125" i="22"/>
  <c r="AU1" i="7"/>
  <c r="AT2" i="7"/>
  <c r="AA14" i="8"/>
  <c r="AA15" i="8"/>
  <c r="W133" i="22"/>
  <c r="X130" i="22" s="1"/>
  <c r="X135" i="24"/>
  <c r="Y132" i="24" s="1"/>
  <c r="AE19" i="8"/>
  <c r="AE23" i="8" s="1"/>
  <c r="AA116" i="1"/>
  <c r="AA119" i="1" s="1"/>
  <c r="AA122" i="1" s="1"/>
  <c r="AA123" i="1" s="1"/>
  <c r="X132" i="22" l="1"/>
  <c r="X116" i="22" s="1"/>
  <c r="X119" i="22" s="1"/>
  <c r="X122" i="22" s="1"/>
  <c r="X133" i="22"/>
  <c r="Y130" i="22" s="1"/>
  <c r="AB24" i="8"/>
  <c r="AB18" i="8"/>
  <c r="Y134" i="24"/>
  <c r="Y118" i="24" s="1"/>
  <c r="AU2" i="7"/>
  <c r="AV1" i="7"/>
  <c r="AB15" i="8"/>
  <c r="AB14" i="8"/>
  <c r="AA125" i="1"/>
  <c r="AA124" i="1"/>
  <c r="AA133" i="1"/>
  <c r="AB130" i="1" s="1"/>
  <c r="AB132" i="1" s="1"/>
  <c r="AB22" i="8" l="1"/>
  <c r="AV2" i="7"/>
  <c r="AW1" i="7"/>
  <c r="Y132" i="22"/>
  <c r="Y116" i="22" s="1"/>
  <c r="Y119" i="22" s="1"/>
  <c r="Y122" i="22" s="1"/>
  <c r="Y135" i="24"/>
  <c r="Z132" i="24" s="1"/>
  <c r="X124" i="22"/>
  <c r="X123" i="22"/>
  <c r="AC14" i="8" s="1"/>
  <c r="X125" i="22"/>
  <c r="AF19" i="8"/>
  <c r="AF23" i="8" s="1"/>
  <c r="AB116" i="1"/>
  <c r="AB119" i="1" s="1"/>
  <c r="AB122" i="1" s="1"/>
  <c r="AB123" i="1" s="1"/>
  <c r="Y133" i="22" l="1"/>
  <c r="Z130" i="22" s="1"/>
  <c r="Z132" i="22"/>
  <c r="Z116" i="22" s="1"/>
  <c r="Z119" i="22" s="1"/>
  <c r="Z122" i="22" s="1"/>
  <c r="AC24" i="8"/>
  <c r="AC18" i="8"/>
  <c r="Z134" i="24"/>
  <c r="Z118" i="24" s="1"/>
  <c r="Y124" i="22"/>
  <c r="Y123" i="22"/>
  <c r="AD14" i="8" s="1"/>
  <c r="Y125" i="22"/>
  <c r="AX1" i="7"/>
  <c r="AW2" i="7"/>
  <c r="AB125" i="1"/>
  <c r="AB124" i="1"/>
  <c r="AB133" i="1"/>
  <c r="AC130" i="1" s="1"/>
  <c r="AC132" i="1" s="1"/>
  <c r="AC22" i="8" l="1"/>
  <c r="AD24" i="8"/>
  <c r="AD18" i="8"/>
  <c r="AX2" i="7"/>
  <c r="AY1" i="7"/>
  <c r="Z135" i="24"/>
  <c r="AA132" i="24" s="1"/>
  <c r="Z123" i="22"/>
  <c r="AE14" i="8" s="1"/>
  <c r="Z124" i="22"/>
  <c r="Z125" i="22"/>
  <c r="Z133" i="22"/>
  <c r="AA130" i="22" s="1"/>
  <c r="AG19" i="8"/>
  <c r="AG23" i="8" s="1"/>
  <c r="AC116" i="1"/>
  <c r="AC119" i="1" s="1"/>
  <c r="AC122" i="1" s="1"/>
  <c r="AC123" i="1" s="1"/>
  <c r="AD22" i="8" l="1"/>
  <c r="AE24" i="8"/>
  <c r="AE18" i="8"/>
  <c r="AE22" i="8" s="1"/>
  <c r="AA132" i="22"/>
  <c r="AA116" i="22" s="1"/>
  <c r="AA119" i="22" s="1"/>
  <c r="AA122" i="22" s="1"/>
  <c r="AA134" i="24"/>
  <c r="AA118" i="24" s="1"/>
  <c r="AY2" i="7"/>
  <c r="AZ1" i="7"/>
  <c r="AC125" i="1"/>
  <c r="AC124" i="1"/>
  <c r="AC133" i="1"/>
  <c r="AD130" i="1" s="1"/>
  <c r="AD132" i="1" s="1"/>
  <c r="BA1" i="7" l="1"/>
  <c r="AZ2" i="7"/>
  <c r="AA135" i="24"/>
  <c r="AB132" i="24" s="1"/>
  <c r="AA124" i="22"/>
  <c r="AA123" i="22"/>
  <c r="AF14" i="8" s="1"/>
  <c r="AA125" i="22"/>
  <c r="AA133" i="22"/>
  <c r="AB130" i="22" s="1"/>
  <c r="AH19" i="8"/>
  <c r="AH23" i="8" s="1"/>
  <c r="AD116" i="1"/>
  <c r="AD119" i="1" s="1"/>
  <c r="AB132" i="22" l="1"/>
  <c r="AB116" i="22" s="1"/>
  <c r="AB119" i="22" s="1"/>
  <c r="AB133" i="22"/>
  <c r="AC130" i="22" s="1"/>
  <c r="AF24" i="8"/>
  <c r="AF18" i="8"/>
  <c r="AB134" i="24"/>
  <c r="AB118" i="24" s="1"/>
  <c r="BA2" i="7"/>
  <c r="BB1" i="7"/>
  <c r="AD122" i="1"/>
  <c r="AD123" i="1" s="1"/>
  <c r="AF119" i="1"/>
  <c r="AF122" i="1" s="1"/>
  <c r="AD133" i="1"/>
  <c r="AB135" i="24" l="1"/>
  <c r="AC132" i="24" s="1"/>
  <c r="AD124" i="1"/>
  <c r="C126" i="1" s="1"/>
  <c r="AD125" i="1"/>
  <c r="C127" i="1" s="1"/>
  <c r="AF22" i="8"/>
  <c r="AC134" i="24"/>
  <c r="AC118" i="24" s="1"/>
  <c r="BC1" i="7"/>
  <c r="BB2" i="7"/>
  <c r="AC132" i="22"/>
  <c r="AC116" i="22" s="1"/>
  <c r="AC119" i="22" s="1"/>
  <c r="AC122" i="22" s="1"/>
  <c r="AB122" i="22"/>
  <c r="AF124" i="1"/>
  <c r="AI3" i="1" s="1"/>
  <c r="C128" i="1"/>
  <c r="AC133" i="22" l="1"/>
  <c r="AB123" i="22"/>
  <c r="AG14" i="8" s="1"/>
  <c r="AB124" i="22"/>
  <c r="AB125" i="22"/>
  <c r="AD130" i="22"/>
  <c r="AE130" i="22"/>
  <c r="AC123" i="22"/>
  <c r="AH14" i="8" s="1"/>
  <c r="AC124" i="22"/>
  <c r="AC125" i="22"/>
  <c r="BC2" i="7"/>
  <c r="BD1" i="7"/>
  <c r="AC135" i="24"/>
  <c r="AD132" i="24" s="1"/>
  <c r="K91" i="24"/>
  <c r="X91" i="24"/>
  <c r="AH24" i="8" l="1"/>
  <c r="AH18" i="8"/>
  <c r="AE132" i="22"/>
  <c r="AE116" i="22" s="1"/>
  <c r="AE119" i="22" s="1"/>
  <c r="AE122" i="22" s="1"/>
  <c r="AG24" i="8"/>
  <c r="AG18" i="8"/>
  <c r="AD134" i="24"/>
  <c r="AD118" i="24" s="1"/>
  <c r="AF118" i="24" s="1"/>
  <c r="BE1" i="7"/>
  <c r="BD2" i="7"/>
  <c r="AD132" i="22"/>
  <c r="AD116" i="22" s="1"/>
  <c r="AD119" i="22" s="1"/>
  <c r="P99" i="24"/>
  <c r="P91" i="24"/>
  <c r="Y99" i="24"/>
  <c r="Y91" i="24"/>
  <c r="AA99" i="24"/>
  <c r="AA91" i="24"/>
  <c r="L99" i="24"/>
  <c r="L91" i="24"/>
  <c r="M91" i="24"/>
  <c r="M99" i="24"/>
  <c r="N99" i="24"/>
  <c r="N91" i="24"/>
  <c r="O99" i="24"/>
  <c r="O91" i="24"/>
  <c r="Q99" i="24"/>
  <c r="Q91" i="24"/>
  <c r="X99" i="24"/>
  <c r="K99" i="24"/>
  <c r="AG22" i="8" l="1"/>
  <c r="AH22" i="8"/>
  <c r="AD122" i="22"/>
  <c r="AD133" i="22"/>
  <c r="AF130" i="22" s="1"/>
  <c r="BE2" i="7"/>
  <c r="BF1" i="7"/>
  <c r="AD135" i="24"/>
  <c r="AE124" i="22"/>
  <c r="AE123" i="22"/>
  <c r="AE125" i="22"/>
  <c r="AE133" i="22"/>
  <c r="AG130" i="22" s="1"/>
  <c r="AD99" i="24"/>
  <c r="AD102" i="24" s="1"/>
  <c r="AD91" i="24"/>
  <c r="AC99" i="24"/>
  <c r="AC91" i="24"/>
  <c r="L100" i="24"/>
  <c r="L102" i="24"/>
  <c r="AF91" i="24"/>
  <c r="J91" i="24"/>
  <c r="J99" i="24"/>
  <c r="AA100" i="24"/>
  <c r="AA102" i="24"/>
  <c r="Y100" i="24"/>
  <c r="Y102" i="24"/>
  <c r="Z91" i="24"/>
  <c r="Z99" i="24"/>
  <c r="O100" i="24"/>
  <c r="O102" i="24"/>
  <c r="K102" i="24"/>
  <c r="K100" i="24"/>
  <c r="M100" i="24"/>
  <c r="M102" i="24"/>
  <c r="X102" i="24"/>
  <c r="X100" i="24"/>
  <c r="Q102" i="24"/>
  <c r="Q100" i="24"/>
  <c r="AB91" i="24"/>
  <c r="AB99" i="24"/>
  <c r="N100" i="24"/>
  <c r="N102" i="24"/>
  <c r="P102" i="24"/>
  <c r="P100" i="24"/>
  <c r="BG1" i="7" l="1"/>
  <c r="BF2" i="7"/>
  <c r="AG132" i="22"/>
  <c r="AG116" i="22" s="1"/>
  <c r="AG119" i="22" s="1"/>
  <c r="AG122" i="22" s="1"/>
  <c r="AF132" i="22"/>
  <c r="AF116" i="22" s="1"/>
  <c r="AF119" i="22" s="1"/>
  <c r="AD100" i="24"/>
  <c r="AD124" i="22"/>
  <c r="AD123" i="22"/>
  <c r="AD125" i="22"/>
  <c r="AF99" i="24"/>
  <c r="AF100" i="24" s="1"/>
  <c r="J102" i="24"/>
  <c r="J100" i="24"/>
  <c r="Y120" i="24"/>
  <c r="Y121" i="24"/>
  <c r="X121" i="24"/>
  <c r="X120" i="24"/>
  <c r="AB102" i="24"/>
  <c r="AB100" i="24"/>
  <c r="M120" i="24"/>
  <c r="M121" i="24"/>
  <c r="P120" i="24"/>
  <c r="P121" i="24"/>
  <c r="N120" i="24"/>
  <c r="N121" i="24"/>
  <c r="L120" i="24"/>
  <c r="L121" i="24"/>
  <c r="Q120" i="24"/>
  <c r="Q121" i="24"/>
  <c r="AD121" i="24"/>
  <c r="AD120" i="24"/>
  <c r="AA121" i="24"/>
  <c r="AA120" i="24"/>
  <c r="K120" i="24"/>
  <c r="K121" i="24"/>
  <c r="O120" i="24"/>
  <c r="O121" i="24"/>
  <c r="Z102" i="24"/>
  <c r="Z100" i="24"/>
  <c r="AC100" i="24"/>
  <c r="AC102" i="24"/>
  <c r="AF133" i="22" l="1"/>
  <c r="AH130" i="22" s="1"/>
  <c r="AF122" i="22"/>
  <c r="AG123" i="22"/>
  <c r="AG124" i="22"/>
  <c r="AG125" i="22"/>
  <c r="AG133" i="22"/>
  <c r="AI130" i="22" s="1"/>
  <c r="BH1" i="7"/>
  <c r="BG2" i="7"/>
  <c r="P124" i="24"/>
  <c r="P125" i="24" s="1"/>
  <c r="U15" i="8" s="1"/>
  <c r="K124" i="24"/>
  <c r="K126" i="24" s="1"/>
  <c r="AD124" i="24"/>
  <c r="AD126" i="24" s="1"/>
  <c r="X124" i="24"/>
  <c r="X125" i="24" s="1"/>
  <c r="AC15" i="8" s="1"/>
  <c r="AA124" i="24"/>
  <c r="AA125" i="24" s="1"/>
  <c r="AF15" i="8" s="1"/>
  <c r="AC120" i="24"/>
  <c r="AC121" i="24"/>
  <c r="Y124" i="24"/>
  <c r="AB121" i="24"/>
  <c r="AB120" i="24"/>
  <c r="L124" i="24"/>
  <c r="O124" i="24"/>
  <c r="N124" i="24"/>
  <c r="J120" i="24"/>
  <c r="J121" i="24"/>
  <c r="M124" i="24"/>
  <c r="Q124" i="24"/>
  <c r="Z120" i="24"/>
  <c r="Z121" i="24"/>
  <c r="AF102" i="24"/>
  <c r="AF120" i="24" s="1"/>
  <c r="BI1" i="7" l="1"/>
  <c r="BH2" i="7"/>
  <c r="AI132" i="22"/>
  <c r="AI116" i="22" s="1"/>
  <c r="AI119" i="22" s="1"/>
  <c r="AI122" i="22" s="1"/>
  <c r="AI133" i="22"/>
  <c r="AK130" i="22" s="1"/>
  <c r="AF124" i="22"/>
  <c r="AF123" i="22"/>
  <c r="AF125" i="22"/>
  <c r="AH132" i="22"/>
  <c r="AH116" i="22" s="1"/>
  <c r="AH119" i="22" s="1"/>
  <c r="AF121" i="24"/>
  <c r="AF124" i="24" s="1"/>
  <c r="P126" i="24"/>
  <c r="X126" i="24"/>
  <c r="AA126" i="24"/>
  <c r="K125" i="24"/>
  <c r="P15" i="8" s="1"/>
  <c r="AD125" i="24"/>
  <c r="Y126" i="24"/>
  <c r="Y125" i="24"/>
  <c r="AD15" i="8" s="1"/>
  <c r="J124" i="24"/>
  <c r="Q125" i="24"/>
  <c r="V15" i="8" s="1"/>
  <c r="Q126" i="24"/>
  <c r="M126" i="24"/>
  <c r="M125" i="24"/>
  <c r="R15" i="8" s="1"/>
  <c r="N125" i="24"/>
  <c r="S15" i="8" s="1"/>
  <c r="N126" i="24"/>
  <c r="O125" i="24"/>
  <c r="T15" i="8" s="1"/>
  <c r="O126" i="24"/>
  <c r="L126" i="24"/>
  <c r="L125" i="24"/>
  <c r="Q15" i="8" s="1"/>
  <c r="Z124" i="24"/>
  <c r="AC124" i="24"/>
  <c r="AB124" i="24"/>
  <c r="AI123" i="22" l="1"/>
  <c r="AI124" i="22"/>
  <c r="AH122" i="22"/>
  <c r="AH133" i="22"/>
  <c r="AJ130" i="22" s="1"/>
  <c r="AK132" i="22"/>
  <c r="AK116" i="22" s="1"/>
  <c r="AK119" i="22" s="1"/>
  <c r="AK122" i="22" s="1"/>
  <c r="AK133" i="22"/>
  <c r="AM130" i="22" s="1"/>
  <c r="BI2" i="7"/>
  <c r="BJ1" i="7"/>
  <c r="AB125" i="24"/>
  <c r="AG15" i="8" s="1"/>
  <c r="AB126" i="24"/>
  <c r="AC125" i="24"/>
  <c r="AH15" i="8" s="1"/>
  <c r="AC126" i="24"/>
  <c r="Z125" i="24"/>
  <c r="AE15" i="8" s="1"/>
  <c r="Z126" i="24"/>
  <c r="J127" i="24"/>
  <c r="L127" i="24"/>
  <c r="W127" i="24"/>
  <c r="K127" i="24"/>
  <c r="V127" i="24"/>
  <c r="U127" i="24"/>
  <c r="AD127" i="24"/>
  <c r="T127" i="24"/>
  <c r="AC127" i="24"/>
  <c r="S127" i="24"/>
  <c r="J125" i="24"/>
  <c r="O15" i="8" s="1"/>
  <c r="AB127" i="24"/>
  <c r="R127" i="24"/>
  <c r="AA127" i="24"/>
  <c r="Q127" i="24"/>
  <c r="Z127" i="24"/>
  <c r="P127" i="24"/>
  <c r="Y127" i="24"/>
  <c r="O127" i="24"/>
  <c r="J126" i="24"/>
  <c r="X127" i="24"/>
  <c r="N127" i="24"/>
  <c r="M127" i="24"/>
  <c r="AJ132" i="22" l="1"/>
  <c r="AJ116" i="22" s="1"/>
  <c r="AJ119" i="22" s="1"/>
  <c r="AK123" i="22"/>
  <c r="AK124" i="22"/>
  <c r="AH124" i="22"/>
  <c r="AH123" i="22"/>
  <c r="AH125" i="22"/>
  <c r="BJ2" i="7"/>
  <c r="BK1" i="7"/>
  <c r="AM132" i="22"/>
  <c r="AM116" i="22" s="1"/>
  <c r="AM119" i="22" s="1"/>
  <c r="AM122" i="22" s="1"/>
  <c r="AI125" i="22"/>
  <c r="AF126" i="24"/>
  <c r="C128" i="24"/>
  <c r="C129" i="24"/>
  <c r="AI3" i="24"/>
  <c r="C130" i="24"/>
  <c r="AM133" i="22" l="1"/>
  <c r="AO130" i="22" s="1"/>
  <c r="BK2" i="7"/>
  <c r="BL1" i="7"/>
  <c r="AM124" i="22"/>
  <c r="AM123" i="22"/>
  <c r="AJ122" i="22"/>
  <c r="AJ133" i="22"/>
  <c r="AL130" i="22" s="1"/>
  <c r="AL132" i="22" l="1"/>
  <c r="AL116" i="22" s="1"/>
  <c r="AL119" i="22" s="1"/>
  <c r="AJ124" i="22"/>
  <c r="AJ123" i="22"/>
  <c r="AJ125" i="22"/>
  <c r="AK125" i="22"/>
  <c r="BL2" i="7"/>
  <c r="BM1" i="7"/>
  <c r="AO132" i="22"/>
  <c r="AO116" i="22" s="1"/>
  <c r="AO119" i="22" s="1"/>
  <c r="AO122" i="22" s="1"/>
  <c r="AO123" i="22" l="1"/>
  <c r="AO124" i="22"/>
  <c r="BN1" i="7"/>
  <c r="BM2" i="7"/>
  <c r="AO133" i="22"/>
  <c r="AQ130" i="22" s="1"/>
  <c r="AL122" i="22"/>
  <c r="AL133" i="22"/>
  <c r="AN130" i="22" s="1"/>
  <c r="AN132" i="22" l="1"/>
  <c r="AN116" i="22" s="1"/>
  <c r="AN119" i="22" s="1"/>
  <c r="AN122" i="22" s="1"/>
  <c r="AO125" i="22" s="1"/>
  <c r="AL123" i="22"/>
  <c r="AL124" i="22"/>
  <c r="AL125" i="22"/>
  <c r="AM125" i="22"/>
  <c r="AQ132" i="22"/>
  <c r="AQ116" i="22" s="1"/>
  <c r="AQ119" i="22" s="1"/>
  <c r="AQ122" i="22" s="1"/>
  <c r="BO1" i="7"/>
  <c r="BN2" i="7"/>
  <c r="AQ123" i="22" l="1"/>
  <c r="AQ124" i="22"/>
  <c r="BP1" i="7"/>
  <c r="BO2" i="7"/>
  <c r="AQ133" i="22"/>
  <c r="AS130" i="22" s="1"/>
  <c r="AN124" i="22"/>
  <c r="AN123" i="22"/>
  <c r="AN125" i="22"/>
  <c r="AN133" i="22"/>
  <c r="AP130" i="22" s="1"/>
  <c r="AP132" i="22" l="1"/>
  <c r="AP116" i="22" s="1"/>
  <c r="AP119" i="22" s="1"/>
  <c r="AP122" i="22" s="1"/>
  <c r="AS132" i="22"/>
  <c r="AS116" i="22" s="1"/>
  <c r="AS119" i="22" s="1"/>
  <c r="AS122" i="22" s="1"/>
  <c r="BQ1" i="7"/>
  <c r="BP2" i="7"/>
  <c r="BQ2" i="7" l="1"/>
  <c r="BR1" i="7"/>
  <c r="AS123" i="22"/>
  <c r="AS124" i="22"/>
  <c r="AS133" i="22"/>
  <c r="AU130" i="22" s="1"/>
  <c r="AP123" i="22"/>
  <c r="AP124" i="22"/>
  <c r="AP125" i="22"/>
  <c r="AQ125" i="22"/>
  <c r="AP133" i="22"/>
  <c r="AR130" i="22" s="1"/>
  <c r="AR132" i="22" l="1"/>
  <c r="AR116" i="22" s="1"/>
  <c r="AR119" i="22" s="1"/>
  <c r="AR122" i="22" s="1"/>
  <c r="AU132" i="22"/>
  <c r="AU116" i="22" s="1"/>
  <c r="AU119" i="22" s="1"/>
  <c r="AU122" i="22" s="1"/>
  <c r="BS1" i="7"/>
  <c r="BR2" i="7"/>
  <c r="BS2" i="7" l="1"/>
  <c r="BT1" i="7"/>
  <c r="AU123" i="22"/>
  <c r="AU124" i="22"/>
  <c r="AU133" i="22"/>
  <c r="AW130" i="22" s="1"/>
  <c r="AR124" i="22"/>
  <c r="AR123" i="22"/>
  <c r="AR125" i="22"/>
  <c r="AS125" i="22"/>
  <c r="AR133" i="22"/>
  <c r="AT130" i="22" s="1"/>
  <c r="AT132" i="22" l="1"/>
  <c r="AT116" i="22" s="1"/>
  <c r="AT119" i="22" s="1"/>
  <c r="AT122" i="22" s="1"/>
  <c r="AT133" i="22"/>
  <c r="AV130" i="22" s="1"/>
  <c r="AW132" i="22"/>
  <c r="AW116" i="22" s="1"/>
  <c r="AW119" i="22" s="1"/>
  <c r="AW122" i="22" s="1"/>
  <c r="BT2" i="7"/>
  <c r="BU1" i="7"/>
  <c r="BU2" i="7" l="1"/>
  <c r="BV1" i="7"/>
  <c r="BV2" i="7" s="1"/>
  <c r="AW123" i="22"/>
  <c r="AW124" i="22"/>
  <c r="AW133" i="22"/>
  <c r="AY130" i="22" s="1"/>
  <c r="AV132" i="22"/>
  <c r="AV116" i="22" s="1"/>
  <c r="AV119" i="22" s="1"/>
  <c r="AV122" i="22" s="1"/>
  <c r="AT124" i="22"/>
  <c r="AT123" i="22"/>
  <c r="AT125" i="22"/>
  <c r="AU125" i="22"/>
  <c r="AV123" i="22" l="1"/>
  <c r="AV124" i="22"/>
  <c r="AV125" i="22"/>
  <c r="AV133" i="22"/>
  <c r="AX130" i="22" s="1"/>
  <c r="AY132" i="22"/>
  <c r="AY116" i="22" s="1"/>
  <c r="AY119" i="22" s="1"/>
  <c r="AY122" i="22" s="1"/>
  <c r="AW125" i="22"/>
  <c r="AY133" i="22" l="1"/>
  <c r="BA130" i="22" s="1"/>
  <c r="AY124" i="22"/>
  <c r="AY123" i="22"/>
  <c r="BA132" i="22"/>
  <c r="BA116" i="22" s="1"/>
  <c r="BA119" i="22" s="1"/>
  <c r="BA122" i="22" s="1"/>
  <c r="BA133" i="22"/>
  <c r="BC130" i="22" s="1"/>
  <c r="AX132" i="22"/>
  <c r="AX116" i="22" s="1"/>
  <c r="AX119" i="22" s="1"/>
  <c r="AX122" i="22" s="1"/>
  <c r="AX123" i="22" l="1"/>
  <c r="AX124" i="22"/>
  <c r="AX125" i="22"/>
  <c r="BC132" i="22"/>
  <c r="BC116" i="22" s="1"/>
  <c r="BC119" i="22" s="1"/>
  <c r="BC122" i="22" s="1"/>
  <c r="AX133" i="22"/>
  <c r="AZ130" i="22" s="1"/>
  <c r="BA123" i="22"/>
  <c r="BA124" i="22"/>
  <c r="AY125" i="22"/>
  <c r="BC123" i="22" l="1"/>
  <c r="BC124" i="22"/>
  <c r="AZ132" i="22"/>
  <c r="AZ116" i="22" s="1"/>
  <c r="AZ119" i="22" s="1"/>
  <c r="AZ122" i="22" s="1"/>
  <c r="AZ133" i="22"/>
  <c r="BB130" i="22" s="1"/>
  <c r="BC133" i="22"/>
  <c r="BE130" i="22" s="1"/>
  <c r="BE132" i="22" l="1"/>
  <c r="BE116" i="22" s="1"/>
  <c r="BE119" i="22" s="1"/>
  <c r="BE122" i="22" s="1"/>
  <c r="BB132" i="22"/>
  <c r="BB116" i="22" s="1"/>
  <c r="BB119" i="22" s="1"/>
  <c r="BB122" i="22" s="1"/>
  <c r="AZ124" i="22"/>
  <c r="AZ123" i="22"/>
  <c r="AZ125" i="22"/>
  <c r="BA125" i="22"/>
  <c r="BC125" i="22"/>
  <c r="BB133" i="22" l="1"/>
  <c r="BD130" i="22" s="1"/>
  <c r="BD132" i="22"/>
  <c r="BD116" i="22" s="1"/>
  <c r="BD119" i="22" s="1"/>
  <c r="BD122" i="22" s="1"/>
  <c r="BD133" i="22"/>
  <c r="BF130" i="22" s="1"/>
  <c r="BB123" i="22"/>
  <c r="BB124" i="22"/>
  <c r="BB125" i="22"/>
  <c r="BE123" i="22"/>
  <c r="BE124" i="22"/>
  <c r="BE125" i="22"/>
  <c r="BE133" i="22"/>
  <c r="BG130" i="22" s="1"/>
  <c r="BG132" i="22" l="1"/>
  <c r="BG116" i="22" s="1"/>
  <c r="BG119" i="22" s="1"/>
  <c r="BG122" i="22" s="1"/>
  <c r="BG133" i="22"/>
  <c r="BI130" i="22" s="1"/>
  <c r="BF132" i="22"/>
  <c r="BF116" i="22" s="1"/>
  <c r="BF119" i="22" s="1"/>
  <c r="BF122" i="22" s="1"/>
  <c r="BD123" i="22"/>
  <c r="BD124" i="22"/>
  <c r="BD125" i="22"/>
  <c r="BF124" i="22" l="1"/>
  <c r="BF123" i="22"/>
  <c r="BF125" i="22"/>
  <c r="BI132" i="22"/>
  <c r="BI116" i="22" s="1"/>
  <c r="BI119" i="22" s="1"/>
  <c r="BI122" i="22" s="1"/>
  <c r="BI133" i="22"/>
  <c r="BK130" i="22" s="1"/>
  <c r="BF133" i="22"/>
  <c r="BH130" i="22" s="1"/>
  <c r="BG124" i="22"/>
  <c r="BG123" i="22"/>
  <c r="BG125" i="22"/>
  <c r="BK132" i="22" l="1"/>
  <c r="BK116" i="22" s="1"/>
  <c r="BK119" i="22" s="1"/>
  <c r="BK122" i="22" s="1"/>
  <c r="BK133" i="22"/>
  <c r="BM130" i="22" s="1"/>
  <c r="BH132" i="22"/>
  <c r="BH116" i="22" s="1"/>
  <c r="BH119" i="22" s="1"/>
  <c r="BH122" i="22" s="1"/>
  <c r="BI124" i="22"/>
  <c r="BI123" i="22"/>
  <c r="BI125" i="22"/>
  <c r="BH123" i="22" l="1"/>
  <c r="BH124" i="22"/>
  <c r="BH125" i="22"/>
  <c r="BH133" i="22"/>
  <c r="BJ130" i="22" s="1"/>
  <c r="BM132" i="22"/>
  <c r="BM116" i="22" s="1"/>
  <c r="BM119" i="22" s="1"/>
  <c r="BM122" i="22" s="1"/>
  <c r="BM133" i="22"/>
  <c r="BO130" i="22" s="1"/>
  <c r="BK123" i="22"/>
  <c r="BK124" i="22"/>
  <c r="BO132" i="22" l="1"/>
  <c r="BO116" i="22" s="1"/>
  <c r="BO119" i="22" s="1"/>
  <c r="BO133" i="22"/>
  <c r="BM124" i="22"/>
  <c r="BM123" i="22"/>
  <c r="BJ132" i="22"/>
  <c r="BJ116" i="22" s="1"/>
  <c r="BJ119" i="22" s="1"/>
  <c r="BJ122" i="22" s="1"/>
  <c r="BJ133" i="22" l="1"/>
  <c r="BL130" i="22" s="1"/>
  <c r="BJ124" i="22"/>
  <c r="BJ123" i="22"/>
  <c r="BJ125" i="22"/>
  <c r="BK125" i="22"/>
  <c r="BO122" i="22"/>
  <c r="BO123" i="22" l="1"/>
  <c r="BO124" i="22"/>
  <c r="BL132" i="22"/>
  <c r="BL116" i="22" s="1"/>
  <c r="BL119" i="22" s="1"/>
  <c r="BL133" i="22"/>
  <c r="BN130" i="22" s="1"/>
  <c r="BN132" i="22" l="1"/>
  <c r="BN116" i="22" s="1"/>
  <c r="BN119" i="22" s="1"/>
  <c r="BN122" i="22" s="1"/>
  <c r="BN133" i="22"/>
  <c r="BL122" i="22"/>
  <c r="BQ119" i="22"/>
  <c r="BQ122" i="22" s="1"/>
  <c r="BL124" i="22" l="1"/>
  <c r="BL123" i="22"/>
  <c r="BL125" i="22"/>
  <c r="BM125" i="22"/>
  <c r="BO125" i="22"/>
  <c r="BN124" i="22"/>
  <c r="BN123" i="22"/>
  <c r="BN125" i="22"/>
  <c r="C127" i="22" l="1"/>
  <c r="BQ123" i="22"/>
  <c r="C128" i="22"/>
  <c r="C126" i="22"/>
  <c r="BQ124" i="22"/>
  <c r="BT3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29BD1F7E-9FF3-416E-A070-B81D66CA7A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ROM intensity factor + 20,000t fossil fuel emissions</t>
        </r>
      </text>
    </comment>
    <comment ref="C25" authorId="0" shapeId="0" xr:uid="{EB9CF53F-DF0C-4212-8546-4457E09E46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ROM Production Variable</t>
        </r>
      </text>
    </comment>
    <comment ref="A107" authorId="0" shapeId="0" xr:uid="{F59FB084-03D9-43ED-ADA8-DDD5CDB116F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Revenue outside of coal sales (salvage, scrap, asset sales etc.)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7" authorId="0" shapeId="0" xr:uid="{196D4E87-6E06-43C3-B892-C861000683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Development Coal</t>
        </r>
      </text>
    </comment>
    <comment ref="C22" authorId="0" shapeId="0" xr:uid="{3EAB29B4-898D-4482-9745-B0FF4F75FF33}">
      <text>
        <r>
          <rPr>
            <b/>
            <sz val="9"/>
            <color indexed="81"/>
            <rFont val="Tahoma"/>
            <family val="2"/>
          </rPr>
          <t>Author:
ROM intensity factor + 20,000t fossil fuel emissions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7" authorId="0" shapeId="0" xr:uid="{2B87147B-E5F7-45E7-AC24-0BB284B70A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Revenue outside of coal sales (salvage, scrap, asset sales etc.)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7" authorId="0" shapeId="0" xr:uid="{3B463721-9F0D-41AA-84F3-F71098551D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ROM intensity factor + 20,000t fossil fuel emissions</t>
        </r>
      </text>
    </comment>
    <comment ref="C28" authorId="0" shapeId="0" xr:uid="{47ED2259-4F3D-472E-A1C5-6877F21A25D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ROM Production Variable</t>
        </r>
      </text>
    </comment>
    <comment ref="A108" authorId="0" shapeId="0" xr:uid="{8702E982-5E49-4DE3-8CD1-2AD39368C2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Revenue outside of coal sales (salvage, scrap, asset sales etc.)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14E63A04-541A-453A-9FC2-A62FED9412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drop down to select your decom mines profile to match the proposal you are taking forward:
Option 1: Utilising a Springbok only valuation
Option 2: Implementing a Springbok &amp; Brave Blossom Complex Valuation
Option 3: Minimising the "Last 12 Months emissions at Springbok" 
</t>
        </r>
      </text>
    </comment>
  </commentList>
</comments>
</file>

<file path=xl/sharedStrings.xml><?xml version="1.0" encoding="utf-8"?>
<sst xmlns="http://schemas.openxmlformats.org/spreadsheetml/2006/main" count="1331" uniqueCount="434">
  <si>
    <t>Corporate Assumptions</t>
  </si>
  <si>
    <t>Discount Rate</t>
  </si>
  <si>
    <t>Foreign Exchange Forecast</t>
  </si>
  <si>
    <t>Foreign Exchange Rate</t>
  </si>
  <si>
    <t>USD:AUD</t>
  </si>
  <si>
    <t>Pricing Forecasts (real terms 2023)</t>
  </si>
  <si>
    <t>Premium Hard Coking Coal</t>
  </si>
  <si>
    <t>USD/t</t>
  </si>
  <si>
    <t>PLV</t>
  </si>
  <si>
    <t>88% PHCC</t>
  </si>
  <si>
    <t>Benchmark</t>
  </si>
  <si>
    <t>6000NAR (GCN)</t>
  </si>
  <si>
    <t>Thermal Product A</t>
  </si>
  <si>
    <t>5500NAR</t>
  </si>
  <si>
    <t>Thermal Product B</t>
  </si>
  <si>
    <t>Thermal Categories</t>
  </si>
  <si>
    <t>Thermal category minimum spec</t>
  </si>
  <si>
    <t>Benchmark Thermal</t>
  </si>
  <si>
    <t>kcal/kg(nar)</t>
  </si>
  <si>
    <t>5100NAR</t>
  </si>
  <si>
    <t>GAR-&gt; NAR adjustment</t>
  </si>
  <si>
    <t>kcal/kg</t>
  </si>
  <si>
    <t>Basis of coal prices</t>
  </si>
  <si>
    <t>Carbon Scenario</t>
  </si>
  <si>
    <t>Accelerated Transition</t>
  </si>
  <si>
    <t>Other Assumptions</t>
  </si>
  <si>
    <t xml:space="preserve"> QLD royalty assumptions </t>
  </si>
  <si>
    <t xml:space="preserve"> Threshold </t>
  </si>
  <si>
    <t xml:space="preserve"> Tier 1 </t>
  </si>
  <si>
    <t xml:space="preserve"> AUD/t </t>
  </si>
  <si>
    <t xml:space="preserve"> Tier 2 </t>
  </si>
  <si>
    <t xml:space="preserve"> Tier 3 </t>
  </si>
  <si>
    <t>Tier 4</t>
  </si>
  <si>
    <t>Tier 5</t>
  </si>
  <si>
    <t>Tier 6</t>
  </si>
  <si>
    <t xml:space="preserve"> Rate </t>
  </si>
  <si>
    <t xml:space="preserve"> % </t>
  </si>
  <si>
    <t xml:space="preserve"> Royalty on first threshold </t>
  </si>
  <si>
    <t xml:space="preserve"> Royalty up to second threshold </t>
  </si>
  <si>
    <t xml:space="preserve"> Royalty up to third threshold </t>
  </si>
  <si>
    <t xml:space="preserve"> Royalty up to fourth threshold </t>
  </si>
  <si>
    <t xml:space="preserve"> Royalty up to fifth threshold </t>
  </si>
  <si>
    <t>AUD CPI</t>
  </si>
  <si>
    <t>%</t>
  </si>
  <si>
    <t>Flood Rate</t>
  </si>
  <si>
    <t>2021Act</t>
  </si>
  <si>
    <t>2022Act</t>
  </si>
  <si>
    <t>2023Act</t>
  </si>
  <si>
    <t>2024Act</t>
  </si>
  <si>
    <t>2025Act</t>
  </si>
  <si>
    <t>2026FYF</t>
  </si>
  <si>
    <t>FOR cash cost/t</t>
  </si>
  <si>
    <t>Springbok Coal Complex</t>
  </si>
  <si>
    <t>AUD/t</t>
  </si>
  <si>
    <t>Brave Blossom UG</t>
  </si>
  <si>
    <t>Net Cashflow Before Tax</t>
  </si>
  <si>
    <t>AUDk</t>
  </si>
  <si>
    <t>Net Cashflow Before Tax Combined</t>
  </si>
  <si>
    <t xml:space="preserve"> Springbok Coal Complex + Brave Blossom UG - Project</t>
  </si>
  <si>
    <t>Attributable Net Cashflow After Tax Combined</t>
  </si>
  <si>
    <t>Brave Blossom UG - Project + Springbok Coal Complex</t>
  </si>
  <si>
    <t>All</t>
  </si>
  <si>
    <t>Discounted Cashflow After Tax Combined</t>
  </si>
  <si>
    <t>Springbok (Base Case)</t>
  </si>
  <si>
    <t>Cumulative Discounted Cashflow After Tax Combined</t>
  </si>
  <si>
    <t>Brave Blossom UG Project Standalone</t>
  </si>
  <si>
    <t>Owner/operate</t>
  </si>
  <si>
    <t>7on7off</t>
  </si>
  <si>
    <t>Max Quality</t>
  </si>
  <si>
    <t>SIS</t>
  </si>
  <si>
    <t>Yes</t>
  </si>
  <si>
    <t>Preventative Maintenance</t>
  </si>
  <si>
    <t>Maintain</t>
  </si>
  <si>
    <t>Contract</t>
  </si>
  <si>
    <t>5on2off</t>
  </si>
  <si>
    <t>Max Quantity</t>
  </si>
  <si>
    <t>UIS</t>
  </si>
  <si>
    <t>No</t>
  </si>
  <si>
    <t>Corrective Maintenance</t>
  </si>
  <si>
    <t>Increase 10%</t>
  </si>
  <si>
    <t>Other</t>
  </si>
  <si>
    <t>Decrease 10%</t>
  </si>
  <si>
    <t>INPUTS FOR REVENUE GRAPH</t>
  </si>
  <si>
    <t>2022 A</t>
  </si>
  <si>
    <t>2023 A</t>
  </si>
  <si>
    <t>2024 A</t>
  </si>
  <si>
    <t>2025 A</t>
  </si>
  <si>
    <t>2026 FYF</t>
  </si>
  <si>
    <t>Sales Revenue</t>
  </si>
  <si>
    <t>AUD M</t>
  </si>
  <si>
    <t>Average Realisation A$ (Ex-Mine)</t>
  </si>
  <si>
    <t>Direct Mining Cost</t>
  </si>
  <si>
    <t>CHPP Cash Cost</t>
  </si>
  <si>
    <t>Overhead &amp; Indirect Cash Cost</t>
  </si>
  <si>
    <t>Distribution (excluding Royalty)</t>
  </si>
  <si>
    <t>Other Costs (Carbon)</t>
  </si>
  <si>
    <t>Royalty - Government Export</t>
  </si>
  <si>
    <t>Total Sales Vol</t>
  </si>
  <si>
    <t>Project Margin Analysis</t>
  </si>
  <si>
    <t>Springbok Historical Performance</t>
  </si>
  <si>
    <t>FYF 2026</t>
  </si>
  <si>
    <t>PRODUCTION</t>
  </si>
  <si>
    <t>Development Metres</t>
  </si>
  <si>
    <t>m</t>
  </si>
  <si>
    <t>ROM Production (kt)</t>
  </si>
  <si>
    <t>kt</t>
  </si>
  <si>
    <t>Operations Yield (%)</t>
  </si>
  <si>
    <t>Actual Saleable Production (kt)</t>
  </si>
  <si>
    <t>CHPP</t>
  </si>
  <si>
    <t>Primary Feed Tonnes</t>
  </si>
  <si>
    <t>Bypass Tonnes</t>
  </si>
  <si>
    <t>Plant Product Tonnes</t>
  </si>
  <si>
    <t>CHPP Yield</t>
  </si>
  <si>
    <t>Marketing</t>
  </si>
  <si>
    <t>PHCC</t>
  </si>
  <si>
    <t>Total Sales</t>
  </si>
  <si>
    <t>Realised Price</t>
  </si>
  <si>
    <t>Average Export Realised Price</t>
  </si>
  <si>
    <t>Total Revenue</t>
  </si>
  <si>
    <t>USDk</t>
  </si>
  <si>
    <t>FX</t>
  </si>
  <si>
    <t>AUD</t>
  </si>
  <si>
    <t>Average Realisation</t>
  </si>
  <si>
    <t>PIT TOP COSTS</t>
  </si>
  <si>
    <t>LABOUR</t>
  </si>
  <si>
    <t>Roster Labour</t>
  </si>
  <si>
    <t>Non Rostered Overtime</t>
  </si>
  <si>
    <t>Bonus</t>
  </si>
  <si>
    <t>Oncosts</t>
  </si>
  <si>
    <t>Supplementary Labour</t>
  </si>
  <si>
    <t>Capitalised Labour</t>
  </si>
  <si>
    <t>Labour Costs / Eq Saleable</t>
  </si>
  <si>
    <t>REPAIRS/MAINTENANCE</t>
  </si>
  <si>
    <t>Electrical Parts</t>
  </si>
  <si>
    <t>Mechanical Parts</t>
  </si>
  <si>
    <t>Major Rebuilds</t>
  </si>
  <si>
    <t>Outside Mech/Elect Repairs</t>
  </si>
  <si>
    <t>Maintenance Agreements</t>
  </si>
  <si>
    <t>Repairs/Maintenance / Eq Saleable</t>
  </si>
  <si>
    <t>CONSUMABLES</t>
  </si>
  <si>
    <t>Explosives</t>
  </si>
  <si>
    <t>Tyres</t>
  </si>
  <si>
    <t>Ground Engaging Tools</t>
  </si>
  <si>
    <t>Lubricants</t>
  </si>
  <si>
    <t>Ropes and Rigging</t>
  </si>
  <si>
    <t xml:space="preserve">Concrete </t>
  </si>
  <si>
    <t>Roof Support</t>
  </si>
  <si>
    <t>Consumables / Eq Saleable</t>
  </si>
  <si>
    <t>ENERGY COSTS</t>
  </si>
  <si>
    <t>Diesel</t>
  </si>
  <si>
    <t>Electricity</t>
  </si>
  <si>
    <t>Energy / Eq Saleable</t>
  </si>
  <si>
    <t>OTHER EXPENSES</t>
  </si>
  <si>
    <t>Contract Services</t>
  </si>
  <si>
    <t>Plant Hire</t>
  </si>
  <si>
    <t>Safety / Training / Bathhouse</t>
  </si>
  <si>
    <t>Clothing and Protective Equipment</t>
  </si>
  <si>
    <t>Freight</t>
  </si>
  <si>
    <t>General Expenses</t>
  </si>
  <si>
    <t>Capitalised Operating Costs (excluding Labour)</t>
  </si>
  <si>
    <t>Other Expenses / Eq Saleable</t>
  </si>
  <si>
    <t>TOTAL PIT-TOP COSTS</t>
  </si>
  <si>
    <t>CHPP Toll Wash</t>
  </si>
  <si>
    <t>Other Expenses / Actual Saleable</t>
  </si>
  <si>
    <t>TOTAL CHPP COSTS</t>
  </si>
  <si>
    <t>OVERHEADS</t>
  </si>
  <si>
    <t>OVERHEAD</t>
  </si>
  <si>
    <t>Labour</t>
  </si>
  <si>
    <t>Group Coal Australia/Asia Technical Consulting Recharge</t>
  </si>
  <si>
    <t>Group Coal Australia/Asia Management Fee</t>
  </si>
  <si>
    <t>Technical Consulting</t>
  </si>
  <si>
    <t>Administration</t>
  </si>
  <si>
    <t>Govt/Statutory Fees &amp; Charges</t>
  </si>
  <si>
    <t>Insurance</t>
  </si>
  <si>
    <t>Legal Expenses</t>
  </si>
  <si>
    <t>Management &amp; Advisory Fees &amp; Recharges</t>
  </si>
  <si>
    <t>Other Income / Complex Recharges</t>
  </si>
  <si>
    <t>Other Expenses</t>
  </si>
  <si>
    <t>Capitalised Overhead Costs</t>
  </si>
  <si>
    <t>Overhead / Eq Saleable</t>
  </si>
  <si>
    <t>TOWNSHIP AND SPA</t>
  </si>
  <si>
    <t xml:space="preserve">Township and Spa </t>
  </si>
  <si>
    <t>TOTAL OVERHEAD COSTS</t>
  </si>
  <si>
    <t>FOR CASH COST (After Cap)</t>
  </si>
  <si>
    <t>FOR CASH COST (Before Cap)</t>
  </si>
  <si>
    <t>FOR Cost/t</t>
  </si>
  <si>
    <t>Total Port, Rail and Selling Costs</t>
  </si>
  <si>
    <t>Government Royalty</t>
  </si>
  <si>
    <t>Total Direct Selling Expenses</t>
  </si>
  <si>
    <t>Total FOB Costs</t>
  </si>
  <si>
    <t>FOB Cost/t</t>
  </si>
  <si>
    <t>Mine Earnings before Other Costs and Taxes</t>
  </si>
  <si>
    <t>Other Costs</t>
  </si>
  <si>
    <t>Progressive Rehabilitation Costs</t>
  </si>
  <si>
    <t>Mine Closure Costs</t>
  </si>
  <si>
    <t>Carbon Costs</t>
  </si>
  <si>
    <t>Other Revenue</t>
  </si>
  <si>
    <t>Total Other Costs</t>
  </si>
  <si>
    <t>Total other - closure credits</t>
  </si>
  <si>
    <t>Capital Costs</t>
  </si>
  <si>
    <t>Project Capital</t>
  </si>
  <si>
    <t>Mining Equipment/Major Capital</t>
  </si>
  <si>
    <t>Sustaining Capital</t>
  </si>
  <si>
    <t>AUD/ROMt</t>
  </si>
  <si>
    <t>Total Capital</t>
  </si>
  <si>
    <t>Depreciation</t>
  </si>
  <si>
    <t>Tax Paid</t>
  </si>
  <si>
    <t>Cashflows After Tax</t>
  </si>
  <si>
    <t>Attributable Cashflow After Tax (60%)</t>
  </si>
  <si>
    <t>QLD Royalty Calculation</t>
  </si>
  <si>
    <t>AUD CPI inflator</t>
  </si>
  <si>
    <t>Export sales</t>
  </si>
  <si>
    <t>Nominal realised price</t>
  </si>
  <si>
    <t xml:space="preserve">A$/t  </t>
  </si>
  <si>
    <t>Royalty rate</t>
  </si>
  <si>
    <t>Nominal deduction</t>
  </si>
  <si>
    <t>Nominal royalty payable</t>
  </si>
  <si>
    <t>Real royalty payable</t>
  </si>
  <si>
    <t>Royalty - Government Export (FOB) excl Nominal Deduction</t>
  </si>
  <si>
    <t>Current</t>
  </si>
  <si>
    <t>Proposed</t>
  </si>
  <si>
    <t>Roster - Longwall</t>
  </si>
  <si>
    <t>Roster - Development</t>
  </si>
  <si>
    <t>Roster - Outbye</t>
  </si>
  <si>
    <t>Development Miners</t>
  </si>
  <si>
    <t>Gas Drainage Strategy</t>
  </si>
  <si>
    <t>Wash Strategy</t>
  </si>
  <si>
    <t>Progressive Rehabilitation</t>
  </si>
  <si>
    <t xml:space="preserve">Maintenance Strategy </t>
  </si>
  <si>
    <t>Springbok Complex</t>
  </si>
  <si>
    <t>Total</t>
  </si>
  <si>
    <t>Valuation Summary</t>
  </si>
  <si>
    <t>Physicals</t>
  </si>
  <si>
    <t>Net Present Value (AUDM)</t>
  </si>
  <si>
    <t>Mining</t>
  </si>
  <si>
    <t>Sensitivities Table</t>
  </si>
  <si>
    <t>Development Tonnes</t>
  </si>
  <si>
    <t>Sales Price</t>
  </si>
  <si>
    <t>Longwall Tonnes</t>
  </si>
  <si>
    <t>Development Costs</t>
  </si>
  <si>
    <t>Total ROM production</t>
  </si>
  <si>
    <t>Longwall Costs</t>
  </si>
  <si>
    <t>Outbye Costs</t>
  </si>
  <si>
    <t>Gas Drainage Costs</t>
  </si>
  <si>
    <t>CHPP Costs</t>
  </si>
  <si>
    <t>Total Overhead Costs</t>
  </si>
  <si>
    <t>Total Capital Costs</t>
  </si>
  <si>
    <t>LOM volumes</t>
  </si>
  <si>
    <t>Operations Yield</t>
  </si>
  <si>
    <t>Development metres (km)</t>
  </si>
  <si>
    <t>Longwall ROM tonnes / Dev Metres</t>
  </si>
  <si>
    <t>Saleable Production</t>
  </si>
  <si>
    <t>Development ROM (kt)</t>
  </si>
  <si>
    <t>Longwall ROM (kt)</t>
  </si>
  <si>
    <t>Carbon</t>
  </si>
  <si>
    <t>Total ROM (kt)</t>
  </si>
  <si>
    <t>Coal Mine Waste Gass</t>
  </si>
  <si>
    <t>t CO2e</t>
  </si>
  <si>
    <t>Decomission Mines Emissions</t>
  </si>
  <si>
    <t>Look @ Decom Mines Tab</t>
  </si>
  <si>
    <t>Remaining Mine Life</t>
  </si>
  <si>
    <t xml:space="preserve">Total Scope 1 Emissions </t>
  </si>
  <si>
    <t>Safeguard - Hybrid Declining Baseline</t>
  </si>
  <si>
    <t>Emissions above (or below) baseline</t>
  </si>
  <si>
    <t>Sales</t>
  </si>
  <si>
    <t>Thermal GCN</t>
  </si>
  <si>
    <t>Product Ash (as received)</t>
  </si>
  <si>
    <t>Product Energy (gar)</t>
  </si>
  <si>
    <t>kcal/kg(gar)</t>
  </si>
  <si>
    <t>Product Energy (nar)</t>
  </si>
  <si>
    <t>Costs</t>
  </si>
  <si>
    <t>Direct Mining Costs</t>
  </si>
  <si>
    <t>AUD/m</t>
  </si>
  <si>
    <t>Total Development Costs</t>
  </si>
  <si>
    <t>AUD/LWt</t>
  </si>
  <si>
    <t>Total Longwall Costs</t>
  </si>
  <si>
    <t>Total Outbye Costs</t>
  </si>
  <si>
    <t>Total Gas Drainage Costs</t>
  </si>
  <si>
    <t>Fixed CHPP Costs</t>
  </si>
  <si>
    <t>Variable CHPP Costs</t>
  </si>
  <si>
    <t>AUD/feedt</t>
  </si>
  <si>
    <t>Total CHPP Costs</t>
  </si>
  <si>
    <t>Overhead - Site Administration</t>
  </si>
  <si>
    <t>Overhead - Town Management</t>
  </si>
  <si>
    <t>Overhead - Corporate Fees</t>
  </si>
  <si>
    <t>Total FOR Costs</t>
  </si>
  <si>
    <t>Direct Selling Expenses</t>
  </si>
  <si>
    <t>ToP Liability?</t>
  </si>
  <si>
    <t>Y</t>
  </si>
  <si>
    <t>N</t>
  </si>
  <si>
    <t>Additional take or pay liability</t>
  </si>
  <si>
    <t>Progressive Rehabiliation Costs</t>
  </si>
  <si>
    <t>Discounted Cashflows</t>
  </si>
  <si>
    <t>Payback Calculation</t>
  </si>
  <si>
    <t>Net Present Value</t>
  </si>
  <si>
    <t>Simple Payback</t>
  </si>
  <si>
    <t>years</t>
  </si>
  <si>
    <t>IRR</t>
  </si>
  <si>
    <t>Depreciation Summary</t>
  </si>
  <si>
    <t>Opening Balance</t>
  </si>
  <si>
    <t>Add: Capital Purchases</t>
  </si>
  <si>
    <t>Less: Depreciation</t>
  </si>
  <si>
    <t>Closing Balance</t>
  </si>
  <si>
    <t>Last year of mining</t>
  </si>
  <si>
    <t>Springbok Capital</t>
  </si>
  <si>
    <t xml:space="preserve">Capital Items - Units </t>
  </si>
  <si>
    <t>Insert Unit Numbers by Year Below</t>
  </si>
  <si>
    <t>Replacement Miner</t>
  </si>
  <si>
    <t>AUD$k</t>
  </si>
  <si>
    <t>Ventilation Shaft</t>
  </si>
  <si>
    <t>SIS Drill program</t>
  </si>
  <si>
    <t>Replacement Roof Supports</t>
  </si>
  <si>
    <t xml:space="preserve">Conveyor Belt Replacement </t>
  </si>
  <si>
    <t>Barada Community Program</t>
  </si>
  <si>
    <t>Tailings Storage Facility</t>
  </si>
  <si>
    <t xml:space="preserve">Exploration Drilling </t>
  </si>
  <si>
    <t xml:space="preserve">Capital Cost - Cost </t>
  </si>
  <si>
    <t xml:space="preserve">Do not change cells below </t>
  </si>
  <si>
    <t xml:space="preserve">Contingency </t>
  </si>
  <si>
    <t xml:space="preserve">Total Capital </t>
  </si>
  <si>
    <t>Brave Blossom Only</t>
  </si>
  <si>
    <t>Brave Blossom Capital</t>
  </si>
  <si>
    <t>Other Items (as required)</t>
  </si>
  <si>
    <t>Brumby OC Historical Performance</t>
  </si>
  <si>
    <t>Rom Tonnes</t>
  </si>
  <si>
    <t>Prime Waste TS</t>
  </si>
  <si>
    <t>kbcm</t>
  </si>
  <si>
    <t>Prime Waste Dragline</t>
  </si>
  <si>
    <t>Strip Ratio</t>
  </si>
  <si>
    <t>Ebcm</t>
  </si>
  <si>
    <t>GCN</t>
  </si>
  <si>
    <t>GCN Energy</t>
  </si>
  <si>
    <t>GCN Ash</t>
  </si>
  <si>
    <t>OC - Proposal</t>
  </si>
  <si>
    <t>Reserves</t>
  </si>
  <si>
    <t>Prime Waste Removed (T&amp;S)</t>
  </si>
  <si>
    <t>Prime Waste Removed (Dragline)</t>
  </si>
  <si>
    <t>Total Prime Waste Removed</t>
  </si>
  <si>
    <t>T&amp;S Costs</t>
  </si>
  <si>
    <t>Prime Waste Blasted</t>
  </si>
  <si>
    <t>Dragline Costs</t>
  </si>
  <si>
    <t>Drill &amp; Blast Costs</t>
  </si>
  <si>
    <t>Coal Mined (ROM)</t>
  </si>
  <si>
    <t>Services Costs</t>
  </si>
  <si>
    <t>Coal Mining Costs</t>
  </si>
  <si>
    <t>Total Material Moved</t>
  </si>
  <si>
    <t>kebcm</t>
  </si>
  <si>
    <t>Plant Feed Tonnes</t>
  </si>
  <si>
    <t>Prime Waste Removed (Kbcm)</t>
  </si>
  <si>
    <t>Scope 1 Emissions</t>
  </si>
  <si>
    <t>Coking Product A</t>
  </si>
  <si>
    <t>Truck and Shovel Costs</t>
  </si>
  <si>
    <t>AUD/bcm</t>
  </si>
  <si>
    <t>Total Truck and Shovel Costs</t>
  </si>
  <si>
    <t>Total Dragline Costs</t>
  </si>
  <si>
    <t>Drill and Blast Costs</t>
  </si>
  <si>
    <t>Total Drill and Blast Costs Costs</t>
  </si>
  <si>
    <t>Mine Services Costs</t>
  </si>
  <si>
    <t>Total Coal Mining Costs</t>
  </si>
  <si>
    <t>Total CHPP Costs (incl. haulage)</t>
  </si>
  <si>
    <t>Overhead - Remote Innovation Division</t>
  </si>
  <si>
    <t>Saleable Tonne Royalty</t>
  </si>
  <si>
    <t>SandsEnd Capital</t>
  </si>
  <si>
    <t>Project Cost (Feasibility and exploration)</t>
  </si>
  <si>
    <t>1 x 300t Excavator</t>
  </si>
  <si>
    <t>1 x 400t Excavator</t>
  </si>
  <si>
    <t>1 x 600t Excavator</t>
  </si>
  <si>
    <t>1 x 800t Excavator</t>
  </si>
  <si>
    <t>1 x 320t  Truck</t>
  </si>
  <si>
    <t>1 x 230t  Truck</t>
  </si>
  <si>
    <t>1 x 190t  Truck</t>
  </si>
  <si>
    <t>1 x 130t  Truck</t>
  </si>
  <si>
    <t>Dragline</t>
  </si>
  <si>
    <t>1 x D11 Dozer</t>
  </si>
  <si>
    <t>1 x D10 Dozer</t>
  </si>
  <si>
    <t>1 x Water truck</t>
  </si>
  <si>
    <t>1 x Overburden Drill</t>
  </si>
  <si>
    <t>1 x Grader</t>
  </si>
  <si>
    <t>ROM Pad</t>
  </si>
  <si>
    <t>CHPP Upgrade</t>
  </si>
  <si>
    <t>Topsoil Stripping</t>
  </si>
  <si>
    <t>Comms Tower Installation</t>
  </si>
  <si>
    <t>25 km Powerline</t>
  </si>
  <si>
    <t>Substation</t>
  </si>
  <si>
    <t>Crib Hut &amp; Muster Area</t>
  </si>
  <si>
    <t>Water Management Dams</t>
  </si>
  <si>
    <t>Creek Crossing Civil Work</t>
  </si>
  <si>
    <t>Haul Road Access</t>
  </si>
  <si>
    <t>Dry Processing Plant</t>
  </si>
  <si>
    <t>Carbon Cost</t>
  </si>
  <si>
    <t>Zero Carbon Liability</t>
  </si>
  <si>
    <t>Decommissioned Mines</t>
  </si>
  <si>
    <r>
      <t>Methane (CH</t>
    </r>
    <r>
      <rPr>
        <vertAlign val="subscript"/>
        <sz val="9.5"/>
        <color rgb="FF000000"/>
        <rFont val="Cambria"/>
        <family val="2"/>
        <scheme val="major"/>
      </rPr>
      <t>4</t>
    </r>
    <r>
      <rPr>
        <sz val="9.5"/>
        <color rgb="FF000000"/>
        <rFont val="Cambria"/>
        <family val="2"/>
        <scheme val="major"/>
      </rPr>
      <t>)</t>
    </r>
  </si>
  <si>
    <r>
      <t>tCO</t>
    </r>
    <r>
      <rPr>
        <vertAlign val="subscript"/>
        <sz val="10"/>
        <color theme="1"/>
        <rFont val="Cambria"/>
        <family val="2"/>
        <scheme val="major"/>
      </rPr>
      <t>2</t>
    </r>
    <r>
      <rPr>
        <sz val="10"/>
        <color theme="1"/>
        <rFont val="Cambria"/>
        <family val="2"/>
        <scheme val="major"/>
      </rPr>
      <t>-e</t>
    </r>
  </si>
  <si>
    <t>(3.32 (1))</t>
  </si>
  <si>
    <t>DATA ENTRY</t>
  </si>
  <si>
    <t>(3.32 (2))</t>
  </si>
  <si>
    <t>Site</t>
  </si>
  <si>
    <t>Springbok + Brave Blossom</t>
  </si>
  <si>
    <t>Date Mine Closed</t>
  </si>
  <si>
    <t>Etdm</t>
  </si>
  <si>
    <t>Gassy/Non-Gassy</t>
  </si>
  <si>
    <t>A</t>
  </si>
  <si>
    <r>
      <t>CH</t>
    </r>
    <r>
      <rPr>
        <vertAlign val="subscript"/>
        <sz val="10"/>
        <rFont val="Cambria"/>
        <family val="2"/>
        <scheme val="major"/>
      </rPr>
      <t>4</t>
    </r>
    <r>
      <rPr>
        <sz val="10"/>
        <rFont val="Cambria"/>
        <family val="2"/>
        <scheme val="major"/>
      </rPr>
      <t xml:space="preserve"> emissions from mine 12 month prior to closure</t>
    </r>
  </si>
  <si>
    <t>b</t>
  </si>
  <si>
    <r>
      <t>Mine Void Volume (m</t>
    </r>
    <r>
      <rPr>
        <vertAlign val="superscript"/>
        <sz val="10"/>
        <rFont val="Cambria"/>
        <family val="2"/>
        <scheme val="major"/>
      </rPr>
      <t>3</t>
    </r>
    <r>
      <rPr>
        <sz val="10"/>
        <rFont val="Cambria"/>
        <family val="2"/>
        <scheme val="major"/>
      </rPr>
      <t>)</t>
    </r>
  </si>
  <si>
    <t>c</t>
  </si>
  <si>
    <t>Year to Stop Reporting</t>
  </si>
  <si>
    <t>Months (T)</t>
  </si>
  <si>
    <t>Mwi</t>
  </si>
  <si>
    <t>Additional Annual Flood Volume m3</t>
  </si>
  <si>
    <t>QLD Default Flood Volume M3</t>
  </si>
  <si>
    <t>Mvv</t>
  </si>
  <si>
    <t>EFdm</t>
  </si>
  <si>
    <t>Fdm</t>
  </si>
  <si>
    <t>Edm</t>
  </si>
  <si>
    <t>Baseline Calculation Inputs</t>
  </si>
  <si>
    <t>Decom Mines emissions Baseline EI</t>
  </si>
  <si>
    <t>ROM Baseline EI</t>
  </si>
  <si>
    <t>Change the drop down in B5 to match the selected proposal</t>
  </si>
  <si>
    <t>Option</t>
  </si>
  <si>
    <t>the tonnes of coal mine waste gas (CO2-e) flared</t>
  </si>
  <si>
    <t>whether the mine is a gassy mine or a non-gassy mine</t>
  </si>
  <si>
    <t>The tonnes of methane emissions (CO2-e) from the mine in the last 12 month period before the mine became a decommissioned underground coal mine</t>
  </si>
  <si>
    <t>Mine Void (m3)</t>
  </si>
  <si>
    <t>the date that the mine was Sealed</t>
  </si>
  <si>
    <t>Mine Closure Year</t>
  </si>
  <si>
    <t>Method</t>
  </si>
  <si>
    <t>Flood Rate m3 per year</t>
  </si>
  <si>
    <t>Springbok</t>
  </si>
  <si>
    <t>Gassy</t>
  </si>
  <si>
    <t>Method 1 (3.32 Pt2)</t>
  </si>
  <si>
    <t>Springbok Delayed 12 Months</t>
  </si>
  <si>
    <t>Baseline Calculation Inputs - OC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</si>
</sst>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&quot;$&quot;#,##0;[Red]\-&quot;$&quot;#,##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0.0%"/>
    <numFmt numFmtId="168" formatCode="_-* #,##0.0_-;\-* #,##0.0_-;_-* &quot;-&quot;??_-;_-@_-"/>
    <numFmt numFmtId="169" formatCode="_-* #,##0_-;\-* #,##0_-;_-* &quot;-&quot;??_-;_-@_-"/>
    <numFmt numFmtId="170" formatCode="_-* #,##0_-;\(#,##0\);_-* &quot;-&quot;??_-;_-@_-"/>
    <numFmt numFmtId="171" formatCode="_-* #,##0.0000_-;\-* #,##0.0000_-;_-* &quot;-&quot;??_-;_-@_-"/>
    <numFmt numFmtId="172" formatCode="_-* #,##0_-;\-* #,##0_-;_-* &quot;-&quot;?_-;_-@_-"/>
    <numFmt numFmtId="173" formatCode="_-&quot;$&quot;* #,##0_-;\-&quot;$&quot;* #,##0_-;_-&quot;$&quot;* &quot;-&quot;??_-;_-@_-"/>
    <numFmt numFmtId="174" formatCode="_-* #,##0.0_-;\(#,##0.0\);_-* &quot;-&quot;??_-;_-@_-"/>
    <numFmt numFmtId="175" formatCode="_-* #,##0.000_-;\-* #,##0.000_-;_-* &quot;-&quot;??_-;_-@_-"/>
    <numFmt numFmtId="176" formatCode="_(* #,##0_);_(* \(#,##0\);_(* &quot;-&quot;??_);_(@_)"/>
    <numFmt numFmtId="177" formatCode="_-* #,##0.0_-;\-* #,##0.0_-;_-* &quot;-&quot;?_-;_-@_-"/>
    <numFmt numFmtId="178" formatCode="_-[$€-2]* #,##0.00_-;\-[$€-2]* #,##0.00_-;_-[$€-2]* &quot;-&quot;??_-"/>
    <numFmt numFmtId="179" formatCode="#,##0_);\(#,##0\);&quot;-&quot;"/>
    <numFmt numFmtId="180" formatCode="yyyy"/>
    <numFmt numFmtId="181" formatCode="_(* #,##0.0_);_(* \(#,##0.0\);_(* &quot;-&quot;??_);_(@_)"/>
    <numFmt numFmtId="182" formatCode="0_ ;\-0\ "/>
    <numFmt numFmtId="183" formatCode="_(* #,##0.00000000_);_(* \(#,##0.00000000\);_(* &quot;-&quot;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Calibri"/>
      <family val="2"/>
      <scheme val="minor"/>
    </font>
    <font>
      <b/>
      <sz val="8"/>
      <color theme="0"/>
      <name val="Frutiger 45 Light"/>
    </font>
    <font>
      <sz val="8"/>
      <color theme="0"/>
      <name val="Frutiger 45 Light"/>
    </font>
    <font>
      <b/>
      <sz val="8"/>
      <name val="Frutiger 45 Light"/>
    </font>
    <font>
      <sz val="8"/>
      <name val="Frutiger 45 Light"/>
    </font>
    <font>
      <i/>
      <sz val="8"/>
      <name val="Frutiger 45 Light"/>
    </font>
    <font>
      <sz val="8"/>
      <color theme="0" tint="-0.249977111117893"/>
      <name val="Calibri"/>
      <family val="2"/>
      <scheme val="minor"/>
    </font>
    <font>
      <sz val="8"/>
      <color indexed="60"/>
      <name val="Frutiger 45 Light"/>
    </font>
    <font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name val="Arial"/>
      <family val="2"/>
    </font>
    <font>
      <sz val="10"/>
      <color theme="0" tint="-0.1499984740745262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Arial"/>
      <family val="2"/>
    </font>
    <font>
      <sz val="11"/>
      <color theme="0" tint="-0.14999847407452621"/>
      <name val="Arial"/>
      <family val="2"/>
    </font>
    <font>
      <sz val="10"/>
      <color theme="0" tint="-0.149998474074526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b/>
      <sz val="11"/>
      <color theme="3"/>
      <name val="Arial"/>
      <family val="2"/>
    </font>
    <font>
      <sz val="11"/>
      <color theme="3"/>
      <name val="Arial"/>
      <family val="2"/>
    </font>
    <font>
      <sz val="11"/>
      <color rgb="FFFFFF00"/>
      <name val="Calibri"/>
      <family val="2"/>
      <scheme val="minor"/>
    </font>
    <font>
      <i/>
      <sz val="9.5"/>
      <color rgb="FF000000"/>
      <name val="Cambria"/>
      <family val="2"/>
      <scheme val="major"/>
    </font>
    <font>
      <sz val="10"/>
      <name val="Cambria"/>
      <family val="2"/>
      <scheme val="major"/>
    </font>
    <font>
      <sz val="10"/>
      <color theme="0"/>
      <name val="Cambria"/>
      <family val="2"/>
      <scheme val="major"/>
    </font>
    <font>
      <vertAlign val="subscript"/>
      <sz val="9.5"/>
      <color rgb="FF000000"/>
      <name val="Cambria"/>
      <family val="2"/>
      <scheme val="major"/>
    </font>
    <font>
      <sz val="9.5"/>
      <color rgb="FF000000"/>
      <name val="Cambria"/>
      <family val="2"/>
      <scheme val="major"/>
    </font>
    <font>
      <b/>
      <sz val="10"/>
      <color theme="0"/>
      <name val="Cambria"/>
      <family val="2"/>
      <scheme val="major"/>
    </font>
    <font>
      <vertAlign val="subscript"/>
      <sz val="10"/>
      <color theme="1"/>
      <name val="Cambria"/>
      <family val="2"/>
      <scheme val="major"/>
    </font>
    <font>
      <sz val="10"/>
      <color theme="1"/>
      <name val="Cambria"/>
      <family val="2"/>
      <scheme val="major"/>
    </font>
    <font>
      <b/>
      <sz val="10"/>
      <name val="Cambria"/>
      <family val="2"/>
      <scheme val="major"/>
    </font>
    <font>
      <sz val="9"/>
      <color rgb="FF000000"/>
      <name val="Calibri"/>
      <family val="2"/>
      <scheme val="minor"/>
    </font>
    <font>
      <b/>
      <sz val="10"/>
      <color theme="1"/>
      <name val="Cambria"/>
      <family val="2"/>
      <scheme val="major"/>
    </font>
    <font>
      <vertAlign val="subscript"/>
      <sz val="10"/>
      <name val="Cambria"/>
      <family val="2"/>
      <scheme val="major"/>
    </font>
    <font>
      <vertAlign val="superscript"/>
      <sz val="10"/>
      <name val="Cambria"/>
      <family val="2"/>
      <scheme val="major"/>
    </font>
    <font>
      <b/>
      <sz val="10"/>
      <color rgb="FFFF0000"/>
      <name val="Cambria"/>
      <family val="2"/>
      <scheme val="major"/>
    </font>
    <font>
      <sz val="9"/>
      <color theme="1"/>
      <name val="Cambria"/>
      <family val="2"/>
      <scheme val="major"/>
    </font>
    <font>
      <sz val="7"/>
      <name val="Calibri"/>
      <family val="2"/>
      <scheme val="minor"/>
    </font>
    <font>
      <sz val="16"/>
      <name val="Cambria"/>
      <family val="2"/>
      <scheme val="maj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43" fontId="1" fillId="0" borderId="0" applyFont="0" applyFill="0" applyBorder="0" applyAlignment="0" applyProtection="0"/>
  </cellStyleXfs>
  <cellXfs count="310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169" fontId="0" fillId="0" borderId="4" xfId="1" applyNumberFormat="1" applyFont="1" applyBorder="1"/>
    <xf numFmtId="168" fontId="0" fillId="0" borderId="4" xfId="1" applyNumberFormat="1" applyFont="1" applyBorder="1"/>
    <xf numFmtId="167" fontId="0" fillId="0" borderId="4" xfId="2" applyNumberFormat="1" applyFont="1" applyBorder="1"/>
    <xf numFmtId="0" fontId="0" fillId="0" borderId="5" xfId="0" applyBorder="1"/>
    <xf numFmtId="169" fontId="0" fillId="0" borderId="6" xfId="1" applyNumberFormat="1" applyFont="1" applyFill="1" applyBorder="1"/>
    <xf numFmtId="0" fontId="0" fillId="0" borderId="1" xfId="0" applyBorder="1"/>
    <xf numFmtId="169" fontId="0" fillId="0" borderId="2" xfId="1" applyNumberFormat="1" applyFont="1" applyBorder="1"/>
    <xf numFmtId="169" fontId="0" fillId="0" borderId="0" xfId="1" applyNumberFormat="1" applyFont="1" applyBorder="1"/>
    <xf numFmtId="168" fontId="0" fillId="0" borderId="0" xfId="1" applyNumberFormat="1" applyFont="1" applyBorder="1"/>
    <xf numFmtId="167" fontId="0" fillId="0" borderId="0" xfId="2" applyNumberFormat="1" applyFont="1" applyBorder="1"/>
    <xf numFmtId="0" fontId="2" fillId="2" borderId="1" xfId="0" applyFont="1" applyFill="1" applyBorder="1"/>
    <xf numFmtId="0" fontId="4" fillId="2" borderId="2" xfId="0" applyFont="1" applyFill="1" applyBorder="1"/>
    <xf numFmtId="0" fontId="5" fillId="0" borderId="0" xfId="0" applyFont="1" applyAlignment="1">
      <alignment horizontal="center"/>
    </xf>
    <xf numFmtId="0" fontId="4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166" fontId="0" fillId="0" borderId="8" xfId="1" applyFont="1" applyBorder="1"/>
    <xf numFmtId="166" fontId="0" fillId="0" borderId="8" xfId="0" applyNumberFormat="1" applyBorder="1"/>
    <xf numFmtId="166" fontId="0" fillId="0" borderId="0" xfId="1" applyFont="1" applyBorder="1"/>
    <xf numFmtId="0" fontId="0" fillId="0" borderId="4" xfId="0" applyBorder="1"/>
    <xf numFmtId="0" fontId="0" fillId="0" borderId="8" xfId="0" applyBorder="1"/>
    <xf numFmtId="0" fontId="0" fillId="0" borderId="6" xfId="0" applyBorder="1"/>
    <xf numFmtId="0" fontId="3" fillId="0" borderId="3" xfId="0" applyFont="1" applyBorder="1"/>
    <xf numFmtId="0" fontId="5" fillId="0" borderId="9" xfId="0" applyFont="1" applyBorder="1" applyAlignment="1">
      <alignment horizontal="center"/>
    </xf>
    <xf numFmtId="166" fontId="0" fillId="0" borderId="9" xfId="1" applyFont="1" applyBorder="1"/>
    <xf numFmtId="166" fontId="0" fillId="0" borderId="9" xfId="0" applyNumberFormat="1" applyBorder="1"/>
    <xf numFmtId="9" fontId="5" fillId="0" borderId="0" xfId="2" applyFont="1" applyBorder="1" applyAlignment="1">
      <alignment horizontal="center"/>
    </xf>
    <xf numFmtId="9" fontId="0" fillId="0" borderId="0" xfId="2" applyFont="1" applyBorder="1"/>
    <xf numFmtId="9" fontId="0" fillId="0" borderId="0" xfId="0" applyNumberFormat="1"/>
    <xf numFmtId="169" fontId="0" fillId="0" borderId="9" xfId="0" applyNumberFormat="1" applyBorder="1"/>
    <xf numFmtId="0" fontId="0" fillId="0" borderId="9" xfId="0" applyBorder="1"/>
    <xf numFmtId="169" fontId="0" fillId="0" borderId="0" xfId="0" applyNumberFormat="1"/>
    <xf numFmtId="169" fontId="0" fillId="0" borderId="2" xfId="0" applyNumberFormat="1" applyBorder="1"/>
    <xf numFmtId="9" fontId="0" fillId="3" borderId="4" xfId="0" applyNumberFormat="1" applyFill="1" applyBorder="1"/>
    <xf numFmtId="9" fontId="0" fillId="3" borderId="6" xfId="0" applyNumberFormat="1" applyFill="1" applyBorder="1"/>
    <xf numFmtId="169" fontId="0" fillId="0" borderId="0" xfId="1" applyNumberFormat="1" applyFont="1"/>
    <xf numFmtId="168" fontId="0" fillId="0" borderId="8" xfId="1" applyNumberFormat="1" applyFont="1" applyBorder="1"/>
    <xf numFmtId="9" fontId="0" fillId="3" borderId="0" xfId="0" applyNumberFormat="1" applyFill="1"/>
    <xf numFmtId="169" fontId="0" fillId="0" borderId="8" xfId="1" applyNumberFormat="1" applyFont="1" applyBorder="1"/>
    <xf numFmtId="169" fontId="0" fillId="0" borderId="6" xfId="1" applyNumberFormat="1" applyFont="1" applyBorder="1"/>
    <xf numFmtId="169" fontId="3" fillId="0" borderId="0" xfId="0" applyNumberFormat="1" applyFont="1"/>
    <xf numFmtId="169" fontId="3" fillId="0" borderId="0" xfId="1" applyNumberFormat="1" applyFont="1" applyBorder="1"/>
    <xf numFmtId="168" fontId="3" fillId="0" borderId="0" xfId="1" applyNumberFormat="1" applyFont="1" applyBorder="1"/>
    <xf numFmtId="169" fontId="3" fillId="0" borderId="4" xfId="1" applyNumberFormat="1" applyFont="1" applyBorder="1"/>
    <xf numFmtId="0" fontId="5" fillId="0" borderId="9" xfId="0" applyFont="1" applyBorder="1"/>
    <xf numFmtId="0" fontId="4" fillId="2" borderId="0" xfId="0" applyFont="1" applyFill="1"/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168" fontId="0" fillId="0" borderId="9" xfId="1" applyNumberFormat="1" applyFont="1" applyBorder="1"/>
    <xf numFmtId="0" fontId="6" fillId="0" borderId="0" xfId="0" applyFont="1" applyAlignment="1">
      <alignment horizontal="center"/>
    </xf>
    <xf numFmtId="168" fontId="3" fillId="0" borderId="0" xfId="0" applyNumberFormat="1" applyFont="1"/>
    <xf numFmtId="168" fontId="3" fillId="0" borderId="4" xfId="1" applyNumberFormat="1" applyFont="1" applyBorder="1"/>
    <xf numFmtId="169" fontId="0" fillId="0" borderId="4" xfId="0" applyNumberFormat="1" applyBorder="1"/>
    <xf numFmtId="169" fontId="3" fillId="0" borderId="4" xfId="0" applyNumberFormat="1" applyFont="1" applyBorder="1"/>
    <xf numFmtId="170" fontId="3" fillId="0" borderId="0" xfId="0" applyNumberFormat="1" applyFont="1"/>
    <xf numFmtId="170" fontId="3" fillId="0" borderId="4" xfId="0" applyNumberFormat="1" applyFont="1" applyBorder="1"/>
    <xf numFmtId="169" fontId="0" fillId="0" borderId="8" xfId="0" applyNumberFormat="1" applyBorder="1"/>
    <xf numFmtId="168" fontId="0" fillId="3" borderId="0" xfId="1" applyNumberFormat="1" applyFont="1" applyFill="1" applyBorder="1"/>
    <xf numFmtId="169" fontId="0" fillId="3" borderId="0" xfId="1" applyNumberFormat="1" applyFont="1" applyFill="1" applyBorder="1"/>
    <xf numFmtId="0" fontId="5" fillId="0" borderId="3" xfId="0" applyFont="1" applyBorder="1"/>
    <xf numFmtId="168" fontId="1" fillId="0" borderId="0" xfId="1" applyNumberFormat="1" applyFont="1" applyBorder="1"/>
    <xf numFmtId="168" fontId="1" fillId="0" borderId="4" xfId="1" applyNumberFormat="1" applyFont="1" applyBorder="1"/>
    <xf numFmtId="169" fontId="0" fillId="0" borderId="9" xfId="1" applyNumberFormat="1" applyFont="1" applyBorder="1"/>
    <xf numFmtId="9" fontId="5" fillId="3" borderId="8" xfId="0" applyNumberFormat="1" applyFont="1" applyFill="1" applyBorder="1" applyAlignment="1">
      <alignment horizontal="center"/>
    </xf>
    <xf numFmtId="0" fontId="3" fillId="0" borderId="5" xfId="0" applyFont="1" applyBorder="1"/>
    <xf numFmtId="0" fontId="3" fillId="3" borderId="0" xfId="0" applyFont="1" applyFill="1"/>
    <xf numFmtId="9" fontId="0" fillId="0" borderId="6" xfId="0" applyNumberFormat="1" applyBorder="1"/>
    <xf numFmtId="169" fontId="0" fillId="0" borderId="4" xfId="1" applyNumberFormat="1" applyFont="1" applyFill="1" applyBorder="1"/>
    <xf numFmtId="171" fontId="0" fillId="0" borderId="0" xfId="1" applyNumberFormat="1" applyFont="1" applyBorder="1"/>
    <xf numFmtId="169" fontId="0" fillId="0" borderId="0" xfId="1" applyNumberFormat="1" applyFont="1" applyFill="1" applyBorder="1"/>
    <xf numFmtId="168" fontId="0" fillId="0" borderId="8" xfId="1" applyNumberFormat="1" applyFont="1" applyFill="1" applyBorder="1"/>
    <xf numFmtId="168" fontId="0" fillId="0" borderId="0" xfId="1" applyNumberFormat="1" applyFont="1" applyFill="1" applyBorder="1"/>
    <xf numFmtId="169" fontId="0" fillId="0" borderId="0" xfId="1" applyNumberFormat="1" applyFont="1" applyFill="1"/>
    <xf numFmtId="168" fontId="0" fillId="0" borderId="0" xfId="1" applyNumberFormat="1" applyFont="1"/>
    <xf numFmtId="170" fontId="0" fillId="0" borderId="0" xfId="0" applyNumberFormat="1"/>
    <xf numFmtId="172" fontId="0" fillId="0" borderId="0" xfId="0" applyNumberFormat="1"/>
    <xf numFmtId="0" fontId="7" fillId="0" borderId="0" xfId="0" applyFont="1"/>
    <xf numFmtId="0" fontId="8" fillId="0" borderId="0" xfId="0" applyFont="1"/>
    <xf numFmtId="169" fontId="8" fillId="0" borderId="0" xfId="1" applyNumberFormat="1" applyFont="1" applyFill="1" applyBorder="1"/>
    <xf numFmtId="172" fontId="8" fillId="0" borderId="0" xfId="0" applyNumberFormat="1" applyFont="1"/>
    <xf numFmtId="0" fontId="10" fillId="0" borderId="0" xfId="0" applyFont="1" applyAlignment="1">
      <alignment horizontal="center"/>
    </xf>
    <xf numFmtId="0" fontId="2" fillId="2" borderId="0" xfId="0" applyFont="1" applyFill="1"/>
    <xf numFmtId="0" fontId="11" fillId="0" borderId="0" xfId="0" applyFont="1" applyAlignment="1">
      <alignment horizontal="justify" vertical="center"/>
    </xf>
    <xf numFmtId="166" fontId="4" fillId="0" borderId="0" xfId="1" applyFont="1" applyFill="1" applyBorder="1"/>
    <xf numFmtId="0" fontId="0" fillId="3" borderId="0" xfId="0" applyFill="1"/>
    <xf numFmtId="0" fontId="6" fillId="0" borderId="8" xfId="0" applyFont="1" applyBorder="1" applyAlignment="1">
      <alignment horizontal="center"/>
    </xf>
    <xf numFmtId="9" fontId="3" fillId="0" borderId="8" xfId="0" applyNumberFormat="1" applyFont="1" applyBorder="1"/>
    <xf numFmtId="0" fontId="12" fillId="0" borderId="3" xfId="0" applyFont="1" applyBorder="1"/>
    <xf numFmtId="0" fontId="9" fillId="0" borderId="9" xfId="0" applyFont="1" applyBorder="1"/>
    <xf numFmtId="0" fontId="3" fillId="0" borderId="10" xfId="0" applyFont="1" applyBorder="1"/>
    <xf numFmtId="0" fontId="0" fillId="0" borderId="11" xfId="0" applyBorder="1"/>
    <xf numFmtId="0" fontId="5" fillId="0" borderId="11" xfId="0" applyFont="1" applyBorder="1"/>
    <xf numFmtId="0" fontId="0" fillId="0" borderId="12" xfId="0" applyBorder="1"/>
    <xf numFmtId="0" fontId="0" fillId="0" borderId="13" xfId="0" applyBorder="1"/>
    <xf numFmtId="173" fontId="0" fillId="0" borderId="0" xfId="3" applyNumberFormat="1" applyFont="1" applyBorder="1"/>
    <xf numFmtId="0" fontId="0" fillId="4" borderId="0" xfId="0" applyFill="1"/>
    <xf numFmtId="0" fontId="0" fillId="4" borderId="14" xfId="0" applyFill="1" applyBorder="1"/>
    <xf numFmtId="173" fontId="0" fillId="0" borderId="0" xfId="3" applyNumberFormat="1" applyFont="1" applyFill="1" applyBorder="1"/>
    <xf numFmtId="0" fontId="0" fillId="0" borderId="15" xfId="0" applyBorder="1"/>
    <xf numFmtId="0" fontId="0" fillId="0" borderId="16" xfId="0" applyBorder="1"/>
    <xf numFmtId="173" fontId="0" fillId="0" borderId="11" xfId="3" applyNumberFormat="1" applyFont="1" applyBorder="1"/>
    <xf numFmtId="173" fontId="0" fillId="0" borderId="16" xfId="3" applyNumberFormat="1" applyFont="1" applyBorder="1"/>
    <xf numFmtId="164" fontId="0" fillId="0" borderId="0" xfId="0" applyNumberFormat="1"/>
    <xf numFmtId="164" fontId="0" fillId="0" borderId="14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0" fontId="12" fillId="0" borderId="0" xfId="0" applyFont="1"/>
    <xf numFmtId="169" fontId="9" fillId="0" borderId="0" xfId="0" applyNumberFormat="1" applyFont="1"/>
    <xf numFmtId="173" fontId="9" fillId="0" borderId="0" xfId="3" applyNumberFormat="1" applyFont="1" applyFill="1" applyBorder="1"/>
    <xf numFmtId="173" fontId="12" fillId="0" borderId="0" xfId="3" applyNumberFormat="1" applyFont="1" applyBorder="1"/>
    <xf numFmtId="173" fontId="12" fillId="0" borderId="0" xfId="3" applyNumberFormat="1" applyFont="1" applyFill="1" applyBorder="1"/>
    <xf numFmtId="166" fontId="0" fillId="0" borderId="0" xfId="0" applyNumberFormat="1"/>
    <xf numFmtId="0" fontId="6" fillId="0" borderId="3" xfId="0" applyFont="1" applyBorder="1"/>
    <xf numFmtId="169" fontId="12" fillId="0" borderId="0" xfId="0" applyNumberFormat="1" applyFont="1"/>
    <xf numFmtId="0" fontId="15" fillId="0" borderId="0" xfId="0" applyFont="1" applyAlignment="1">
      <alignment horizontal="center"/>
    </xf>
    <xf numFmtId="168" fontId="12" fillId="0" borderId="0" xfId="1" applyNumberFormat="1" applyFont="1" applyBorder="1"/>
    <xf numFmtId="9" fontId="15" fillId="0" borderId="0" xfId="2" applyFont="1" applyBorder="1" applyAlignment="1">
      <alignment horizontal="center"/>
    </xf>
    <xf numFmtId="9" fontId="15" fillId="0" borderId="8" xfId="2" applyFont="1" applyBorder="1" applyAlignment="1">
      <alignment horizontal="center"/>
    </xf>
    <xf numFmtId="168" fontId="12" fillId="0" borderId="8" xfId="1" applyNumberFormat="1" applyFont="1" applyBorder="1"/>
    <xf numFmtId="174" fontId="3" fillId="0" borderId="0" xfId="0" applyNumberFormat="1" applyFont="1"/>
    <xf numFmtId="168" fontId="12" fillId="5" borderId="0" xfId="1" applyNumberFormat="1" applyFont="1" applyFill="1" applyBorder="1"/>
    <xf numFmtId="168" fontId="12" fillId="5" borderId="8" xfId="1" applyNumberFormat="1" applyFont="1" applyFill="1" applyBorder="1"/>
    <xf numFmtId="43" fontId="17" fillId="0" borderId="0" xfId="1" applyNumberFormat="1" applyFont="1" applyFill="1" applyBorder="1" applyAlignment="1"/>
    <xf numFmtId="175" fontId="18" fillId="0" borderId="0" xfId="1" applyNumberFormat="1" applyFont="1" applyFill="1" applyBorder="1" applyAlignment="1"/>
    <xf numFmtId="43" fontId="19" fillId="0" borderId="0" xfId="1" applyNumberFormat="1" applyFont="1" applyFill="1" applyBorder="1" applyAlignment="1"/>
    <xf numFmtId="175" fontId="19" fillId="0" borderId="0" xfId="1" applyNumberFormat="1" applyFont="1" applyFill="1" applyBorder="1" applyAlignment="1">
      <alignment horizontal="left"/>
    </xf>
    <xf numFmtId="43" fontId="19" fillId="0" borderId="0" xfId="1" applyNumberFormat="1" applyFont="1" applyFill="1" applyBorder="1" applyAlignment="1">
      <alignment horizontal="center"/>
    </xf>
    <xf numFmtId="2" fontId="20" fillId="0" borderId="0" xfId="1" applyNumberFormat="1" applyFont="1" applyFill="1" applyBorder="1" applyAlignment="1">
      <alignment horizontal="center" vertical="center"/>
    </xf>
    <xf numFmtId="9" fontId="0" fillId="3" borderId="0" xfId="1" applyNumberFormat="1" applyFont="1" applyFill="1" applyBorder="1"/>
    <xf numFmtId="176" fontId="0" fillId="0" borderId="0" xfId="0" applyNumberFormat="1"/>
    <xf numFmtId="166" fontId="12" fillId="0" borderId="0" xfId="1" applyFont="1" applyFill="1" applyBorder="1"/>
    <xf numFmtId="2" fontId="0" fillId="3" borderId="0" xfId="0" applyNumberFormat="1" applyFill="1"/>
    <xf numFmtId="177" fontId="8" fillId="0" borderId="0" xfId="0" applyNumberFormat="1" applyFont="1"/>
    <xf numFmtId="169" fontId="8" fillId="0" borderId="0" xfId="0" applyNumberFormat="1" applyFont="1"/>
    <xf numFmtId="9" fontId="3" fillId="3" borderId="0" xfId="2" applyFont="1" applyFill="1" applyBorder="1"/>
    <xf numFmtId="0" fontId="21" fillId="0" borderId="0" xfId="0" applyFont="1"/>
    <xf numFmtId="2" fontId="21" fillId="0" borderId="0" xfId="0" applyNumberFormat="1" applyFont="1"/>
    <xf numFmtId="176" fontId="0" fillId="0" borderId="0" xfId="1" applyNumberFormat="1" applyFont="1" applyBorder="1"/>
    <xf numFmtId="0" fontId="9" fillId="0" borderId="13" xfId="0" applyFont="1" applyBorder="1"/>
    <xf numFmtId="0" fontId="9" fillId="0" borderId="0" xfId="0" applyFont="1"/>
    <xf numFmtId="0" fontId="9" fillId="4" borderId="0" xfId="0" applyFont="1" applyFill="1"/>
    <xf numFmtId="169" fontId="12" fillId="3" borderId="0" xfId="1" applyNumberFormat="1" applyFont="1" applyFill="1" applyBorder="1"/>
    <xf numFmtId="166" fontId="0" fillId="5" borderId="8" xfId="1" applyFont="1" applyFill="1" applyBorder="1"/>
    <xf numFmtId="167" fontId="12" fillId="0" borderId="0" xfId="2" applyNumberFormat="1" applyFont="1" applyBorder="1"/>
    <xf numFmtId="0" fontId="12" fillId="0" borderId="13" xfId="0" applyFont="1" applyBorder="1"/>
    <xf numFmtId="169" fontId="12" fillId="0" borderId="0" xfId="1" applyNumberFormat="1" applyFont="1" applyBorder="1"/>
    <xf numFmtId="169" fontId="9" fillId="3" borderId="0" xfId="1" applyNumberFormat="1" applyFont="1" applyFill="1" applyBorder="1" applyAlignment="1">
      <alignment horizontal="center"/>
    </xf>
    <xf numFmtId="16" fontId="0" fillId="0" borderId="0" xfId="0" applyNumberForma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169" fontId="0" fillId="8" borderId="0" xfId="1" applyNumberFormat="1" applyFont="1" applyFill="1" applyBorder="1"/>
    <xf numFmtId="173" fontId="9" fillId="4" borderId="0" xfId="0" applyNumberFormat="1" applyFont="1" applyFill="1"/>
    <xf numFmtId="0" fontId="12" fillId="4" borderId="0" xfId="0" applyFont="1" applyFill="1"/>
    <xf numFmtId="178" fontId="0" fillId="0" borderId="0" xfId="0" applyNumberFormat="1"/>
    <xf numFmtId="179" fontId="0" fillId="0" borderId="0" xfId="0" applyNumberFormat="1"/>
    <xf numFmtId="176" fontId="3" fillId="0" borderId="0" xfId="0" applyNumberFormat="1" applyFont="1"/>
    <xf numFmtId="167" fontId="0" fillId="0" borderId="0" xfId="0" applyNumberFormat="1"/>
    <xf numFmtId="178" fontId="0" fillId="0" borderId="0" xfId="0" applyNumberFormat="1" applyAlignment="1">
      <alignment horizontal="center"/>
    </xf>
    <xf numFmtId="167" fontId="0" fillId="0" borderId="0" xfId="2" applyNumberFormat="1" applyFont="1"/>
    <xf numFmtId="178" fontId="3" fillId="0" borderId="0" xfId="0" applyNumberFormat="1" applyFont="1"/>
    <xf numFmtId="166" fontId="0" fillId="0" borderId="0" xfId="1" applyFont="1"/>
    <xf numFmtId="175" fontId="16" fillId="9" borderId="0" xfId="1" applyNumberFormat="1" applyFont="1" applyFill="1" applyBorder="1" applyAlignment="1"/>
    <xf numFmtId="166" fontId="22" fillId="10" borderId="0" xfId="1" applyFont="1" applyFill="1" applyBorder="1" applyAlignment="1"/>
    <xf numFmtId="175" fontId="22" fillId="10" borderId="0" xfId="1" applyNumberFormat="1" applyFont="1" applyFill="1" applyBorder="1" applyAlignment="1"/>
    <xf numFmtId="9" fontId="0" fillId="0" borderId="0" xfId="2" applyFont="1"/>
    <xf numFmtId="0" fontId="5" fillId="0" borderId="0" xfId="0" applyFont="1"/>
    <xf numFmtId="166" fontId="15" fillId="5" borderId="0" xfId="1" applyFont="1" applyFill="1" applyBorder="1"/>
    <xf numFmtId="10" fontId="0" fillId="0" borderId="0" xfId="2" applyNumberFormat="1" applyFont="1"/>
    <xf numFmtId="168" fontId="0" fillId="0" borderId="0" xfId="0" applyNumberFormat="1"/>
    <xf numFmtId="0" fontId="0" fillId="0" borderId="0" xfId="0" quotePrefix="1"/>
    <xf numFmtId="9" fontId="0" fillId="0" borderId="0" xfId="2" quotePrefix="1" applyFont="1"/>
    <xf numFmtId="169" fontId="12" fillId="0" borderId="4" xfId="1" applyNumberFormat="1" applyFont="1" applyBorder="1"/>
    <xf numFmtId="166" fontId="15" fillId="11" borderId="0" xfId="1" applyFont="1" applyFill="1" applyBorder="1"/>
    <xf numFmtId="166" fontId="0" fillId="11" borderId="8" xfId="1" applyFont="1" applyFill="1" applyBorder="1"/>
    <xf numFmtId="168" fontId="12" fillId="11" borderId="0" xfId="1" applyNumberFormat="1" applyFont="1" applyFill="1" applyBorder="1"/>
    <xf numFmtId="168" fontId="12" fillId="11" borderId="8" xfId="1" applyNumberFormat="1" applyFont="1" applyFill="1" applyBorder="1"/>
    <xf numFmtId="166" fontId="0" fillId="0" borderId="16" xfId="0" applyNumberFormat="1" applyBorder="1"/>
    <xf numFmtId="166" fontId="0" fillId="0" borderId="16" xfId="1" applyFont="1" applyBorder="1"/>
    <xf numFmtId="169" fontId="0" fillId="0" borderId="16" xfId="0" applyNumberFormat="1" applyBorder="1"/>
    <xf numFmtId="179" fontId="0" fillId="0" borderId="16" xfId="0" applyNumberFormat="1" applyBorder="1"/>
    <xf numFmtId="169" fontId="3" fillId="0" borderId="18" xfId="0" applyNumberFormat="1" applyFont="1" applyBorder="1"/>
    <xf numFmtId="169" fontId="3" fillId="0" borderId="16" xfId="0" applyNumberFormat="1" applyFont="1" applyBorder="1"/>
    <xf numFmtId="176" fontId="3" fillId="0" borderId="18" xfId="0" applyNumberFormat="1" applyFont="1" applyBorder="1"/>
    <xf numFmtId="176" fontId="0" fillId="0" borderId="18" xfId="0" applyNumberFormat="1" applyBorder="1"/>
    <xf numFmtId="176" fontId="3" fillId="0" borderId="19" xfId="0" applyNumberFormat="1" applyFont="1" applyBorder="1"/>
    <xf numFmtId="176" fontId="3" fillId="0" borderId="20" xfId="0" applyNumberFormat="1" applyFont="1" applyBorder="1"/>
    <xf numFmtId="166" fontId="0" fillId="0" borderId="18" xfId="0" applyNumberFormat="1" applyBorder="1"/>
    <xf numFmtId="169" fontId="3" fillId="0" borderId="0" xfId="1" applyNumberFormat="1" applyFont="1"/>
    <xf numFmtId="169" fontId="23" fillId="0" borderId="0" xfId="1" applyNumberFormat="1" applyFont="1"/>
    <xf numFmtId="169" fontId="0" fillId="0" borderId="16" xfId="1" applyNumberFormat="1" applyFont="1" applyBorder="1"/>
    <xf numFmtId="169" fontId="3" fillId="0" borderId="18" xfId="1" applyNumberFormat="1" applyFont="1" applyBorder="1"/>
    <xf numFmtId="166" fontId="3" fillId="0" borderId="0" xfId="1" applyFont="1" applyBorder="1"/>
    <xf numFmtId="0" fontId="6" fillId="0" borderId="0" xfId="0" applyFont="1" applyAlignment="1">
      <alignment horizontal="left"/>
    </xf>
    <xf numFmtId="169" fontId="0" fillId="0" borderId="0" xfId="1" applyNumberFormat="1" applyFont="1" applyAlignment="1">
      <alignment horizontal="center"/>
    </xf>
    <xf numFmtId="0" fontId="24" fillId="0" borderId="0" xfId="0" applyFont="1"/>
    <xf numFmtId="0" fontId="25" fillId="11" borderId="0" xfId="0" applyFont="1" applyFill="1"/>
    <xf numFmtId="0" fontId="26" fillId="11" borderId="0" xfId="0" applyFont="1" applyFill="1" applyAlignment="1">
      <alignment horizontal="center"/>
    </xf>
    <xf numFmtId="0" fontId="28" fillId="12" borderId="0" xfId="4" applyFont="1" applyFill="1" applyAlignment="1">
      <alignment horizontal="center"/>
    </xf>
    <xf numFmtId="0" fontId="29" fillId="12" borderId="0" xfId="4" applyFont="1" applyFill="1"/>
    <xf numFmtId="0" fontId="31" fillId="12" borderId="0" xfId="4" applyFont="1" applyFill="1" applyAlignment="1">
      <alignment horizontal="left"/>
    </xf>
    <xf numFmtId="0" fontId="32" fillId="12" borderId="0" xfId="4" applyFont="1" applyFill="1" applyAlignment="1">
      <alignment horizontal="center"/>
    </xf>
    <xf numFmtId="0" fontId="33" fillId="12" borderId="0" xfId="4" applyFont="1" applyFill="1" applyAlignment="1">
      <alignment horizontal="center"/>
    </xf>
    <xf numFmtId="0" fontId="0" fillId="12" borderId="0" xfId="0" applyFill="1"/>
    <xf numFmtId="0" fontId="27" fillId="12" borderId="0" xfId="4" applyFill="1" applyAlignment="1">
      <alignment horizontal="center"/>
    </xf>
    <xf numFmtId="0" fontId="34" fillId="12" borderId="21" xfId="4" applyFont="1" applyFill="1" applyBorder="1" applyAlignment="1">
      <alignment horizontal="center"/>
    </xf>
    <xf numFmtId="0" fontId="31" fillId="12" borderId="22" xfId="4" applyFont="1" applyFill="1" applyBorder="1" applyAlignment="1">
      <alignment horizontal="center"/>
    </xf>
    <xf numFmtId="0" fontId="34" fillId="12" borderId="22" xfId="4" applyFont="1" applyFill="1" applyBorder="1" applyAlignment="1">
      <alignment horizontal="center" vertical="center"/>
    </xf>
    <xf numFmtId="0" fontId="30" fillId="12" borderId="0" xfId="4" applyFont="1" applyFill="1" applyAlignment="1">
      <alignment horizontal="center"/>
    </xf>
    <xf numFmtId="0" fontId="34" fillId="12" borderId="23" xfId="4" applyFont="1" applyFill="1" applyBorder="1"/>
    <xf numFmtId="0" fontId="31" fillId="12" borderId="24" xfId="4" applyFont="1" applyFill="1" applyBorder="1" applyAlignment="1">
      <alignment horizontal="center"/>
    </xf>
    <xf numFmtId="176" fontId="34" fillId="12" borderId="24" xfId="5" applyNumberFormat="1" applyFont="1" applyFill="1" applyBorder="1"/>
    <xf numFmtId="0" fontId="30" fillId="12" borderId="0" xfId="4" applyFont="1" applyFill="1"/>
    <xf numFmtId="43" fontId="31" fillId="12" borderId="24" xfId="5" applyFont="1" applyFill="1" applyBorder="1" applyAlignment="1">
      <alignment horizontal="center"/>
    </xf>
    <xf numFmtId="0" fontId="35" fillId="12" borderId="23" xfId="4" applyFont="1" applyFill="1" applyBorder="1"/>
    <xf numFmtId="0" fontId="27" fillId="12" borderId="24" xfId="4" applyFill="1" applyBorder="1" applyAlignment="1">
      <alignment horizontal="center"/>
    </xf>
    <xf numFmtId="0" fontId="36" fillId="12" borderId="24" xfId="4" applyFont="1" applyFill="1" applyBorder="1" applyAlignment="1">
      <alignment horizontal="center"/>
    </xf>
    <xf numFmtId="43" fontId="35" fillId="12" borderId="24" xfId="5" applyFont="1" applyFill="1" applyBorder="1"/>
    <xf numFmtId="0" fontId="35" fillId="12" borderId="0" xfId="4" applyFont="1" applyFill="1"/>
    <xf numFmtId="0" fontId="35" fillId="12" borderId="23" xfId="4" applyFont="1" applyFill="1" applyBorder="1" applyAlignment="1">
      <alignment horizontal="left" indent="1"/>
    </xf>
    <xf numFmtId="170" fontId="27" fillId="12" borderId="0" xfId="1" applyNumberFormat="1" applyFont="1" applyFill="1" applyAlignment="1">
      <alignment horizontal="right"/>
    </xf>
    <xf numFmtId="0" fontId="0" fillId="12" borderId="25" xfId="0" applyFill="1" applyBorder="1"/>
    <xf numFmtId="0" fontId="0" fillId="12" borderId="26" xfId="0" applyFill="1" applyBorder="1"/>
    <xf numFmtId="0" fontId="34" fillId="12" borderId="0" xfId="4" applyFont="1" applyFill="1"/>
    <xf numFmtId="176" fontId="38" fillId="13" borderId="24" xfId="5" applyNumberFormat="1" applyFont="1" applyFill="1" applyBorder="1"/>
    <xf numFmtId="169" fontId="34" fillId="12" borderId="24" xfId="1" applyNumberFormat="1" applyFont="1" applyFill="1" applyBorder="1"/>
    <xf numFmtId="169" fontId="0" fillId="12" borderId="26" xfId="1" applyNumberFormat="1" applyFont="1" applyFill="1" applyBorder="1"/>
    <xf numFmtId="168" fontId="39" fillId="13" borderId="24" xfId="1" applyNumberFormat="1" applyFont="1" applyFill="1" applyBorder="1"/>
    <xf numFmtId="168" fontId="35" fillId="12" borderId="24" xfId="1" applyNumberFormat="1" applyFont="1" applyFill="1" applyBorder="1"/>
    <xf numFmtId="0" fontId="40" fillId="11" borderId="0" xfId="0" applyFont="1" applyFill="1"/>
    <xf numFmtId="9" fontId="12" fillId="0" borderId="3" xfId="0" applyNumberFormat="1" applyFont="1" applyBorder="1"/>
    <xf numFmtId="0" fontId="41" fillId="14" borderId="27" xfId="0" applyFont="1" applyFill="1" applyBorder="1" applyAlignment="1">
      <alignment vertical="center"/>
    </xf>
    <xf numFmtId="0" fontId="42" fillId="12" borderId="0" xfId="7" applyFont="1" applyFill="1"/>
    <xf numFmtId="180" fontId="43" fillId="15" borderId="27" xfId="0" applyNumberFormat="1" applyFont="1" applyFill="1" applyBorder="1" applyAlignment="1">
      <alignment horizontal="center" vertical="center"/>
    </xf>
    <xf numFmtId="0" fontId="41" fillId="16" borderId="27" xfId="0" applyFont="1" applyFill="1" applyBorder="1" applyAlignment="1">
      <alignment vertical="center"/>
    </xf>
    <xf numFmtId="0" fontId="46" fillId="12" borderId="0" xfId="7" applyFont="1" applyFill="1"/>
    <xf numFmtId="0" fontId="41" fillId="16" borderId="27" xfId="0" applyFont="1" applyFill="1" applyBorder="1" applyAlignment="1">
      <alignment horizontal="center" vertical="center" wrapText="1"/>
    </xf>
    <xf numFmtId="169" fontId="48" fillId="0" borderId="27" xfId="1" applyNumberFormat="1" applyFont="1" applyBorder="1" applyProtection="1"/>
    <xf numFmtId="181" fontId="42" fillId="12" borderId="27" xfId="7" applyNumberFormat="1" applyFont="1" applyFill="1" applyBorder="1"/>
    <xf numFmtId="166" fontId="42" fillId="12" borderId="27" xfId="7" applyNumberFormat="1" applyFont="1" applyFill="1" applyBorder="1"/>
    <xf numFmtId="0" fontId="42" fillId="12" borderId="28" xfId="7" applyFont="1" applyFill="1" applyBorder="1" applyAlignment="1">
      <alignment horizontal="left"/>
    </xf>
    <xf numFmtId="0" fontId="48" fillId="0" borderId="0" xfId="0" applyFont="1"/>
    <xf numFmtId="0" fontId="42" fillId="12" borderId="27" xfId="7" applyFont="1" applyFill="1" applyBorder="1" applyAlignment="1">
      <alignment horizontal="left"/>
    </xf>
    <xf numFmtId="14" fontId="42" fillId="12" borderId="30" xfId="7" applyNumberFormat="1" applyFont="1" applyFill="1" applyBorder="1" applyAlignment="1" applyProtection="1">
      <alignment horizontal="center"/>
      <protection locked="0"/>
    </xf>
    <xf numFmtId="0" fontId="51" fillId="0" borderId="27" xfId="0" applyFont="1" applyBorder="1" applyAlignment="1">
      <alignment horizontal="left" vertical="center"/>
    </xf>
    <xf numFmtId="0" fontId="42" fillId="0" borderId="27" xfId="7" applyFont="1" applyBorder="1"/>
    <xf numFmtId="169" fontId="42" fillId="12" borderId="27" xfId="1" applyNumberFormat="1" applyFont="1" applyFill="1" applyBorder="1" applyAlignment="1" applyProtection="1">
      <alignment horizontal="center"/>
      <protection locked="0"/>
    </xf>
    <xf numFmtId="182" fontId="42" fillId="12" borderId="27" xfId="1" applyNumberFormat="1" applyFont="1" applyFill="1" applyBorder="1" applyAlignment="1" applyProtection="1">
      <alignment horizontal="center"/>
    </xf>
    <xf numFmtId="181" fontId="42" fillId="0" borderId="27" xfId="8" applyNumberFormat="1" applyFont="1" applyFill="1" applyBorder="1" applyAlignment="1" applyProtection="1">
      <alignment horizontal="right" vertical="center"/>
    </xf>
    <xf numFmtId="14" fontId="43" fillId="12" borderId="0" xfId="7" applyNumberFormat="1" applyFont="1" applyFill="1"/>
    <xf numFmtId="0" fontId="49" fillId="12" borderId="27" xfId="7" applyFont="1" applyFill="1" applyBorder="1" applyAlignment="1">
      <alignment horizontal="left" vertical="center"/>
    </xf>
    <xf numFmtId="176" fontId="42" fillId="0" borderId="27" xfId="8" applyNumberFormat="1" applyFont="1" applyFill="1" applyBorder="1" applyAlignment="1" applyProtection="1">
      <alignment horizontal="right" vertical="center"/>
    </xf>
    <xf numFmtId="0" fontId="49" fillId="12" borderId="27" xfId="7" applyFont="1" applyFill="1" applyBorder="1" applyAlignment="1">
      <alignment horizontal="left"/>
    </xf>
    <xf numFmtId="0" fontId="51" fillId="0" borderId="27" xfId="0" applyFont="1" applyBorder="1" applyAlignment="1">
      <alignment horizontal="left"/>
    </xf>
    <xf numFmtId="183" fontId="42" fillId="0" borderId="27" xfId="8" applyNumberFormat="1" applyFont="1" applyFill="1" applyBorder="1" applyAlignment="1" applyProtection="1">
      <alignment horizontal="right" vertical="center"/>
    </xf>
    <xf numFmtId="43" fontId="42" fillId="0" borderId="27" xfId="8" applyFont="1" applyFill="1" applyBorder="1" applyAlignment="1" applyProtection="1">
      <alignment horizontal="right" vertical="center"/>
    </xf>
    <xf numFmtId="0" fontId="42" fillId="0" borderId="0" xfId="7" applyFont="1"/>
    <xf numFmtId="0" fontId="51" fillId="0" borderId="27" xfId="0" applyFont="1" applyBorder="1"/>
    <xf numFmtId="0" fontId="49" fillId="12" borderId="0" xfId="7" applyFont="1" applyFill="1" applyAlignment="1">
      <alignment horizontal="center"/>
    </xf>
    <xf numFmtId="0" fontId="42" fillId="12" borderId="0" xfId="7" applyFont="1" applyFill="1" applyAlignment="1">
      <alignment horizontal="center"/>
    </xf>
    <xf numFmtId="0" fontId="54" fillId="12" borderId="0" xfId="7" applyFont="1" applyFill="1" applyAlignment="1">
      <alignment horizontal="center"/>
    </xf>
    <xf numFmtId="169" fontId="42" fillId="3" borderId="27" xfId="1" applyNumberFormat="1" applyFont="1" applyFill="1" applyBorder="1" applyAlignment="1" applyProtection="1">
      <alignment horizontal="center"/>
      <protection locked="0"/>
    </xf>
    <xf numFmtId="169" fontId="42" fillId="0" borderId="27" xfId="1" applyNumberFormat="1" applyFont="1" applyFill="1" applyBorder="1" applyAlignment="1" applyProtection="1">
      <alignment horizontal="right" vertical="center"/>
    </xf>
    <xf numFmtId="0" fontId="55" fillId="0" borderId="27" xfId="0" applyFont="1" applyBorder="1" applyAlignment="1">
      <alignment horizontal="center" vertical="center" wrapText="1"/>
    </xf>
    <xf numFmtId="0" fontId="50" fillId="0" borderId="27" xfId="0" applyFont="1" applyBorder="1" applyAlignment="1">
      <alignment horizontal="center" vertical="center" wrapText="1"/>
    </xf>
    <xf numFmtId="0" fontId="50" fillId="0" borderId="27" xfId="0" applyFont="1" applyBorder="1" applyAlignment="1">
      <alignment vertical="center"/>
    </xf>
    <xf numFmtId="166" fontId="50" fillId="0" borderId="27" xfId="1" applyFont="1" applyBorder="1" applyAlignment="1">
      <alignment horizontal="center" vertical="center"/>
    </xf>
    <xf numFmtId="0" fontId="50" fillId="0" borderId="27" xfId="0" applyFont="1" applyBorder="1" applyAlignment="1">
      <alignment horizontal="center" vertical="center"/>
    </xf>
    <xf numFmtId="169" fontId="50" fillId="0" borderId="27" xfId="1" applyNumberFormat="1" applyFont="1" applyBorder="1" applyAlignment="1">
      <alignment horizontal="center" vertical="center"/>
    </xf>
    <xf numFmtId="14" fontId="50" fillId="0" borderId="27" xfId="0" applyNumberFormat="1" applyFont="1" applyBorder="1" applyAlignment="1">
      <alignment horizontal="center" vertical="center"/>
    </xf>
    <xf numFmtId="169" fontId="42" fillId="12" borderId="30" xfId="1" applyNumberFormat="1" applyFont="1" applyFill="1" applyBorder="1" applyAlignment="1" applyProtection="1">
      <alignment horizontal="center"/>
      <protection locked="0"/>
    </xf>
    <xf numFmtId="169" fontId="42" fillId="12" borderId="27" xfId="1" applyNumberFormat="1" applyFont="1" applyFill="1" applyBorder="1" applyAlignment="1" applyProtection="1">
      <alignment horizontal="center"/>
    </xf>
    <xf numFmtId="0" fontId="56" fillId="18" borderId="0" xfId="0" applyFont="1" applyFill="1"/>
    <xf numFmtId="175" fontId="42" fillId="12" borderId="0" xfId="1" applyNumberFormat="1" applyFont="1" applyFill="1"/>
    <xf numFmtId="175" fontId="42" fillId="12" borderId="0" xfId="1" applyNumberFormat="1" applyFont="1" applyFill="1" applyAlignment="1">
      <alignment horizontal="center"/>
    </xf>
    <xf numFmtId="175" fontId="54" fillId="12" borderId="0" xfId="1" applyNumberFormat="1" applyFont="1" applyFill="1" applyAlignment="1">
      <alignment horizontal="center"/>
    </xf>
    <xf numFmtId="169" fontId="0" fillId="3" borderId="0" xfId="1" applyNumberFormat="1" applyFont="1" applyFill="1"/>
    <xf numFmtId="9" fontId="0" fillId="3" borderId="0" xfId="2" applyFont="1" applyFill="1"/>
    <xf numFmtId="0" fontId="51" fillId="12" borderId="0" xfId="0" applyFont="1" applyFill="1"/>
    <xf numFmtId="181" fontId="42" fillId="12" borderId="0" xfId="8" applyNumberFormat="1" applyFont="1" applyFill="1" applyBorder="1" applyAlignment="1" applyProtection="1">
      <alignment horizontal="right" vertical="center"/>
    </xf>
    <xf numFmtId="169" fontId="42" fillId="12" borderId="0" xfId="1" applyNumberFormat="1" applyFont="1" applyFill="1" applyBorder="1" applyAlignment="1" applyProtection="1">
      <alignment horizontal="right" vertical="center"/>
    </xf>
    <xf numFmtId="0" fontId="42" fillId="12" borderId="27" xfId="7" applyFont="1" applyFill="1" applyBorder="1"/>
    <xf numFmtId="2" fontId="42" fillId="12" borderId="27" xfId="7" applyNumberFormat="1" applyFont="1" applyFill="1" applyBorder="1"/>
    <xf numFmtId="176" fontId="42" fillId="12" borderId="27" xfId="8" applyNumberFormat="1" applyFont="1" applyFill="1" applyBorder="1" applyAlignment="1" applyProtection="1">
      <alignment horizontal="left"/>
    </xf>
    <xf numFmtId="175" fontId="42" fillId="12" borderId="27" xfId="1" applyNumberFormat="1" applyFont="1" applyFill="1" applyBorder="1" applyProtection="1"/>
    <xf numFmtId="0" fontId="57" fillId="12" borderId="0" xfId="7" applyFont="1" applyFill="1"/>
    <xf numFmtId="14" fontId="43" fillId="15" borderId="27" xfId="0" applyNumberFormat="1" applyFont="1" applyFill="1" applyBorder="1" applyAlignment="1">
      <alignment horizontal="center" vertical="center"/>
    </xf>
    <xf numFmtId="0" fontId="42" fillId="12" borderId="0" xfId="8" applyNumberFormat="1" applyFont="1" applyFill="1" applyBorder="1" applyAlignment="1" applyProtection="1">
      <alignment horizontal="right" vertical="center"/>
    </xf>
    <xf numFmtId="0" fontId="50" fillId="0" borderId="29" xfId="0" applyFont="1" applyBorder="1" applyAlignment="1" applyProtection="1">
      <alignment horizontal="center" vertical="center"/>
      <protection locked="0"/>
    </xf>
    <xf numFmtId="169" fontId="23" fillId="0" borderId="0" xfId="1" applyNumberFormat="1" applyFont="1" applyBorder="1"/>
    <xf numFmtId="9" fontId="0" fillId="0" borderId="0" xfId="2" quotePrefix="1" applyFont="1" applyBorder="1"/>
    <xf numFmtId="167" fontId="0" fillId="3" borderId="0" xfId="2" applyNumberFormat="1" applyFont="1" applyFill="1" applyBorder="1"/>
    <xf numFmtId="168" fontId="0" fillId="3" borderId="8" xfId="1" applyNumberFormat="1" applyFont="1" applyFill="1" applyBorder="1"/>
    <xf numFmtId="9" fontId="0" fillId="3" borderId="0" xfId="2" applyFont="1" applyFill="1" applyBorder="1"/>
    <xf numFmtId="169" fontId="0" fillId="0" borderId="7" xfId="1" applyNumberFormat="1" applyFont="1" applyBorder="1"/>
    <xf numFmtId="169" fontId="1" fillId="0" borderId="0" xfId="1" applyNumberFormat="1" applyFont="1" applyBorder="1"/>
    <xf numFmtId="10" fontId="3" fillId="0" borderId="8" xfId="0" applyNumberFormat="1" applyFont="1" applyBorder="1"/>
    <xf numFmtId="177" fontId="42" fillId="12" borderId="0" xfId="7" applyNumberFormat="1" applyFont="1" applyFill="1"/>
    <xf numFmtId="0" fontId="15" fillId="0" borderId="11" xfId="0" applyFont="1" applyBorder="1"/>
    <xf numFmtId="169" fontId="42" fillId="12" borderId="0" xfId="7" applyNumberFormat="1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wrapText="1"/>
    </xf>
    <xf numFmtId="0" fontId="49" fillId="17" borderId="8" xfId="7" applyFont="1" applyFill="1" applyBorder="1" applyAlignment="1">
      <alignment horizontal="center"/>
    </xf>
    <xf numFmtId="0" fontId="49" fillId="17" borderId="0" xfId="7" applyFont="1" applyFill="1" applyAlignment="1">
      <alignment horizontal="center"/>
    </xf>
  </cellXfs>
  <cellStyles count="9">
    <cellStyle name="Comma" xfId="1" builtinId="3"/>
    <cellStyle name="Comma 2" xfId="5" xr:uid="{1A344DBF-23DA-495B-9C4A-35B90E98E195}"/>
    <cellStyle name="Comma 2 2" xfId="8" xr:uid="{067967F7-E055-4CF5-8BFC-E7E426672565}"/>
    <cellStyle name="Currency" xfId="3" builtinId="4"/>
    <cellStyle name="Normal" xfId="0" builtinId="0"/>
    <cellStyle name="Normal 10" xfId="7" xr:uid="{CD62BD52-C4FE-441D-B465-1370DBD57CAD}"/>
    <cellStyle name="Normal 2" xfId="4" xr:uid="{86B04D61-E791-4E82-978B-A2BD25BDD498}"/>
    <cellStyle name="Per cent" xfId="2" builtinId="5"/>
    <cellStyle name="Percent 2" xfId="6" xr:uid="{01116138-AAC9-49E7-8B9F-D261E93BFE8E}"/>
  </cellStyles>
  <dxfs count="0"/>
  <tableStyles count="0" defaultTableStyle="TableStyleMedium2" defaultPivotStyle="PivotStyleMedium9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Pricing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68348860380636"/>
          <c:y val="5.3831146685280731E-2"/>
          <c:w val="0.85865230657098435"/>
          <c:h val="0.82858433835011125"/>
        </c:manualLayout>
      </c:layout>
      <c:lineChart>
        <c:grouping val="standard"/>
        <c:varyColors val="0"/>
        <c:ser>
          <c:idx val="0"/>
          <c:order val="0"/>
          <c:tx>
            <c:strRef>
              <c:f>Assumptions!$A$6</c:f>
              <c:strCache>
                <c:ptCount val="1"/>
                <c:pt idx="0">
                  <c:v>Premium Hard Coking Coal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Assumptions!$I$1:$AI$1</c:f>
              <c:numCache>
                <c:formatCode>General</c:formatCode>
                <c:ptCount val="2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</c:numCache>
            </c:numRef>
          </c:cat>
          <c:val>
            <c:numRef>
              <c:f>Assumptions!$I$6:$AI$6</c:f>
              <c:numCache>
                <c:formatCode>_-* #,##0.0_-;\-* #,##0.0_-;_-* "-"??_-;_-@_-</c:formatCode>
                <c:ptCount val="27"/>
                <c:pt idx="0">
                  <c:v>315</c:v>
                </c:pt>
                <c:pt idx="1">
                  <c:v>240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  <c:pt idx="7">
                  <c:v>240</c:v>
                </c:pt>
                <c:pt idx="8">
                  <c:v>240</c:v>
                </c:pt>
                <c:pt idx="9">
                  <c:v>240</c:v>
                </c:pt>
                <c:pt idx="10">
                  <c:v>240</c:v>
                </c:pt>
                <c:pt idx="11">
                  <c:v>240</c:v>
                </c:pt>
                <c:pt idx="12">
                  <c:v>240</c:v>
                </c:pt>
                <c:pt idx="13">
                  <c:v>240</c:v>
                </c:pt>
                <c:pt idx="14">
                  <c:v>240</c:v>
                </c:pt>
                <c:pt idx="15">
                  <c:v>240</c:v>
                </c:pt>
                <c:pt idx="16">
                  <c:v>240</c:v>
                </c:pt>
                <c:pt idx="17">
                  <c:v>240</c:v>
                </c:pt>
                <c:pt idx="18">
                  <c:v>240</c:v>
                </c:pt>
                <c:pt idx="19">
                  <c:v>240</c:v>
                </c:pt>
                <c:pt idx="20">
                  <c:v>240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A-4CEE-947C-996C83F53BBF}"/>
            </c:ext>
          </c:extLst>
        </c:ser>
        <c:ser>
          <c:idx val="1"/>
          <c:order val="1"/>
          <c:tx>
            <c:strRef>
              <c:f>Assumptions!$A$7</c:f>
              <c:strCache>
                <c:ptCount val="1"/>
                <c:pt idx="0">
                  <c:v>88% PHCC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Assumptions!$I$1:$AI$1</c:f>
              <c:numCache>
                <c:formatCode>General</c:formatCode>
                <c:ptCount val="2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</c:numCache>
            </c:numRef>
          </c:cat>
          <c:val>
            <c:numRef>
              <c:f>Assumptions!$I$7:$AI$7</c:f>
              <c:numCache>
                <c:formatCode>_-* #,##0.0_-;\-* #,##0.0_-;_-* "-"??_-;_-@_-</c:formatCode>
                <c:ptCount val="27"/>
                <c:pt idx="1">
                  <c:v>211.2</c:v>
                </c:pt>
                <c:pt idx="2">
                  <c:v>211.2</c:v>
                </c:pt>
                <c:pt idx="3">
                  <c:v>211.2</c:v>
                </c:pt>
                <c:pt idx="4">
                  <c:v>211.2</c:v>
                </c:pt>
                <c:pt idx="5">
                  <c:v>211.2</c:v>
                </c:pt>
                <c:pt idx="6">
                  <c:v>211.2</c:v>
                </c:pt>
                <c:pt idx="7">
                  <c:v>211.2</c:v>
                </c:pt>
                <c:pt idx="8">
                  <c:v>211.2</c:v>
                </c:pt>
                <c:pt idx="9">
                  <c:v>211.2</c:v>
                </c:pt>
                <c:pt idx="10">
                  <c:v>211.2</c:v>
                </c:pt>
                <c:pt idx="11">
                  <c:v>211.2</c:v>
                </c:pt>
                <c:pt idx="12">
                  <c:v>211.2</c:v>
                </c:pt>
                <c:pt idx="13">
                  <c:v>211.2</c:v>
                </c:pt>
                <c:pt idx="14">
                  <c:v>211.2</c:v>
                </c:pt>
                <c:pt idx="15">
                  <c:v>211.2</c:v>
                </c:pt>
                <c:pt idx="16">
                  <c:v>211.2</c:v>
                </c:pt>
                <c:pt idx="17">
                  <c:v>211.2</c:v>
                </c:pt>
                <c:pt idx="18">
                  <c:v>211.2</c:v>
                </c:pt>
                <c:pt idx="19">
                  <c:v>211.2</c:v>
                </c:pt>
                <c:pt idx="20">
                  <c:v>211.2</c:v>
                </c:pt>
                <c:pt idx="21">
                  <c:v>211.2</c:v>
                </c:pt>
                <c:pt idx="22">
                  <c:v>211.2</c:v>
                </c:pt>
                <c:pt idx="23">
                  <c:v>211.2</c:v>
                </c:pt>
                <c:pt idx="24">
                  <c:v>211.2</c:v>
                </c:pt>
                <c:pt idx="25">
                  <c:v>211.2</c:v>
                </c:pt>
                <c:pt idx="26">
                  <c:v>211.2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1A-4CEE-947C-996C83F53BBF}"/>
            </c:ext>
          </c:extLst>
        </c:ser>
        <c:ser>
          <c:idx val="2"/>
          <c:order val="2"/>
          <c:tx>
            <c:strRef>
              <c:f>Assumptions!$A$8</c:f>
              <c:strCache>
                <c:ptCount val="1"/>
                <c:pt idx="0">
                  <c:v>6000NAR (GCN)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Assumptions!$I$1:$AI$1</c:f>
              <c:numCache>
                <c:formatCode>General</c:formatCode>
                <c:ptCount val="2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</c:numCache>
            </c:numRef>
          </c:cat>
          <c:val>
            <c:numRef>
              <c:f>Assumptions!$I$8:$AI$8</c:f>
              <c:numCache>
                <c:formatCode>_-* #,##0.0_-;\-* #,##0.0_-;_-* "-"??_-;_-@_-</c:formatCode>
                <c:ptCount val="27"/>
                <c:pt idx="1">
                  <c:v>118</c:v>
                </c:pt>
                <c:pt idx="2">
                  <c:v>118</c:v>
                </c:pt>
                <c:pt idx="3">
                  <c:v>118</c:v>
                </c:pt>
                <c:pt idx="4">
                  <c:v>118</c:v>
                </c:pt>
                <c:pt idx="5">
                  <c:v>118</c:v>
                </c:pt>
                <c:pt idx="6">
                  <c:v>118</c:v>
                </c:pt>
                <c:pt idx="7">
                  <c:v>118</c:v>
                </c:pt>
                <c:pt idx="8">
                  <c:v>118</c:v>
                </c:pt>
                <c:pt idx="9">
                  <c:v>118</c:v>
                </c:pt>
                <c:pt idx="10">
                  <c:v>118</c:v>
                </c:pt>
                <c:pt idx="11">
                  <c:v>118</c:v>
                </c:pt>
                <c:pt idx="12">
                  <c:v>118</c:v>
                </c:pt>
                <c:pt idx="13">
                  <c:v>118</c:v>
                </c:pt>
                <c:pt idx="14">
                  <c:v>118</c:v>
                </c:pt>
                <c:pt idx="15">
                  <c:v>118</c:v>
                </c:pt>
                <c:pt idx="16">
                  <c:v>118</c:v>
                </c:pt>
                <c:pt idx="17">
                  <c:v>118</c:v>
                </c:pt>
                <c:pt idx="18">
                  <c:v>118</c:v>
                </c:pt>
                <c:pt idx="19">
                  <c:v>118</c:v>
                </c:pt>
                <c:pt idx="20">
                  <c:v>118</c:v>
                </c:pt>
                <c:pt idx="21">
                  <c:v>118</c:v>
                </c:pt>
                <c:pt idx="22">
                  <c:v>118</c:v>
                </c:pt>
                <c:pt idx="23">
                  <c:v>118</c:v>
                </c:pt>
                <c:pt idx="24">
                  <c:v>118</c:v>
                </c:pt>
                <c:pt idx="25">
                  <c:v>118</c:v>
                </c:pt>
                <c:pt idx="26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1A-4CEE-947C-996C83F53BBF}"/>
            </c:ext>
          </c:extLst>
        </c:ser>
        <c:ser>
          <c:idx val="3"/>
          <c:order val="3"/>
          <c:tx>
            <c:strRef>
              <c:f>Assumptions!$A$9</c:f>
              <c:strCache>
                <c:ptCount val="1"/>
                <c:pt idx="0">
                  <c:v>5500NAR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Assumptions!$I$1:$AI$1</c:f>
              <c:numCache>
                <c:formatCode>General</c:formatCode>
                <c:ptCount val="2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</c:numCache>
            </c:numRef>
          </c:cat>
          <c:val>
            <c:numRef>
              <c:f>Assumptions!$I$9:$AI$9</c:f>
              <c:numCache>
                <c:formatCode>_-* #,##0.0_-;\-* #,##0.0_-;_-* "-"??_-;_-@_-</c:formatCode>
                <c:ptCount val="27"/>
                <c:pt idx="1">
                  <c:v>105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  <c:pt idx="5">
                  <c:v>105</c:v>
                </c:pt>
                <c:pt idx="6">
                  <c:v>105</c:v>
                </c:pt>
                <c:pt idx="7">
                  <c:v>105</c:v>
                </c:pt>
                <c:pt idx="8">
                  <c:v>105</c:v>
                </c:pt>
                <c:pt idx="9">
                  <c:v>105</c:v>
                </c:pt>
                <c:pt idx="10">
                  <c:v>105</c:v>
                </c:pt>
                <c:pt idx="11">
                  <c:v>105</c:v>
                </c:pt>
                <c:pt idx="12">
                  <c:v>105</c:v>
                </c:pt>
                <c:pt idx="13">
                  <c:v>105</c:v>
                </c:pt>
                <c:pt idx="14">
                  <c:v>105</c:v>
                </c:pt>
                <c:pt idx="15">
                  <c:v>105</c:v>
                </c:pt>
                <c:pt idx="16">
                  <c:v>105</c:v>
                </c:pt>
                <c:pt idx="17">
                  <c:v>105</c:v>
                </c:pt>
                <c:pt idx="18">
                  <c:v>105</c:v>
                </c:pt>
                <c:pt idx="19">
                  <c:v>105</c:v>
                </c:pt>
                <c:pt idx="20">
                  <c:v>105</c:v>
                </c:pt>
                <c:pt idx="21">
                  <c:v>105</c:v>
                </c:pt>
                <c:pt idx="22">
                  <c:v>105</c:v>
                </c:pt>
                <c:pt idx="23">
                  <c:v>105</c:v>
                </c:pt>
                <c:pt idx="24">
                  <c:v>105</c:v>
                </c:pt>
                <c:pt idx="25">
                  <c:v>105</c:v>
                </c:pt>
                <c:pt idx="26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1A-4CEE-947C-996C83F53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58096"/>
        <c:axId val="201958656"/>
      </c:lineChart>
      <c:catAx>
        <c:axId val="20195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58656"/>
        <c:crosses val="autoZero"/>
        <c:auto val="1"/>
        <c:lblAlgn val="ctr"/>
        <c:lblOffset val="100"/>
        <c:noMultiLvlLbl val="0"/>
      </c:catAx>
      <c:valAx>
        <c:axId val="201958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5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4066371733339599"/>
          <c:y val="0.70140775441044545"/>
          <c:w val="0.55933628266660407"/>
          <c:h val="0.17510588391640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FOR cash cost/t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Analysis!$A$3</c:f>
              <c:strCache>
                <c:ptCount val="1"/>
                <c:pt idx="0">
                  <c:v>Springbok Coal Complex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Analysis!$C$1:$AH$1</c:f>
              <c:strCache>
                <c:ptCount val="32"/>
                <c:pt idx="0">
                  <c:v>2021Act</c:v>
                </c:pt>
                <c:pt idx="1">
                  <c:v>2022Act</c:v>
                </c:pt>
                <c:pt idx="2">
                  <c:v>2023Act</c:v>
                </c:pt>
                <c:pt idx="3">
                  <c:v>2024Act</c:v>
                </c:pt>
                <c:pt idx="4">
                  <c:v>2025Act</c:v>
                </c:pt>
                <c:pt idx="5">
                  <c:v>2026FYF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  <c:pt idx="30">
                  <c:v>2051</c:v>
                </c:pt>
                <c:pt idx="31">
                  <c:v>2052</c:v>
                </c:pt>
              </c:strCache>
            </c:strRef>
          </c:cat>
          <c:val>
            <c:numRef>
              <c:f>Analysis!$C$3:$AH$3</c:f>
              <c:numCache>
                <c:formatCode>_-* #,##0_-;\-* #,##0_-;_-* "-"??_-;_-@_-</c:formatCode>
                <c:ptCount val="32"/>
                <c:pt idx="0">
                  <c:v>134.97782336075693</c:v>
                </c:pt>
                <c:pt idx="1">
                  <c:v>144.95229671109712</c:v>
                </c:pt>
                <c:pt idx="2">
                  <c:v>136.0829336106346</c:v>
                </c:pt>
                <c:pt idx="3">
                  <c:v>145.64931255567978</c:v>
                </c:pt>
                <c:pt idx="4">
                  <c:v>168.4590832135485</c:v>
                </c:pt>
                <c:pt idx="5">
                  <c:v>147.37336467583452</c:v>
                </c:pt>
                <c:pt idx="6" formatCode="_-* #,##0.0_-;\-* #,##0.0_-;_-* &quot;-&quot;??_-;_-@_-">
                  <c:v>155.73260958016391</c:v>
                </c:pt>
                <c:pt idx="7" formatCode="_-* #,##0.0_-;\-* #,##0.0_-;_-* &quot;-&quot;??_-;_-@_-">
                  <c:v>154.91662221616718</c:v>
                </c:pt>
                <c:pt idx="8" formatCode="_-* #,##0.0_-;\-* #,##0.0_-;_-* &quot;-&quot;??_-;_-@_-">
                  <c:v>149.10247421685659</c:v>
                </c:pt>
                <c:pt idx="9" formatCode="_-* #,##0.0_-;\-* #,##0.0_-;_-* &quot;-&quot;??_-;_-@_-">
                  <c:v>143.5875672814584</c:v>
                </c:pt>
                <c:pt idx="10" formatCode="_-* #,##0.0_-;\-* #,##0.0_-;_-* &quot;-&quot;??_-;_-@_-">
                  <c:v>144.30906933308196</c:v>
                </c:pt>
                <c:pt idx="11" formatCode="_-* #,##0.0_-;\-* #,##0.0_-;_-* &quot;-&quot;??_-;_-@_-">
                  <c:v>#N/A</c:v>
                </c:pt>
                <c:pt idx="12" formatCode="_-* #,##0.0_-;\-* #,##0.0_-;_-* &quot;-&quot;??_-;_-@_-">
                  <c:v>#N/A</c:v>
                </c:pt>
                <c:pt idx="13" formatCode="_-* #,##0.0_-;\-* #,##0.0_-;_-* &quot;-&quot;??_-;_-@_-">
                  <c:v>#N/A</c:v>
                </c:pt>
                <c:pt idx="14" formatCode="_-* #,##0.0_-;\-* #,##0.0_-;_-* &quot;-&quot;??_-;_-@_-">
                  <c:v>#N/A</c:v>
                </c:pt>
                <c:pt idx="15" formatCode="_-* #,##0.0_-;\-* #,##0.0_-;_-* &quot;-&quot;??_-;_-@_-">
                  <c:v>#N/A</c:v>
                </c:pt>
                <c:pt idx="16" formatCode="_-* #,##0.0_-;\-* #,##0.0_-;_-* &quot;-&quot;??_-;_-@_-">
                  <c:v>#N/A</c:v>
                </c:pt>
                <c:pt idx="17" formatCode="_-* #,##0.0_-;\-* #,##0.0_-;_-* &quot;-&quot;??_-;_-@_-">
                  <c:v>#N/A</c:v>
                </c:pt>
                <c:pt idx="18" formatCode="_-* #,##0.0_-;\-* #,##0.0_-;_-* &quot;-&quot;??_-;_-@_-">
                  <c:v>#N/A</c:v>
                </c:pt>
                <c:pt idx="19" formatCode="_-* #,##0.0_-;\-* #,##0.0_-;_-* &quot;-&quot;??_-;_-@_-">
                  <c:v>#N/A</c:v>
                </c:pt>
                <c:pt idx="20" formatCode="_-* #,##0.0_-;\-* #,##0.0_-;_-* &quot;-&quot;??_-;_-@_-">
                  <c:v>#N/A</c:v>
                </c:pt>
                <c:pt idx="21" formatCode="_-* #,##0.0_-;\-* #,##0.0_-;_-* &quot;-&quot;??_-;_-@_-">
                  <c:v>#N/A</c:v>
                </c:pt>
                <c:pt idx="22" formatCode="_-* #,##0.0_-;\-* #,##0.0_-;_-* &quot;-&quot;??_-;_-@_-">
                  <c:v>#N/A</c:v>
                </c:pt>
                <c:pt idx="23" formatCode="_-* #,##0.0_-;\-* #,##0.0_-;_-* &quot;-&quot;??_-;_-@_-">
                  <c:v>#N/A</c:v>
                </c:pt>
                <c:pt idx="24" formatCode="_-* #,##0.0_-;\-* #,##0.0_-;_-* &quot;-&quot;??_-;_-@_-">
                  <c:v>#N/A</c:v>
                </c:pt>
                <c:pt idx="25" formatCode="_-* #,##0.0_-;\-* #,##0.0_-;_-* &quot;-&quot;??_-;_-@_-">
                  <c:v>#N/A</c:v>
                </c:pt>
                <c:pt idx="26" formatCode="_-* #,##0.0_-;\-* #,##0.0_-;_-* &quot;-&quot;??_-;_-@_-">
                  <c:v>#N/A</c:v>
                </c:pt>
                <c:pt idx="27" formatCode="_-* #,##0.0_-;\-* #,##0.0_-;_-* &quot;-&quot;??_-;_-@_-">
                  <c:v>#N/A</c:v>
                </c:pt>
                <c:pt idx="28" formatCode="_-* #,##0.0_-;\-* #,##0.0_-;_-* &quot;-&quot;??_-;_-@_-">
                  <c:v>#N/A</c:v>
                </c:pt>
                <c:pt idx="29" formatCode="_-* #,##0.0_-;\-* #,##0.0_-;_-* &quot;-&quot;??_-;_-@_-">
                  <c:v>#N/A</c:v>
                </c:pt>
                <c:pt idx="30" formatCode="_-* #,##0.0_-;\-* #,##0.0_-;_-* &quot;-&quot;??_-;_-@_-">
                  <c:v>#N/A</c:v>
                </c:pt>
                <c:pt idx="31" formatCode="_-* #,##0.0_-;\-* #,##0.0_-;_-* &quot;-&quot;??_-;_-@_-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F3-4075-86AF-4082B460508D}"/>
            </c:ext>
          </c:extLst>
        </c:ser>
        <c:ser>
          <c:idx val="1"/>
          <c:order val="1"/>
          <c:tx>
            <c:strRef>
              <c:f>Analysis!$A$4</c:f>
              <c:strCache>
                <c:ptCount val="1"/>
                <c:pt idx="0">
                  <c:v>Brave Blossom UG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Analysis!$C$1:$AH$1</c:f>
              <c:strCache>
                <c:ptCount val="32"/>
                <c:pt idx="0">
                  <c:v>2021Act</c:v>
                </c:pt>
                <c:pt idx="1">
                  <c:v>2022Act</c:v>
                </c:pt>
                <c:pt idx="2">
                  <c:v>2023Act</c:v>
                </c:pt>
                <c:pt idx="3">
                  <c:v>2024Act</c:v>
                </c:pt>
                <c:pt idx="4">
                  <c:v>2025Act</c:v>
                </c:pt>
                <c:pt idx="5">
                  <c:v>2026FYF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  <c:pt idx="30">
                  <c:v>2051</c:v>
                </c:pt>
                <c:pt idx="31">
                  <c:v>2052</c:v>
                </c:pt>
              </c:strCache>
            </c:strRef>
          </c:cat>
          <c:val>
            <c:numRef>
              <c:f>Analysis!$C$4:$AH$4</c:f>
              <c:numCache>
                <c:formatCode>_-* #,##0_-;\-* #,##0_-;_-* "-"??_-;_-@_-</c:formatCode>
                <c:ptCount val="32"/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1088.3875503487573</c:v>
                </c:pt>
                <c:pt idx="11">
                  <c:v>1241.8898590234796</c:v>
                </c:pt>
                <c:pt idx="12">
                  <c:v>120.40977645828903</c:v>
                </c:pt>
                <c:pt idx="13">
                  <c:v>120.40977645828903</c:v>
                </c:pt>
                <c:pt idx="14">
                  <c:v>120.40977645828903</c:v>
                </c:pt>
                <c:pt idx="15">
                  <c:v>120.40977645828903</c:v>
                </c:pt>
                <c:pt idx="16">
                  <c:v>120.40977645828903</c:v>
                </c:pt>
                <c:pt idx="17">
                  <c:v>120.40977645828903</c:v>
                </c:pt>
                <c:pt idx="18">
                  <c:v>120.40977645828903</c:v>
                </c:pt>
                <c:pt idx="19">
                  <c:v>120.40977645828903</c:v>
                </c:pt>
                <c:pt idx="20">
                  <c:v>120.40977645828903</c:v>
                </c:pt>
                <c:pt idx="21">
                  <c:v>120.40977645828903</c:v>
                </c:pt>
                <c:pt idx="22">
                  <c:v>120.40977645828903</c:v>
                </c:pt>
                <c:pt idx="23">
                  <c:v>120.40977645828903</c:v>
                </c:pt>
                <c:pt idx="24">
                  <c:v>120.40977645828903</c:v>
                </c:pt>
                <c:pt idx="25">
                  <c:v>120.40977645828903</c:v>
                </c:pt>
                <c:pt idx="26">
                  <c:v>120.40977645828903</c:v>
                </c:pt>
                <c:pt idx="27">
                  <c:v>114.59172682091442</c:v>
                </c:pt>
                <c:pt idx="28">
                  <c:v>104.64396284829721</c:v>
                </c:pt>
                <c:pt idx="29">
                  <c:v>104.64396284829721</c:v>
                </c:pt>
                <c:pt idx="30">
                  <c:v>#N/A</c:v>
                </c:pt>
                <c:pt idx="3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70-47A6-A6F0-708C464F2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45840"/>
        <c:axId val="202046400"/>
      </c:lineChart>
      <c:catAx>
        <c:axId val="20204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46400"/>
        <c:crosses val="autoZero"/>
        <c:auto val="1"/>
        <c:lblAlgn val="ctr"/>
        <c:lblOffset val="100"/>
        <c:noMultiLvlLbl val="0"/>
      </c:catAx>
      <c:valAx>
        <c:axId val="202046400"/>
        <c:scaling>
          <c:orientation val="minMax"/>
          <c:max val="3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Analysis!$B$3</c:f>
              <c:strCache>
                <c:ptCount val="1"/>
                <c:pt idx="0">
                  <c:v>AUD/t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4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Analysis!$A$10</c:f>
          <c:strCache>
            <c:ptCount val="1"/>
            <c:pt idx="0">
              <c:v>Net Cashflow Before Tax Combined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Analysis!$A$11</c:f>
              <c:strCache>
                <c:ptCount val="1"/>
                <c:pt idx="0">
                  <c:v> Springbok Coal Complex + Brave Blossom UG - Project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Analysis!$C$1:$AH$1</c:f>
              <c:strCache>
                <c:ptCount val="32"/>
                <c:pt idx="0">
                  <c:v>2021Act</c:v>
                </c:pt>
                <c:pt idx="1">
                  <c:v>2022Act</c:v>
                </c:pt>
                <c:pt idx="2">
                  <c:v>2023Act</c:v>
                </c:pt>
                <c:pt idx="3">
                  <c:v>2024Act</c:v>
                </c:pt>
                <c:pt idx="4">
                  <c:v>2025Act</c:v>
                </c:pt>
                <c:pt idx="5">
                  <c:v>2026FYF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  <c:pt idx="30">
                  <c:v>2051</c:v>
                </c:pt>
                <c:pt idx="31">
                  <c:v>2052</c:v>
                </c:pt>
              </c:strCache>
            </c:strRef>
          </c:cat>
          <c:val>
            <c:numRef>
              <c:f>Analysis!$C$11:$AH$11</c:f>
              <c:numCache>
                <c:formatCode>_-* #,##0_-;\(#,##0\);_-* "-"??_-;_-@_-</c:formatCode>
                <c:ptCount val="32"/>
                <c:pt idx="0">
                  <c:v>522475.42611604056</c:v>
                </c:pt>
                <c:pt idx="1">
                  <c:v>545821.2731273945</c:v>
                </c:pt>
                <c:pt idx="2">
                  <c:v>482741.52718257502</c:v>
                </c:pt>
                <c:pt idx="3">
                  <c:v>438805.48333784897</c:v>
                </c:pt>
                <c:pt idx="4">
                  <c:v>351060.19457180321</c:v>
                </c:pt>
                <c:pt idx="5">
                  <c:v>461475.22811854357</c:v>
                </c:pt>
                <c:pt idx="6">
                  <c:v>226119.29530439986</c:v>
                </c:pt>
                <c:pt idx="7">
                  <c:v>287082.16730558011</c:v>
                </c:pt>
                <c:pt idx="8">
                  <c:v>379815.77281816554</c:v>
                </c:pt>
                <c:pt idx="9">
                  <c:v>374686.35119821382</c:v>
                </c:pt>
                <c:pt idx="10">
                  <c:v>248973.29513773345</c:v>
                </c:pt>
                <c:pt idx="11">
                  <c:v>-1068927.5539430892</c:v>
                </c:pt>
                <c:pt idx="12">
                  <c:v>452810.39507043106</c:v>
                </c:pt>
                <c:pt idx="13">
                  <c:v>438582.14080753439</c:v>
                </c:pt>
                <c:pt idx="14">
                  <c:v>424306.1746255465</c:v>
                </c:pt>
                <c:pt idx="15">
                  <c:v>409978.84633413091</c:v>
                </c:pt>
                <c:pt idx="16">
                  <c:v>399359.0739416093</c:v>
                </c:pt>
                <c:pt idx="17">
                  <c:v>388920.40552375856</c:v>
                </c:pt>
                <c:pt idx="18">
                  <c:v>374657.06052019302</c:v>
                </c:pt>
                <c:pt idx="19">
                  <c:v>364450.11670210544</c:v>
                </c:pt>
                <c:pt idx="20">
                  <c:v>354413.70588095248</c:v>
                </c:pt>
                <c:pt idx="21">
                  <c:v>344544.37953587621</c:v>
                </c:pt>
                <c:pt idx="22">
                  <c:v>334838.72955486138</c:v>
                </c:pt>
                <c:pt idx="23">
                  <c:v>325293.38966936379</c:v>
                </c:pt>
                <c:pt idx="24">
                  <c:v>320626.30010878196</c:v>
                </c:pt>
                <c:pt idx="25">
                  <c:v>311511.49554575182</c:v>
                </c:pt>
                <c:pt idx="26">
                  <c:v>302547.16529324814</c:v>
                </c:pt>
                <c:pt idx="27">
                  <c:v>313115.52504905895</c:v>
                </c:pt>
                <c:pt idx="28">
                  <c:v>339199.46662884217</c:v>
                </c:pt>
                <c:pt idx="29">
                  <c:v>322099.43222515006</c:v>
                </c:pt>
                <c:pt idx="30">
                  <c:v>-117686.96740781899</c:v>
                </c:pt>
                <c:pt idx="31">
                  <c:v>-91684.509027890483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8-4D83-A5B2-BD1CEB656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49760"/>
        <c:axId val="202050320"/>
      </c:lineChart>
      <c:catAx>
        <c:axId val="20204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50320"/>
        <c:crosses val="autoZero"/>
        <c:auto val="1"/>
        <c:lblAlgn val="ctr"/>
        <c:lblOffset val="100"/>
        <c:noMultiLvlLbl val="0"/>
      </c:catAx>
      <c:valAx>
        <c:axId val="20205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Analysis!$B$7</c:f>
              <c:strCache>
                <c:ptCount val="1"/>
                <c:pt idx="0">
                  <c:v>AUDk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(#,##0\)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4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Discounted Cashflow After Tax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Analysis!$A$22</c:f>
              <c:strCache>
                <c:ptCount val="1"/>
                <c:pt idx="0">
                  <c:v>Brave Blossom UG - Project + Springbok Coal Complex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Analysis!$H$1:$AH$1</c:f>
              <c:strCache>
                <c:ptCount val="27"/>
                <c:pt idx="0">
                  <c:v>2026FYF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</c:strCache>
            </c:strRef>
          </c:cat>
          <c:val>
            <c:numRef>
              <c:f>Analysis!$H$22:$AH$22</c:f>
              <c:numCache>
                <c:formatCode>_-* #,##0_-;\(#,##0\);_-* "-"??_-;_-@_-</c:formatCode>
                <c:ptCount val="27"/>
                <c:pt idx="1">
                  <c:v>83923.787797784666</c:v>
                </c:pt>
                <c:pt idx="2">
                  <c:v>254768.6387791204</c:v>
                </c:pt>
                <c:pt idx="3">
                  <c:v>478333.34451823391</c:v>
                </c:pt>
                <c:pt idx="4">
                  <c:v>686062.88681582722</c:v>
                </c:pt>
                <c:pt idx="5">
                  <c:v>811743.13096017181</c:v>
                </c:pt>
                <c:pt idx="6">
                  <c:v>111711.57599559333</c:v>
                </c:pt>
                <c:pt idx="7">
                  <c:v>295276.21348239051</c:v>
                </c:pt>
                <c:pt idx="8">
                  <c:v>460073.71649587236</c:v>
                </c:pt>
                <c:pt idx="9">
                  <c:v>607881.54829485645</c:v>
                </c:pt>
                <c:pt idx="10">
                  <c:v>740317.63235523412</c:v>
                </c:pt>
                <c:pt idx="11">
                  <c:v>860028.40649991995</c:v>
                </c:pt>
                <c:pt idx="12">
                  <c:v>968249.32110255014</c:v>
                </c:pt>
                <c:pt idx="13">
                  <c:v>1065028.6846997968</c:v>
                </c:pt>
                <c:pt idx="14">
                  <c:v>1152500.177073543</c:v>
                </c:pt>
                <c:pt idx="15">
                  <c:v>1231580.8358294219</c:v>
                </c:pt>
                <c:pt idx="16">
                  <c:v>1303102.1133790058</c:v>
                </c:pt>
                <c:pt idx="17">
                  <c:v>1367818.6750954641</c:v>
                </c:pt>
                <c:pt idx="18">
                  <c:v>1426416.6708320847</c:v>
                </c:pt>
                <c:pt idx="19">
                  <c:v>1480317.5376321967</c:v>
                </c:pt>
                <c:pt idx="20">
                  <c:v>1529258.3404818664</c:v>
                </c:pt>
                <c:pt idx="21">
                  <c:v>1573770.1425045985</c:v>
                </c:pt>
                <c:pt idx="22">
                  <c:v>1617003.6493675455</c:v>
                </c:pt>
                <c:pt idx="23">
                  <c:v>1660939.3079027068</c:v>
                </c:pt>
                <c:pt idx="24">
                  <c:v>1700406.0743121265</c:v>
                </c:pt>
                <c:pt idx="25">
                  <c:v>1682547.5173838711</c:v>
                </c:pt>
                <c:pt idx="26">
                  <c:v>1669665.3125983463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B-40AB-9F73-075208F1EC63}"/>
            </c:ext>
          </c:extLst>
        </c:ser>
        <c:ser>
          <c:idx val="1"/>
          <c:order val="1"/>
          <c:tx>
            <c:strRef>
              <c:f>Analysis!$A$23</c:f>
              <c:strCache>
                <c:ptCount val="1"/>
                <c:pt idx="0">
                  <c:v>Springbok (Base Case)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Analysis!$H$1:$AH$1</c:f>
              <c:strCache>
                <c:ptCount val="27"/>
                <c:pt idx="0">
                  <c:v>2026FYF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</c:strCache>
            </c:strRef>
          </c:cat>
          <c:val>
            <c:numRef>
              <c:f>Analysis!$H$23:$AH$23</c:f>
              <c:numCache>
                <c:formatCode>_-* #,##0_-;\(#,##0\);_-* "-"??_-;_-@_-</c:formatCode>
                <c:ptCount val="27"/>
                <c:pt idx="1">
                  <c:v>83923.787797784666</c:v>
                </c:pt>
                <c:pt idx="2">
                  <c:v>254768.6387791204</c:v>
                </c:pt>
                <c:pt idx="3">
                  <c:v>478333.34451823391</c:v>
                </c:pt>
                <c:pt idx="4">
                  <c:v>686062.88681582722</c:v>
                </c:pt>
                <c:pt idx="5">
                  <c:v>865573.5755484032</c:v>
                </c:pt>
                <c:pt idx="6">
                  <c:v>279445.6949617879</c:v>
                </c:pt>
                <c:pt idx="7">
                  <c:v>279445.6949617879</c:v>
                </c:pt>
                <c:pt idx="8">
                  <c:v>279445.6949617879</c:v>
                </c:pt>
                <c:pt idx="9">
                  <c:v>279445.6949617879</c:v>
                </c:pt>
                <c:pt idx="10">
                  <c:v>279445.6949617879</c:v>
                </c:pt>
                <c:pt idx="11">
                  <c:v>279445.6949617879</c:v>
                </c:pt>
                <c:pt idx="12">
                  <c:v>279445.6949617879</c:v>
                </c:pt>
                <c:pt idx="13">
                  <c:v>279445.6949617879</c:v>
                </c:pt>
                <c:pt idx="14">
                  <c:v>279445.6949617879</c:v>
                </c:pt>
                <c:pt idx="15">
                  <c:v>279445.6949617879</c:v>
                </c:pt>
                <c:pt idx="16">
                  <c:v>279445.6949617879</c:v>
                </c:pt>
                <c:pt idx="17">
                  <c:v>279445.6949617879</c:v>
                </c:pt>
                <c:pt idx="18">
                  <c:v>279445.6949617879</c:v>
                </c:pt>
                <c:pt idx="19">
                  <c:v>279445.6949617879</c:v>
                </c:pt>
                <c:pt idx="20">
                  <c:v>279445.6949617879</c:v>
                </c:pt>
                <c:pt idx="21">
                  <c:v>279445.6949617879</c:v>
                </c:pt>
                <c:pt idx="22">
                  <c:v>279445.6949617879</c:v>
                </c:pt>
                <c:pt idx="23">
                  <c:v>279445.6949617879</c:v>
                </c:pt>
                <c:pt idx="24">
                  <c:v>279445.6949617879</c:v>
                </c:pt>
                <c:pt idx="25">
                  <c:v>279445.6949617879</c:v>
                </c:pt>
                <c:pt idx="26">
                  <c:v>279445.6949617879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5B-40AB-9F73-075208F1E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49760"/>
        <c:axId val="202050320"/>
      </c:lineChart>
      <c:catAx>
        <c:axId val="20204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50320"/>
        <c:crosses val="autoZero"/>
        <c:auto val="1"/>
        <c:lblAlgn val="ctr"/>
        <c:lblOffset val="100"/>
        <c:noMultiLvlLbl val="0"/>
      </c:catAx>
      <c:valAx>
        <c:axId val="20205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Analysis!$B$7</c:f>
              <c:strCache>
                <c:ptCount val="1"/>
                <c:pt idx="0">
                  <c:v>AUDk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4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Discounted Cashflow After Tax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Analysis!$A$22</c:f>
              <c:strCache>
                <c:ptCount val="1"/>
                <c:pt idx="0">
                  <c:v>Brave Blossom UG - Project + Springbok Coal Complex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Analysis!$H$1:$AH$1</c:f>
              <c:strCache>
                <c:ptCount val="27"/>
                <c:pt idx="0">
                  <c:v>2026FYF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</c:strCache>
            </c:strRef>
          </c:cat>
          <c:val>
            <c:numRef>
              <c:f>Analysis!$H$22:$AH$22</c:f>
              <c:numCache>
                <c:formatCode>_-* #,##0_-;\(#,##0\);_-* "-"??_-;_-@_-</c:formatCode>
                <c:ptCount val="27"/>
                <c:pt idx="1">
                  <c:v>83923.787797784666</c:v>
                </c:pt>
                <c:pt idx="2">
                  <c:v>254768.6387791204</c:v>
                </c:pt>
                <c:pt idx="3">
                  <c:v>478333.34451823391</c:v>
                </c:pt>
                <c:pt idx="4">
                  <c:v>686062.88681582722</c:v>
                </c:pt>
                <c:pt idx="5">
                  <c:v>811743.13096017181</c:v>
                </c:pt>
                <c:pt idx="6">
                  <c:v>111711.57599559333</c:v>
                </c:pt>
                <c:pt idx="7">
                  <c:v>295276.21348239051</c:v>
                </c:pt>
                <c:pt idx="8">
                  <c:v>460073.71649587236</c:v>
                </c:pt>
                <c:pt idx="9">
                  <c:v>607881.54829485645</c:v>
                </c:pt>
                <c:pt idx="10">
                  <c:v>740317.63235523412</c:v>
                </c:pt>
                <c:pt idx="11">
                  <c:v>860028.40649991995</c:v>
                </c:pt>
                <c:pt idx="12">
                  <c:v>968249.32110255014</c:v>
                </c:pt>
                <c:pt idx="13">
                  <c:v>1065028.6846997968</c:v>
                </c:pt>
                <c:pt idx="14">
                  <c:v>1152500.177073543</c:v>
                </c:pt>
                <c:pt idx="15">
                  <c:v>1231580.8358294219</c:v>
                </c:pt>
                <c:pt idx="16">
                  <c:v>1303102.1133790058</c:v>
                </c:pt>
                <c:pt idx="17">
                  <c:v>1367818.6750954641</c:v>
                </c:pt>
                <c:pt idx="18">
                  <c:v>1426416.6708320847</c:v>
                </c:pt>
                <c:pt idx="19">
                  <c:v>1480317.5376321967</c:v>
                </c:pt>
                <c:pt idx="20">
                  <c:v>1529258.3404818664</c:v>
                </c:pt>
                <c:pt idx="21">
                  <c:v>1573770.1425045985</c:v>
                </c:pt>
                <c:pt idx="22">
                  <c:v>1617003.6493675455</c:v>
                </c:pt>
                <c:pt idx="23">
                  <c:v>1660939.3079027068</c:v>
                </c:pt>
                <c:pt idx="24">
                  <c:v>1700406.0743121265</c:v>
                </c:pt>
                <c:pt idx="25">
                  <c:v>1682547.5173838711</c:v>
                </c:pt>
                <c:pt idx="26">
                  <c:v>1669665.3125983463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B-435D-81EE-6D11E92C1966}"/>
            </c:ext>
          </c:extLst>
        </c:ser>
        <c:ser>
          <c:idx val="1"/>
          <c:order val="1"/>
          <c:tx>
            <c:strRef>
              <c:f>Analysis!$A$23</c:f>
              <c:strCache>
                <c:ptCount val="1"/>
                <c:pt idx="0">
                  <c:v>Springbok (Base Case)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Analysis!$H$1:$AH$1</c:f>
              <c:strCache>
                <c:ptCount val="27"/>
                <c:pt idx="0">
                  <c:v>2026FYF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</c:strCache>
            </c:strRef>
          </c:cat>
          <c:val>
            <c:numRef>
              <c:f>Analysis!$H$23:$AH$23</c:f>
              <c:numCache>
                <c:formatCode>_-* #,##0_-;\(#,##0\);_-* "-"??_-;_-@_-</c:formatCode>
                <c:ptCount val="27"/>
                <c:pt idx="1">
                  <c:v>83923.787797784666</c:v>
                </c:pt>
                <c:pt idx="2">
                  <c:v>254768.6387791204</c:v>
                </c:pt>
                <c:pt idx="3">
                  <c:v>478333.34451823391</c:v>
                </c:pt>
                <c:pt idx="4">
                  <c:v>686062.88681582722</c:v>
                </c:pt>
                <c:pt idx="5">
                  <c:v>865573.5755484032</c:v>
                </c:pt>
                <c:pt idx="6">
                  <c:v>279445.6949617879</c:v>
                </c:pt>
                <c:pt idx="7">
                  <c:v>279445.6949617879</c:v>
                </c:pt>
                <c:pt idx="8">
                  <c:v>279445.6949617879</c:v>
                </c:pt>
                <c:pt idx="9">
                  <c:v>279445.6949617879</c:v>
                </c:pt>
                <c:pt idx="10">
                  <c:v>279445.6949617879</c:v>
                </c:pt>
                <c:pt idx="11">
                  <c:v>279445.6949617879</c:v>
                </c:pt>
                <c:pt idx="12">
                  <c:v>279445.6949617879</c:v>
                </c:pt>
                <c:pt idx="13">
                  <c:v>279445.6949617879</c:v>
                </c:pt>
                <c:pt idx="14">
                  <c:v>279445.6949617879</c:v>
                </c:pt>
                <c:pt idx="15">
                  <c:v>279445.6949617879</c:v>
                </c:pt>
                <c:pt idx="16">
                  <c:v>279445.6949617879</c:v>
                </c:pt>
                <c:pt idx="17">
                  <c:v>279445.6949617879</c:v>
                </c:pt>
                <c:pt idx="18">
                  <c:v>279445.6949617879</c:v>
                </c:pt>
                <c:pt idx="19">
                  <c:v>279445.6949617879</c:v>
                </c:pt>
                <c:pt idx="20">
                  <c:v>279445.6949617879</c:v>
                </c:pt>
                <c:pt idx="21">
                  <c:v>279445.6949617879</c:v>
                </c:pt>
                <c:pt idx="22">
                  <c:v>279445.6949617879</c:v>
                </c:pt>
                <c:pt idx="23">
                  <c:v>279445.6949617879</c:v>
                </c:pt>
                <c:pt idx="24">
                  <c:v>279445.6949617879</c:v>
                </c:pt>
                <c:pt idx="25">
                  <c:v>279445.6949617879</c:v>
                </c:pt>
                <c:pt idx="26">
                  <c:v>279445.6949617879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7B-435D-81EE-6D11E92C1966}"/>
            </c:ext>
          </c:extLst>
        </c:ser>
        <c:ser>
          <c:idx val="3"/>
          <c:order val="2"/>
          <c:tx>
            <c:strRef>
              <c:f>Analysis!$A$24</c:f>
              <c:strCache>
                <c:ptCount val="1"/>
                <c:pt idx="0">
                  <c:v>Brave Blossom UG Project Standalone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Analysis!$H$1:$AH$1</c:f>
              <c:strCache>
                <c:ptCount val="27"/>
                <c:pt idx="0">
                  <c:v>2026FYF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</c:strCache>
            </c:strRef>
          </c:cat>
          <c:val>
            <c:numRef>
              <c:f>Analysis!$H$24:$AH$24</c:f>
              <c:numCache>
                <c:formatCode>_-* #,##0_-;\(#,##0\);_-* "-"??_-;_-@_-</c:formatCode>
                <c:ptCount val="2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-53830.444588231388</c:v>
                </c:pt>
                <c:pt idx="6">
                  <c:v>-167734.11896619457</c:v>
                </c:pt>
                <c:pt idx="7">
                  <c:v>15830.518520602607</c:v>
                </c:pt>
                <c:pt idx="8">
                  <c:v>180628.02153408443</c:v>
                </c:pt>
                <c:pt idx="9">
                  <c:v>328435.85333306855</c:v>
                </c:pt>
                <c:pt idx="10">
                  <c:v>460871.93739344628</c:v>
                </c:pt>
                <c:pt idx="11">
                  <c:v>580582.71153813216</c:v>
                </c:pt>
                <c:pt idx="12">
                  <c:v>688803.62614076235</c:v>
                </c:pt>
                <c:pt idx="13">
                  <c:v>785582.98973800894</c:v>
                </c:pt>
                <c:pt idx="14">
                  <c:v>873054.48211175518</c:v>
                </c:pt>
                <c:pt idx="15">
                  <c:v>952135.14086763398</c:v>
                </c:pt>
                <c:pt idx="16">
                  <c:v>1023656.4184172178</c:v>
                </c:pt>
                <c:pt idx="17">
                  <c:v>1088372.980133676</c:v>
                </c:pt>
                <c:pt idx="18">
                  <c:v>1146970.9758702966</c:v>
                </c:pt>
                <c:pt idx="19">
                  <c:v>1200871.8426704085</c:v>
                </c:pt>
                <c:pt idx="20">
                  <c:v>1249812.6455200783</c:v>
                </c:pt>
                <c:pt idx="21">
                  <c:v>1294324.4475428103</c:v>
                </c:pt>
                <c:pt idx="22">
                  <c:v>1337557.9544057574</c:v>
                </c:pt>
                <c:pt idx="23">
                  <c:v>1381493.6129409187</c:v>
                </c:pt>
                <c:pt idx="24">
                  <c:v>1420960.3793503384</c:v>
                </c:pt>
                <c:pt idx="25">
                  <c:v>1403101.822422083</c:v>
                </c:pt>
                <c:pt idx="26">
                  <c:v>1390219.6176365581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7B-435D-81EE-6D11E92C1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49760"/>
        <c:axId val="202050320"/>
      </c:lineChart>
      <c:catAx>
        <c:axId val="20204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50320"/>
        <c:crosses val="autoZero"/>
        <c:auto val="1"/>
        <c:lblAlgn val="ctr"/>
        <c:lblOffset val="100"/>
        <c:noMultiLvlLbl val="0"/>
      </c:catAx>
      <c:valAx>
        <c:axId val="20205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Analysis!$B$7</c:f>
              <c:strCache>
                <c:ptCount val="1"/>
                <c:pt idx="0">
                  <c:v>AUDk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4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Analysis!$A$6</c:f>
          <c:strCache>
            <c:ptCount val="1"/>
            <c:pt idx="0">
              <c:v>Net Cashflow Before Tax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Analysis!$A$7</c:f>
              <c:strCache>
                <c:ptCount val="1"/>
                <c:pt idx="0">
                  <c:v>Springbok Coal Complex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Analysis!$C$1:$AC$1</c:f>
              <c:strCache>
                <c:ptCount val="27"/>
                <c:pt idx="0">
                  <c:v>2021Act</c:v>
                </c:pt>
                <c:pt idx="1">
                  <c:v>2022Act</c:v>
                </c:pt>
                <c:pt idx="2">
                  <c:v>2023Act</c:v>
                </c:pt>
                <c:pt idx="3">
                  <c:v>2024Act</c:v>
                </c:pt>
                <c:pt idx="4">
                  <c:v>2025Act</c:v>
                </c:pt>
                <c:pt idx="5">
                  <c:v>2026FYF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</c:strCache>
            </c:strRef>
          </c:cat>
          <c:val>
            <c:numRef>
              <c:f>Analysis!$C$7:$AC$7</c:f>
              <c:numCache>
                <c:formatCode>_-* #,##0_-;\(#,##0\);_-* "-"??_-;_-@_-</c:formatCode>
                <c:ptCount val="27"/>
                <c:pt idx="0">
                  <c:v>522475.42611604056</c:v>
                </c:pt>
                <c:pt idx="1">
                  <c:v>545821.2731273945</c:v>
                </c:pt>
                <c:pt idx="2">
                  <c:v>482741.52718257502</c:v>
                </c:pt>
                <c:pt idx="3">
                  <c:v>438805.48333784897</c:v>
                </c:pt>
                <c:pt idx="4">
                  <c:v>351060.19457180321</c:v>
                </c:pt>
                <c:pt idx="5">
                  <c:v>461475.22811854357</c:v>
                </c:pt>
                <c:pt idx="6">
                  <c:v>226119.29530439986</c:v>
                </c:pt>
                <c:pt idx="7">
                  <c:v>287082.16730558011</c:v>
                </c:pt>
                <c:pt idx="8">
                  <c:v>379815.77281816554</c:v>
                </c:pt>
                <c:pt idx="9">
                  <c:v>374686.35119821382</c:v>
                </c:pt>
                <c:pt idx="10">
                  <c:v>325082.09371192474</c:v>
                </c:pt>
                <c:pt idx="11">
                  <c:v>-895000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23-487F-A36C-72D26F581943}"/>
            </c:ext>
          </c:extLst>
        </c:ser>
        <c:ser>
          <c:idx val="1"/>
          <c:order val="1"/>
          <c:tx>
            <c:strRef>
              <c:f>Analysis!$A$8</c:f>
              <c:strCache>
                <c:ptCount val="1"/>
                <c:pt idx="0">
                  <c:v>Brave Blossom UG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Analysis!$C$1:$AC$1</c:f>
              <c:strCache>
                <c:ptCount val="27"/>
                <c:pt idx="0">
                  <c:v>2021Act</c:v>
                </c:pt>
                <c:pt idx="1">
                  <c:v>2022Act</c:v>
                </c:pt>
                <c:pt idx="2">
                  <c:v>2023Act</c:v>
                </c:pt>
                <c:pt idx="3">
                  <c:v>2024Act</c:v>
                </c:pt>
                <c:pt idx="4">
                  <c:v>2025Act</c:v>
                </c:pt>
                <c:pt idx="5">
                  <c:v>2026FYF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</c:strCache>
            </c:strRef>
          </c:cat>
          <c:val>
            <c:numRef>
              <c:f>Analysis!$C$8:$AC$8</c:f>
              <c:numCache>
                <c:formatCode>_-* #,##0_-;\-* #,##0_-;_-* "-"??_-;_-@_-</c:formatCode>
                <c:ptCount val="27"/>
                <c:pt idx="6" formatCode="_-* #,##0_-;\(#,##0\);_-* &quot;-&quot;??_-;_-@_-">
                  <c:v>#N/A</c:v>
                </c:pt>
                <c:pt idx="7" formatCode="_-* #,##0_-;\(#,##0\);_-* &quot;-&quot;??_-;_-@_-">
                  <c:v>#N/A</c:v>
                </c:pt>
                <c:pt idx="8" formatCode="_-* #,##0_-;\(#,##0\);_-* &quot;-&quot;??_-;_-@_-">
                  <c:v>#N/A</c:v>
                </c:pt>
                <c:pt idx="9" formatCode="_-* #,##0_-;\(#,##0\);_-* &quot;-&quot;??_-;_-@_-">
                  <c:v>#N/A</c:v>
                </c:pt>
                <c:pt idx="10" formatCode="_-* #,##0_-;\(#,##0\);_-* &quot;-&quot;??_-;_-@_-">
                  <c:v>-76108.798574191285</c:v>
                </c:pt>
                <c:pt idx="11" formatCode="_-* #,##0_-;\(#,##0\);_-* &quot;-&quot;??_-;_-@_-">
                  <c:v>-173927.55394308918</c:v>
                </c:pt>
                <c:pt idx="12" formatCode="_-* #,##0_-;\(#,##0\);_-* &quot;-&quot;??_-;_-@_-">
                  <c:v>452810.39507043106</c:v>
                </c:pt>
                <c:pt idx="13" formatCode="_-* #,##0_-;\(#,##0\);_-* &quot;-&quot;??_-;_-@_-">
                  <c:v>438582.14080753439</c:v>
                </c:pt>
                <c:pt idx="14" formatCode="_-* #,##0_-;\(#,##0\);_-* &quot;-&quot;??_-;_-@_-">
                  <c:v>424306.1746255465</c:v>
                </c:pt>
                <c:pt idx="15" formatCode="_-* #,##0_-;\(#,##0\);_-* &quot;-&quot;??_-;_-@_-">
                  <c:v>409978.84633413091</c:v>
                </c:pt>
                <c:pt idx="16" formatCode="_-* #,##0_-;\(#,##0\);_-* &quot;-&quot;??_-;_-@_-">
                  <c:v>399359.0739416093</c:v>
                </c:pt>
                <c:pt idx="17" formatCode="_-* #,##0_-;\(#,##0\);_-* &quot;-&quot;??_-;_-@_-">
                  <c:v>388920.40552375856</c:v>
                </c:pt>
                <c:pt idx="18" formatCode="_-* #,##0_-;\(#,##0\);_-* &quot;-&quot;??_-;_-@_-">
                  <c:v>374657.06052019302</c:v>
                </c:pt>
                <c:pt idx="19" formatCode="_-* #,##0_-;\(#,##0\);_-* &quot;-&quot;??_-;_-@_-">
                  <c:v>364450.11670210544</c:v>
                </c:pt>
                <c:pt idx="20" formatCode="_-* #,##0_-;\(#,##0\);_-* &quot;-&quot;??_-;_-@_-">
                  <c:v>354413.70588095248</c:v>
                </c:pt>
                <c:pt idx="21" formatCode="_-* #,##0_-;\(#,##0\);_-* &quot;-&quot;??_-;_-@_-">
                  <c:v>344544.37953587621</c:v>
                </c:pt>
                <c:pt idx="22" formatCode="_-* #,##0_-;\(#,##0\);_-* &quot;-&quot;??_-;_-@_-">
                  <c:v>334838.72955486138</c:v>
                </c:pt>
                <c:pt idx="23" formatCode="_-* #,##0_-;\(#,##0\);_-* &quot;-&quot;??_-;_-@_-">
                  <c:v>325293.38966936379</c:v>
                </c:pt>
                <c:pt idx="24" formatCode="_-* #,##0_-;\(#,##0\);_-* &quot;-&quot;??_-;_-@_-">
                  <c:v>320626.30010878196</c:v>
                </c:pt>
                <c:pt idx="25" formatCode="_-* #,##0_-;\(#,##0\);_-* &quot;-&quot;??_-;_-@_-">
                  <c:v>311511.49554575182</c:v>
                </c:pt>
                <c:pt idx="26" formatCode="_-* #,##0_-;\(#,##0\);_-* &quot;-&quot;??_-;_-@_-">
                  <c:v>302547.16529324814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23-487F-A36C-72D26F581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49760"/>
        <c:axId val="202050320"/>
      </c:lineChart>
      <c:catAx>
        <c:axId val="20204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50320"/>
        <c:crosses val="autoZero"/>
        <c:auto val="1"/>
        <c:lblAlgn val="ctr"/>
        <c:lblOffset val="100"/>
        <c:noMultiLvlLbl val="0"/>
      </c:catAx>
      <c:valAx>
        <c:axId val="20205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Analysis!$B$7</c:f>
              <c:strCache>
                <c:ptCount val="1"/>
                <c:pt idx="0">
                  <c:v>AUDk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(#,##0\)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4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Springbok Average Revenue &amp; FOB Cost AUD/t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Summary!$B$6:$C$6</c:f>
              <c:strCache>
                <c:ptCount val="2"/>
                <c:pt idx="0">
                  <c:v>Direct Mining Cost</c:v>
                </c:pt>
                <c:pt idx="1">
                  <c:v>AUD/t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Summary!$D$2:$AH$2</c15:sqref>
                  </c15:fullRef>
                </c:ext>
              </c:extLst>
              <c:f>Summary!$D$2:$M$2</c:f>
              <c:strCache>
                <c:ptCount val="10"/>
                <c:pt idx="0">
                  <c:v>2022 A</c:v>
                </c:pt>
                <c:pt idx="1">
                  <c:v>2023 A</c:v>
                </c:pt>
                <c:pt idx="2">
                  <c:v>2024 A</c:v>
                </c:pt>
                <c:pt idx="3">
                  <c:v>2025 A</c:v>
                </c:pt>
                <c:pt idx="4">
                  <c:v>2026 FYF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Summary!$D$6:$AH$6</c15:sqref>
                  </c15:fullRef>
                </c:ext>
              </c:extLst>
              <c:f>Summary!$D$6:$M$6</c:f>
              <c:numCache>
                <c:formatCode>_-* #,##0.0_-;\-* #,##0.0_-;_-* "-"??_-;_-@_-</c:formatCode>
                <c:ptCount val="10"/>
                <c:pt idx="0">
                  <c:v>104.83960816290384</c:v>
                </c:pt>
                <c:pt idx="1">
                  <c:v>101.45796123363795</c:v>
                </c:pt>
                <c:pt idx="2">
                  <c:v>109.42967561158247</c:v>
                </c:pt>
                <c:pt idx="3">
                  <c:v>136.99268460080219</c:v>
                </c:pt>
                <c:pt idx="4">
                  <c:v>110.85683681440911</c:v>
                </c:pt>
                <c:pt idx="5">
                  <c:v>115.96568761697277</c:v>
                </c:pt>
                <c:pt idx="6">
                  <c:v>117.28129856852895</c:v>
                </c:pt>
                <c:pt idx="7">
                  <c:v>112.73986192007662</c:v>
                </c:pt>
                <c:pt idx="8">
                  <c:v>106.38174029143939</c:v>
                </c:pt>
                <c:pt idx="9">
                  <c:v>104.80828421413273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7-40B6-BBD6-DFA69F4DB13F}"/>
            </c:ext>
          </c:extLst>
        </c:ser>
        <c:ser>
          <c:idx val="1"/>
          <c:order val="1"/>
          <c:tx>
            <c:strRef>
              <c:f>Summary!$B$7:$C$7</c:f>
              <c:strCache>
                <c:ptCount val="2"/>
                <c:pt idx="0">
                  <c:v>CHPP Cash Cost</c:v>
                </c:pt>
                <c:pt idx="1">
                  <c:v>AUD/t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Summary!$D$2:$AH$2</c15:sqref>
                  </c15:fullRef>
                </c:ext>
              </c:extLst>
              <c:f>Summary!$D$2:$M$2</c:f>
              <c:strCache>
                <c:ptCount val="10"/>
                <c:pt idx="0">
                  <c:v>2022 A</c:v>
                </c:pt>
                <c:pt idx="1">
                  <c:v>2023 A</c:v>
                </c:pt>
                <c:pt idx="2">
                  <c:v>2024 A</c:v>
                </c:pt>
                <c:pt idx="3">
                  <c:v>2025 A</c:v>
                </c:pt>
                <c:pt idx="4">
                  <c:v>2026 FYF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Summary!$D$7:$AH$7</c15:sqref>
                  </c15:fullRef>
                </c:ext>
              </c:extLst>
              <c:f>Summary!$D$7:$M$7</c:f>
              <c:numCache>
                <c:formatCode>_-* #,##0.0_-;\-* #,##0.0_-;_-* "-"??_-;_-@_-</c:formatCode>
                <c:ptCount val="10"/>
                <c:pt idx="0">
                  <c:v>24.805186542979872</c:v>
                </c:pt>
                <c:pt idx="1">
                  <c:v>19.601722542277802</c:v>
                </c:pt>
                <c:pt idx="2">
                  <c:v>20.12483941482084</c:v>
                </c:pt>
                <c:pt idx="3">
                  <c:v>27.844500331558489</c:v>
                </c:pt>
                <c:pt idx="4">
                  <c:v>18.75398344083051</c:v>
                </c:pt>
                <c:pt idx="5">
                  <c:v>19.929175822685913</c:v>
                </c:pt>
                <c:pt idx="6">
                  <c:v>19.450164965258299</c:v>
                </c:pt>
                <c:pt idx="7">
                  <c:v>19.16416241450364</c:v>
                </c:pt>
                <c:pt idx="8">
                  <c:v>19.353648862422514</c:v>
                </c:pt>
                <c:pt idx="9">
                  <c:v>19.869369790272007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7-40B6-BBD6-DFA69F4DB13F}"/>
            </c:ext>
          </c:extLst>
        </c:ser>
        <c:ser>
          <c:idx val="2"/>
          <c:order val="2"/>
          <c:tx>
            <c:strRef>
              <c:f>Summary!$B$8:$C$8</c:f>
              <c:strCache>
                <c:ptCount val="2"/>
                <c:pt idx="0">
                  <c:v>Overhead &amp; Indirect Cash Cost</c:v>
                </c:pt>
                <c:pt idx="1">
                  <c:v>AUD/t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Summary!$D$2:$AH$2</c15:sqref>
                  </c15:fullRef>
                </c:ext>
              </c:extLst>
              <c:f>Summary!$D$2:$M$2</c:f>
              <c:strCache>
                <c:ptCount val="10"/>
                <c:pt idx="0">
                  <c:v>2022 A</c:v>
                </c:pt>
                <c:pt idx="1">
                  <c:v>2023 A</c:v>
                </c:pt>
                <c:pt idx="2">
                  <c:v>2024 A</c:v>
                </c:pt>
                <c:pt idx="3">
                  <c:v>2025 A</c:v>
                </c:pt>
                <c:pt idx="4">
                  <c:v>2026 FYF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Summary!$D$8:$AH$8</c15:sqref>
                  </c15:fullRef>
                </c:ext>
              </c:extLst>
              <c:f>Summary!$D$8:$M$8</c:f>
              <c:numCache>
                <c:formatCode>_-* #,##0.0_-;\-* #,##0.0_-;_-* "-"??_-;_-@_-</c:formatCode>
                <c:ptCount val="10"/>
                <c:pt idx="0">
                  <c:v>19.845558686984162</c:v>
                </c:pt>
                <c:pt idx="1">
                  <c:v>18.75779811727913</c:v>
                </c:pt>
                <c:pt idx="2">
                  <c:v>17.171115249025888</c:v>
                </c:pt>
                <c:pt idx="3">
                  <c:v>20.93695421212356</c:v>
                </c:pt>
                <c:pt idx="4">
                  <c:v>17.782530478887988</c:v>
                </c:pt>
                <c:pt idx="5">
                  <c:v>19.837746140505221</c:v>
                </c:pt>
                <c:pt idx="6">
                  <c:v>18.185158682379928</c:v>
                </c:pt>
                <c:pt idx="7">
                  <c:v>17.198449882276361</c:v>
                </c:pt>
                <c:pt idx="8">
                  <c:v>17.852178127596488</c:v>
                </c:pt>
                <c:pt idx="9">
                  <c:v>19.631415328677235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7-40B6-BBD6-DFA69F4DB13F}"/>
            </c:ext>
          </c:extLst>
        </c:ser>
        <c:ser>
          <c:idx val="3"/>
          <c:order val="3"/>
          <c:tx>
            <c:strRef>
              <c:f>Summary!$B$9:$C$9</c:f>
              <c:strCache>
                <c:ptCount val="2"/>
                <c:pt idx="0">
                  <c:v>Distribution (excluding Royalty)</c:v>
                </c:pt>
                <c:pt idx="1">
                  <c:v>AUD/t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Summary!$D$2:$AH$2</c15:sqref>
                  </c15:fullRef>
                </c:ext>
              </c:extLst>
              <c:f>Summary!$D$2:$M$2</c:f>
              <c:strCache>
                <c:ptCount val="10"/>
                <c:pt idx="0">
                  <c:v>2022 A</c:v>
                </c:pt>
                <c:pt idx="1">
                  <c:v>2023 A</c:v>
                </c:pt>
                <c:pt idx="2">
                  <c:v>2024 A</c:v>
                </c:pt>
                <c:pt idx="3">
                  <c:v>2025 A</c:v>
                </c:pt>
                <c:pt idx="4">
                  <c:v>2026 FYF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Summary!$D$9:$AH$9</c15:sqref>
                  </c15:fullRef>
                </c:ext>
              </c:extLst>
              <c:f>Summary!$D$9:$M$9</c:f>
              <c:numCache>
                <c:formatCode>_-* #,##0.0_-;\-* #,##0.0_-;_-* "-"??_-;_-@_-</c:formatCode>
                <c:ptCount val="10"/>
                <c:pt idx="0">
                  <c:v>109.19553528449219</c:v>
                </c:pt>
                <c:pt idx="1">
                  <c:v>128.43743372094468</c:v>
                </c:pt>
                <c:pt idx="2">
                  <c:v>96.736443969529077</c:v>
                </c:pt>
                <c:pt idx="3">
                  <c:v>72.174756153650591</c:v>
                </c:pt>
                <c:pt idx="4">
                  <c:v>83.859249839402068</c:v>
                </c:pt>
                <c:pt idx="5">
                  <c:v>34</c:v>
                </c:pt>
                <c:pt idx="6">
                  <c:v>34</c:v>
                </c:pt>
                <c:pt idx="7">
                  <c:v>24</c:v>
                </c:pt>
                <c:pt idx="8">
                  <c:v>23.999999999999996</c:v>
                </c:pt>
                <c:pt idx="9">
                  <c:v>24.000000000000004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17-40B6-BBD6-DFA69F4DB13F}"/>
            </c:ext>
          </c:extLst>
        </c:ser>
        <c:ser>
          <c:idx val="4"/>
          <c:order val="4"/>
          <c:tx>
            <c:strRef>
              <c:f>Summary!$B$10:$C$10</c:f>
              <c:strCache>
                <c:ptCount val="2"/>
                <c:pt idx="0">
                  <c:v>Other Costs (Carbon)</c:v>
                </c:pt>
                <c:pt idx="1">
                  <c:v>AUD/t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Summary!$D$2:$AH$2</c15:sqref>
                  </c15:fullRef>
                </c:ext>
              </c:extLst>
              <c:f>Summary!$D$2:$M$2</c:f>
              <c:strCache>
                <c:ptCount val="10"/>
                <c:pt idx="0">
                  <c:v>2022 A</c:v>
                </c:pt>
                <c:pt idx="1">
                  <c:v>2023 A</c:v>
                </c:pt>
                <c:pt idx="2">
                  <c:v>2024 A</c:v>
                </c:pt>
                <c:pt idx="3">
                  <c:v>2025 A</c:v>
                </c:pt>
                <c:pt idx="4">
                  <c:v>2026 FYF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Summary!$D$10:$AH$10</c15:sqref>
                  </c15:fullRef>
                </c:ext>
              </c:extLst>
              <c:f>Summary!$D$10:$M$10</c:f>
              <c:numCache>
                <c:formatCode>_-* #,##0.0_-;\-* #,##0.0_-;_-* "-"??_-;_-@_-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2.2856573639453068</c:v>
                </c:pt>
                <c:pt idx="3">
                  <c:v>2.4227514130090477</c:v>
                </c:pt>
                <c:pt idx="4">
                  <c:v>6.240171946990003</c:v>
                </c:pt>
                <c:pt idx="5">
                  <c:v>2.8063865687372846</c:v>
                </c:pt>
                <c:pt idx="6">
                  <c:v>3.7689627258748568</c:v>
                </c:pt>
                <c:pt idx="7">
                  <c:v>4.8295072163797927</c:v>
                </c:pt>
                <c:pt idx="8">
                  <c:v>6.2669800678485101</c:v>
                </c:pt>
                <c:pt idx="9">
                  <c:v>8.1149313742665381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17-40B6-BBD6-DFA69F4DB13F}"/>
            </c:ext>
          </c:extLst>
        </c:ser>
        <c:ser>
          <c:idx val="5"/>
          <c:order val="5"/>
          <c:tx>
            <c:strRef>
              <c:f>Summary!$B$11:$C$11</c:f>
              <c:strCache>
                <c:ptCount val="2"/>
                <c:pt idx="0">
                  <c:v>Royalty - Government Export</c:v>
                </c:pt>
                <c:pt idx="1">
                  <c:v>AUD/t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Summary!$D$2:$AH$2</c15:sqref>
                  </c15:fullRef>
                </c:ext>
              </c:extLst>
              <c:f>Summary!$D$2:$M$2</c:f>
              <c:strCache>
                <c:ptCount val="10"/>
                <c:pt idx="0">
                  <c:v>2022 A</c:v>
                </c:pt>
                <c:pt idx="1">
                  <c:v>2023 A</c:v>
                </c:pt>
                <c:pt idx="2">
                  <c:v>2024 A</c:v>
                </c:pt>
                <c:pt idx="3">
                  <c:v>2025 A</c:v>
                </c:pt>
                <c:pt idx="4">
                  <c:v>2026 FYF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Summary!$D$11:$AH$11</c15:sqref>
                  </c15:fullRef>
                </c:ext>
              </c:extLst>
              <c:f>Summary!$D$11:$M$11</c:f>
              <c:numCache>
                <c:formatCode>_-* #,##0.0_-;\-* #,##0.0_-;_-* "-"??_-;_-@_-</c:formatCode>
                <c:ptCount val="10"/>
                <c:pt idx="0">
                  <c:v>51.826536572462139</c:v>
                </c:pt>
                <c:pt idx="1">
                  <c:v>98.144248476398218</c:v>
                </c:pt>
                <c:pt idx="2">
                  <c:v>91.181520301622768</c:v>
                </c:pt>
                <c:pt idx="3">
                  <c:v>84.983637405439836</c:v>
                </c:pt>
                <c:pt idx="4">
                  <c:v>96.567100798004461</c:v>
                </c:pt>
                <c:pt idx="5">
                  <c:v>61.921809782608698</c:v>
                </c:pt>
                <c:pt idx="6">
                  <c:v>63.741704237523507</c:v>
                </c:pt>
                <c:pt idx="7">
                  <c:v>67.494049175638708</c:v>
                </c:pt>
                <c:pt idx="8">
                  <c:v>69.233218452751387</c:v>
                </c:pt>
                <c:pt idx="9">
                  <c:v>70.933105259279174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17-40B6-BBD6-DFA69F4DB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4623199"/>
        <c:axId val="474628959"/>
      </c:barChart>
      <c:lineChart>
        <c:grouping val="standard"/>
        <c:varyColors val="0"/>
        <c:ser>
          <c:idx val="6"/>
          <c:order val="6"/>
          <c:tx>
            <c:strRef>
              <c:f>Summary!$B$4</c:f>
              <c:strCache>
                <c:ptCount val="1"/>
                <c:pt idx="0">
                  <c:v>Average Realisation A$ (Ex-Mine)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Summary!$D$2:$AH$2</c15:sqref>
                  </c15:fullRef>
                </c:ext>
              </c:extLst>
              <c:f>Summary!$D$2:$M$2</c:f>
              <c:strCache>
                <c:ptCount val="10"/>
                <c:pt idx="0">
                  <c:v>2022 A</c:v>
                </c:pt>
                <c:pt idx="1">
                  <c:v>2023 A</c:v>
                </c:pt>
                <c:pt idx="2">
                  <c:v>2024 A</c:v>
                </c:pt>
                <c:pt idx="3">
                  <c:v>2025 A</c:v>
                </c:pt>
                <c:pt idx="4">
                  <c:v>2026 FYF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Summary!$D$4:$AH$4</c15:sqref>
                  </c15:fullRef>
                </c:ext>
              </c:extLst>
              <c:f>Summary!$D$4:$M$4</c:f>
              <c:numCache>
                <c:formatCode>_(* #,##0_);_(* \(#,##0\);_(* "-"??_);_(@_)</c:formatCode>
                <c:ptCount val="10"/>
                <c:pt idx="0">
                  <c:v>502.9849177559596</c:v>
                </c:pt>
                <c:pt idx="1">
                  <c:v>505.24374421538602</c:v>
                </c:pt>
                <c:pt idx="2">
                  <c:v>464.21175131203296</c:v>
                </c:pt>
                <c:pt idx="3">
                  <c:v>431.39634739990049</c:v>
                </c:pt>
                <c:pt idx="4">
                  <c:v>470.08550302383355</c:v>
                </c:pt>
                <c:pt idx="5" formatCode="_-* #,##0_-;\-* #,##0_-;_-* &quot;-&quot;??_-;_-@_-">
                  <c:v>347.82608695652175</c:v>
                </c:pt>
                <c:pt idx="6" formatCode="_-* #,##0_-;\-* #,##0_-;_-* &quot;-&quot;??_-;_-@_-">
                  <c:v>347.82608695652175</c:v>
                </c:pt>
                <c:pt idx="7" formatCode="_-* #,##0_-;\-* #,##0_-;_-* &quot;-&quot;??_-;_-@_-">
                  <c:v>347.82608695652175</c:v>
                </c:pt>
                <c:pt idx="8" formatCode="_-* #,##0_-;\-* #,##0_-;_-* &quot;-&quot;??_-;_-@_-">
                  <c:v>347.82608695652181</c:v>
                </c:pt>
                <c:pt idx="9" formatCode="_-* #,##0_-;\-* #,##0_-;_-* &quot;-&quot;??_-;_-@_-">
                  <c:v>347.82608695652175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17-40B6-BBD6-DFA69F4DB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623199"/>
        <c:axId val="474628959"/>
      </c:lineChart>
      <c:catAx>
        <c:axId val="47462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628959"/>
        <c:crosses val="autoZero"/>
        <c:auto val="1"/>
        <c:lblAlgn val="ctr"/>
        <c:lblOffset val="100"/>
        <c:noMultiLvlLbl val="0"/>
      </c:catAx>
      <c:valAx>
        <c:axId val="47462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623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Brave Blossom Average Revenue &amp; FOB Cost AUD/t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Summary!$B$49:$C$49</c:f>
              <c:strCache>
                <c:ptCount val="2"/>
                <c:pt idx="0">
                  <c:v>Direct Mining Cost</c:v>
                </c:pt>
                <c:pt idx="1">
                  <c:v>AUD/t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Summary!$D$45:$W$45</c15:sqref>
                  </c15:fullRef>
                </c:ext>
              </c:extLst>
              <c:f>Summary!$D$45:$W$45</c:f>
              <c:numCache>
                <c:formatCode>General</c:formatCode>
                <c:ptCount val="20"/>
                <c:pt idx="0">
                  <c:v>2031</c:v>
                </c:pt>
                <c:pt idx="1">
                  <c:v>2032</c:v>
                </c:pt>
                <c:pt idx="2">
                  <c:v>2033</c:v>
                </c:pt>
                <c:pt idx="3">
                  <c:v>2034</c:v>
                </c:pt>
                <c:pt idx="4">
                  <c:v>2035</c:v>
                </c:pt>
                <c:pt idx="5">
                  <c:v>2036</c:v>
                </c:pt>
                <c:pt idx="6">
                  <c:v>2037</c:v>
                </c:pt>
                <c:pt idx="7">
                  <c:v>2038</c:v>
                </c:pt>
                <c:pt idx="8">
                  <c:v>2039</c:v>
                </c:pt>
                <c:pt idx="9">
                  <c:v>2040</c:v>
                </c:pt>
                <c:pt idx="10">
                  <c:v>2041</c:v>
                </c:pt>
                <c:pt idx="11">
                  <c:v>2042</c:v>
                </c:pt>
                <c:pt idx="12">
                  <c:v>2043</c:v>
                </c:pt>
                <c:pt idx="13">
                  <c:v>2044</c:v>
                </c:pt>
                <c:pt idx="14">
                  <c:v>2045</c:v>
                </c:pt>
                <c:pt idx="15">
                  <c:v>2046</c:v>
                </c:pt>
                <c:pt idx="16">
                  <c:v>2047</c:v>
                </c:pt>
                <c:pt idx="17">
                  <c:v>2048</c:v>
                </c:pt>
                <c:pt idx="18">
                  <c:v>2049</c:v>
                </c:pt>
                <c:pt idx="19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Summary!$D$49:$AH$49</c15:sqref>
                  </c15:fullRef>
                </c:ext>
              </c:extLst>
              <c:f>Summary!$D$49:$W$49</c:f>
              <c:numCache>
                <c:formatCode>_-* #,##0.0_-;\-* #,##0.0_-;_-* "-"??_-;_-@_-</c:formatCode>
                <c:ptCount val="20"/>
                <c:pt idx="0">
                  <c:v>822.99218980253454</c:v>
                </c:pt>
                <c:pt idx="1">
                  <c:v>675.62997347480109</c:v>
                </c:pt>
                <c:pt idx="2">
                  <c:v>89.953811308005371</c:v>
                </c:pt>
                <c:pt idx="3">
                  <c:v>89.953811308005371</c:v>
                </c:pt>
                <c:pt idx="4">
                  <c:v>89.953811308005371</c:v>
                </c:pt>
                <c:pt idx="5">
                  <c:v>89.953811308005371</c:v>
                </c:pt>
                <c:pt idx="6">
                  <c:v>89.953811308005371</c:v>
                </c:pt>
                <c:pt idx="7">
                  <c:v>89.953811308005371</c:v>
                </c:pt>
                <c:pt idx="8">
                  <c:v>89.953811308005371</c:v>
                </c:pt>
                <c:pt idx="9">
                  <c:v>89.953811308005371</c:v>
                </c:pt>
                <c:pt idx="10">
                  <c:v>89.953811308005371</c:v>
                </c:pt>
                <c:pt idx="11">
                  <c:v>89.953811308005371</c:v>
                </c:pt>
                <c:pt idx="12">
                  <c:v>89.953811308005371</c:v>
                </c:pt>
                <c:pt idx="13">
                  <c:v>89.953811308005371</c:v>
                </c:pt>
                <c:pt idx="14">
                  <c:v>89.953811308005371</c:v>
                </c:pt>
                <c:pt idx="15">
                  <c:v>89.953811308005371</c:v>
                </c:pt>
                <c:pt idx="16">
                  <c:v>89.953811308005371</c:v>
                </c:pt>
                <c:pt idx="17">
                  <c:v>83.775804118665349</c:v>
                </c:pt>
                <c:pt idx="18">
                  <c:v>77.321981424148603</c:v>
                </c:pt>
                <c:pt idx="19">
                  <c:v>77.321981424148603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D-4F8B-85F0-AAE511626DF4}"/>
            </c:ext>
          </c:extLst>
        </c:ser>
        <c:ser>
          <c:idx val="1"/>
          <c:order val="1"/>
          <c:tx>
            <c:strRef>
              <c:f>Summary!$B$50:$C$50</c:f>
              <c:strCache>
                <c:ptCount val="2"/>
                <c:pt idx="0">
                  <c:v>CHPP Cash Cost</c:v>
                </c:pt>
                <c:pt idx="1">
                  <c:v>AUD/t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Summary!$D$45:$W$45</c15:sqref>
                  </c15:fullRef>
                </c:ext>
              </c:extLst>
              <c:f>Summary!$D$45:$W$45</c:f>
              <c:numCache>
                <c:formatCode>General</c:formatCode>
                <c:ptCount val="20"/>
                <c:pt idx="0">
                  <c:v>2031</c:v>
                </c:pt>
                <c:pt idx="1">
                  <c:v>2032</c:v>
                </c:pt>
                <c:pt idx="2">
                  <c:v>2033</c:v>
                </c:pt>
                <c:pt idx="3">
                  <c:v>2034</c:v>
                </c:pt>
                <c:pt idx="4">
                  <c:v>2035</c:v>
                </c:pt>
                <c:pt idx="5">
                  <c:v>2036</c:v>
                </c:pt>
                <c:pt idx="6">
                  <c:v>2037</c:v>
                </c:pt>
                <c:pt idx="7">
                  <c:v>2038</c:v>
                </c:pt>
                <c:pt idx="8">
                  <c:v>2039</c:v>
                </c:pt>
                <c:pt idx="9">
                  <c:v>2040</c:v>
                </c:pt>
                <c:pt idx="10">
                  <c:v>2041</c:v>
                </c:pt>
                <c:pt idx="11">
                  <c:v>2042</c:v>
                </c:pt>
                <c:pt idx="12">
                  <c:v>2043</c:v>
                </c:pt>
                <c:pt idx="13">
                  <c:v>2044</c:v>
                </c:pt>
                <c:pt idx="14">
                  <c:v>2045</c:v>
                </c:pt>
                <c:pt idx="15">
                  <c:v>2046</c:v>
                </c:pt>
                <c:pt idx="16">
                  <c:v>2047</c:v>
                </c:pt>
                <c:pt idx="17">
                  <c:v>2048</c:v>
                </c:pt>
                <c:pt idx="18">
                  <c:v>2049</c:v>
                </c:pt>
                <c:pt idx="19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Summary!$D$50:$AH$50</c15:sqref>
                  </c15:fullRef>
                </c:ext>
              </c:extLst>
              <c:f>Summary!$D$50:$W$50</c:f>
              <c:numCache>
                <c:formatCode>_-* #,##0.0_-;\-* #,##0.0_-;_-* "-"??_-;_-@_-</c:formatCode>
                <c:ptCount val="20"/>
                <c:pt idx="0">
                  <c:v>265.39536054622261</c:v>
                </c:pt>
                <c:pt idx="1">
                  <c:v>142.59351360644462</c:v>
                </c:pt>
                <c:pt idx="2">
                  <c:v>17.675167317314241</c:v>
                </c:pt>
                <c:pt idx="3">
                  <c:v>17.675167317314241</c:v>
                </c:pt>
                <c:pt idx="4">
                  <c:v>17.675167317314241</c:v>
                </c:pt>
                <c:pt idx="5">
                  <c:v>17.675167317314241</c:v>
                </c:pt>
                <c:pt idx="6">
                  <c:v>17.675167317314241</c:v>
                </c:pt>
                <c:pt idx="7">
                  <c:v>17.675167317314241</c:v>
                </c:pt>
                <c:pt idx="8">
                  <c:v>17.675167317314241</c:v>
                </c:pt>
                <c:pt idx="9">
                  <c:v>17.675167317314241</c:v>
                </c:pt>
                <c:pt idx="10">
                  <c:v>17.675167317314241</c:v>
                </c:pt>
                <c:pt idx="11">
                  <c:v>17.675167317314241</c:v>
                </c:pt>
                <c:pt idx="12">
                  <c:v>17.675167317314241</c:v>
                </c:pt>
                <c:pt idx="13">
                  <c:v>17.675167317314241</c:v>
                </c:pt>
                <c:pt idx="14">
                  <c:v>17.675167317314241</c:v>
                </c:pt>
                <c:pt idx="15">
                  <c:v>17.675167317314241</c:v>
                </c:pt>
                <c:pt idx="16">
                  <c:v>17.675167317314241</c:v>
                </c:pt>
                <c:pt idx="17">
                  <c:v>17.756056654834556</c:v>
                </c:pt>
                <c:pt idx="18">
                  <c:v>13.970588235294118</c:v>
                </c:pt>
                <c:pt idx="19">
                  <c:v>13.970588235294118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D-4F8B-85F0-AAE511626DF4}"/>
            </c:ext>
          </c:extLst>
        </c:ser>
        <c:ser>
          <c:idx val="2"/>
          <c:order val="2"/>
          <c:tx>
            <c:strRef>
              <c:f>Summary!$B$51:$C$51</c:f>
              <c:strCache>
                <c:ptCount val="2"/>
                <c:pt idx="0">
                  <c:v>Overhead &amp; Indirect Cash Cost</c:v>
                </c:pt>
                <c:pt idx="1">
                  <c:v>AUD/t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Summary!$D$45:$W$45</c15:sqref>
                  </c15:fullRef>
                </c:ext>
              </c:extLst>
              <c:f>Summary!$D$45:$W$45</c:f>
              <c:numCache>
                <c:formatCode>General</c:formatCode>
                <c:ptCount val="20"/>
                <c:pt idx="0">
                  <c:v>2031</c:v>
                </c:pt>
                <c:pt idx="1">
                  <c:v>2032</c:v>
                </c:pt>
                <c:pt idx="2">
                  <c:v>2033</c:v>
                </c:pt>
                <c:pt idx="3">
                  <c:v>2034</c:v>
                </c:pt>
                <c:pt idx="4">
                  <c:v>2035</c:v>
                </c:pt>
                <c:pt idx="5">
                  <c:v>2036</c:v>
                </c:pt>
                <c:pt idx="6">
                  <c:v>2037</c:v>
                </c:pt>
                <c:pt idx="7">
                  <c:v>2038</c:v>
                </c:pt>
                <c:pt idx="8">
                  <c:v>2039</c:v>
                </c:pt>
                <c:pt idx="9">
                  <c:v>2040</c:v>
                </c:pt>
                <c:pt idx="10">
                  <c:v>2041</c:v>
                </c:pt>
                <c:pt idx="11">
                  <c:v>2042</c:v>
                </c:pt>
                <c:pt idx="12">
                  <c:v>2043</c:v>
                </c:pt>
                <c:pt idx="13">
                  <c:v>2044</c:v>
                </c:pt>
                <c:pt idx="14">
                  <c:v>2045</c:v>
                </c:pt>
                <c:pt idx="15">
                  <c:v>2046</c:v>
                </c:pt>
                <c:pt idx="16">
                  <c:v>2047</c:v>
                </c:pt>
                <c:pt idx="17">
                  <c:v>2048</c:v>
                </c:pt>
                <c:pt idx="18">
                  <c:v>2049</c:v>
                </c:pt>
                <c:pt idx="19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Summary!$D$51:$AH$51</c15:sqref>
                  </c15:fullRef>
                </c:ext>
              </c:extLst>
              <c:f>Summary!$D$51:$W$51</c:f>
              <c:numCache>
                <c:formatCode>_-* #,##0.0_-;\-* #,##0.0_-;_-* "-"??_-;_-@_-</c:formatCode>
                <c:ptCount val="20"/>
                <c:pt idx="0">
                  <c:v>0</c:v>
                </c:pt>
                <c:pt idx="1">
                  <c:v>423.66637194223398</c:v>
                </c:pt>
                <c:pt idx="2">
                  <c:v>12.780797832969419</c:v>
                </c:pt>
                <c:pt idx="3">
                  <c:v>12.780797832969419</c:v>
                </c:pt>
                <c:pt idx="4">
                  <c:v>12.780797832969419</c:v>
                </c:pt>
                <c:pt idx="5">
                  <c:v>12.780797832969419</c:v>
                </c:pt>
                <c:pt idx="6">
                  <c:v>12.780797832969419</c:v>
                </c:pt>
                <c:pt idx="7">
                  <c:v>12.780797832969419</c:v>
                </c:pt>
                <c:pt idx="8">
                  <c:v>12.780797832969419</c:v>
                </c:pt>
                <c:pt idx="9">
                  <c:v>12.780797832969419</c:v>
                </c:pt>
                <c:pt idx="10">
                  <c:v>12.780797832969419</c:v>
                </c:pt>
                <c:pt idx="11">
                  <c:v>12.780797832969419</c:v>
                </c:pt>
                <c:pt idx="12">
                  <c:v>12.780797832969419</c:v>
                </c:pt>
                <c:pt idx="13">
                  <c:v>12.780797832969419</c:v>
                </c:pt>
                <c:pt idx="14">
                  <c:v>12.780797832969419</c:v>
                </c:pt>
                <c:pt idx="15">
                  <c:v>12.780797832969419</c:v>
                </c:pt>
                <c:pt idx="16">
                  <c:v>12.780797832969419</c:v>
                </c:pt>
                <c:pt idx="17">
                  <c:v>13.059866047414506</c:v>
                </c:pt>
                <c:pt idx="18">
                  <c:v>13.351393188854489</c:v>
                </c:pt>
                <c:pt idx="19">
                  <c:v>13.351393188854489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8D-4F8B-85F0-AAE511626DF4}"/>
            </c:ext>
          </c:extLst>
        </c:ser>
        <c:ser>
          <c:idx val="3"/>
          <c:order val="3"/>
          <c:tx>
            <c:strRef>
              <c:f>Summary!$B$52:$C$52</c:f>
              <c:strCache>
                <c:ptCount val="2"/>
                <c:pt idx="0">
                  <c:v>Distribution (excluding Royalty)</c:v>
                </c:pt>
                <c:pt idx="1">
                  <c:v>AUD/t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Summary!$D$45:$W$45</c15:sqref>
                  </c15:fullRef>
                </c:ext>
              </c:extLst>
              <c:f>Summary!$D$45:$W$45</c:f>
              <c:numCache>
                <c:formatCode>General</c:formatCode>
                <c:ptCount val="20"/>
                <c:pt idx="0">
                  <c:v>2031</c:v>
                </c:pt>
                <c:pt idx="1">
                  <c:v>2032</c:v>
                </c:pt>
                <c:pt idx="2">
                  <c:v>2033</c:v>
                </c:pt>
                <c:pt idx="3">
                  <c:v>2034</c:v>
                </c:pt>
                <c:pt idx="4">
                  <c:v>2035</c:v>
                </c:pt>
                <c:pt idx="5">
                  <c:v>2036</c:v>
                </c:pt>
                <c:pt idx="6">
                  <c:v>2037</c:v>
                </c:pt>
                <c:pt idx="7">
                  <c:v>2038</c:v>
                </c:pt>
                <c:pt idx="8">
                  <c:v>2039</c:v>
                </c:pt>
                <c:pt idx="9">
                  <c:v>2040</c:v>
                </c:pt>
                <c:pt idx="10">
                  <c:v>2041</c:v>
                </c:pt>
                <c:pt idx="11">
                  <c:v>2042</c:v>
                </c:pt>
                <c:pt idx="12">
                  <c:v>2043</c:v>
                </c:pt>
                <c:pt idx="13">
                  <c:v>2044</c:v>
                </c:pt>
                <c:pt idx="14">
                  <c:v>2045</c:v>
                </c:pt>
                <c:pt idx="15">
                  <c:v>2046</c:v>
                </c:pt>
                <c:pt idx="16">
                  <c:v>2047</c:v>
                </c:pt>
                <c:pt idx="17">
                  <c:v>2048</c:v>
                </c:pt>
                <c:pt idx="18">
                  <c:v>2049</c:v>
                </c:pt>
                <c:pt idx="19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Summary!$D$52:$AH$52</c15:sqref>
                  </c15:fullRef>
                </c:ext>
              </c:extLst>
              <c:f>Summary!$D$52:$W$52</c:f>
              <c:numCache>
                <c:formatCode>_-* #,##0.0_-;\-* #,##0.0_-;_-* "-"??_-;_-@_-</c:formatCode>
                <c:ptCount val="20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8D-4F8B-85F0-AAE511626DF4}"/>
            </c:ext>
          </c:extLst>
        </c:ser>
        <c:ser>
          <c:idx val="4"/>
          <c:order val="4"/>
          <c:tx>
            <c:strRef>
              <c:f>Summary!$B$10:$C$10</c:f>
              <c:strCache>
                <c:ptCount val="2"/>
                <c:pt idx="0">
                  <c:v>Other Costs (Carbon)</c:v>
                </c:pt>
                <c:pt idx="1">
                  <c:v>AUD/t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Summary!$D$45:$W$45</c15:sqref>
                  </c15:fullRef>
                </c:ext>
              </c:extLst>
              <c:f>Summary!$D$45:$W$45</c:f>
              <c:numCache>
                <c:formatCode>General</c:formatCode>
                <c:ptCount val="20"/>
                <c:pt idx="0">
                  <c:v>2031</c:v>
                </c:pt>
                <c:pt idx="1">
                  <c:v>2032</c:v>
                </c:pt>
                <c:pt idx="2">
                  <c:v>2033</c:v>
                </c:pt>
                <c:pt idx="3">
                  <c:v>2034</c:v>
                </c:pt>
                <c:pt idx="4">
                  <c:v>2035</c:v>
                </c:pt>
                <c:pt idx="5">
                  <c:v>2036</c:v>
                </c:pt>
                <c:pt idx="6">
                  <c:v>2037</c:v>
                </c:pt>
                <c:pt idx="7">
                  <c:v>2038</c:v>
                </c:pt>
                <c:pt idx="8">
                  <c:v>2039</c:v>
                </c:pt>
                <c:pt idx="9">
                  <c:v>2040</c:v>
                </c:pt>
                <c:pt idx="10">
                  <c:v>2041</c:v>
                </c:pt>
                <c:pt idx="11">
                  <c:v>2042</c:v>
                </c:pt>
                <c:pt idx="12">
                  <c:v>2043</c:v>
                </c:pt>
                <c:pt idx="13">
                  <c:v>2044</c:v>
                </c:pt>
                <c:pt idx="14">
                  <c:v>2045</c:v>
                </c:pt>
                <c:pt idx="15">
                  <c:v>2046</c:v>
                </c:pt>
                <c:pt idx="16">
                  <c:v>2047</c:v>
                </c:pt>
                <c:pt idx="17">
                  <c:v>2048</c:v>
                </c:pt>
                <c:pt idx="18">
                  <c:v>2049</c:v>
                </c:pt>
                <c:pt idx="19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Summary!$D$10:$AH$10</c15:sqref>
                  </c15:fullRef>
                </c:ext>
              </c:extLst>
              <c:f>Summary!$D$10:$W$10</c:f>
              <c:numCache>
                <c:formatCode>_-* #,##0.0_-;\-* #,##0.0_-;_-* "-"??_-;_-@_-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2.2856573639453068</c:v>
                </c:pt>
                <c:pt idx="3">
                  <c:v>2.4227514130090477</c:v>
                </c:pt>
                <c:pt idx="4">
                  <c:v>6.240171946990003</c:v>
                </c:pt>
                <c:pt idx="5">
                  <c:v>2.8063865687372846</c:v>
                </c:pt>
                <c:pt idx="6">
                  <c:v>3.7689627258748568</c:v>
                </c:pt>
                <c:pt idx="7">
                  <c:v>4.8295072163797927</c:v>
                </c:pt>
                <c:pt idx="8">
                  <c:v>6.2669800678485101</c:v>
                </c:pt>
                <c:pt idx="9">
                  <c:v>8.1149313742665381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8D-4F8B-85F0-AAE511626DF4}"/>
            </c:ext>
          </c:extLst>
        </c:ser>
        <c:ser>
          <c:idx val="5"/>
          <c:order val="5"/>
          <c:tx>
            <c:strRef>
              <c:f>Summary!$B$54:$C$54</c:f>
              <c:strCache>
                <c:ptCount val="2"/>
                <c:pt idx="0">
                  <c:v>Royalty - Government Export</c:v>
                </c:pt>
                <c:pt idx="1">
                  <c:v>AUD/t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Summary!$D$45:$W$45</c15:sqref>
                  </c15:fullRef>
                </c:ext>
              </c:extLst>
              <c:f>Summary!$D$45:$W$45</c:f>
              <c:numCache>
                <c:formatCode>General</c:formatCode>
                <c:ptCount val="20"/>
                <c:pt idx="0">
                  <c:v>2031</c:v>
                </c:pt>
                <c:pt idx="1">
                  <c:v>2032</c:v>
                </c:pt>
                <c:pt idx="2">
                  <c:v>2033</c:v>
                </c:pt>
                <c:pt idx="3">
                  <c:v>2034</c:v>
                </c:pt>
                <c:pt idx="4">
                  <c:v>2035</c:v>
                </c:pt>
                <c:pt idx="5">
                  <c:v>2036</c:v>
                </c:pt>
                <c:pt idx="6">
                  <c:v>2037</c:v>
                </c:pt>
                <c:pt idx="7">
                  <c:v>2038</c:v>
                </c:pt>
                <c:pt idx="8">
                  <c:v>2039</c:v>
                </c:pt>
                <c:pt idx="9">
                  <c:v>2040</c:v>
                </c:pt>
                <c:pt idx="10">
                  <c:v>2041</c:v>
                </c:pt>
                <c:pt idx="11">
                  <c:v>2042</c:v>
                </c:pt>
                <c:pt idx="12">
                  <c:v>2043</c:v>
                </c:pt>
                <c:pt idx="13">
                  <c:v>2044</c:v>
                </c:pt>
                <c:pt idx="14">
                  <c:v>2045</c:v>
                </c:pt>
                <c:pt idx="15">
                  <c:v>2046</c:v>
                </c:pt>
                <c:pt idx="16">
                  <c:v>2047</c:v>
                </c:pt>
                <c:pt idx="17">
                  <c:v>2048</c:v>
                </c:pt>
                <c:pt idx="18">
                  <c:v>2049</c:v>
                </c:pt>
                <c:pt idx="19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Summary!$D$54:$AH$54</c15:sqref>
                  </c15:fullRef>
                </c:ext>
              </c:extLst>
              <c:f>Summary!$D$54:$W$54</c:f>
              <c:numCache>
                <c:formatCode>_-* #,##0.0_-;\-* #,##0.0_-;_-* "-"??_-;_-@_-</c:formatCode>
                <c:ptCount val="20"/>
                <c:pt idx="0">
                  <c:v>55.122406838829349</c:v>
                </c:pt>
                <c:pt idx="1">
                  <c:v>56.756758146417894</c:v>
                </c:pt>
                <c:pt idx="2">
                  <c:v>58.354185870330376</c:v>
                </c:pt>
                <c:pt idx="3">
                  <c:v>59.915374707925707</c:v>
                </c:pt>
                <c:pt idx="4">
                  <c:v>61.441005365568891</c:v>
                </c:pt>
                <c:pt idx="5">
                  <c:v>62.931753964198272</c:v>
                </c:pt>
                <c:pt idx="6">
                  <c:v>64.388291495785211</c:v>
                </c:pt>
                <c:pt idx="7">
                  <c:v>65.811283327560318</c:v>
                </c:pt>
                <c:pt idx="8">
                  <c:v>67.201388751054239</c:v>
                </c:pt>
                <c:pt idx="9">
                  <c:v>68.559260573164011</c:v>
                </c:pt>
                <c:pt idx="10">
                  <c:v>69.885544746611828</c:v>
                </c:pt>
                <c:pt idx="11">
                  <c:v>71.180880037309436</c:v>
                </c:pt>
                <c:pt idx="12">
                  <c:v>72.445897726280933</c:v>
                </c:pt>
                <c:pt idx="13">
                  <c:v>73.681221343927902</c:v>
                </c:pt>
                <c:pt idx="14">
                  <c:v>74.887466434546184</c:v>
                </c:pt>
                <c:pt idx="15">
                  <c:v>76.065240349120742</c:v>
                </c:pt>
                <c:pt idx="16">
                  <c:v>77.215142064537432</c:v>
                </c:pt>
                <c:pt idx="17">
                  <c:v>78.337762027456165</c:v>
                </c:pt>
                <c:pt idx="18">
                  <c:v>79.433682021189128</c:v>
                </c:pt>
                <c:pt idx="19">
                  <c:v>80.503475054024307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8D-4F8B-85F0-AAE511626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4623199"/>
        <c:axId val="474628959"/>
      </c:barChart>
      <c:lineChart>
        <c:grouping val="standard"/>
        <c:varyColors val="0"/>
        <c:ser>
          <c:idx val="6"/>
          <c:order val="6"/>
          <c:tx>
            <c:strRef>
              <c:f>Summary!$B$47</c:f>
              <c:strCache>
                <c:ptCount val="1"/>
                <c:pt idx="0">
                  <c:v>Average Realisation A$ (Ex-Mine)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Summary!$D$45:$AH$45</c15:sqref>
                  </c15:fullRef>
                </c:ext>
              </c:extLst>
              <c:f>Summary!$D$45:$W$45</c:f>
              <c:numCache>
                <c:formatCode>General</c:formatCode>
                <c:ptCount val="20"/>
                <c:pt idx="0">
                  <c:v>2031</c:v>
                </c:pt>
                <c:pt idx="1">
                  <c:v>2032</c:v>
                </c:pt>
                <c:pt idx="2">
                  <c:v>2033</c:v>
                </c:pt>
                <c:pt idx="3">
                  <c:v>2034</c:v>
                </c:pt>
                <c:pt idx="4">
                  <c:v>2035</c:v>
                </c:pt>
                <c:pt idx="5">
                  <c:v>2036</c:v>
                </c:pt>
                <c:pt idx="6">
                  <c:v>2037</c:v>
                </c:pt>
                <c:pt idx="7">
                  <c:v>2038</c:v>
                </c:pt>
                <c:pt idx="8">
                  <c:v>2039</c:v>
                </c:pt>
                <c:pt idx="9">
                  <c:v>2040</c:v>
                </c:pt>
                <c:pt idx="10">
                  <c:v>2041</c:v>
                </c:pt>
                <c:pt idx="11">
                  <c:v>2042</c:v>
                </c:pt>
                <c:pt idx="12">
                  <c:v>2043</c:v>
                </c:pt>
                <c:pt idx="13">
                  <c:v>2044</c:v>
                </c:pt>
                <c:pt idx="14">
                  <c:v>2045</c:v>
                </c:pt>
                <c:pt idx="15">
                  <c:v>2046</c:v>
                </c:pt>
                <c:pt idx="16">
                  <c:v>2047</c:v>
                </c:pt>
                <c:pt idx="17">
                  <c:v>2048</c:v>
                </c:pt>
                <c:pt idx="18">
                  <c:v>2049</c:v>
                </c:pt>
                <c:pt idx="19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Summary!$D$47:$AH$47</c15:sqref>
                  </c15:fullRef>
                </c:ext>
              </c:extLst>
              <c:f>Summary!$D$47:$W$47</c:f>
              <c:numCache>
                <c:formatCode>_-* #,##0_-;\-* #,##0_-;_-* "-"??_-;_-@_-</c:formatCode>
                <c:ptCount val="20"/>
                <c:pt idx="0">
                  <c:v>306.08695652173913</c:v>
                </c:pt>
                <c:pt idx="1">
                  <c:v>306.08695652173913</c:v>
                </c:pt>
                <c:pt idx="2">
                  <c:v>306.08695652173913</c:v>
                </c:pt>
                <c:pt idx="3">
                  <c:v>306.08695652173913</c:v>
                </c:pt>
                <c:pt idx="4">
                  <c:v>306.08695652173913</c:v>
                </c:pt>
                <c:pt idx="5">
                  <c:v>306.08695652173913</c:v>
                </c:pt>
                <c:pt idx="6">
                  <c:v>306.08695652173913</c:v>
                </c:pt>
                <c:pt idx="7">
                  <c:v>306.08695652173913</c:v>
                </c:pt>
                <c:pt idx="8">
                  <c:v>306.08695652173913</c:v>
                </c:pt>
                <c:pt idx="9">
                  <c:v>306.08695652173913</c:v>
                </c:pt>
                <c:pt idx="10">
                  <c:v>306.08695652173913</c:v>
                </c:pt>
                <c:pt idx="11">
                  <c:v>306.08695652173913</c:v>
                </c:pt>
                <c:pt idx="12">
                  <c:v>306.08695652173913</c:v>
                </c:pt>
                <c:pt idx="13">
                  <c:v>306.08695652173913</c:v>
                </c:pt>
                <c:pt idx="14">
                  <c:v>306.08695652173913</c:v>
                </c:pt>
                <c:pt idx="15">
                  <c:v>306.08695652173913</c:v>
                </c:pt>
                <c:pt idx="16">
                  <c:v>306.08695652173913</c:v>
                </c:pt>
                <c:pt idx="17">
                  <c:v>306.08695652173918</c:v>
                </c:pt>
                <c:pt idx="18">
                  <c:v>306.08695652173913</c:v>
                </c:pt>
                <c:pt idx="19">
                  <c:v>306.08695652173913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8D-4F8B-85F0-AAE511626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623199"/>
        <c:axId val="474628959"/>
      </c:lineChart>
      <c:catAx>
        <c:axId val="47462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628959"/>
        <c:crosses val="autoZero"/>
        <c:auto val="1"/>
        <c:lblAlgn val="ctr"/>
        <c:lblOffset val="100"/>
        <c:noMultiLvlLbl val="0"/>
      </c:catAx>
      <c:valAx>
        <c:axId val="474628959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623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114300</xdr:colOff>
      <xdr:row>2</xdr:row>
      <xdr:rowOff>142875</xdr:rowOff>
    </xdr:from>
    <xdr:to>
      <xdr:col>47</xdr:col>
      <xdr:colOff>466725</xdr:colOff>
      <xdr:row>22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588510</xdr:colOff>
      <xdr:row>44</xdr:row>
      <xdr:rowOff>74092</xdr:rowOff>
    </xdr:from>
    <xdr:to>
      <xdr:col>50</xdr:col>
      <xdr:colOff>565295</xdr:colOff>
      <xdr:row>64</xdr:row>
      <xdr:rowOff>97413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126707</xdr:colOff>
      <xdr:row>24</xdr:row>
      <xdr:rowOff>124945</xdr:rowOff>
    </xdr:from>
    <xdr:to>
      <xdr:col>20</xdr:col>
      <xdr:colOff>427985</xdr:colOff>
      <xdr:row>44</xdr:row>
      <xdr:rowOff>91608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8215BE-1E33-4135-AEAB-C9A3EA933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45</xdr:row>
      <xdr:rowOff>31377</xdr:rowOff>
    </xdr:from>
    <xdr:to>
      <xdr:col>20</xdr:col>
      <xdr:colOff>458800</xdr:colOff>
      <xdr:row>62</xdr:row>
      <xdr:rowOff>180920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41807-E082-4BC2-A53A-A152BF528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495301</xdr:colOff>
      <xdr:row>45</xdr:row>
      <xdr:rowOff>19050</xdr:rowOff>
    </xdr:from>
    <xdr:to>
      <xdr:col>33</xdr:col>
      <xdr:colOff>361951</xdr:colOff>
      <xdr:row>62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7C345A-CA72-4CFA-9B7D-A44C3B839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642936</xdr:colOff>
      <xdr:row>24</xdr:row>
      <xdr:rowOff>95250</xdr:rowOff>
    </xdr:from>
    <xdr:to>
      <xdr:col>33</xdr:col>
      <xdr:colOff>809624</xdr:colOff>
      <xdr:row>44</xdr:row>
      <xdr:rowOff>61913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8A452F-2B82-40B5-B56D-7C839FAC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16</xdr:row>
      <xdr:rowOff>104775</xdr:rowOff>
    </xdr:from>
    <xdr:to>
      <xdr:col>17</xdr:col>
      <xdr:colOff>624840</xdr:colOff>
      <xdr:row>41</xdr:row>
      <xdr:rowOff>133350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448E966D-68F0-4954-CA84-8F3869486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561975</xdr:colOff>
      <xdr:row>59</xdr:row>
      <xdr:rowOff>95250</xdr:rowOff>
    </xdr:from>
    <xdr:to>
      <xdr:col>17</xdr:col>
      <xdr:colOff>548641</xdr:colOff>
      <xdr:row>84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829CF-955A-4235-BB5D-45FB93943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772084</xdr:colOff>
      <xdr:row>27</xdr:row>
      <xdr:rowOff>241052</xdr:rowOff>
    </xdr:from>
    <xdr:to>
      <xdr:col>24</xdr:col>
      <xdr:colOff>272719</xdr:colOff>
      <xdr:row>63</xdr:row>
      <xdr:rowOff>137709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B6326-9E12-46D5-8304-357FB39C1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84409" y="4794002"/>
          <a:ext cx="5729985" cy="6478432"/>
        </a:xfrm>
        <a:prstGeom prst="rect">
          <a:avLst/>
        </a:prstGeom>
      </xdr:spPr>
    </xdr:pic>
    <xdr:clientData/>
  </xdr:twoCellAnchor>
  <xdr:twoCellAnchor editAs="oneCell">
    <xdr:from>
      <xdr:col>24</xdr:col>
      <xdr:colOff>745936</xdr:colOff>
      <xdr:row>27</xdr:row>
      <xdr:rowOff>222001</xdr:rowOff>
    </xdr:from>
    <xdr:to>
      <xdr:col>30</xdr:col>
      <xdr:colOff>337886</xdr:colOff>
      <xdr:row>62</xdr:row>
      <xdr:rowOff>148502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EFF923-40F3-4252-AD8D-910912F81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387611" y="4774951"/>
          <a:ext cx="5707000" cy="6346351"/>
        </a:xfrm>
        <a:prstGeom prst="rect">
          <a:avLst/>
        </a:prstGeom>
      </xdr:spPr>
    </xdr:pic>
    <xdr:clientData/>
  </xdr:twoCellAnchor>
  <xdr:twoCellAnchor editAs="oneCell">
    <xdr:from>
      <xdr:col>30</xdr:col>
      <xdr:colOff>611777</xdr:colOff>
      <xdr:row>27</xdr:row>
      <xdr:rowOff>33372</xdr:rowOff>
    </xdr:from>
    <xdr:to>
      <xdr:col>36</xdr:col>
      <xdr:colOff>592564</xdr:colOff>
      <xdr:row>44</xdr:row>
      <xdr:rowOff>7559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B6D451-E54B-4AD7-AB32-0A1921883F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3330"/>
        <a:stretch/>
      </xdr:blipFill>
      <xdr:spPr>
        <a:xfrm>
          <a:off x="35368502" y="4586322"/>
          <a:ext cx="6038687" cy="3479387"/>
        </a:xfrm>
        <a:prstGeom prst="rect">
          <a:avLst/>
        </a:prstGeom>
      </xdr:spPr>
    </xdr:pic>
    <xdr:clientData/>
  </xdr:twoCellAnchor>
  <xdr:twoCellAnchor editAs="oneCell">
    <xdr:from>
      <xdr:col>30</xdr:col>
      <xdr:colOff>571565</xdr:colOff>
      <xdr:row>48</xdr:row>
      <xdr:rowOff>130985</xdr:rowOff>
    </xdr:from>
    <xdr:to>
      <xdr:col>35</xdr:col>
      <xdr:colOff>274983</xdr:colOff>
      <xdr:row>60</xdr:row>
      <xdr:rowOff>44414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F642C8-2640-4271-AE51-C37077034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28290" y="8836835"/>
          <a:ext cx="4751668" cy="1856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BV58"/>
  <sheetViews>
    <sheetView zoomScale="70" zoomScaleNormal="70" workbookViewId="0">
      <pane xSplit="3" ySplit="1" topLeftCell="D10" activePane="bottomRight" state="frozen"/>
      <selection pane="topRight" activeCell="D1" sqref="D1"/>
      <selection pane="bottomLeft" activeCell="A2" sqref="A2"/>
      <selection pane="bottomRight" activeCell="C20" sqref="C20"/>
    </sheetView>
  </sheetViews>
  <sheetFormatPr baseColWidth="10" defaultColWidth="8.83203125" defaultRowHeight="15"/>
  <cols>
    <col min="1" max="1" width="45.83203125" bestFit="1" customWidth="1"/>
    <col min="2" max="2" width="13.5" customWidth="1"/>
    <col min="3" max="3" width="23.33203125" bestFit="1" customWidth="1"/>
    <col min="4" max="74" width="9.83203125" customWidth="1"/>
  </cols>
  <sheetData>
    <row r="1" spans="1:74">
      <c r="A1" s="15" t="s">
        <v>0</v>
      </c>
      <c r="B1" s="18"/>
      <c r="C1" s="19"/>
      <c r="D1" s="19">
        <f>E1-1</f>
        <v>2021</v>
      </c>
      <c r="E1" s="19">
        <f>F1-1</f>
        <v>2022</v>
      </c>
      <c r="F1" s="19">
        <f>G1-1</f>
        <v>2023</v>
      </c>
      <c r="G1" s="19">
        <f>H1-1</f>
        <v>2024</v>
      </c>
      <c r="H1" s="19">
        <f>I1-1</f>
        <v>2025</v>
      </c>
      <c r="I1" s="19">
        <v>2026</v>
      </c>
      <c r="J1" s="19">
        <f>I1+1</f>
        <v>2027</v>
      </c>
      <c r="K1" s="19">
        <f t="shared" ref="K1:AA1" si="0">J1+1</f>
        <v>2028</v>
      </c>
      <c r="L1" s="19">
        <f t="shared" si="0"/>
        <v>2029</v>
      </c>
      <c r="M1" s="19">
        <f t="shared" si="0"/>
        <v>2030</v>
      </c>
      <c r="N1" s="19">
        <f t="shared" si="0"/>
        <v>2031</v>
      </c>
      <c r="O1" s="19">
        <f t="shared" si="0"/>
        <v>2032</v>
      </c>
      <c r="P1" s="19">
        <f t="shared" si="0"/>
        <v>2033</v>
      </c>
      <c r="Q1" s="19">
        <f t="shared" si="0"/>
        <v>2034</v>
      </c>
      <c r="R1" s="19">
        <f t="shared" si="0"/>
        <v>2035</v>
      </c>
      <c r="S1" s="19">
        <f t="shared" si="0"/>
        <v>2036</v>
      </c>
      <c r="T1" s="19">
        <f t="shared" si="0"/>
        <v>2037</v>
      </c>
      <c r="U1" s="19">
        <f t="shared" si="0"/>
        <v>2038</v>
      </c>
      <c r="V1" s="19">
        <f t="shared" si="0"/>
        <v>2039</v>
      </c>
      <c r="W1" s="19">
        <f t="shared" si="0"/>
        <v>2040</v>
      </c>
      <c r="X1" s="19">
        <f t="shared" si="0"/>
        <v>2041</v>
      </c>
      <c r="Y1" s="19">
        <f t="shared" si="0"/>
        <v>2042</v>
      </c>
      <c r="Z1" s="19">
        <f t="shared" si="0"/>
        <v>2043</v>
      </c>
      <c r="AA1" s="19">
        <f t="shared" si="0"/>
        <v>2044</v>
      </c>
      <c r="AB1" s="19">
        <f t="shared" ref="AB1:AI1" si="1">AA1+1</f>
        <v>2045</v>
      </c>
      <c r="AC1" s="19">
        <f t="shared" si="1"/>
        <v>2046</v>
      </c>
      <c r="AD1" s="19">
        <f t="shared" si="1"/>
        <v>2047</v>
      </c>
      <c r="AE1" s="19">
        <f t="shared" si="1"/>
        <v>2048</v>
      </c>
      <c r="AF1" s="19">
        <f t="shared" si="1"/>
        <v>2049</v>
      </c>
      <c r="AG1" s="19">
        <f t="shared" si="1"/>
        <v>2050</v>
      </c>
      <c r="AH1" s="19">
        <f t="shared" si="1"/>
        <v>2051</v>
      </c>
      <c r="AI1" s="19">
        <f t="shared" si="1"/>
        <v>2052</v>
      </c>
      <c r="AJ1" s="19">
        <f t="shared" ref="AJ1" si="2">AI1+1</f>
        <v>2053</v>
      </c>
      <c r="AK1" s="19">
        <f t="shared" ref="AK1" si="3">AJ1+1</f>
        <v>2054</v>
      </c>
      <c r="AL1" s="19">
        <f t="shared" ref="AL1" si="4">AK1+1</f>
        <v>2055</v>
      </c>
      <c r="AM1" s="19">
        <f t="shared" ref="AM1" si="5">AL1+1</f>
        <v>2056</v>
      </c>
      <c r="AN1" s="19">
        <f t="shared" ref="AN1" si="6">AM1+1</f>
        <v>2057</v>
      </c>
      <c r="AO1" s="19">
        <f t="shared" ref="AO1" si="7">AN1+1</f>
        <v>2058</v>
      </c>
      <c r="AP1" s="19">
        <f t="shared" ref="AP1" si="8">AO1+1</f>
        <v>2059</v>
      </c>
      <c r="AQ1" s="19">
        <f t="shared" ref="AQ1" si="9">AP1+1</f>
        <v>2060</v>
      </c>
      <c r="AR1" s="19">
        <f t="shared" ref="AR1" si="10">AQ1+1</f>
        <v>2061</v>
      </c>
      <c r="AS1" s="19">
        <f t="shared" ref="AS1" si="11">AR1+1</f>
        <v>2062</v>
      </c>
      <c r="AT1" s="19">
        <f t="shared" ref="AT1" si="12">AS1+1</f>
        <v>2063</v>
      </c>
      <c r="AU1" s="19">
        <f t="shared" ref="AU1" si="13">AT1+1</f>
        <v>2064</v>
      </c>
      <c r="AV1" s="19">
        <f t="shared" ref="AV1" si="14">AU1+1</f>
        <v>2065</v>
      </c>
      <c r="AW1" s="19">
        <f t="shared" ref="AW1" si="15">AV1+1</f>
        <v>2066</v>
      </c>
      <c r="AX1" s="19">
        <f t="shared" ref="AX1" si="16">AW1+1</f>
        <v>2067</v>
      </c>
      <c r="AY1" s="19">
        <f t="shared" ref="AY1" si="17">AX1+1</f>
        <v>2068</v>
      </c>
      <c r="AZ1" s="19">
        <f t="shared" ref="AZ1" si="18">AY1+1</f>
        <v>2069</v>
      </c>
      <c r="BA1" s="19">
        <f t="shared" ref="BA1" si="19">AZ1+1</f>
        <v>2070</v>
      </c>
      <c r="BB1" s="19">
        <f t="shared" ref="BB1" si="20">BA1+1</f>
        <v>2071</v>
      </c>
      <c r="BC1" s="19">
        <f t="shared" ref="BC1" si="21">BB1+1</f>
        <v>2072</v>
      </c>
      <c r="BD1" s="19">
        <f t="shared" ref="BD1" si="22">BC1+1</f>
        <v>2073</v>
      </c>
      <c r="BE1" s="19">
        <f t="shared" ref="BE1" si="23">BD1+1</f>
        <v>2074</v>
      </c>
      <c r="BF1" s="19">
        <f t="shared" ref="BF1" si="24">BE1+1</f>
        <v>2075</v>
      </c>
      <c r="BG1" s="19">
        <f t="shared" ref="BG1" si="25">BF1+1</f>
        <v>2076</v>
      </c>
      <c r="BH1" s="19">
        <f t="shared" ref="BH1" si="26">BG1+1</f>
        <v>2077</v>
      </c>
      <c r="BI1" s="19">
        <f t="shared" ref="BI1" si="27">BH1+1</f>
        <v>2078</v>
      </c>
      <c r="BJ1" s="19">
        <f t="shared" ref="BJ1" si="28">BI1+1</f>
        <v>2079</v>
      </c>
      <c r="BK1" s="19">
        <f t="shared" ref="BK1" si="29">BJ1+1</f>
        <v>2080</v>
      </c>
      <c r="BL1" s="19">
        <f t="shared" ref="BL1" si="30">BK1+1</f>
        <v>2081</v>
      </c>
      <c r="BM1" s="19">
        <f t="shared" ref="BM1" si="31">BL1+1</f>
        <v>2082</v>
      </c>
      <c r="BN1" s="19">
        <f t="shared" ref="BN1" si="32">BM1+1</f>
        <v>2083</v>
      </c>
      <c r="BO1" s="19">
        <f t="shared" ref="BO1" si="33">BN1+1</f>
        <v>2084</v>
      </c>
      <c r="BP1" s="19">
        <f t="shared" ref="BP1" si="34">BO1+1</f>
        <v>2085</v>
      </c>
      <c r="BQ1" s="19">
        <f t="shared" ref="BQ1" si="35">BP1+1</f>
        <v>2086</v>
      </c>
      <c r="BR1" s="19">
        <f t="shared" ref="BR1" si="36">BQ1+1</f>
        <v>2087</v>
      </c>
      <c r="BS1" s="19">
        <f t="shared" ref="BS1" si="37">BR1+1</f>
        <v>2088</v>
      </c>
      <c r="BT1" s="19">
        <f t="shared" ref="BT1" si="38">BS1+1</f>
        <v>2089</v>
      </c>
      <c r="BU1" s="19">
        <f t="shared" ref="BU1" si="39">BT1+1</f>
        <v>2090</v>
      </c>
      <c r="BV1" s="19">
        <f t="shared" ref="BV1" si="40">BU1+1</f>
        <v>2091</v>
      </c>
    </row>
    <row r="2" spans="1:74">
      <c r="A2" s="71" t="s">
        <v>1</v>
      </c>
      <c r="B2" s="70">
        <v>0.08</v>
      </c>
      <c r="C2" s="21"/>
      <c r="D2" s="22">
        <v>1</v>
      </c>
      <c r="E2" s="22">
        <v>1</v>
      </c>
      <c r="F2" s="22">
        <v>1</v>
      </c>
      <c r="G2" s="22">
        <v>1</v>
      </c>
      <c r="H2" s="22">
        <v>1</v>
      </c>
      <c r="I2" s="22">
        <f t="shared" ref="I2:BT2" si="41">(1+$B2)^-(I$1-$I$1+0.5)</f>
        <v>0.96225044864937614</v>
      </c>
      <c r="J2" s="22">
        <f t="shared" si="41"/>
        <v>0.89097263763831136</v>
      </c>
      <c r="K2" s="22">
        <f t="shared" si="41"/>
        <v>0.82497466447991774</v>
      </c>
      <c r="L2" s="22">
        <f t="shared" si="41"/>
        <v>0.76386543007399788</v>
      </c>
      <c r="M2" s="22">
        <f t="shared" si="41"/>
        <v>0.70728280562407209</v>
      </c>
      <c r="N2" s="22">
        <f t="shared" si="41"/>
        <v>0.65489148668895558</v>
      </c>
      <c r="O2" s="23">
        <f t="shared" si="41"/>
        <v>0.60638100619347735</v>
      </c>
      <c r="P2" s="23">
        <f t="shared" si="41"/>
        <v>0.56146389462359003</v>
      </c>
      <c r="Q2" s="23">
        <f t="shared" si="41"/>
        <v>0.51987397650332412</v>
      </c>
      <c r="R2" s="23">
        <f t="shared" si="41"/>
        <v>0.48136479305863344</v>
      </c>
      <c r="S2" s="23">
        <f t="shared" si="41"/>
        <v>0.44570814172095685</v>
      </c>
      <c r="T2" s="23">
        <f t="shared" si="41"/>
        <v>0.41269272381570077</v>
      </c>
      <c r="U2" s="23">
        <f t="shared" si="41"/>
        <v>0.38212289242194514</v>
      </c>
      <c r="V2" s="23">
        <f t="shared" si="41"/>
        <v>0.35381749298328247</v>
      </c>
      <c r="W2" s="23">
        <f t="shared" si="41"/>
        <v>0.32760878979933561</v>
      </c>
      <c r="X2" s="23">
        <f t="shared" si="41"/>
        <v>0.30334147203642187</v>
      </c>
      <c r="Y2" s="23">
        <f t="shared" si="41"/>
        <v>0.28087173336705723</v>
      </c>
      <c r="Z2" s="23">
        <f t="shared" si="41"/>
        <v>0.26006641978431222</v>
      </c>
      <c r="AA2" s="23">
        <f t="shared" si="41"/>
        <v>0.24080224054102983</v>
      </c>
      <c r="AB2" s="23">
        <f t="shared" si="41"/>
        <v>0.2229650375379906</v>
      </c>
      <c r="AC2" s="23">
        <f t="shared" si="41"/>
        <v>0.20644910883147274</v>
      </c>
      <c r="AD2" s="23">
        <f t="shared" si="41"/>
        <v>0.19115658225136364</v>
      </c>
      <c r="AE2" s="23">
        <f t="shared" si="41"/>
        <v>0.17699683541792929</v>
      </c>
      <c r="AF2" s="23">
        <f t="shared" si="41"/>
        <v>0.1638859587203049</v>
      </c>
      <c r="AG2" s="23">
        <f t="shared" si="41"/>
        <v>0.15174625807435635</v>
      </c>
      <c r="AH2" s="23">
        <f t="shared" si="41"/>
        <v>0.1405057945132929</v>
      </c>
      <c r="AI2" s="23">
        <f t="shared" si="41"/>
        <v>0.13009795788267858</v>
      </c>
      <c r="AJ2" s="23">
        <f t="shared" si="41"/>
        <v>0.12046107211359131</v>
      </c>
      <c r="AK2" s="23">
        <f t="shared" si="41"/>
        <v>0.11153802973480675</v>
      </c>
      <c r="AL2" s="23">
        <f t="shared" si="41"/>
        <v>0.10327595345815441</v>
      </c>
      <c r="AM2" s="23">
        <f t="shared" si="41"/>
        <v>9.5625882831624431E-2</v>
      </c>
      <c r="AN2" s="23">
        <f t="shared" si="41"/>
        <v>8.854248410335594E-2</v>
      </c>
      <c r="AO2" s="23">
        <f t="shared" si="41"/>
        <v>8.1983781577181447E-2</v>
      </c>
      <c r="AP2" s="23">
        <f t="shared" si="41"/>
        <v>7.5910908867760571E-2</v>
      </c>
      <c r="AQ2" s="23">
        <f t="shared" si="41"/>
        <v>7.0287878581259775E-2</v>
      </c>
      <c r="AR2" s="23">
        <f t="shared" si="41"/>
        <v>6.508136905672203E-2</v>
      </c>
      <c r="AS2" s="23">
        <f t="shared" si="41"/>
        <v>6.0260526904372232E-2</v>
      </c>
      <c r="AT2" s="23">
        <f t="shared" si="41"/>
        <v>5.5796784170715041E-2</v>
      </c>
      <c r="AU2" s="23">
        <f t="shared" si="41"/>
        <v>5.166368904695836E-2</v>
      </c>
      <c r="AV2" s="23">
        <f t="shared" si="41"/>
        <v>4.7836749117554027E-2</v>
      </c>
      <c r="AW2" s="23">
        <f t="shared" si="41"/>
        <v>4.4293286219957442E-2</v>
      </c>
      <c r="AX2" s="23">
        <f t="shared" si="41"/>
        <v>4.1012302055516141E-2</v>
      </c>
      <c r="AY2" s="23">
        <f t="shared" si="41"/>
        <v>3.7974353755107527E-2</v>
      </c>
      <c r="AZ2" s="23">
        <f t="shared" si="41"/>
        <v>3.5161438662136606E-2</v>
      </c>
      <c r="BA2" s="23">
        <f t="shared" si="41"/>
        <v>3.255688765012648E-2</v>
      </c>
      <c r="BB2" s="23">
        <f t="shared" si="41"/>
        <v>3.0145266342709708E-2</v>
      </c>
      <c r="BC2" s="23">
        <f t="shared" si="41"/>
        <v>2.7912283650657132E-2</v>
      </c>
      <c r="BD2" s="23">
        <f t="shared" si="41"/>
        <v>2.5844707083941786E-2</v>
      </c>
      <c r="BE2" s="23">
        <f t="shared" si="41"/>
        <v>2.3930284336983139E-2</v>
      </c>
      <c r="BF2" s="23">
        <f t="shared" si="41"/>
        <v>2.215767068239179E-2</v>
      </c>
      <c r="BG2" s="23">
        <f t="shared" si="41"/>
        <v>2.0516361742955354E-2</v>
      </c>
      <c r="BH2" s="23">
        <f t="shared" si="41"/>
        <v>1.8996631243477186E-2</v>
      </c>
      <c r="BI2" s="23">
        <f t="shared" si="41"/>
        <v>1.758947337358999E-2</v>
      </c>
      <c r="BJ2" s="23">
        <f t="shared" si="41"/>
        <v>1.628654941999072E-2</v>
      </c>
      <c r="BK2" s="23">
        <f t="shared" si="41"/>
        <v>1.5080138351843261E-2</v>
      </c>
      <c r="BL2" s="23">
        <f t="shared" si="41"/>
        <v>1.3963091066521544E-2</v>
      </c>
      <c r="BM2" s="23">
        <f t="shared" si="41"/>
        <v>1.2928788024556975E-2</v>
      </c>
      <c r="BN2" s="23">
        <f t="shared" si="41"/>
        <v>1.1971100022737942E-2</v>
      </c>
      <c r="BO2" s="23">
        <f t="shared" si="41"/>
        <v>1.1084351872905506E-2</v>
      </c>
      <c r="BP2" s="23">
        <f t="shared" si="41"/>
        <v>1.0263288771208794E-2</v>
      </c>
      <c r="BQ2" s="23">
        <f t="shared" si="41"/>
        <v>9.5030451585266622E-3</v>
      </c>
      <c r="BR2" s="23">
        <f t="shared" si="41"/>
        <v>8.7991158875246889E-3</v>
      </c>
      <c r="BS2" s="23">
        <f t="shared" si="41"/>
        <v>8.1473295254858181E-3</v>
      </c>
      <c r="BT2" s="23">
        <f t="shared" si="41"/>
        <v>7.5438236347090924E-3</v>
      </c>
      <c r="BU2" s="23">
        <f t="shared" ref="BU2:BV2" si="42">(1+$B2)^-(BU$1-$I$1+0.5)</f>
        <v>6.9850218839899014E-3</v>
      </c>
      <c r="BV2" s="23">
        <f t="shared" si="42"/>
        <v>6.4676128555462061E-3</v>
      </c>
    </row>
    <row r="3" spans="1:74">
      <c r="A3" s="28" t="s">
        <v>2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</row>
    <row r="4" spans="1:74">
      <c r="A4" s="8" t="s">
        <v>3</v>
      </c>
      <c r="B4" s="21" t="s">
        <v>4</v>
      </c>
      <c r="C4" s="21"/>
      <c r="D4" s="180">
        <v>0.74299999999999999</v>
      </c>
      <c r="E4" s="180">
        <v>0.69399999999999995</v>
      </c>
      <c r="F4" s="180">
        <v>0.66459999999999997</v>
      </c>
      <c r="G4" s="180">
        <v>0.66290000000000004</v>
      </c>
      <c r="H4" s="180">
        <v>0.63060000000000005</v>
      </c>
      <c r="I4" s="180">
        <v>0.69</v>
      </c>
      <c r="J4" s="149">
        <v>0.69</v>
      </c>
      <c r="K4" s="149">
        <v>0.69</v>
      </c>
      <c r="L4" s="149">
        <v>0.69</v>
      </c>
      <c r="M4" s="149">
        <v>0.69</v>
      </c>
      <c r="N4" s="22">
        <f>M4</f>
        <v>0.69</v>
      </c>
      <c r="O4" s="22">
        <f t="shared" ref="O4:AI4" si="43">N4</f>
        <v>0.69</v>
      </c>
      <c r="P4" s="22">
        <f t="shared" si="43"/>
        <v>0.69</v>
      </c>
      <c r="Q4" s="22">
        <f t="shared" si="43"/>
        <v>0.69</v>
      </c>
      <c r="R4" s="22">
        <f t="shared" si="43"/>
        <v>0.69</v>
      </c>
      <c r="S4" s="22">
        <f t="shared" si="43"/>
        <v>0.69</v>
      </c>
      <c r="T4" s="22">
        <f t="shared" si="43"/>
        <v>0.69</v>
      </c>
      <c r="U4" s="22">
        <f t="shared" si="43"/>
        <v>0.69</v>
      </c>
      <c r="V4" s="22">
        <f t="shared" si="43"/>
        <v>0.69</v>
      </c>
      <c r="W4" s="22">
        <f t="shared" si="43"/>
        <v>0.69</v>
      </c>
      <c r="X4" s="22">
        <f t="shared" si="43"/>
        <v>0.69</v>
      </c>
      <c r="Y4" s="22">
        <f t="shared" si="43"/>
        <v>0.69</v>
      </c>
      <c r="Z4" s="22">
        <f t="shared" si="43"/>
        <v>0.69</v>
      </c>
      <c r="AA4" s="22">
        <f t="shared" si="43"/>
        <v>0.69</v>
      </c>
      <c r="AB4" s="22">
        <f t="shared" si="43"/>
        <v>0.69</v>
      </c>
      <c r="AC4" s="22">
        <f t="shared" si="43"/>
        <v>0.69</v>
      </c>
      <c r="AD4" s="22">
        <f t="shared" si="43"/>
        <v>0.69</v>
      </c>
      <c r="AE4" s="22">
        <f t="shared" si="43"/>
        <v>0.69</v>
      </c>
      <c r="AF4" s="22">
        <f t="shared" si="43"/>
        <v>0.69</v>
      </c>
      <c r="AG4" s="22">
        <f t="shared" si="43"/>
        <v>0.69</v>
      </c>
      <c r="AH4" s="22">
        <f t="shared" si="43"/>
        <v>0.69</v>
      </c>
      <c r="AI4" s="22">
        <f t="shared" si="43"/>
        <v>0.69</v>
      </c>
      <c r="AJ4" s="22">
        <f t="shared" ref="AJ4" si="44">AI4</f>
        <v>0.69</v>
      </c>
      <c r="AK4" s="22">
        <f t="shared" ref="AK4" si="45">AJ4</f>
        <v>0.69</v>
      </c>
      <c r="AL4" s="22">
        <f t="shared" ref="AL4" si="46">AK4</f>
        <v>0.69</v>
      </c>
      <c r="AM4" s="22">
        <f t="shared" ref="AM4" si="47">AL4</f>
        <v>0.69</v>
      </c>
      <c r="AN4" s="22">
        <f t="shared" ref="AN4" si="48">AM4</f>
        <v>0.69</v>
      </c>
      <c r="AO4" s="22">
        <f t="shared" ref="AO4" si="49">AN4</f>
        <v>0.69</v>
      </c>
      <c r="AP4" s="22">
        <f t="shared" ref="AP4" si="50">AO4</f>
        <v>0.69</v>
      </c>
      <c r="AQ4" s="22">
        <f t="shared" ref="AQ4" si="51">AP4</f>
        <v>0.69</v>
      </c>
      <c r="AR4" s="22">
        <f t="shared" ref="AR4" si="52">AQ4</f>
        <v>0.69</v>
      </c>
      <c r="AS4" s="22">
        <f t="shared" ref="AS4" si="53">AR4</f>
        <v>0.69</v>
      </c>
      <c r="AT4" s="22">
        <f t="shared" ref="AT4" si="54">AS4</f>
        <v>0.69</v>
      </c>
      <c r="AU4" s="22">
        <f t="shared" ref="AU4" si="55">AT4</f>
        <v>0.69</v>
      </c>
      <c r="AV4" s="22">
        <f t="shared" ref="AV4" si="56">AU4</f>
        <v>0.69</v>
      </c>
      <c r="AW4" s="22">
        <f t="shared" ref="AW4" si="57">AV4</f>
        <v>0.69</v>
      </c>
      <c r="AX4" s="22">
        <f t="shared" ref="AX4" si="58">AW4</f>
        <v>0.69</v>
      </c>
      <c r="AY4" s="22">
        <f t="shared" ref="AY4" si="59">AX4</f>
        <v>0.69</v>
      </c>
      <c r="AZ4" s="22">
        <f t="shared" ref="AZ4" si="60">AY4</f>
        <v>0.69</v>
      </c>
      <c r="BA4" s="22">
        <f t="shared" ref="BA4" si="61">AZ4</f>
        <v>0.69</v>
      </c>
      <c r="BB4" s="22">
        <f t="shared" ref="BB4" si="62">BA4</f>
        <v>0.69</v>
      </c>
      <c r="BC4" s="22">
        <f t="shared" ref="BC4" si="63">BB4</f>
        <v>0.69</v>
      </c>
      <c r="BD4" s="22">
        <f t="shared" ref="BD4" si="64">BC4</f>
        <v>0.69</v>
      </c>
      <c r="BE4" s="22">
        <f t="shared" ref="BE4" si="65">BD4</f>
        <v>0.69</v>
      </c>
      <c r="BF4" s="22">
        <f t="shared" ref="BF4" si="66">BE4</f>
        <v>0.69</v>
      </c>
      <c r="BG4" s="22">
        <f t="shared" ref="BG4" si="67">BF4</f>
        <v>0.69</v>
      </c>
      <c r="BH4" s="22">
        <f t="shared" ref="BH4" si="68">BG4</f>
        <v>0.69</v>
      </c>
      <c r="BI4" s="22">
        <f t="shared" ref="BI4" si="69">BH4</f>
        <v>0.69</v>
      </c>
      <c r="BJ4" s="22">
        <f t="shared" ref="BJ4" si="70">BI4</f>
        <v>0.69</v>
      </c>
      <c r="BK4" s="22">
        <f t="shared" ref="BK4" si="71">BJ4</f>
        <v>0.69</v>
      </c>
      <c r="BL4" s="22">
        <f t="shared" ref="BL4" si="72">BK4</f>
        <v>0.69</v>
      </c>
      <c r="BM4" s="22">
        <f t="shared" ref="BM4" si="73">BL4</f>
        <v>0.69</v>
      </c>
      <c r="BN4" s="22">
        <f t="shared" ref="BN4" si="74">BM4</f>
        <v>0.69</v>
      </c>
      <c r="BO4" s="22">
        <f t="shared" ref="BO4" si="75">BN4</f>
        <v>0.69</v>
      </c>
      <c r="BP4" s="22">
        <f t="shared" ref="BP4" si="76">BO4</f>
        <v>0.69</v>
      </c>
      <c r="BQ4" s="22">
        <f t="shared" ref="BQ4" si="77">BP4</f>
        <v>0.69</v>
      </c>
      <c r="BR4" s="22">
        <f t="shared" ref="BR4" si="78">BQ4</f>
        <v>0.69</v>
      </c>
      <c r="BS4" s="22">
        <f t="shared" ref="BS4" si="79">BR4</f>
        <v>0.69</v>
      </c>
      <c r="BT4" s="22">
        <f t="shared" ref="BT4" si="80">BS4</f>
        <v>0.69</v>
      </c>
      <c r="BU4" s="22">
        <f t="shared" ref="BU4" si="81">BT4</f>
        <v>0.69</v>
      </c>
      <c r="BV4" s="22">
        <f t="shared" ref="BV4" si="82">BU4</f>
        <v>0.69</v>
      </c>
    </row>
    <row r="5" spans="1:74">
      <c r="A5" s="2" t="s">
        <v>5</v>
      </c>
      <c r="B5" s="29"/>
      <c r="C5" s="29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>
      <c r="A6" s="4" t="s">
        <v>6</v>
      </c>
      <c r="B6" s="17" t="s">
        <v>7</v>
      </c>
      <c r="C6" s="121" t="s">
        <v>8</v>
      </c>
      <c r="D6" s="181">
        <f>'Historical Performance'!D23</f>
        <v>295</v>
      </c>
      <c r="E6" s="181">
        <f>'Historical Performance'!E23</f>
        <v>360</v>
      </c>
      <c r="F6" s="181">
        <f>'Historical Performance'!F23</f>
        <v>345</v>
      </c>
      <c r="G6" s="181">
        <f>'Historical Performance'!G23</f>
        <v>310</v>
      </c>
      <c r="H6" s="181">
        <f>'Historical Performance'!H23</f>
        <v>300</v>
      </c>
      <c r="I6" s="181">
        <f>'Historical Performance'!I23</f>
        <v>315</v>
      </c>
      <c r="J6" s="127">
        <v>240</v>
      </c>
      <c r="K6" s="127">
        <v>240</v>
      </c>
      <c r="L6" s="127">
        <v>240</v>
      </c>
      <c r="M6" s="127">
        <v>240</v>
      </c>
      <c r="N6" s="122">
        <f>M6</f>
        <v>240</v>
      </c>
      <c r="O6" s="122">
        <f t="shared" ref="O6:AA6" si="83">N6</f>
        <v>240</v>
      </c>
      <c r="P6" s="122">
        <f t="shared" si="83"/>
        <v>240</v>
      </c>
      <c r="Q6" s="122">
        <f t="shared" si="83"/>
        <v>240</v>
      </c>
      <c r="R6" s="122">
        <f t="shared" si="83"/>
        <v>240</v>
      </c>
      <c r="S6" s="122">
        <f t="shared" si="83"/>
        <v>240</v>
      </c>
      <c r="T6" s="122">
        <f t="shared" si="83"/>
        <v>240</v>
      </c>
      <c r="U6" s="122">
        <f t="shared" si="83"/>
        <v>240</v>
      </c>
      <c r="V6" s="122">
        <f t="shared" si="83"/>
        <v>240</v>
      </c>
      <c r="W6" s="122">
        <f t="shared" si="83"/>
        <v>240</v>
      </c>
      <c r="X6" s="122">
        <f t="shared" si="83"/>
        <v>240</v>
      </c>
      <c r="Y6" s="122">
        <f t="shared" si="83"/>
        <v>240</v>
      </c>
      <c r="Z6" s="122">
        <f t="shared" si="83"/>
        <v>240</v>
      </c>
      <c r="AA6" s="122">
        <f t="shared" si="83"/>
        <v>240</v>
      </c>
      <c r="AB6" s="122">
        <f t="shared" ref="AB6:AI6" si="84">AA6</f>
        <v>240</v>
      </c>
      <c r="AC6" s="122">
        <f t="shared" si="84"/>
        <v>240</v>
      </c>
      <c r="AD6" s="122">
        <f t="shared" si="84"/>
        <v>240</v>
      </c>
      <c r="AE6" s="122">
        <f t="shared" si="84"/>
        <v>240</v>
      </c>
      <c r="AF6" s="122">
        <f t="shared" si="84"/>
        <v>240</v>
      </c>
      <c r="AG6" s="122">
        <f t="shared" si="84"/>
        <v>240</v>
      </c>
      <c r="AH6" s="122">
        <f t="shared" si="84"/>
        <v>240</v>
      </c>
      <c r="AI6" s="122">
        <f t="shared" si="84"/>
        <v>240</v>
      </c>
      <c r="AJ6" s="122">
        <f t="shared" ref="AJ6:AJ7" si="85">AI6</f>
        <v>240</v>
      </c>
      <c r="AK6" s="122">
        <f t="shared" ref="AK6:AK7" si="86">AJ6</f>
        <v>240</v>
      </c>
      <c r="AL6" s="122">
        <f t="shared" ref="AL6:AL7" si="87">AK6</f>
        <v>240</v>
      </c>
      <c r="AM6" s="122">
        <f t="shared" ref="AM6:AM7" si="88">AL6</f>
        <v>240</v>
      </c>
      <c r="AN6" s="122">
        <f t="shared" ref="AN6:AN7" si="89">AM6</f>
        <v>240</v>
      </c>
      <c r="AO6" s="122">
        <f t="shared" ref="AO6:AO7" si="90">AN6</f>
        <v>240</v>
      </c>
      <c r="AP6" s="122">
        <f t="shared" ref="AP6:AP7" si="91">AO6</f>
        <v>240</v>
      </c>
      <c r="AQ6" s="122">
        <f t="shared" ref="AQ6:AQ7" si="92">AP6</f>
        <v>240</v>
      </c>
      <c r="AR6" s="122">
        <f t="shared" ref="AR6:AR7" si="93">AQ6</f>
        <v>240</v>
      </c>
      <c r="AS6" s="122">
        <f t="shared" ref="AS6:AS7" si="94">AR6</f>
        <v>240</v>
      </c>
      <c r="AT6" s="122">
        <f t="shared" ref="AT6:AT7" si="95">AS6</f>
        <v>240</v>
      </c>
      <c r="AU6" s="122">
        <f t="shared" ref="AU6:AU7" si="96">AT6</f>
        <v>240</v>
      </c>
      <c r="AV6" s="122">
        <f t="shared" ref="AV6:AV7" si="97">AU6</f>
        <v>240</v>
      </c>
      <c r="AW6" s="122">
        <f t="shared" ref="AW6:AW7" si="98">AV6</f>
        <v>240</v>
      </c>
      <c r="AX6" s="122">
        <f t="shared" ref="AX6:AX7" si="99">AW6</f>
        <v>240</v>
      </c>
      <c r="AY6" s="122">
        <f t="shared" ref="AY6:AY7" si="100">AX6</f>
        <v>240</v>
      </c>
      <c r="AZ6" s="122">
        <f t="shared" ref="AZ6:AZ7" si="101">AY6</f>
        <v>240</v>
      </c>
      <c r="BA6" s="122">
        <f t="shared" ref="BA6:BA7" si="102">AZ6</f>
        <v>240</v>
      </c>
      <c r="BB6" s="122">
        <f t="shared" ref="BB6:BB7" si="103">BA6</f>
        <v>240</v>
      </c>
      <c r="BC6" s="122">
        <f t="shared" ref="BC6:BC7" si="104">BB6</f>
        <v>240</v>
      </c>
      <c r="BD6" s="122">
        <f t="shared" ref="BD6:BD7" si="105">BC6</f>
        <v>240</v>
      </c>
      <c r="BE6" s="122">
        <f t="shared" ref="BE6:BE7" si="106">BD6</f>
        <v>240</v>
      </c>
      <c r="BF6" s="122">
        <f t="shared" ref="BF6:BF7" si="107">BE6</f>
        <v>240</v>
      </c>
      <c r="BG6" s="122">
        <f t="shared" ref="BG6:BG7" si="108">BF6</f>
        <v>240</v>
      </c>
      <c r="BH6" s="122">
        <f t="shared" ref="BH6:BH7" si="109">BG6</f>
        <v>240</v>
      </c>
      <c r="BI6" s="122">
        <f t="shared" ref="BI6:BI7" si="110">BH6</f>
        <v>240</v>
      </c>
      <c r="BJ6" s="122">
        <f t="shared" ref="BJ6:BJ7" si="111">BI6</f>
        <v>240</v>
      </c>
      <c r="BK6" s="122">
        <f t="shared" ref="BK6:BK7" si="112">BJ6</f>
        <v>240</v>
      </c>
      <c r="BL6" s="122">
        <f t="shared" ref="BL6:BL7" si="113">BK6</f>
        <v>240</v>
      </c>
      <c r="BM6" s="122">
        <f t="shared" ref="BM6:BM7" si="114">BL6</f>
        <v>240</v>
      </c>
      <c r="BN6" s="122">
        <f t="shared" ref="BN6:BN7" si="115">BM6</f>
        <v>240</v>
      </c>
      <c r="BO6" s="122">
        <f t="shared" ref="BO6:BO7" si="116">BN6</f>
        <v>240</v>
      </c>
      <c r="BP6" s="122">
        <f t="shared" ref="BP6:BP7" si="117">BO6</f>
        <v>240</v>
      </c>
      <c r="BQ6" s="122">
        <f t="shared" ref="BQ6:BQ7" si="118">BP6</f>
        <v>240</v>
      </c>
      <c r="BR6" s="122">
        <f t="shared" ref="BR6:BR7" si="119">BQ6</f>
        <v>240</v>
      </c>
      <c r="BS6" s="122">
        <f t="shared" ref="BS6:BS7" si="120">BR6</f>
        <v>240</v>
      </c>
      <c r="BT6" s="122">
        <f t="shared" ref="BT6:BT7" si="121">BS6</f>
        <v>240</v>
      </c>
      <c r="BU6" s="122">
        <f t="shared" ref="BU6:BU7" si="122">BT6</f>
        <v>240</v>
      </c>
      <c r="BV6" s="122">
        <f t="shared" ref="BV6:BV7" si="123">BU6</f>
        <v>240</v>
      </c>
    </row>
    <row r="7" spans="1:74">
      <c r="A7" s="4" t="s">
        <v>9</v>
      </c>
      <c r="B7" s="17" t="s">
        <v>7</v>
      </c>
      <c r="C7" s="123" t="s">
        <v>10</v>
      </c>
      <c r="D7" s="181"/>
      <c r="E7" s="181"/>
      <c r="F7" s="181"/>
      <c r="G7" s="181"/>
      <c r="H7" s="181"/>
      <c r="I7" s="181"/>
      <c r="J7" s="127">
        <f>J6*0.88</f>
        <v>211.2</v>
      </c>
      <c r="K7" s="127">
        <f>K6*0.88</f>
        <v>211.2</v>
      </c>
      <c r="L7" s="127">
        <f>L6*0.88</f>
        <v>211.2</v>
      </c>
      <c r="M7" s="127">
        <f>M6*0.88</f>
        <v>211.2</v>
      </c>
      <c r="N7" s="122">
        <f>M7</f>
        <v>211.2</v>
      </c>
      <c r="O7" s="122">
        <f t="shared" ref="O7:AA7" si="124">N7</f>
        <v>211.2</v>
      </c>
      <c r="P7" s="122">
        <f t="shared" si="124"/>
        <v>211.2</v>
      </c>
      <c r="Q7" s="122">
        <f t="shared" si="124"/>
        <v>211.2</v>
      </c>
      <c r="R7" s="122">
        <f t="shared" si="124"/>
        <v>211.2</v>
      </c>
      <c r="S7" s="122">
        <f t="shared" si="124"/>
        <v>211.2</v>
      </c>
      <c r="T7" s="122">
        <f t="shared" si="124"/>
        <v>211.2</v>
      </c>
      <c r="U7" s="122">
        <f t="shared" si="124"/>
        <v>211.2</v>
      </c>
      <c r="V7" s="122">
        <f t="shared" si="124"/>
        <v>211.2</v>
      </c>
      <c r="W7" s="122">
        <f t="shared" si="124"/>
        <v>211.2</v>
      </c>
      <c r="X7" s="122">
        <f t="shared" si="124"/>
        <v>211.2</v>
      </c>
      <c r="Y7" s="122">
        <f t="shared" si="124"/>
        <v>211.2</v>
      </c>
      <c r="Z7" s="122">
        <f t="shared" si="124"/>
        <v>211.2</v>
      </c>
      <c r="AA7" s="122">
        <f t="shared" si="124"/>
        <v>211.2</v>
      </c>
      <c r="AB7" s="122">
        <f t="shared" ref="AB7:AI7" si="125">AA7</f>
        <v>211.2</v>
      </c>
      <c r="AC7" s="122">
        <f t="shared" si="125"/>
        <v>211.2</v>
      </c>
      <c r="AD7" s="122">
        <f t="shared" si="125"/>
        <v>211.2</v>
      </c>
      <c r="AE7" s="122">
        <f t="shared" si="125"/>
        <v>211.2</v>
      </c>
      <c r="AF7" s="122">
        <f t="shared" si="125"/>
        <v>211.2</v>
      </c>
      <c r="AG7" s="122">
        <f t="shared" si="125"/>
        <v>211.2</v>
      </c>
      <c r="AH7" s="122">
        <f t="shared" si="125"/>
        <v>211.2</v>
      </c>
      <c r="AI7" s="122">
        <f t="shared" si="125"/>
        <v>211.2</v>
      </c>
      <c r="AJ7" s="122">
        <f t="shared" si="85"/>
        <v>211.2</v>
      </c>
      <c r="AK7" s="122">
        <f t="shared" si="86"/>
        <v>211.2</v>
      </c>
      <c r="AL7" s="122">
        <f t="shared" si="87"/>
        <v>211.2</v>
      </c>
      <c r="AM7" s="122">
        <f t="shared" si="88"/>
        <v>211.2</v>
      </c>
      <c r="AN7" s="122">
        <f t="shared" si="89"/>
        <v>211.2</v>
      </c>
      <c r="AO7" s="122">
        <f t="shared" si="90"/>
        <v>211.2</v>
      </c>
      <c r="AP7" s="122">
        <f t="shared" si="91"/>
        <v>211.2</v>
      </c>
      <c r="AQ7" s="122">
        <f t="shared" si="92"/>
        <v>211.2</v>
      </c>
      <c r="AR7" s="122">
        <f t="shared" si="93"/>
        <v>211.2</v>
      </c>
      <c r="AS7" s="122">
        <f t="shared" si="94"/>
        <v>211.2</v>
      </c>
      <c r="AT7" s="122">
        <f t="shared" si="95"/>
        <v>211.2</v>
      </c>
      <c r="AU7" s="122">
        <f t="shared" si="96"/>
        <v>211.2</v>
      </c>
      <c r="AV7" s="122">
        <f t="shared" si="97"/>
        <v>211.2</v>
      </c>
      <c r="AW7" s="122">
        <f t="shared" si="98"/>
        <v>211.2</v>
      </c>
      <c r="AX7" s="122">
        <f t="shared" si="99"/>
        <v>211.2</v>
      </c>
      <c r="AY7" s="122">
        <f t="shared" si="100"/>
        <v>211.2</v>
      </c>
      <c r="AZ7" s="122">
        <f t="shared" si="101"/>
        <v>211.2</v>
      </c>
      <c r="BA7" s="122">
        <f t="shared" si="102"/>
        <v>211.2</v>
      </c>
      <c r="BB7" s="122">
        <f t="shared" si="103"/>
        <v>211.2</v>
      </c>
      <c r="BC7" s="122">
        <f t="shared" si="104"/>
        <v>211.2</v>
      </c>
      <c r="BD7" s="122">
        <f t="shared" si="105"/>
        <v>211.2</v>
      </c>
      <c r="BE7" s="122">
        <f t="shared" si="106"/>
        <v>211.2</v>
      </c>
      <c r="BF7" s="122">
        <f t="shared" si="107"/>
        <v>211.2</v>
      </c>
      <c r="BG7" s="122">
        <f t="shared" si="108"/>
        <v>211.2</v>
      </c>
      <c r="BH7" s="122">
        <f t="shared" si="109"/>
        <v>211.2</v>
      </c>
      <c r="BI7" s="122">
        <f t="shared" si="110"/>
        <v>211.2</v>
      </c>
      <c r="BJ7" s="122">
        <f t="shared" si="111"/>
        <v>211.2</v>
      </c>
      <c r="BK7" s="122">
        <f t="shared" si="112"/>
        <v>211.2</v>
      </c>
      <c r="BL7" s="122">
        <f t="shared" si="113"/>
        <v>211.2</v>
      </c>
      <c r="BM7" s="122">
        <f t="shared" si="114"/>
        <v>211.2</v>
      </c>
      <c r="BN7" s="122">
        <f t="shared" si="115"/>
        <v>211.2</v>
      </c>
      <c r="BO7" s="122">
        <f t="shared" si="116"/>
        <v>211.2</v>
      </c>
      <c r="BP7" s="122">
        <f t="shared" si="117"/>
        <v>211.2</v>
      </c>
      <c r="BQ7" s="122">
        <f t="shared" si="118"/>
        <v>211.2</v>
      </c>
      <c r="BR7" s="122">
        <f t="shared" si="119"/>
        <v>211.2</v>
      </c>
      <c r="BS7" s="122">
        <f t="shared" si="120"/>
        <v>211.2</v>
      </c>
      <c r="BT7" s="122">
        <f t="shared" si="121"/>
        <v>211.2</v>
      </c>
      <c r="BU7" s="122">
        <f t="shared" si="122"/>
        <v>211.2</v>
      </c>
      <c r="BV7" s="122">
        <f t="shared" si="123"/>
        <v>211.2</v>
      </c>
    </row>
    <row r="8" spans="1:74">
      <c r="A8" s="4" t="s">
        <v>11</v>
      </c>
      <c r="B8" s="17" t="s">
        <v>7</v>
      </c>
      <c r="C8" s="123" t="s">
        <v>12</v>
      </c>
      <c r="D8" s="181"/>
      <c r="E8" s="181"/>
      <c r="F8" s="181"/>
      <c r="G8" s="181"/>
      <c r="H8" s="181"/>
      <c r="I8" s="181"/>
      <c r="J8" s="127">
        <v>118</v>
      </c>
      <c r="K8" s="127">
        <v>118</v>
      </c>
      <c r="L8" s="127">
        <v>118</v>
      </c>
      <c r="M8" s="127">
        <v>118</v>
      </c>
      <c r="N8" s="122">
        <v>118</v>
      </c>
      <c r="O8" s="122">
        <v>118</v>
      </c>
      <c r="P8" s="122">
        <v>118</v>
      </c>
      <c r="Q8" s="122">
        <v>118</v>
      </c>
      <c r="R8" s="122">
        <v>118</v>
      </c>
      <c r="S8" s="122">
        <v>118</v>
      </c>
      <c r="T8" s="122">
        <v>118</v>
      </c>
      <c r="U8" s="122">
        <v>118</v>
      </c>
      <c r="V8" s="122">
        <v>118</v>
      </c>
      <c r="W8" s="122">
        <v>118</v>
      </c>
      <c r="X8" s="122">
        <v>118</v>
      </c>
      <c r="Y8" s="122">
        <v>118</v>
      </c>
      <c r="Z8" s="122">
        <v>118</v>
      </c>
      <c r="AA8" s="122">
        <v>118</v>
      </c>
      <c r="AB8" s="122">
        <v>118</v>
      </c>
      <c r="AC8" s="122">
        <v>118</v>
      </c>
      <c r="AD8" s="122">
        <v>118</v>
      </c>
      <c r="AE8" s="122">
        <v>118</v>
      </c>
      <c r="AF8" s="122">
        <v>118</v>
      </c>
      <c r="AG8" s="122">
        <v>118</v>
      </c>
      <c r="AH8" s="122">
        <v>118</v>
      </c>
      <c r="AI8" s="122">
        <v>118</v>
      </c>
      <c r="AJ8" s="122">
        <v>118</v>
      </c>
      <c r="AK8" s="122">
        <v>118</v>
      </c>
      <c r="AL8" s="122">
        <v>118</v>
      </c>
      <c r="AM8" s="122">
        <v>118</v>
      </c>
      <c r="AN8" s="122">
        <v>118</v>
      </c>
      <c r="AO8" s="122">
        <v>118</v>
      </c>
      <c r="AP8" s="122">
        <v>118</v>
      </c>
      <c r="AQ8" s="122">
        <v>118</v>
      </c>
      <c r="AR8" s="122">
        <v>118</v>
      </c>
      <c r="AS8" s="122">
        <v>118</v>
      </c>
      <c r="AT8" s="122">
        <v>118</v>
      </c>
      <c r="AU8" s="122">
        <v>118</v>
      </c>
      <c r="AV8" s="122">
        <v>118</v>
      </c>
      <c r="AW8" s="122">
        <v>118</v>
      </c>
      <c r="AX8" s="122">
        <v>118</v>
      </c>
      <c r="AY8" s="122">
        <v>118</v>
      </c>
      <c r="AZ8" s="122">
        <v>118</v>
      </c>
      <c r="BA8" s="122">
        <v>118</v>
      </c>
      <c r="BB8" s="122">
        <v>118</v>
      </c>
      <c r="BC8" s="122">
        <v>118</v>
      </c>
      <c r="BD8" s="122">
        <v>118</v>
      </c>
      <c r="BE8" s="122">
        <v>118</v>
      </c>
      <c r="BF8" s="122">
        <v>118</v>
      </c>
      <c r="BG8" s="122">
        <v>118</v>
      </c>
      <c r="BH8" s="122">
        <v>118</v>
      </c>
      <c r="BI8" s="122">
        <v>118</v>
      </c>
      <c r="BJ8" s="122">
        <v>118</v>
      </c>
      <c r="BK8" s="122">
        <v>118</v>
      </c>
      <c r="BL8" s="122">
        <v>118</v>
      </c>
      <c r="BM8" s="122">
        <v>118</v>
      </c>
      <c r="BN8" s="122">
        <v>118</v>
      </c>
      <c r="BO8" s="122">
        <v>118</v>
      </c>
      <c r="BP8" s="122">
        <v>118</v>
      </c>
      <c r="BQ8" s="122">
        <v>118</v>
      </c>
      <c r="BR8" s="122">
        <v>118</v>
      </c>
      <c r="BS8" s="122">
        <v>118</v>
      </c>
      <c r="BT8" s="122">
        <v>118</v>
      </c>
      <c r="BU8" s="122">
        <v>118</v>
      </c>
      <c r="BV8" s="122">
        <v>118</v>
      </c>
    </row>
    <row r="9" spans="1:74">
      <c r="A9" s="4" t="s">
        <v>13</v>
      </c>
      <c r="B9" s="21" t="s">
        <v>7</v>
      </c>
      <c r="C9" s="124" t="s">
        <v>14</v>
      </c>
      <c r="D9" s="182"/>
      <c r="E9" s="182"/>
      <c r="F9" s="182"/>
      <c r="G9" s="182"/>
      <c r="H9" s="182"/>
      <c r="I9" s="182"/>
      <c r="J9" s="128">
        <v>105</v>
      </c>
      <c r="K9" s="128">
        <v>105</v>
      </c>
      <c r="L9" s="128">
        <v>105</v>
      </c>
      <c r="M9" s="128">
        <v>105</v>
      </c>
      <c r="N9" s="125">
        <v>105</v>
      </c>
      <c r="O9" s="125">
        <v>105</v>
      </c>
      <c r="P9" s="125">
        <v>105</v>
      </c>
      <c r="Q9" s="125">
        <v>105</v>
      </c>
      <c r="R9" s="125">
        <v>105</v>
      </c>
      <c r="S9" s="125">
        <v>105</v>
      </c>
      <c r="T9" s="125">
        <v>105</v>
      </c>
      <c r="U9" s="125">
        <v>105</v>
      </c>
      <c r="V9" s="125">
        <v>105</v>
      </c>
      <c r="W9" s="125">
        <v>105</v>
      </c>
      <c r="X9" s="125">
        <v>105</v>
      </c>
      <c r="Y9" s="125">
        <v>105</v>
      </c>
      <c r="Z9" s="125">
        <v>105</v>
      </c>
      <c r="AA9" s="125">
        <v>105</v>
      </c>
      <c r="AB9" s="125">
        <v>105</v>
      </c>
      <c r="AC9" s="125">
        <v>105</v>
      </c>
      <c r="AD9" s="125">
        <v>105</v>
      </c>
      <c r="AE9" s="125">
        <v>105</v>
      </c>
      <c r="AF9" s="125">
        <v>105</v>
      </c>
      <c r="AG9" s="125">
        <v>105</v>
      </c>
      <c r="AH9" s="125">
        <v>105</v>
      </c>
      <c r="AI9" s="125">
        <v>105</v>
      </c>
      <c r="AJ9" s="125">
        <v>105</v>
      </c>
      <c r="AK9" s="125">
        <v>105</v>
      </c>
      <c r="AL9" s="125">
        <v>105</v>
      </c>
      <c r="AM9" s="125">
        <v>105</v>
      </c>
      <c r="AN9" s="125">
        <v>105</v>
      </c>
      <c r="AO9" s="125">
        <v>105</v>
      </c>
      <c r="AP9" s="125">
        <v>105</v>
      </c>
      <c r="AQ9" s="125">
        <v>105</v>
      </c>
      <c r="AR9" s="125">
        <v>105</v>
      </c>
      <c r="AS9" s="125">
        <v>105</v>
      </c>
      <c r="AT9" s="125">
        <v>105</v>
      </c>
      <c r="AU9" s="125">
        <v>105</v>
      </c>
      <c r="AV9" s="125">
        <v>105</v>
      </c>
      <c r="AW9" s="125">
        <v>105</v>
      </c>
      <c r="AX9" s="125">
        <v>105</v>
      </c>
      <c r="AY9" s="125">
        <v>105</v>
      </c>
      <c r="AZ9" s="125">
        <v>105</v>
      </c>
      <c r="BA9" s="125">
        <v>105</v>
      </c>
      <c r="BB9" s="125">
        <v>105</v>
      </c>
      <c r="BC9" s="125">
        <v>105</v>
      </c>
      <c r="BD9" s="125">
        <v>105</v>
      </c>
      <c r="BE9" s="125">
        <v>105</v>
      </c>
      <c r="BF9" s="125">
        <v>105</v>
      </c>
      <c r="BG9" s="125">
        <v>105</v>
      </c>
      <c r="BH9" s="125">
        <v>105</v>
      </c>
      <c r="BI9" s="125">
        <v>105</v>
      </c>
      <c r="BJ9" s="125">
        <v>105</v>
      </c>
      <c r="BK9" s="125">
        <v>105</v>
      </c>
      <c r="BL9" s="125">
        <v>105</v>
      </c>
      <c r="BM9" s="125">
        <v>105</v>
      </c>
      <c r="BN9" s="125">
        <v>105</v>
      </c>
      <c r="BO9" s="125">
        <v>105</v>
      </c>
      <c r="BP9" s="125">
        <v>105</v>
      </c>
      <c r="BQ9" s="125">
        <v>105</v>
      </c>
      <c r="BR9" s="125">
        <v>105</v>
      </c>
      <c r="BS9" s="125">
        <v>105</v>
      </c>
      <c r="BT9" s="125">
        <v>105</v>
      </c>
      <c r="BU9" s="125">
        <v>105</v>
      </c>
      <c r="BV9" s="125">
        <v>105</v>
      </c>
    </row>
    <row r="10" spans="1:74">
      <c r="B10" s="17"/>
      <c r="C10" s="3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</row>
    <row r="11" spans="1:74">
      <c r="A11" s="15" t="s">
        <v>15</v>
      </c>
      <c r="B11" s="18"/>
      <c r="C11" s="19"/>
      <c r="D11" s="53"/>
      <c r="E11" s="53"/>
      <c r="F11" s="53"/>
      <c r="G11" s="53"/>
      <c r="H11" s="53"/>
      <c r="I11" s="306" t="s">
        <v>16</v>
      </c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306"/>
    </row>
    <row r="12" spans="1:74">
      <c r="A12" t="s">
        <v>17</v>
      </c>
      <c r="B12" s="17" t="s">
        <v>18</v>
      </c>
      <c r="C12" s="12"/>
      <c r="D12" s="12"/>
      <c r="E12" s="12"/>
      <c r="F12" s="12"/>
      <c r="G12" s="12"/>
      <c r="H12" s="12"/>
      <c r="I12" s="12">
        <v>5950</v>
      </c>
      <c r="J12" s="12">
        <v>5950</v>
      </c>
      <c r="K12" s="12">
        <v>5950</v>
      </c>
      <c r="L12" s="12">
        <v>5950</v>
      </c>
      <c r="M12" s="12">
        <v>5950</v>
      </c>
      <c r="N12" s="12">
        <v>5950</v>
      </c>
      <c r="O12" s="12">
        <v>5950</v>
      </c>
      <c r="P12" s="12">
        <v>5950</v>
      </c>
      <c r="Q12" s="12">
        <v>5950</v>
      </c>
      <c r="R12" s="12">
        <v>5950</v>
      </c>
      <c r="S12" s="12">
        <v>5950</v>
      </c>
      <c r="T12" s="12">
        <v>5950</v>
      </c>
      <c r="U12" s="12">
        <v>5950</v>
      </c>
      <c r="V12" s="12">
        <v>5950</v>
      </c>
      <c r="W12" s="12">
        <v>5950</v>
      </c>
      <c r="X12" s="12">
        <v>5950</v>
      </c>
      <c r="Y12" s="12">
        <v>5950</v>
      </c>
      <c r="Z12" s="12">
        <v>5950</v>
      </c>
      <c r="AA12" s="12">
        <v>5950</v>
      </c>
      <c r="AB12" s="12">
        <v>5950</v>
      </c>
      <c r="AC12" s="12">
        <v>5950</v>
      </c>
      <c r="AD12" s="12">
        <v>5950</v>
      </c>
      <c r="AE12" s="12">
        <v>5950</v>
      </c>
      <c r="AF12" s="12">
        <v>5950</v>
      </c>
      <c r="AG12" s="12">
        <v>5950</v>
      </c>
      <c r="AH12" s="12">
        <v>5950</v>
      </c>
      <c r="AI12" s="12">
        <v>5950</v>
      </c>
      <c r="AJ12" s="12">
        <v>5950</v>
      </c>
      <c r="AK12" s="12">
        <v>5950</v>
      </c>
      <c r="AL12" s="12">
        <v>5950</v>
      </c>
      <c r="AM12" s="12">
        <v>5950</v>
      </c>
      <c r="AN12" s="12">
        <v>5950</v>
      </c>
      <c r="AO12" s="12">
        <v>5950</v>
      </c>
      <c r="AP12" s="12">
        <v>5950</v>
      </c>
      <c r="AQ12" s="12">
        <v>5950</v>
      </c>
      <c r="AR12" s="12">
        <v>5950</v>
      </c>
      <c r="AS12" s="12">
        <v>5950</v>
      </c>
      <c r="AT12" s="12">
        <v>5950</v>
      </c>
      <c r="AU12" s="12">
        <v>5950</v>
      </c>
      <c r="AV12" s="12">
        <v>5950</v>
      </c>
      <c r="AW12" s="12">
        <v>5950</v>
      </c>
      <c r="AX12" s="12">
        <v>5950</v>
      </c>
      <c r="AY12" s="12">
        <v>5950</v>
      </c>
      <c r="AZ12" s="12">
        <v>5950</v>
      </c>
      <c r="BA12" s="12">
        <v>5950</v>
      </c>
      <c r="BB12" s="12">
        <v>5950</v>
      </c>
      <c r="BC12" s="12">
        <v>5950</v>
      </c>
      <c r="BD12" s="12">
        <v>5950</v>
      </c>
      <c r="BE12" s="12">
        <v>5950</v>
      </c>
      <c r="BF12" s="12">
        <v>5950</v>
      </c>
      <c r="BG12" s="12">
        <v>5950</v>
      </c>
      <c r="BH12" s="12">
        <v>5950</v>
      </c>
      <c r="BI12" s="12">
        <v>5950</v>
      </c>
      <c r="BJ12" s="12">
        <v>5950</v>
      </c>
      <c r="BK12" s="12">
        <v>5950</v>
      </c>
      <c r="BL12" s="12">
        <v>5950</v>
      </c>
      <c r="BM12" s="12">
        <v>5950</v>
      </c>
      <c r="BN12" s="12">
        <v>5950</v>
      </c>
      <c r="BO12" s="12">
        <v>5950</v>
      </c>
      <c r="BP12" s="12">
        <v>5950</v>
      </c>
      <c r="BQ12" s="12">
        <v>5950</v>
      </c>
      <c r="BR12" s="12">
        <v>5950</v>
      </c>
      <c r="BS12" s="12">
        <v>5950</v>
      </c>
      <c r="BT12" s="12">
        <v>5950</v>
      </c>
      <c r="BU12" s="12">
        <v>5950</v>
      </c>
      <c r="BV12" s="12">
        <v>5950</v>
      </c>
    </row>
    <row r="13" spans="1:74">
      <c r="A13" t="s">
        <v>13</v>
      </c>
      <c r="B13" s="17" t="s">
        <v>18</v>
      </c>
      <c r="C13" s="12"/>
      <c r="D13" s="12"/>
      <c r="E13" s="12"/>
      <c r="F13" s="12"/>
      <c r="G13" s="12"/>
      <c r="H13" s="12"/>
      <c r="I13" s="12">
        <v>5300</v>
      </c>
      <c r="J13" s="12">
        <v>5300</v>
      </c>
      <c r="K13" s="12">
        <v>5300</v>
      </c>
      <c r="L13" s="12">
        <v>5300</v>
      </c>
      <c r="M13" s="12">
        <v>5300</v>
      </c>
      <c r="N13" s="12">
        <v>5300</v>
      </c>
      <c r="O13" s="12">
        <v>5300</v>
      </c>
      <c r="P13" s="12">
        <v>5300</v>
      </c>
      <c r="Q13" s="12">
        <v>5300</v>
      </c>
      <c r="R13" s="12">
        <v>5300</v>
      </c>
      <c r="S13" s="12">
        <v>5300</v>
      </c>
      <c r="T13" s="12">
        <v>5300</v>
      </c>
      <c r="U13" s="12">
        <v>5300</v>
      </c>
      <c r="V13" s="12">
        <v>5300</v>
      </c>
      <c r="W13" s="12">
        <v>5300</v>
      </c>
      <c r="X13" s="12">
        <v>5300</v>
      </c>
      <c r="Y13" s="12">
        <v>5300</v>
      </c>
      <c r="Z13" s="12">
        <v>5300</v>
      </c>
      <c r="AA13" s="12">
        <v>5300</v>
      </c>
      <c r="AB13" s="12">
        <v>5300</v>
      </c>
      <c r="AC13" s="12">
        <v>5300</v>
      </c>
      <c r="AD13" s="12">
        <v>5300</v>
      </c>
      <c r="AE13" s="12">
        <v>5300</v>
      </c>
      <c r="AF13" s="12">
        <v>5300</v>
      </c>
      <c r="AG13" s="12">
        <v>5300</v>
      </c>
      <c r="AH13" s="12">
        <v>5300</v>
      </c>
      <c r="AI13" s="12">
        <v>5300</v>
      </c>
      <c r="AJ13" s="12">
        <v>5300</v>
      </c>
      <c r="AK13" s="12">
        <v>5300</v>
      </c>
      <c r="AL13" s="12">
        <v>5300</v>
      </c>
      <c r="AM13" s="12">
        <v>5300</v>
      </c>
      <c r="AN13" s="12">
        <v>5300</v>
      </c>
      <c r="AO13" s="12">
        <v>5300</v>
      </c>
      <c r="AP13" s="12">
        <v>5300</v>
      </c>
      <c r="AQ13" s="12">
        <v>5300</v>
      </c>
      <c r="AR13" s="12">
        <v>5300</v>
      </c>
      <c r="AS13" s="12">
        <v>5300</v>
      </c>
      <c r="AT13" s="12">
        <v>5300</v>
      </c>
      <c r="AU13" s="12">
        <v>5300</v>
      </c>
      <c r="AV13" s="12">
        <v>5300</v>
      </c>
      <c r="AW13" s="12">
        <v>5300</v>
      </c>
      <c r="AX13" s="12">
        <v>5300</v>
      </c>
      <c r="AY13" s="12">
        <v>5300</v>
      </c>
      <c r="AZ13" s="12">
        <v>5300</v>
      </c>
      <c r="BA13" s="12">
        <v>5300</v>
      </c>
      <c r="BB13" s="12">
        <v>5300</v>
      </c>
      <c r="BC13" s="12">
        <v>5300</v>
      </c>
      <c r="BD13" s="12">
        <v>5300</v>
      </c>
      <c r="BE13" s="12">
        <v>5300</v>
      </c>
      <c r="BF13" s="12">
        <v>5300</v>
      </c>
      <c r="BG13" s="12">
        <v>5300</v>
      </c>
      <c r="BH13" s="12">
        <v>5300</v>
      </c>
      <c r="BI13" s="12">
        <v>5300</v>
      </c>
      <c r="BJ13" s="12">
        <v>5300</v>
      </c>
      <c r="BK13" s="12">
        <v>5300</v>
      </c>
      <c r="BL13" s="12">
        <v>5300</v>
      </c>
      <c r="BM13" s="12">
        <v>5300</v>
      </c>
      <c r="BN13" s="12">
        <v>5300</v>
      </c>
      <c r="BO13" s="12">
        <v>5300</v>
      </c>
      <c r="BP13" s="12">
        <v>5300</v>
      </c>
      <c r="BQ13" s="12">
        <v>5300</v>
      </c>
      <c r="BR13" s="12">
        <v>5300</v>
      </c>
      <c r="BS13" s="12">
        <v>5300</v>
      </c>
      <c r="BT13" s="12">
        <v>5300</v>
      </c>
      <c r="BU13" s="12">
        <v>5300</v>
      </c>
      <c r="BV13" s="12">
        <v>5300</v>
      </c>
    </row>
    <row r="14" spans="1:74">
      <c r="A14" t="s">
        <v>19</v>
      </c>
      <c r="B14" s="17" t="s">
        <v>18</v>
      </c>
      <c r="C14" s="12"/>
      <c r="D14" s="12"/>
      <c r="E14" s="12"/>
      <c r="F14" s="12"/>
      <c r="G14" s="12"/>
      <c r="H14" s="12"/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</row>
    <row r="15" spans="1:74">
      <c r="B15" s="17"/>
      <c r="C15" s="3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</row>
    <row r="16" spans="1:74">
      <c r="A16" s="4" t="s">
        <v>20</v>
      </c>
      <c r="B16" s="17">
        <v>260</v>
      </c>
      <c r="C16" s="17" t="s">
        <v>21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</row>
    <row r="17" spans="1:74">
      <c r="A17" t="s">
        <v>22</v>
      </c>
      <c r="B17" s="17">
        <v>6000</v>
      </c>
      <c r="C17" s="17" t="s">
        <v>18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</row>
    <row r="20" spans="1:74">
      <c r="A20" s="88" t="s">
        <v>23</v>
      </c>
      <c r="B20" s="88"/>
      <c r="C20" s="72" t="s">
        <v>24</v>
      </c>
    </row>
    <row r="23" spans="1:74">
      <c r="A23" s="15" t="s">
        <v>25</v>
      </c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</row>
    <row r="24" spans="1:74">
      <c r="A24" s="130"/>
      <c r="B24" s="131"/>
      <c r="C24" s="129"/>
    </row>
    <row r="25" spans="1:74">
      <c r="A25" s="168" t="s">
        <v>26</v>
      </c>
      <c r="B25" s="133"/>
      <c r="C25" s="129"/>
    </row>
    <row r="26" spans="1:74">
      <c r="A26" s="132"/>
      <c r="B26" s="133"/>
      <c r="C26" s="129"/>
    </row>
    <row r="27" spans="1:74">
      <c r="A27" s="28" t="s">
        <v>27</v>
      </c>
      <c r="B27" s="169"/>
      <c r="C27" s="129"/>
    </row>
    <row r="28" spans="1:74">
      <c r="A28" s="4" t="s">
        <v>28</v>
      </c>
      <c r="B28" s="17" t="s">
        <v>29</v>
      </c>
      <c r="C28" s="129"/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</row>
    <row r="29" spans="1:74">
      <c r="A29" s="4" t="s">
        <v>30</v>
      </c>
      <c r="B29" s="17" t="s">
        <v>29</v>
      </c>
      <c r="C29" s="129"/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  <c r="X29">
        <v>100</v>
      </c>
      <c r="Y29">
        <v>100</v>
      </c>
      <c r="Z29">
        <v>100</v>
      </c>
      <c r="AA29">
        <v>100</v>
      </c>
      <c r="AB29">
        <v>100</v>
      </c>
      <c r="AC29">
        <v>100</v>
      </c>
      <c r="AD29">
        <v>100</v>
      </c>
      <c r="AE29">
        <v>100</v>
      </c>
      <c r="AF29">
        <v>100</v>
      </c>
      <c r="AG29">
        <v>100</v>
      </c>
      <c r="AH29">
        <v>100</v>
      </c>
      <c r="AI29">
        <v>100</v>
      </c>
      <c r="AJ29">
        <v>100</v>
      </c>
      <c r="AK29">
        <v>100</v>
      </c>
      <c r="AL29">
        <v>100</v>
      </c>
      <c r="AM29">
        <v>100</v>
      </c>
      <c r="AN29">
        <v>100</v>
      </c>
      <c r="AO29">
        <v>100</v>
      </c>
      <c r="AP29">
        <v>100</v>
      </c>
      <c r="AQ29">
        <v>100</v>
      </c>
      <c r="AR29">
        <v>100</v>
      </c>
      <c r="AS29">
        <v>100</v>
      </c>
      <c r="AT29">
        <v>100</v>
      </c>
      <c r="AU29">
        <v>100</v>
      </c>
      <c r="AV29">
        <v>100</v>
      </c>
      <c r="AW29">
        <v>100</v>
      </c>
      <c r="AX29">
        <v>100</v>
      </c>
      <c r="AY29">
        <v>100</v>
      </c>
      <c r="AZ29">
        <v>100</v>
      </c>
      <c r="BA29">
        <v>100</v>
      </c>
      <c r="BB29">
        <v>100</v>
      </c>
      <c r="BC29">
        <v>100</v>
      </c>
      <c r="BD29">
        <v>100</v>
      </c>
      <c r="BE29">
        <v>100</v>
      </c>
      <c r="BF29">
        <v>100</v>
      </c>
      <c r="BG29">
        <v>100</v>
      </c>
      <c r="BH29">
        <v>100</v>
      </c>
      <c r="BI29">
        <v>100</v>
      </c>
      <c r="BJ29">
        <v>100</v>
      </c>
      <c r="BK29">
        <v>100</v>
      </c>
      <c r="BL29">
        <v>100</v>
      </c>
      <c r="BM29">
        <v>100</v>
      </c>
      <c r="BN29">
        <v>100</v>
      </c>
      <c r="BO29">
        <v>100</v>
      </c>
      <c r="BP29">
        <v>100</v>
      </c>
      <c r="BQ29">
        <v>100</v>
      </c>
      <c r="BR29">
        <v>100</v>
      </c>
      <c r="BS29">
        <v>100</v>
      </c>
      <c r="BT29">
        <v>100</v>
      </c>
      <c r="BU29">
        <v>100</v>
      </c>
      <c r="BV29">
        <v>100</v>
      </c>
    </row>
    <row r="30" spans="1:74">
      <c r="A30" s="4" t="s">
        <v>31</v>
      </c>
      <c r="B30" s="17" t="s">
        <v>29</v>
      </c>
      <c r="C30" s="129"/>
      <c r="D30">
        <v>150</v>
      </c>
      <c r="E30">
        <v>150</v>
      </c>
      <c r="F30">
        <v>150</v>
      </c>
      <c r="G30">
        <v>150</v>
      </c>
      <c r="H30">
        <v>150</v>
      </c>
      <c r="I30">
        <v>150</v>
      </c>
      <c r="J30">
        <v>150</v>
      </c>
      <c r="K30">
        <v>150</v>
      </c>
      <c r="L30">
        <v>150</v>
      </c>
      <c r="M30">
        <v>150</v>
      </c>
      <c r="N30">
        <v>150</v>
      </c>
      <c r="O30">
        <v>150</v>
      </c>
      <c r="P30">
        <v>150</v>
      </c>
      <c r="Q30">
        <v>150</v>
      </c>
      <c r="R30">
        <v>150</v>
      </c>
      <c r="S30">
        <v>150</v>
      </c>
      <c r="T30">
        <v>150</v>
      </c>
      <c r="U30">
        <v>150</v>
      </c>
      <c r="V30">
        <v>150</v>
      </c>
      <c r="W30">
        <v>150</v>
      </c>
      <c r="X30">
        <v>150</v>
      </c>
      <c r="Y30">
        <v>150</v>
      </c>
      <c r="Z30">
        <v>150</v>
      </c>
      <c r="AA30">
        <v>150</v>
      </c>
      <c r="AB30">
        <v>150</v>
      </c>
      <c r="AC30">
        <v>150</v>
      </c>
      <c r="AD30">
        <v>150</v>
      </c>
      <c r="AE30">
        <v>150</v>
      </c>
      <c r="AF30">
        <v>150</v>
      </c>
      <c r="AG30">
        <v>150</v>
      </c>
      <c r="AH30">
        <v>150</v>
      </c>
      <c r="AI30">
        <v>150</v>
      </c>
      <c r="AJ30">
        <v>150</v>
      </c>
      <c r="AK30">
        <v>150</v>
      </c>
      <c r="AL30">
        <v>150</v>
      </c>
      <c r="AM30">
        <v>150</v>
      </c>
      <c r="AN30">
        <v>150</v>
      </c>
      <c r="AO30">
        <v>150</v>
      </c>
      <c r="AP30">
        <v>150</v>
      </c>
      <c r="AQ30">
        <v>150</v>
      </c>
      <c r="AR30">
        <v>150</v>
      </c>
      <c r="AS30">
        <v>150</v>
      </c>
      <c r="AT30">
        <v>150</v>
      </c>
      <c r="AU30">
        <v>150</v>
      </c>
      <c r="AV30">
        <v>150</v>
      </c>
      <c r="AW30">
        <v>150</v>
      </c>
      <c r="AX30">
        <v>150</v>
      </c>
      <c r="AY30">
        <v>150</v>
      </c>
      <c r="AZ30">
        <v>150</v>
      </c>
      <c r="BA30">
        <v>150</v>
      </c>
      <c r="BB30">
        <v>150</v>
      </c>
      <c r="BC30">
        <v>150</v>
      </c>
      <c r="BD30">
        <v>150</v>
      </c>
      <c r="BE30">
        <v>150</v>
      </c>
      <c r="BF30">
        <v>150</v>
      </c>
      <c r="BG30">
        <v>150</v>
      </c>
      <c r="BH30">
        <v>150</v>
      </c>
      <c r="BI30">
        <v>150</v>
      </c>
      <c r="BJ30">
        <v>150</v>
      </c>
      <c r="BK30">
        <v>150</v>
      </c>
      <c r="BL30">
        <v>150</v>
      </c>
      <c r="BM30">
        <v>150</v>
      </c>
      <c r="BN30">
        <v>150</v>
      </c>
      <c r="BO30">
        <v>150</v>
      </c>
      <c r="BP30">
        <v>150</v>
      </c>
      <c r="BQ30">
        <v>150</v>
      </c>
      <c r="BR30">
        <v>150</v>
      </c>
      <c r="BS30">
        <v>150</v>
      </c>
      <c r="BT30">
        <v>150</v>
      </c>
      <c r="BU30">
        <v>150</v>
      </c>
      <c r="BV30">
        <v>150</v>
      </c>
    </row>
    <row r="31" spans="1:74">
      <c r="A31" s="4" t="s">
        <v>32</v>
      </c>
      <c r="B31" s="17" t="s">
        <v>29</v>
      </c>
      <c r="C31" s="129"/>
      <c r="F31">
        <v>175</v>
      </c>
      <c r="G31">
        <v>175</v>
      </c>
      <c r="H31">
        <v>175</v>
      </c>
      <c r="I31">
        <v>175</v>
      </c>
      <c r="J31">
        <v>175</v>
      </c>
      <c r="K31">
        <v>175</v>
      </c>
      <c r="L31">
        <v>175</v>
      </c>
      <c r="M31">
        <v>175</v>
      </c>
      <c r="N31">
        <v>175</v>
      </c>
      <c r="O31">
        <v>175</v>
      </c>
      <c r="P31">
        <v>175</v>
      </c>
      <c r="Q31">
        <v>175</v>
      </c>
      <c r="R31">
        <v>175</v>
      </c>
      <c r="S31">
        <v>175</v>
      </c>
      <c r="T31">
        <v>175</v>
      </c>
      <c r="U31">
        <v>175</v>
      </c>
      <c r="V31">
        <v>175</v>
      </c>
      <c r="W31">
        <v>175</v>
      </c>
      <c r="X31">
        <v>175</v>
      </c>
      <c r="Y31">
        <v>175</v>
      </c>
      <c r="Z31">
        <v>175</v>
      </c>
      <c r="AA31">
        <v>175</v>
      </c>
      <c r="AB31">
        <v>175</v>
      </c>
      <c r="AC31">
        <v>175</v>
      </c>
      <c r="AD31">
        <v>175</v>
      </c>
      <c r="AE31">
        <v>175</v>
      </c>
      <c r="AF31">
        <v>175</v>
      </c>
      <c r="AG31">
        <v>175</v>
      </c>
      <c r="AH31">
        <v>175</v>
      </c>
      <c r="AI31">
        <v>175</v>
      </c>
      <c r="AJ31">
        <v>175</v>
      </c>
      <c r="AK31">
        <v>175</v>
      </c>
      <c r="AL31">
        <v>175</v>
      </c>
      <c r="AM31">
        <v>175</v>
      </c>
      <c r="AN31">
        <v>175</v>
      </c>
      <c r="AO31">
        <v>175</v>
      </c>
      <c r="AP31">
        <v>175</v>
      </c>
      <c r="AQ31">
        <v>175</v>
      </c>
      <c r="AR31">
        <v>175</v>
      </c>
      <c r="AS31">
        <v>175</v>
      </c>
      <c r="AT31">
        <v>175</v>
      </c>
      <c r="AU31">
        <v>175</v>
      </c>
      <c r="AV31">
        <v>175</v>
      </c>
      <c r="AW31">
        <v>175</v>
      </c>
      <c r="AX31">
        <v>175</v>
      </c>
      <c r="AY31">
        <v>175</v>
      </c>
      <c r="AZ31">
        <v>175</v>
      </c>
      <c r="BA31">
        <v>175</v>
      </c>
      <c r="BB31">
        <v>175</v>
      </c>
      <c r="BC31">
        <v>175</v>
      </c>
      <c r="BD31">
        <v>175</v>
      </c>
      <c r="BE31">
        <v>175</v>
      </c>
      <c r="BF31">
        <v>175</v>
      </c>
      <c r="BG31">
        <v>175</v>
      </c>
      <c r="BH31">
        <v>175</v>
      </c>
      <c r="BI31">
        <v>175</v>
      </c>
      <c r="BJ31">
        <v>175</v>
      </c>
      <c r="BK31">
        <v>175</v>
      </c>
      <c r="BL31">
        <v>175</v>
      </c>
      <c r="BM31">
        <v>175</v>
      </c>
      <c r="BN31">
        <v>175</v>
      </c>
      <c r="BO31">
        <v>175</v>
      </c>
      <c r="BP31">
        <v>175</v>
      </c>
      <c r="BQ31">
        <v>175</v>
      </c>
      <c r="BR31">
        <v>175</v>
      </c>
      <c r="BS31">
        <v>175</v>
      </c>
      <c r="BT31">
        <v>175</v>
      </c>
      <c r="BU31">
        <v>175</v>
      </c>
      <c r="BV31">
        <v>175</v>
      </c>
    </row>
    <row r="32" spans="1:74">
      <c r="A32" s="4" t="s">
        <v>33</v>
      </c>
      <c r="B32" s="17" t="s">
        <v>29</v>
      </c>
      <c r="C32" s="129"/>
      <c r="F32">
        <v>225</v>
      </c>
      <c r="G32">
        <v>225</v>
      </c>
      <c r="H32">
        <v>225</v>
      </c>
      <c r="I32">
        <v>225</v>
      </c>
      <c r="J32">
        <v>225</v>
      </c>
      <c r="K32">
        <v>225</v>
      </c>
      <c r="L32">
        <v>225</v>
      </c>
      <c r="M32">
        <v>225</v>
      </c>
      <c r="N32">
        <v>225</v>
      </c>
      <c r="O32">
        <v>225</v>
      </c>
      <c r="P32">
        <v>225</v>
      </c>
      <c r="Q32">
        <v>225</v>
      </c>
      <c r="R32">
        <v>225</v>
      </c>
      <c r="S32">
        <v>225</v>
      </c>
      <c r="T32">
        <v>225</v>
      </c>
      <c r="U32">
        <v>225</v>
      </c>
      <c r="V32">
        <v>225</v>
      </c>
      <c r="W32">
        <v>225</v>
      </c>
      <c r="X32">
        <v>225</v>
      </c>
      <c r="Y32">
        <v>225</v>
      </c>
      <c r="Z32">
        <v>225</v>
      </c>
      <c r="AA32">
        <v>225</v>
      </c>
      <c r="AB32">
        <v>225</v>
      </c>
      <c r="AC32">
        <v>225</v>
      </c>
      <c r="AD32">
        <v>225</v>
      </c>
      <c r="AE32">
        <v>225</v>
      </c>
      <c r="AF32">
        <v>225</v>
      </c>
      <c r="AG32">
        <v>225</v>
      </c>
      <c r="AH32">
        <v>225</v>
      </c>
      <c r="AI32">
        <v>225</v>
      </c>
      <c r="AJ32">
        <v>225</v>
      </c>
      <c r="AK32">
        <v>225</v>
      </c>
      <c r="AL32">
        <v>225</v>
      </c>
      <c r="AM32">
        <v>225</v>
      </c>
      <c r="AN32">
        <v>225</v>
      </c>
      <c r="AO32">
        <v>225</v>
      </c>
      <c r="AP32">
        <v>225</v>
      </c>
      <c r="AQ32">
        <v>225</v>
      </c>
      <c r="AR32">
        <v>225</v>
      </c>
      <c r="AS32">
        <v>225</v>
      </c>
      <c r="AT32">
        <v>225</v>
      </c>
      <c r="AU32">
        <v>225</v>
      </c>
      <c r="AV32">
        <v>225</v>
      </c>
      <c r="AW32">
        <v>225</v>
      </c>
      <c r="AX32">
        <v>225</v>
      </c>
      <c r="AY32">
        <v>225</v>
      </c>
      <c r="AZ32">
        <v>225</v>
      </c>
      <c r="BA32">
        <v>225</v>
      </c>
      <c r="BB32">
        <v>225</v>
      </c>
      <c r="BC32">
        <v>225</v>
      </c>
      <c r="BD32">
        <v>225</v>
      </c>
      <c r="BE32">
        <v>225</v>
      </c>
      <c r="BF32">
        <v>225</v>
      </c>
      <c r="BG32">
        <v>225</v>
      </c>
      <c r="BH32">
        <v>225</v>
      </c>
      <c r="BI32">
        <v>225</v>
      </c>
      <c r="BJ32">
        <v>225</v>
      </c>
      <c r="BK32">
        <v>225</v>
      </c>
      <c r="BL32">
        <v>225</v>
      </c>
      <c r="BM32">
        <v>225</v>
      </c>
      <c r="BN32">
        <v>225</v>
      </c>
      <c r="BO32">
        <v>225</v>
      </c>
      <c r="BP32">
        <v>225</v>
      </c>
      <c r="BQ32">
        <v>225</v>
      </c>
      <c r="BR32">
        <v>225</v>
      </c>
      <c r="BS32">
        <v>225</v>
      </c>
      <c r="BT32">
        <v>225</v>
      </c>
      <c r="BU32">
        <v>225</v>
      </c>
      <c r="BV32">
        <v>225</v>
      </c>
    </row>
    <row r="33" spans="1:74">
      <c r="A33" s="4" t="s">
        <v>34</v>
      </c>
      <c r="B33" s="17" t="s">
        <v>29</v>
      </c>
      <c r="C33" s="129"/>
      <c r="F33">
        <v>300</v>
      </c>
      <c r="G33">
        <v>300</v>
      </c>
      <c r="H33">
        <v>300</v>
      </c>
      <c r="I33">
        <v>300</v>
      </c>
      <c r="J33">
        <v>300</v>
      </c>
      <c r="K33">
        <v>300</v>
      </c>
      <c r="L33">
        <v>300</v>
      </c>
      <c r="M33">
        <v>300</v>
      </c>
      <c r="N33">
        <v>300</v>
      </c>
      <c r="O33">
        <v>300</v>
      </c>
      <c r="P33">
        <v>300</v>
      </c>
      <c r="Q33">
        <v>300</v>
      </c>
      <c r="R33">
        <v>300</v>
      </c>
      <c r="S33">
        <v>300</v>
      </c>
      <c r="T33">
        <v>300</v>
      </c>
      <c r="U33">
        <v>300</v>
      </c>
      <c r="V33">
        <v>300</v>
      </c>
      <c r="W33">
        <v>300</v>
      </c>
      <c r="X33">
        <v>300</v>
      </c>
      <c r="Y33">
        <v>300</v>
      </c>
      <c r="Z33">
        <v>300</v>
      </c>
      <c r="AA33">
        <v>300</v>
      </c>
      <c r="AB33">
        <v>300</v>
      </c>
      <c r="AC33">
        <v>300</v>
      </c>
      <c r="AD33">
        <v>300</v>
      </c>
      <c r="AE33">
        <v>300</v>
      </c>
      <c r="AF33">
        <v>300</v>
      </c>
      <c r="AG33">
        <v>300</v>
      </c>
      <c r="AH33">
        <v>300</v>
      </c>
      <c r="AI33">
        <v>300</v>
      </c>
      <c r="AJ33">
        <v>300</v>
      </c>
      <c r="AK33">
        <v>300</v>
      </c>
      <c r="AL33">
        <v>300</v>
      </c>
      <c r="AM33">
        <v>300</v>
      </c>
      <c r="AN33">
        <v>300</v>
      </c>
      <c r="AO33">
        <v>300</v>
      </c>
      <c r="AP33">
        <v>300</v>
      </c>
      <c r="AQ33">
        <v>300</v>
      </c>
      <c r="AR33">
        <v>300</v>
      </c>
      <c r="AS33">
        <v>300</v>
      </c>
      <c r="AT33">
        <v>300</v>
      </c>
      <c r="AU33">
        <v>300</v>
      </c>
      <c r="AV33">
        <v>300</v>
      </c>
      <c r="AW33">
        <v>300</v>
      </c>
      <c r="AX33">
        <v>300</v>
      </c>
      <c r="AY33">
        <v>300</v>
      </c>
      <c r="AZ33">
        <v>300</v>
      </c>
      <c r="BA33">
        <v>300</v>
      </c>
      <c r="BB33">
        <v>300</v>
      </c>
      <c r="BC33">
        <v>300</v>
      </c>
      <c r="BD33">
        <v>300</v>
      </c>
      <c r="BE33">
        <v>300</v>
      </c>
      <c r="BF33">
        <v>300</v>
      </c>
      <c r="BG33">
        <v>300</v>
      </c>
      <c r="BH33">
        <v>300</v>
      </c>
      <c r="BI33">
        <v>300</v>
      </c>
      <c r="BJ33">
        <v>300</v>
      </c>
      <c r="BK33">
        <v>300</v>
      </c>
      <c r="BL33">
        <v>300</v>
      </c>
      <c r="BM33">
        <v>300</v>
      </c>
      <c r="BN33">
        <v>300</v>
      </c>
      <c r="BO33">
        <v>300</v>
      </c>
      <c r="BP33">
        <v>300</v>
      </c>
      <c r="BQ33">
        <v>300</v>
      </c>
      <c r="BR33">
        <v>300</v>
      </c>
      <c r="BS33">
        <v>300</v>
      </c>
      <c r="BT33">
        <v>300</v>
      </c>
      <c r="BU33">
        <v>300</v>
      </c>
      <c r="BV33">
        <v>300</v>
      </c>
    </row>
    <row r="34" spans="1:74">
      <c r="A34" s="28" t="s">
        <v>35</v>
      </c>
      <c r="B34" s="169"/>
      <c r="C34" s="129"/>
    </row>
    <row r="35" spans="1:74">
      <c r="A35" s="4" t="s">
        <v>28</v>
      </c>
      <c r="B35" s="17" t="s">
        <v>36</v>
      </c>
      <c r="C35" s="129"/>
      <c r="D35" s="165">
        <v>7.0000000000000007E-2</v>
      </c>
      <c r="E35" s="165">
        <v>7.0000000000000007E-2</v>
      </c>
      <c r="F35" s="165">
        <v>7.0000000000000007E-2</v>
      </c>
      <c r="G35" s="165">
        <v>7.0000000000000007E-2</v>
      </c>
      <c r="H35" s="165">
        <v>7.0000000000000007E-2</v>
      </c>
      <c r="I35" s="171">
        <v>7.0000000000000007E-2</v>
      </c>
      <c r="J35">
        <v>7.0000000000000007E-2</v>
      </c>
      <c r="K35">
        <v>7.0000000000000007E-2</v>
      </c>
      <c r="L35">
        <v>7.0000000000000007E-2</v>
      </c>
      <c r="M35">
        <v>7.0000000000000007E-2</v>
      </c>
      <c r="N35">
        <v>7.0000000000000007E-2</v>
      </c>
      <c r="O35">
        <v>7.0000000000000007E-2</v>
      </c>
      <c r="P35">
        <v>7.0000000000000007E-2</v>
      </c>
      <c r="Q35">
        <v>7.0000000000000007E-2</v>
      </c>
      <c r="R35">
        <v>7.0000000000000007E-2</v>
      </c>
      <c r="S35">
        <v>7.0000000000000007E-2</v>
      </c>
      <c r="T35">
        <v>7.0000000000000007E-2</v>
      </c>
      <c r="U35">
        <v>7.0000000000000007E-2</v>
      </c>
      <c r="V35">
        <v>7.0000000000000007E-2</v>
      </c>
      <c r="W35">
        <v>7.0000000000000007E-2</v>
      </c>
      <c r="X35">
        <v>7.0000000000000007E-2</v>
      </c>
      <c r="Y35">
        <v>7.0000000000000007E-2</v>
      </c>
      <c r="Z35">
        <v>7.0000000000000007E-2</v>
      </c>
      <c r="AA35">
        <v>7.0000000000000007E-2</v>
      </c>
      <c r="AB35">
        <v>7.0000000000000007E-2</v>
      </c>
      <c r="AC35">
        <v>7.0000000000000007E-2</v>
      </c>
      <c r="AD35">
        <v>7.0000000000000007E-2</v>
      </c>
      <c r="AE35">
        <v>7.0000000000000007E-2</v>
      </c>
      <c r="AF35">
        <v>7.0000000000000007E-2</v>
      </c>
      <c r="AG35">
        <v>7.0000000000000007E-2</v>
      </c>
      <c r="AH35">
        <v>7.0000000000000007E-2</v>
      </c>
      <c r="AI35">
        <v>7.0000000000000007E-2</v>
      </c>
      <c r="AJ35">
        <v>7.0000000000000007E-2</v>
      </c>
      <c r="AK35">
        <v>7.0000000000000007E-2</v>
      </c>
      <c r="AL35">
        <v>7.0000000000000007E-2</v>
      </c>
      <c r="AM35">
        <v>7.0000000000000007E-2</v>
      </c>
      <c r="AN35">
        <v>7.0000000000000007E-2</v>
      </c>
      <c r="AO35">
        <v>7.0000000000000007E-2</v>
      </c>
      <c r="AP35">
        <v>7.0000000000000007E-2</v>
      </c>
      <c r="AQ35">
        <v>7.0000000000000007E-2</v>
      </c>
      <c r="AR35">
        <v>7.0000000000000007E-2</v>
      </c>
      <c r="AS35">
        <v>7.0000000000000007E-2</v>
      </c>
      <c r="AT35">
        <v>7.0000000000000007E-2</v>
      </c>
      <c r="AU35">
        <v>7.0000000000000007E-2</v>
      </c>
      <c r="AV35">
        <v>7.0000000000000007E-2</v>
      </c>
      <c r="AW35">
        <v>7.0000000000000007E-2</v>
      </c>
      <c r="AX35">
        <v>7.0000000000000007E-2</v>
      </c>
      <c r="AY35">
        <v>7.0000000000000007E-2</v>
      </c>
      <c r="AZ35">
        <v>7.0000000000000007E-2</v>
      </c>
      <c r="BA35">
        <v>7.0000000000000007E-2</v>
      </c>
      <c r="BB35">
        <v>7.0000000000000007E-2</v>
      </c>
      <c r="BC35">
        <v>7.0000000000000007E-2</v>
      </c>
      <c r="BD35">
        <v>7.0000000000000007E-2</v>
      </c>
      <c r="BE35">
        <v>7.0000000000000007E-2</v>
      </c>
      <c r="BF35">
        <v>7.0000000000000007E-2</v>
      </c>
      <c r="BG35">
        <v>7.0000000000000007E-2</v>
      </c>
      <c r="BH35">
        <v>7.0000000000000007E-2</v>
      </c>
      <c r="BI35">
        <v>7.0000000000000007E-2</v>
      </c>
      <c r="BJ35">
        <v>7.0000000000000007E-2</v>
      </c>
      <c r="BK35">
        <v>7.0000000000000007E-2</v>
      </c>
      <c r="BL35">
        <v>7.0000000000000007E-2</v>
      </c>
      <c r="BM35">
        <v>7.0000000000000007E-2</v>
      </c>
      <c r="BN35">
        <v>7.0000000000000007E-2</v>
      </c>
      <c r="BO35">
        <v>7.0000000000000007E-2</v>
      </c>
      <c r="BP35">
        <v>7.0000000000000007E-2</v>
      </c>
      <c r="BQ35">
        <v>7.0000000000000007E-2</v>
      </c>
      <c r="BR35">
        <v>7.0000000000000007E-2</v>
      </c>
      <c r="BS35">
        <v>7.0000000000000007E-2</v>
      </c>
      <c r="BT35">
        <v>7.0000000000000007E-2</v>
      </c>
      <c r="BU35">
        <v>7.0000000000000007E-2</v>
      </c>
      <c r="BV35">
        <v>7.0000000000000007E-2</v>
      </c>
    </row>
    <row r="36" spans="1:74">
      <c r="A36" s="4" t="s">
        <v>30</v>
      </c>
      <c r="B36" s="17" t="s">
        <v>36</v>
      </c>
      <c r="C36" s="129"/>
      <c r="D36" s="165">
        <v>0.125</v>
      </c>
      <c r="E36" s="165">
        <v>0.125</v>
      </c>
      <c r="F36" s="165">
        <v>0.125</v>
      </c>
      <c r="G36" s="165">
        <v>0.125</v>
      </c>
      <c r="H36" s="165">
        <v>0.125</v>
      </c>
      <c r="I36" s="171">
        <v>0.125</v>
      </c>
      <c r="J36">
        <v>0.125</v>
      </c>
      <c r="K36">
        <v>0.125</v>
      </c>
      <c r="L36">
        <v>0.125</v>
      </c>
      <c r="M36">
        <v>0.125</v>
      </c>
      <c r="N36">
        <v>0.125</v>
      </c>
      <c r="O36">
        <v>0.125</v>
      </c>
      <c r="P36">
        <v>0.125</v>
      </c>
      <c r="Q36">
        <v>0.125</v>
      </c>
      <c r="R36">
        <v>0.125</v>
      </c>
      <c r="S36">
        <v>0.125</v>
      </c>
      <c r="T36">
        <v>0.125</v>
      </c>
      <c r="U36">
        <v>0.125</v>
      </c>
      <c r="V36">
        <v>0.125</v>
      </c>
      <c r="W36">
        <v>0.125</v>
      </c>
      <c r="X36">
        <v>0.125</v>
      </c>
      <c r="Y36">
        <v>0.125</v>
      </c>
      <c r="Z36">
        <v>0.125</v>
      </c>
      <c r="AA36">
        <v>0.125</v>
      </c>
      <c r="AB36">
        <v>0.125</v>
      </c>
      <c r="AC36">
        <v>0.125</v>
      </c>
      <c r="AD36">
        <v>0.125</v>
      </c>
      <c r="AE36">
        <v>0.125</v>
      </c>
      <c r="AF36">
        <v>0.125</v>
      </c>
      <c r="AG36">
        <v>0.125</v>
      </c>
      <c r="AH36">
        <v>0.125</v>
      </c>
      <c r="AI36">
        <v>0.125</v>
      </c>
      <c r="AJ36">
        <v>0.125</v>
      </c>
      <c r="AK36">
        <v>0.125</v>
      </c>
      <c r="AL36">
        <v>0.125</v>
      </c>
      <c r="AM36">
        <v>0.125</v>
      </c>
      <c r="AN36">
        <v>0.125</v>
      </c>
      <c r="AO36">
        <v>0.125</v>
      </c>
      <c r="AP36">
        <v>0.125</v>
      </c>
      <c r="AQ36">
        <v>0.125</v>
      </c>
      <c r="AR36">
        <v>0.125</v>
      </c>
      <c r="AS36">
        <v>0.125</v>
      </c>
      <c r="AT36">
        <v>0.125</v>
      </c>
      <c r="AU36">
        <v>0.125</v>
      </c>
      <c r="AV36">
        <v>0.125</v>
      </c>
      <c r="AW36">
        <v>0.125</v>
      </c>
      <c r="AX36">
        <v>0.125</v>
      </c>
      <c r="AY36">
        <v>0.125</v>
      </c>
      <c r="AZ36">
        <v>0.125</v>
      </c>
      <c r="BA36">
        <v>0.125</v>
      </c>
      <c r="BB36">
        <v>0.125</v>
      </c>
      <c r="BC36">
        <v>0.125</v>
      </c>
      <c r="BD36">
        <v>0.125</v>
      </c>
      <c r="BE36">
        <v>0.125</v>
      </c>
      <c r="BF36">
        <v>0.125</v>
      </c>
      <c r="BG36">
        <v>0.125</v>
      </c>
      <c r="BH36">
        <v>0.125</v>
      </c>
      <c r="BI36">
        <v>0.125</v>
      </c>
      <c r="BJ36">
        <v>0.125</v>
      </c>
      <c r="BK36">
        <v>0.125</v>
      </c>
      <c r="BL36">
        <v>0.125</v>
      </c>
      <c r="BM36">
        <v>0.125</v>
      </c>
      <c r="BN36">
        <v>0.125</v>
      </c>
      <c r="BO36">
        <v>0.125</v>
      </c>
      <c r="BP36">
        <v>0.125</v>
      </c>
      <c r="BQ36">
        <v>0.125</v>
      </c>
      <c r="BR36">
        <v>0.125</v>
      </c>
      <c r="BS36">
        <v>0.125</v>
      </c>
      <c r="BT36">
        <v>0.125</v>
      </c>
      <c r="BU36">
        <v>0.125</v>
      </c>
      <c r="BV36">
        <v>0.125</v>
      </c>
    </row>
    <row r="37" spans="1:74">
      <c r="A37" s="4" t="s">
        <v>31</v>
      </c>
      <c r="B37" s="17" t="s">
        <v>36</v>
      </c>
      <c r="C37" s="129"/>
      <c r="D37" s="165">
        <v>0.15</v>
      </c>
      <c r="E37" s="165">
        <v>0.15</v>
      </c>
      <c r="F37" s="165">
        <v>0.15</v>
      </c>
      <c r="G37" s="165">
        <v>0.15</v>
      </c>
      <c r="H37" s="165">
        <v>0.15</v>
      </c>
      <c r="I37" s="171">
        <v>0.15</v>
      </c>
      <c r="J37">
        <v>0.15</v>
      </c>
      <c r="K37">
        <v>0.15</v>
      </c>
      <c r="L37">
        <v>0.15</v>
      </c>
      <c r="M37">
        <v>0.15</v>
      </c>
      <c r="N37">
        <v>0.15</v>
      </c>
      <c r="O37">
        <v>0.15</v>
      </c>
      <c r="P37">
        <v>0.15</v>
      </c>
      <c r="Q37">
        <v>0.15</v>
      </c>
      <c r="R37">
        <v>0.15</v>
      </c>
      <c r="S37">
        <v>0.15</v>
      </c>
      <c r="T37">
        <v>0.15</v>
      </c>
      <c r="U37">
        <v>0.15</v>
      </c>
      <c r="V37">
        <v>0.15</v>
      </c>
      <c r="W37">
        <v>0.15</v>
      </c>
      <c r="X37">
        <v>0.15</v>
      </c>
      <c r="Y37">
        <v>0.15</v>
      </c>
      <c r="Z37">
        <v>0.15</v>
      </c>
      <c r="AA37">
        <v>0.15</v>
      </c>
      <c r="AB37">
        <v>0.15</v>
      </c>
      <c r="AC37">
        <v>0.15</v>
      </c>
      <c r="AD37">
        <v>0.15</v>
      </c>
      <c r="AE37">
        <v>0.15</v>
      </c>
      <c r="AF37">
        <v>0.15</v>
      </c>
      <c r="AG37">
        <v>0.15</v>
      </c>
      <c r="AH37">
        <v>0.15</v>
      </c>
      <c r="AI37">
        <v>0.15</v>
      </c>
      <c r="AJ37">
        <v>0.15</v>
      </c>
      <c r="AK37">
        <v>0.15</v>
      </c>
      <c r="AL37">
        <v>0.15</v>
      </c>
      <c r="AM37">
        <v>0.15</v>
      </c>
      <c r="AN37">
        <v>0.15</v>
      </c>
      <c r="AO37">
        <v>0.15</v>
      </c>
      <c r="AP37">
        <v>0.15</v>
      </c>
      <c r="AQ37">
        <v>0.15</v>
      </c>
      <c r="AR37">
        <v>0.15</v>
      </c>
      <c r="AS37">
        <v>0.15</v>
      </c>
      <c r="AT37">
        <v>0.15</v>
      </c>
      <c r="AU37">
        <v>0.15</v>
      </c>
      <c r="AV37">
        <v>0.15</v>
      </c>
      <c r="AW37">
        <v>0.15</v>
      </c>
      <c r="AX37">
        <v>0.15</v>
      </c>
      <c r="AY37">
        <v>0.15</v>
      </c>
      <c r="AZ37">
        <v>0.15</v>
      </c>
      <c r="BA37">
        <v>0.15</v>
      </c>
      <c r="BB37">
        <v>0.15</v>
      </c>
      <c r="BC37">
        <v>0.15</v>
      </c>
      <c r="BD37">
        <v>0.15</v>
      </c>
      <c r="BE37">
        <v>0.15</v>
      </c>
      <c r="BF37">
        <v>0.15</v>
      </c>
      <c r="BG37">
        <v>0.15</v>
      </c>
      <c r="BH37">
        <v>0.15</v>
      </c>
      <c r="BI37">
        <v>0.15</v>
      </c>
      <c r="BJ37">
        <v>0.15</v>
      </c>
      <c r="BK37">
        <v>0.15</v>
      </c>
      <c r="BL37">
        <v>0.15</v>
      </c>
      <c r="BM37">
        <v>0.15</v>
      </c>
      <c r="BN37">
        <v>0.15</v>
      </c>
      <c r="BO37">
        <v>0.15</v>
      </c>
      <c r="BP37">
        <v>0.15</v>
      </c>
      <c r="BQ37">
        <v>0.15</v>
      </c>
      <c r="BR37">
        <v>0.15</v>
      </c>
      <c r="BS37">
        <v>0.15</v>
      </c>
      <c r="BT37">
        <v>0.15</v>
      </c>
      <c r="BU37">
        <v>0.15</v>
      </c>
      <c r="BV37">
        <v>0.15</v>
      </c>
    </row>
    <row r="38" spans="1:74">
      <c r="A38" s="4" t="s">
        <v>32</v>
      </c>
      <c r="B38" s="17" t="s">
        <v>36</v>
      </c>
      <c r="C38" s="129"/>
      <c r="D38" s="165"/>
      <c r="E38" s="165"/>
      <c r="F38" s="165">
        <v>0.2</v>
      </c>
      <c r="G38" s="165">
        <v>0.2</v>
      </c>
      <c r="H38" s="165">
        <v>0.2</v>
      </c>
      <c r="I38" s="171">
        <v>0.2</v>
      </c>
      <c r="J38">
        <v>0.2</v>
      </c>
      <c r="K38">
        <v>0.2</v>
      </c>
      <c r="L38">
        <v>0.2</v>
      </c>
      <c r="M38">
        <v>0.2</v>
      </c>
      <c r="N38">
        <v>0.2</v>
      </c>
      <c r="O38">
        <v>0.2</v>
      </c>
      <c r="P38">
        <v>0.2</v>
      </c>
      <c r="Q38">
        <v>0.2</v>
      </c>
      <c r="R38">
        <v>0.2</v>
      </c>
      <c r="S38">
        <v>0.2</v>
      </c>
      <c r="T38">
        <v>0.2</v>
      </c>
      <c r="U38">
        <v>0.2</v>
      </c>
      <c r="V38">
        <v>0.2</v>
      </c>
      <c r="W38">
        <v>0.2</v>
      </c>
      <c r="X38">
        <v>0.2</v>
      </c>
      <c r="Y38">
        <v>0.2</v>
      </c>
      <c r="Z38">
        <v>0.2</v>
      </c>
      <c r="AA38">
        <v>0.2</v>
      </c>
      <c r="AB38">
        <v>0.2</v>
      </c>
      <c r="AC38">
        <v>0.2</v>
      </c>
      <c r="AD38">
        <v>0.2</v>
      </c>
      <c r="AE38">
        <v>0.2</v>
      </c>
      <c r="AF38">
        <v>0.2</v>
      </c>
      <c r="AG38">
        <v>0.2</v>
      </c>
      <c r="AH38">
        <v>0.2</v>
      </c>
      <c r="AI38">
        <v>0.2</v>
      </c>
      <c r="AJ38">
        <v>0.2</v>
      </c>
      <c r="AK38">
        <v>0.2</v>
      </c>
      <c r="AL38">
        <v>0.2</v>
      </c>
      <c r="AM38">
        <v>0.2</v>
      </c>
      <c r="AN38">
        <v>0.2</v>
      </c>
      <c r="AO38">
        <v>0.2</v>
      </c>
      <c r="AP38">
        <v>0.2</v>
      </c>
      <c r="AQ38">
        <v>0.2</v>
      </c>
      <c r="AR38">
        <v>0.2</v>
      </c>
      <c r="AS38">
        <v>0.2</v>
      </c>
      <c r="AT38">
        <v>0.2</v>
      </c>
      <c r="AU38">
        <v>0.2</v>
      </c>
      <c r="AV38">
        <v>0.2</v>
      </c>
      <c r="AW38">
        <v>0.2</v>
      </c>
      <c r="AX38">
        <v>0.2</v>
      </c>
      <c r="AY38">
        <v>0.2</v>
      </c>
      <c r="AZ38">
        <v>0.2</v>
      </c>
      <c r="BA38">
        <v>0.2</v>
      </c>
      <c r="BB38">
        <v>0.2</v>
      </c>
      <c r="BC38">
        <v>0.2</v>
      </c>
      <c r="BD38">
        <v>0.2</v>
      </c>
      <c r="BE38">
        <v>0.2</v>
      </c>
      <c r="BF38">
        <v>0.2</v>
      </c>
      <c r="BG38">
        <v>0.2</v>
      </c>
      <c r="BH38">
        <v>0.2</v>
      </c>
      <c r="BI38">
        <v>0.2</v>
      </c>
      <c r="BJ38">
        <v>0.2</v>
      </c>
      <c r="BK38">
        <v>0.2</v>
      </c>
      <c r="BL38">
        <v>0.2</v>
      </c>
      <c r="BM38">
        <v>0.2</v>
      </c>
      <c r="BN38">
        <v>0.2</v>
      </c>
      <c r="BO38">
        <v>0.2</v>
      </c>
      <c r="BP38">
        <v>0.2</v>
      </c>
      <c r="BQ38">
        <v>0.2</v>
      </c>
      <c r="BR38">
        <v>0.2</v>
      </c>
      <c r="BS38">
        <v>0.2</v>
      </c>
      <c r="BT38">
        <v>0.2</v>
      </c>
      <c r="BU38">
        <v>0.2</v>
      </c>
      <c r="BV38">
        <v>0.2</v>
      </c>
    </row>
    <row r="39" spans="1:74">
      <c r="A39" s="4" t="s">
        <v>33</v>
      </c>
      <c r="B39" s="17" t="s">
        <v>36</v>
      </c>
      <c r="C39" s="129"/>
      <c r="D39" s="165"/>
      <c r="E39" s="165"/>
      <c r="F39" s="165">
        <v>0.3</v>
      </c>
      <c r="G39" s="165">
        <v>0.3</v>
      </c>
      <c r="H39" s="165">
        <v>0.3</v>
      </c>
      <c r="I39" s="171">
        <v>0.3</v>
      </c>
      <c r="J39">
        <v>0.3</v>
      </c>
      <c r="K39">
        <v>0.3</v>
      </c>
      <c r="L39">
        <v>0.3</v>
      </c>
      <c r="M39">
        <v>0.3</v>
      </c>
      <c r="N39">
        <v>0.3</v>
      </c>
      <c r="O39">
        <v>0.3</v>
      </c>
      <c r="P39">
        <v>0.3</v>
      </c>
      <c r="Q39">
        <v>0.3</v>
      </c>
      <c r="R39">
        <v>0.3</v>
      </c>
      <c r="S39">
        <v>0.3</v>
      </c>
      <c r="T39">
        <v>0.3</v>
      </c>
      <c r="U39">
        <v>0.3</v>
      </c>
      <c r="V39">
        <v>0.3</v>
      </c>
      <c r="W39">
        <v>0.3</v>
      </c>
      <c r="X39">
        <v>0.3</v>
      </c>
      <c r="Y39">
        <v>0.3</v>
      </c>
      <c r="Z39">
        <v>0.3</v>
      </c>
      <c r="AA39">
        <v>0.3</v>
      </c>
      <c r="AB39">
        <v>0.3</v>
      </c>
      <c r="AC39">
        <v>0.3</v>
      </c>
      <c r="AD39">
        <v>0.3</v>
      </c>
      <c r="AE39">
        <v>0.3</v>
      </c>
      <c r="AF39">
        <v>0.3</v>
      </c>
      <c r="AG39">
        <v>0.3</v>
      </c>
      <c r="AH39">
        <v>0.3</v>
      </c>
      <c r="AI39">
        <v>0.3</v>
      </c>
      <c r="AJ39">
        <v>0.3</v>
      </c>
      <c r="AK39">
        <v>0.3</v>
      </c>
      <c r="AL39">
        <v>0.3</v>
      </c>
      <c r="AM39">
        <v>0.3</v>
      </c>
      <c r="AN39">
        <v>0.3</v>
      </c>
      <c r="AO39">
        <v>0.3</v>
      </c>
      <c r="AP39">
        <v>0.3</v>
      </c>
      <c r="AQ39">
        <v>0.3</v>
      </c>
      <c r="AR39">
        <v>0.3</v>
      </c>
      <c r="AS39">
        <v>0.3</v>
      </c>
      <c r="AT39">
        <v>0.3</v>
      </c>
      <c r="AU39">
        <v>0.3</v>
      </c>
      <c r="AV39">
        <v>0.3</v>
      </c>
      <c r="AW39">
        <v>0.3</v>
      </c>
      <c r="AX39">
        <v>0.3</v>
      </c>
      <c r="AY39">
        <v>0.3</v>
      </c>
      <c r="AZ39">
        <v>0.3</v>
      </c>
      <c r="BA39">
        <v>0.3</v>
      </c>
      <c r="BB39">
        <v>0.3</v>
      </c>
      <c r="BC39">
        <v>0.3</v>
      </c>
      <c r="BD39">
        <v>0.3</v>
      </c>
      <c r="BE39">
        <v>0.3</v>
      </c>
      <c r="BF39">
        <v>0.3</v>
      </c>
      <c r="BG39">
        <v>0.3</v>
      </c>
      <c r="BH39">
        <v>0.3</v>
      </c>
      <c r="BI39">
        <v>0.3</v>
      </c>
      <c r="BJ39">
        <v>0.3</v>
      </c>
      <c r="BK39">
        <v>0.3</v>
      </c>
      <c r="BL39">
        <v>0.3</v>
      </c>
      <c r="BM39">
        <v>0.3</v>
      </c>
      <c r="BN39">
        <v>0.3</v>
      </c>
      <c r="BO39">
        <v>0.3</v>
      </c>
      <c r="BP39">
        <v>0.3</v>
      </c>
      <c r="BQ39">
        <v>0.3</v>
      </c>
      <c r="BR39">
        <v>0.3</v>
      </c>
      <c r="BS39">
        <v>0.3</v>
      </c>
      <c r="BT39">
        <v>0.3</v>
      </c>
      <c r="BU39">
        <v>0.3</v>
      </c>
      <c r="BV39">
        <v>0.3</v>
      </c>
    </row>
    <row r="40" spans="1:74">
      <c r="A40" s="4" t="s">
        <v>34</v>
      </c>
      <c r="B40" s="17" t="s">
        <v>36</v>
      </c>
      <c r="C40" s="129"/>
      <c r="D40" s="165"/>
      <c r="E40" s="165"/>
      <c r="F40" s="165">
        <v>0.4</v>
      </c>
      <c r="G40" s="165">
        <v>0.4</v>
      </c>
      <c r="H40" s="165">
        <v>0.4</v>
      </c>
      <c r="I40" s="171">
        <v>0.4</v>
      </c>
      <c r="J40">
        <v>0.4</v>
      </c>
      <c r="K40">
        <v>0.4</v>
      </c>
      <c r="L40">
        <v>0.4</v>
      </c>
      <c r="M40">
        <v>0.4</v>
      </c>
      <c r="N40">
        <v>0.4</v>
      </c>
      <c r="O40">
        <v>0.4</v>
      </c>
      <c r="P40">
        <v>0.4</v>
      </c>
      <c r="Q40">
        <v>0.4</v>
      </c>
      <c r="R40">
        <v>0.4</v>
      </c>
      <c r="S40">
        <v>0.4</v>
      </c>
      <c r="T40">
        <v>0.4</v>
      </c>
      <c r="U40">
        <v>0.4</v>
      </c>
      <c r="V40">
        <v>0.4</v>
      </c>
      <c r="W40">
        <v>0.4</v>
      </c>
      <c r="X40">
        <v>0.4</v>
      </c>
      <c r="Y40">
        <v>0.4</v>
      </c>
      <c r="Z40">
        <v>0.4</v>
      </c>
      <c r="AA40">
        <v>0.4</v>
      </c>
      <c r="AB40">
        <v>0.4</v>
      </c>
      <c r="AC40">
        <v>0.4</v>
      </c>
      <c r="AD40">
        <v>0.4</v>
      </c>
      <c r="AE40">
        <v>0.4</v>
      </c>
      <c r="AF40">
        <v>0.4</v>
      </c>
      <c r="AG40">
        <v>0.4</v>
      </c>
      <c r="AH40">
        <v>0.4</v>
      </c>
      <c r="AI40">
        <v>0.4</v>
      </c>
      <c r="AJ40">
        <v>0.4</v>
      </c>
      <c r="AK40">
        <v>0.4</v>
      </c>
      <c r="AL40">
        <v>0.4</v>
      </c>
      <c r="AM40">
        <v>0.4</v>
      </c>
      <c r="AN40">
        <v>0.4</v>
      </c>
      <c r="AO40">
        <v>0.4</v>
      </c>
      <c r="AP40">
        <v>0.4</v>
      </c>
      <c r="AQ40">
        <v>0.4</v>
      </c>
      <c r="AR40">
        <v>0.4</v>
      </c>
      <c r="AS40">
        <v>0.4</v>
      </c>
      <c r="AT40">
        <v>0.4</v>
      </c>
      <c r="AU40">
        <v>0.4</v>
      </c>
      <c r="AV40">
        <v>0.4</v>
      </c>
      <c r="AW40">
        <v>0.4</v>
      </c>
      <c r="AX40">
        <v>0.4</v>
      </c>
      <c r="AY40">
        <v>0.4</v>
      </c>
      <c r="AZ40">
        <v>0.4</v>
      </c>
      <c r="BA40">
        <v>0.4</v>
      </c>
      <c r="BB40">
        <v>0.4</v>
      </c>
      <c r="BC40">
        <v>0.4</v>
      </c>
      <c r="BD40">
        <v>0.4</v>
      </c>
      <c r="BE40">
        <v>0.4</v>
      </c>
      <c r="BF40">
        <v>0.4</v>
      </c>
      <c r="BG40">
        <v>0.4</v>
      </c>
      <c r="BH40">
        <v>0.4</v>
      </c>
      <c r="BI40">
        <v>0.4</v>
      </c>
      <c r="BJ40">
        <v>0.4</v>
      </c>
      <c r="BK40">
        <v>0.4</v>
      </c>
      <c r="BL40">
        <v>0.4</v>
      </c>
      <c r="BM40">
        <v>0.4</v>
      </c>
      <c r="BN40">
        <v>0.4</v>
      </c>
      <c r="BO40">
        <v>0.4</v>
      </c>
      <c r="BP40">
        <v>0.4</v>
      </c>
      <c r="BQ40">
        <v>0.4</v>
      </c>
      <c r="BR40">
        <v>0.4</v>
      </c>
      <c r="BS40">
        <v>0.4</v>
      </c>
      <c r="BT40">
        <v>0.4</v>
      </c>
      <c r="BU40">
        <v>0.4</v>
      </c>
      <c r="BV40">
        <v>0.4</v>
      </c>
    </row>
    <row r="41" spans="1:74">
      <c r="A41" s="170"/>
      <c r="B41" s="169"/>
      <c r="C41" s="134"/>
    </row>
    <row r="42" spans="1:74" s="172" customFormat="1">
      <c r="A42" s="66" t="s">
        <v>37</v>
      </c>
      <c r="B42" s="17" t="s">
        <v>29</v>
      </c>
      <c r="C42" s="134"/>
      <c r="D42" s="179">
        <f t="shared" ref="D42:I42" si="126">D29*D35</f>
        <v>7.0000000000000009</v>
      </c>
      <c r="E42" s="179">
        <f t="shared" si="126"/>
        <v>7.0000000000000009</v>
      </c>
      <c r="F42" s="179">
        <f t="shared" si="126"/>
        <v>7.0000000000000009</v>
      </c>
      <c r="G42" s="179">
        <f t="shared" si="126"/>
        <v>7.0000000000000009</v>
      </c>
      <c r="H42" s="179">
        <f t="shared" si="126"/>
        <v>7.0000000000000009</v>
      </c>
      <c r="I42" s="179">
        <f t="shared" si="126"/>
        <v>7.0000000000000009</v>
      </c>
      <c r="J42" s="173">
        <f t="shared" ref="J42:AI42" si="127">J29*J35</f>
        <v>7.0000000000000009</v>
      </c>
      <c r="K42" s="173">
        <f t="shared" si="127"/>
        <v>7.0000000000000009</v>
      </c>
      <c r="L42" s="173">
        <f t="shared" si="127"/>
        <v>7.0000000000000009</v>
      </c>
      <c r="M42" s="173">
        <f t="shared" si="127"/>
        <v>7.0000000000000009</v>
      </c>
      <c r="N42" s="173">
        <f t="shared" si="127"/>
        <v>7.0000000000000009</v>
      </c>
      <c r="O42" s="173">
        <f t="shared" si="127"/>
        <v>7.0000000000000009</v>
      </c>
      <c r="P42" s="173">
        <f t="shared" si="127"/>
        <v>7.0000000000000009</v>
      </c>
      <c r="Q42" s="173">
        <f t="shared" si="127"/>
        <v>7.0000000000000009</v>
      </c>
      <c r="R42" s="173">
        <f t="shared" si="127"/>
        <v>7.0000000000000009</v>
      </c>
      <c r="S42" s="173">
        <f t="shared" si="127"/>
        <v>7.0000000000000009</v>
      </c>
      <c r="T42" s="173">
        <f t="shared" si="127"/>
        <v>7.0000000000000009</v>
      </c>
      <c r="U42" s="173">
        <f t="shared" si="127"/>
        <v>7.0000000000000009</v>
      </c>
      <c r="V42" s="173">
        <f t="shared" si="127"/>
        <v>7.0000000000000009</v>
      </c>
      <c r="W42" s="173">
        <f t="shared" si="127"/>
        <v>7.0000000000000009</v>
      </c>
      <c r="X42" s="173">
        <f t="shared" si="127"/>
        <v>7.0000000000000009</v>
      </c>
      <c r="Y42" s="173">
        <f t="shared" si="127"/>
        <v>7.0000000000000009</v>
      </c>
      <c r="Z42" s="173">
        <f t="shared" si="127"/>
        <v>7.0000000000000009</v>
      </c>
      <c r="AA42" s="173">
        <f t="shared" si="127"/>
        <v>7.0000000000000009</v>
      </c>
      <c r="AB42" s="173">
        <f t="shared" si="127"/>
        <v>7.0000000000000009</v>
      </c>
      <c r="AC42" s="173">
        <f t="shared" si="127"/>
        <v>7.0000000000000009</v>
      </c>
      <c r="AD42" s="173">
        <f t="shared" si="127"/>
        <v>7.0000000000000009</v>
      </c>
      <c r="AE42" s="173">
        <f t="shared" si="127"/>
        <v>7.0000000000000009</v>
      </c>
      <c r="AF42" s="173">
        <f t="shared" si="127"/>
        <v>7.0000000000000009</v>
      </c>
      <c r="AG42" s="173">
        <f t="shared" si="127"/>
        <v>7.0000000000000009</v>
      </c>
      <c r="AH42" s="173">
        <f t="shared" si="127"/>
        <v>7.0000000000000009</v>
      </c>
      <c r="AI42" s="173">
        <f t="shared" si="127"/>
        <v>7.0000000000000009</v>
      </c>
      <c r="AJ42" s="173">
        <f t="shared" ref="AJ42:BV42" si="128">AJ29*AJ35</f>
        <v>7.0000000000000009</v>
      </c>
      <c r="AK42" s="173">
        <f t="shared" si="128"/>
        <v>7.0000000000000009</v>
      </c>
      <c r="AL42" s="173">
        <f t="shared" si="128"/>
        <v>7.0000000000000009</v>
      </c>
      <c r="AM42" s="173">
        <f t="shared" si="128"/>
        <v>7.0000000000000009</v>
      </c>
      <c r="AN42" s="173">
        <f t="shared" si="128"/>
        <v>7.0000000000000009</v>
      </c>
      <c r="AO42" s="173">
        <f t="shared" si="128"/>
        <v>7.0000000000000009</v>
      </c>
      <c r="AP42" s="173">
        <f t="shared" si="128"/>
        <v>7.0000000000000009</v>
      </c>
      <c r="AQ42" s="173">
        <f t="shared" si="128"/>
        <v>7.0000000000000009</v>
      </c>
      <c r="AR42" s="173">
        <f t="shared" si="128"/>
        <v>7.0000000000000009</v>
      </c>
      <c r="AS42" s="173">
        <f t="shared" si="128"/>
        <v>7.0000000000000009</v>
      </c>
      <c r="AT42" s="173">
        <f t="shared" si="128"/>
        <v>7.0000000000000009</v>
      </c>
      <c r="AU42" s="173">
        <f t="shared" si="128"/>
        <v>7.0000000000000009</v>
      </c>
      <c r="AV42" s="173">
        <f t="shared" si="128"/>
        <v>7.0000000000000009</v>
      </c>
      <c r="AW42" s="173">
        <f t="shared" si="128"/>
        <v>7.0000000000000009</v>
      </c>
      <c r="AX42" s="173">
        <f t="shared" si="128"/>
        <v>7.0000000000000009</v>
      </c>
      <c r="AY42" s="173">
        <f t="shared" si="128"/>
        <v>7.0000000000000009</v>
      </c>
      <c r="AZ42" s="173">
        <f t="shared" si="128"/>
        <v>7.0000000000000009</v>
      </c>
      <c r="BA42" s="173">
        <f t="shared" si="128"/>
        <v>7.0000000000000009</v>
      </c>
      <c r="BB42" s="173">
        <f t="shared" si="128"/>
        <v>7.0000000000000009</v>
      </c>
      <c r="BC42" s="173">
        <f t="shared" si="128"/>
        <v>7.0000000000000009</v>
      </c>
      <c r="BD42" s="173">
        <f t="shared" si="128"/>
        <v>7.0000000000000009</v>
      </c>
      <c r="BE42" s="173">
        <f t="shared" si="128"/>
        <v>7.0000000000000009</v>
      </c>
      <c r="BF42" s="173">
        <f t="shared" si="128"/>
        <v>7.0000000000000009</v>
      </c>
      <c r="BG42" s="173">
        <f t="shared" si="128"/>
        <v>7.0000000000000009</v>
      </c>
      <c r="BH42" s="173">
        <f t="shared" si="128"/>
        <v>7.0000000000000009</v>
      </c>
      <c r="BI42" s="173">
        <f t="shared" si="128"/>
        <v>7.0000000000000009</v>
      </c>
      <c r="BJ42" s="173">
        <f t="shared" si="128"/>
        <v>7.0000000000000009</v>
      </c>
      <c r="BK42" s="173">
        <f t="shared" si="128"/>
        <v>7.0000000000000009</v>
      </c>
      <c r="BL42" s="173">
        <f t="shared" si="128"/>
        <v>7.0000000000000009</v>
      </c>
      <c r="BM42" s="173">
        <f t="shared" si="128"/>
        <v>7.0000000000000009</v>
      </c>
      <c r="BN42" s="173">
        <f t="shared" si="128"/>
        <v>7.0000000000000009</v>
      </c>
      <c r="BO42" s="173">
        <f t="shared" si="128"/>
        <v>7.0000000000000009</v>
      </c>
      <c r="BP42" s="173">
        <f t="shared" si="128"/>
        <v>7.0000000000000009</v>
      </c>
      <c r="BQ42" s="173">
        <f t="shared" si="128"/>
        <v>7.0000000000000009</v>
      </c>
      <c r="BR42" s="173">
        <f t="shared" si="128"/>
        <v>7.0000000000000009</v>
      </c>
      <c r="BS42" s="173">
        <f t="shared" si="128"/>
        <v>7.0000000000000009</v>
      </c>
      <c r="BT42" s="173">
        <f t="shared" si="128"/>
        <v>7.0000000000000009</v>
      </c>
      <c r="BU42" s="173">
        <f t="shared" si="128"/>
        <v>7.0000000000000009</v>
      </c>
      <c r="BV42" s="173">
        <f t="shared" si="128"/>
        <v>7.0000000000000009</v>
      </c>
    </row>
    <row r="43" spans="1:74" s="172" customFormat="1">
      <c r="A43" s="66" t="s">
        <v>38</v>
      </c>
      <c r="B43" s="17" t="s">
        <v>29</v>
      </c>
      <c r="C43" s="134"/>
      <c r="D43" s="179">
        <f t="shared" ref="D43:I43" si="129">D42+(D30-D29)*D36</f>
        <v>13.25</v>
      </c>
      <c r="E43" s="179">
        <f t="shared" si="129"/>
        <v>13.25</v>
      </c>
      <c r="F43" s="179">
        <f t="shared" si="129"/>
        <v>13.25</v>
      </c>
      <c r="G43" s="179">
        <f t="shared" si="129"/>
        <v>13.25</v>
      </c>
      <c r="H43" s="179">
        <f t="shared" si="129"/>
        <v>13.25</v>
      </c>
      <c r="I43" s="179">
        <f t="shared" si="129"/>
        <v>13.25</v>
      </c>
      <c r="J43" s="173">
        <f t="shared" ref="J43:AI43" si="130">J42+(J30-J29)*J36</f>
        <v>13.25</v>
      </c>
      <c r="K43" s="173">
        <f t="shared" si="130"/>
        <v>13.25</v>
      </c>
      <c r="L43" s="173">
        <f t="shared" si="130"/>
        <v>13.25</v>
      </c>
      <c r="M43" s="173">
        <f t="shared" si="130"/>
        <v>13.25</v>
      </c>
      <c r="N43" s="173">
        <f t="shared" si="130"/>
        <v>13.25</v>
      </c>
      <c r="O43" s="173">
        <f t="shared" si="130"/>
        <v>13.25</v>
      </c>
      <c r="P43" s="173">
        <f t="shared" si="130"/>
        <v>13.25</v>
      </c>
      <c r="Q43" s="173">
        <f t="shared" si="130"/>
        <v>13.25</v>
      </c>
      <c r="R43" s="173">
        <f t="shared" si="130"/>
        <v>13.25</v>
      </c>
      <c r="S43" s="173">
        <f t="shared" si="130"/>
        <v>13.25</v>
      </c>
      <c r="T43" s="173">
        <f t="shared" si="130"/>
        <v>13.25</v>
      </c>
      <c r="U43" s="173">
        <f t="shared" si="130"/>
        <v>13.25</v>
      </c>
      <c r="V43" s="173">
        <f t="shared" si="130"/>
        <v>13.25</v>
      </c>
      <c r="W43" s="173">
        <f t="shared" si="130"/>
        <v>13.25</v>
      </c>
      <c r="X43" s="173">
        <f t="shared" si="130"/>
        <v>13.25</v>
      </c>
      <c r="Y43" s="173">
        <f t="shared" si="130"/>
        <v>13.25</v>
      </c>
      <c r="Z43" s="173">
        <f t="shared" si="130"/>
        <v>13.25</v>
      </c>
      <c r="AA43" s="173">
        <f t="shared" si="130"/>
        <v>13.25</v>
      </c>
      <c r="AB43" s="173">
        <f t="shared" si="130"/>
        <v>13.25</v>
      </c>
      <c r="AC43" s="173">
        <f t="shared" si="130"/>
        <v>13.25</v>
      </c>
      <c r="AD43" s="173">
        <f t="shared" si="130"/>
        <v>13.25</v>
      </c>
      <c r="AE43" s="173">
        <f t="shared" si="130"/>
        <v>13.25</v>
      </c>
      <c r="AF43" s="173">
        <f t="shared" si="130"/>
        <v>13.25</v>
      </c>
      <c r="AG43" s="173">
        <f t="shared" si="130"/>
        <v>13.25</v>
      </c>
      <c r="AH43" s="173">
        <f t="shared" si="130"/>
        <v>13.25</v>
      </c>
      <c r="AI43" s="173">
        <f t="shared" si="130"/>
        <v>13.25</v>
      </c>
      <c r="AJ43" s="173">
        <f t="shared" ref="AJ43:BV43" si="131">AJ42+(AJ30-AJ29)*AJ36</f>
        <v>13.25</v>
      </c>
      <c r="AK43" s="173">
        <f t="shared" si="131"/>
        <v>13.25</v>
      </c>
      <c r="AL43" s="173">
        <f t="shared" si="131"/>
        <v>13.25</v>
      </c>
      <c r="AM43" s="173">
        <f t="shared" si="131"/>
        <v>13.25</v>
      </c>
      <c r="AN43" s="173">
        <f t="shared" si="131"/>
        <v>13.25</v>
      </c>
      <c r="AO43" s="173">
        <f t="shared" si="131"/>
        <v>13.25</v>
      </c>
      <c r="AP43" s="173">
        <f t="shared" si="131"/>
        <v>13.25</v>
      </c>
      <c r="AQ43" s="173">
        <f t="shared" si="131"/>
        <v>13.25</v>
      </c>
      <c r="AR43" s="173">
        <f t="shared" si="131"/>
        <v>13.25</v>
      </c>
      <c r="AS43" s="173">
        <f t="shared" si="131"/>
        <v>13.25</v>
      </c>
      <c r="AT43" s="173">
        <f t="shared" si="131"/>
        <v>13.25</v>
      </c>
      <c r="AU43" s="173">
        <f t="shared" si="131"/>
        <v>13.25</v>
      </c>
      <c r="AV43" s="173">
        <f t="shared" si="131"/>
        <v>13.25</v>
      </c>
      <c r="AW43" s="173">
        <f t="shared" si="131"/>
        <v>13.25</v>
      </c>
      <c r="AX43" s="173">
        <f t="shared" si="131"/>
        <v>13.25</v>
      </c>
      <c r="AY43" s="173">
        <f t="shared" si="131"/>
        <v>13.25</v>
      </c>
      <c r="AZ43" s="173">
        <f t="shared" si="131"/>
        <v>13.25</v>
      </c>
      <c r="BA43" s="173">
        <f t="shared" si="131"/>
        <v>13.25</v>
      </c>
      <c r="BB43" s="173">
        <f t="shared" si="131"/>
        <v>13.25</v>
      </c>
      <c r="BC43" s="173">
        <f t="shared" si="131"/>
        <v>13.25</v>
      </c>
      <c r="BD43" s="173">
        <f t="shared" si="131"/>
        <v>13.25</v>
      </c>
      <c r="BE43" s="173">
        <f t="shared" si="131"/>
        <v>13.25</v>
      </c>
      <c r="BF43" s="173">
        <f t="shared" si="131"/>
        <v>13.25</v>
      </c>
      <c r="BG43" s="173">
        <f t="shared" si="131"/>
        <v>13.25</v>
      </c>
      <c r="BH43" s="173">
        <f t="shared" si="131"/>
        <v>13.25</v>
      </c>
      <c r="BI43" s="173">
        <f t="shared" si="131"/>
        <v>13.25</v>
      </c>
      <c r="BJ43" s="173">
        <f t="shared" si="131"/>
        <v>13.25</v>
      </c>
      <c r="BK43" s="173">
        <f t="shared" si="131"/>
        <v>13.25</v>
      </c>
      <c r="BL43" s="173">
        <f t="shared" si="131"/>
        <v>13.25</v>
      </c>
      <c r="BM43" s="173">
        <f t="shared" si="131"/>
        <v>13.25</v>
      </c>
      <c r="BN43" s="173">
        <f t="shared" si="131"/>
        <v>13.25</v>
      </c>
      <c r="BO43" s="173">
        <f t="shared" si="131"/>
        <v>13.25</v>
      </c>
      <c r="BP43" s="173">
        <f t="shared" si="131"/>
        <v>13.25</v>
      </c>
      <c r="BQ43" s="173">
        <f t="shared" si="131"/>
        <v>13.25</v>
      </c>
      <c r="BR43" s="173">
        <f t="shared" si="131"/>
        <v>13.25</v>
      </c>
      <c r="BS43" s="173">
        <f t="shared" si="131"/>
        <v>13.25</v>
      </c>
      <c r="BT43" s="173">
        <f t="shared" si="131"/>
        <v>13.25</v>
      </c>
      <c r="BU43" s="173">
        <f t="shared" si="131"/>
        <v>13.25</v>
      </c>
      <c r="BV43" s="173">
        <f t="shared" si="131"/>
        <v>13.25</v>
      </c>
    </row>
    <row r="44" spans="1:74" s="172" customFormat="1">
      <c r="A44" s="66" t="s">
        <v>39</v>
      </c>
      <c r="B44" s="17" t="s">
        <v>29</v>
      </c>
      <c r="D44" s="179"/>
      <c r="E44" s="179"/>
      <c r="F44" s="179">
        <f t="shared" ref="F44:I46" si="132">F43+(F31-F30)*F37</f>
        <v>17</v>
      </c>
      <c r="G44" s="179">
        <f t="shared" si="132"/>
        <v>17</v>
      </c>
      <c r="H44" s="179">
        <f t="shared" si="132"/>
        <v>17</v>
      </c>
      <c r="I44" s="179">
        <f t="shared" si="132"/>
        <v>17</v>
      </c>
      <c r="J44" s="173">
        <f t="shared" ref="J44:AI44" si="133">J43+(J31-J30)*J37</f>
        <v>17</v>
      </c>
      <c r="K44" s="173">
        <f t="shared" si="133"/>
        <v>17</v>
      </c>
      <c r="L44" s="173">
        <f t="shared" si="133"/>
        <v>17</v>
      </c>
      <c r="M44" s="173">
        <f t="shared" si="133"/>
        <v>17</v>
      </c>
      <c r="N44" s="173">
        <f t="shared" si="133"/>
        <v>17</v>
      </c>
      <c r="O44" s="173">
        <f t="shared" si="133"/>
        <v>17</v>
      </c>
      <c r="P44" s="173">
        <f t="shared" si="133"/>
        <v>17</v>
      </c>
      <c r="Q44" s="173">
        <f t="shared" si="133"/>
        <v>17</v>
      </c>
      <c r="R44" s="173">
        <f t="shared" si="133"/>
        <v>17</v>
      </c>
      <c r="S44" s="173">
        <f t="shared" si="133"/>
        <v>17</v>
      </c>
      <c r="T44" s="173">
        <f t="shared" si="133"/>
        <v>17</v>
      </c>
      <c r="U44" s="173">
        <f t="shared" si="133"/>
        <v>17</v>
      </c>
      <c r="V44" s="173">
        <f t="shared" si="133"/>
        <v>17</v>
      </c>
      <c r="W44" s="173">
        <f t="shared" si="133"/>
        <v>17</v>
      </c>
      <c r="X44" s="173">
        <f t="shared" si="133"/>
        <v>17</v>
      </c>
      <c r="Y44" s="173">
        <f t="shared" si="133"/>
        <v>17</v>
      </c>
      <c r="Z44" s="173">
        <f t="shared" si="133"/>
        <v>17</v>
      </c>
      <c r="AA44" s="173">
        <f t="shared" si="133"/>
        <v>17</v>
      </c>
      <c r="AB44" s="173">
        <f t="shared" si="133"/>
        <v>17</v>
      </c>
      <c r="AC44" s="173">
        <f t="shared" si="133"/>
        <v>17</v>
      </c>
      <c r="AD44" s="173">
        <f t="shared" si="133"/>
        <v>17</v>
      </c>
      <c r="AE44" s="173">
        <f t="shared" si="133"/>
        <v>17</v>
      </c>
      <c r="AF44" s="173">
        <f t="shared" si="133"/>
        <v>17</v>
      </c>
      <c r="AG44" s="173">
        <f t="shared" si="133"/>
        <v>17</v>
      </c>
      <c r="AH44" s="173">
        <f t="shared" si="133"/>
        <v>17</v>
      </c>
      <c r="AI44" s="173">
        <f t="shared" si="133"/>
        <v>17</v>
      </c>
      <c r="AJ44" s="173">
        <f t="shared" ref="AJ44:BV44" si="134">AJ43+(AJ31-AJ30)*AJ37</f>
        <v>17</v>
      </c>
      <c r="AK44" s="173">
        <f t="shared" si="134"/>
        <v>17</v>
      </c>
      <c r="AL44" s="173">
        <f t="shared" si="134"/>
        <v>17</v>
      </c>
      <c r="AM44" s="173">
        <f t="shared" si="134"/>
        <v>17</v>
      </c>
      <c r="AN44" s="173">
        <f t="shared" si="134"/>
        <v>17</v>
      </c>
      <c r="AO44" s="173">
        <f t="shared" si="134"/>
        <v>17</v>
      </c>
      <c r="AP44" s="173">
        <f t="shared" si="134"/>
        <v>17</v>
      </c>
      <c r="AQ44" s="173">
        <f t="shared" si="134"/>
        <v>17</v>
      </c>
      <c r="AR44" s="173">
        <f t="shared" si="134"/>
        <v>17</v>
      </c>
      <c r="AS44" s="173">
        <f t="shared" si="134"/>
        <v>17</v>
      </c>
      <c r="AT44" s="173">
        <f t="shared" si="134"/>
        <v>17</v>
      </c>
      <c r="AU44" s="173">
        <f t="shared" si="134"/>
        <v>17</v>
      </c>
      <c r="AV44" s="173">
        <f t="shared" si="134"/>
        <v>17</v>
      </c>
      <c r="AW44" s="173">
        <f t="shared" si="134"/>
        <v>17</v>
      </c>
      <c r="AX44" s="173">
        <f t="shared" si="134"/>
        <v>17</v>
      </c>
      <c r="AY44" s="173">
        <f t="shared" si="134"/>
        <v>17</v>
      </c>
      <c r="AZ44" s="173">
        <f t="shared" si="134"/>
        <v>17</v>
      </c>
      <c r="BA44" s="173">
        <f t="shared" si="134"/>
        <v>17</v>
      </c>
      <c r="BB44" s="173">
        <f t="shared" si="134"/>
        <v>17</v>
      </c>
      <c r="BC44" s="173">
        <f t="shared" si="134"/>
        <v>17</v>
      </c>
      <c r="BD44" s="173">
        <f t="shared" si="134"/>
        <v>17</v>
      </c>
      <c r="BE44" s="173">
        <f t="shared" si="134"/>
        <v>17</v>
      </c>
      <c r="BF44" s="173">
        <f t="shared" si="134"/>
        <v>17</v>
      </c>
      <c r="BG44" s="173">
        <f t="shared" si="134"/>
        <v>17</v>
      </c>
      <c r="BH44" s="173">
        <f t="shared" si="134"/>
        <v>17</v>
      </c>
      <c r="BI44" s="173">
        <f t="shared" si="134"/>
        <v>17</v>
      </c>
      <c r="BJ44" s="173">
        <f t="shared" si="134"/>
        <v>17</v>
      </c>
      <c r="BK44" s="173">
        <f t="shared" si="134"/>
        <v>17</v>
      </c>
      <c r="BL44" s="173">
        <f t="shared" si="134"/>
        <v>17</v>
      </c>
      <c r="BM44" s="173">
        <f t="shared" si="134"/>
        <v>17</v>
      </c>
      <c r="BN44" s="173">
        <f t="shared" si="134"/>
        <v>17</v>
      </c>
      <c r="BO44" s="173">
        <f t="shared" si="134"/>
        <v>17</v>
      </c>
      <c r="BP44" s="173">
        <f t="shared" si="134"/>
        <v>17</v>
      </c>
      <c r="BQ44" s="173">
        <f t="shared" si="134"/>
        <v>17</v>
      </c>
      <c r="BR44" s="173">
        <f t="shared" si="134"/>
        <v>17</v>
      </c>
      <c r="BS44" s="173">
        <f t="shared" si="134"/>
        <v>17</v>
      </c>
      <c r="BT44" s="173">
        <f t="shared" si="134"/>
        <v>17</v>
      </c>
      <c r="BU44" s="173">
        <f t="shared" si="134"/>
        <v>17</v>
      </c>
      <c r="BV44" s="173">
        <f t="shared" si="134"/>
        <v>17</v>
      </c>
    </row>
    <row r="45" spans="1:74" s="172" customFormat="1">
      <c r="A45" s="66" t="s">
        <v>40</v>
      </c>
      <c r="B45" s="17" t="s">
        <v>29</v>
      </c>
      <c r="D45" s="179"/>
      <c r="E45" s="179"/>
      <c r="F45" s="179">
        <f t="shared" si="132"/>
        <v>27</v>
      </c>
      <c r="G45" s="179">
        <f t="shared" si="132"/>
        <v>27</v>
      </c>
      <c r="H45" s="179">
        <f t="shared" si="132"/>
        <v>27</v>
      </c>
      <c r="I45" s="179">
        <f t="shared" si="132"/>
        <v>27</v>
      </c>
      <c r="J45" s="173">
        <f t="shared" ref="J45:AI45" si="135">J44+(J32-J31)*J38</f>
        <v>27</v>
      </c>
      <c r="K45" s="173">
        <f t="shared" si="135"/>
        <v>27</v>
      </c>
      <c r="L45" s="173">
        <f t="shared" si="135"/>
        <v>27</v>
      </c>
      <c r="M45" s="173">
        <f t="shared" si="135"/>
        <v>27</v>
      </c>
      <c r="N45" s="173">
        <f t="shared" si="135"/>
        <v>27</v>
      </c>
      <c r="O45" s="173">
        <f t="shared" si="135"/>
        <v>27</v>
      </c>
      <c r="P45" s="173">
        <f t="shared" si="135"/>
        <v>27</v>
      </c>
      <c r="Q45" s="173">
        <f t="shared" si="135"/>
        <v>27</v>
      </c>
      <c r="R45" s="173">
        <f t="shared" si="135"/>
        <v>27</v>
      </c>
      <c r="S45" s="173">
        <f t="shared" si="135"/>
        <v>27</v>
      </c>
      <c r="T45" s="173">
        <f t="shared" si="135"/>
        <v>27</v>
      </c>
      <c r="U45" s="173">
        <f t="shared" si="135"/>
        <v>27</v>
      </c>
      <c r="V45" s="173">
        <f t="shared" si="135"/>
        <v>27</v>
      </c>
      <c r="W45" s="173">
        <f t="shared" si="135"/>
        <v>27</v>
      </c>
      <c r="X45" s="173">
        <f t="shared" si="135"/>
        <v>27</v>
      </c>
      <c r="Y45" s="173">
        <f t="shared" si="135"/>
        <v>27</v>
      </c>
      <c r="Z45" s="173">
        <f t="shared" si="135"/>
        <v>27</v>
      </c>
      <c r="AA45" s="173">
        <f t="shared" si="135"/>
        <v>27</v>
      </c>
      <c r="AB45" s="173">
        <f t="shared" si="135"/>
        <v>27</v>
      </c>
      <c r="AC45" s="173">
        <f t="shared" si="135"/>
        <v>27</v>
      </c>
      <c r="AD45" s="173">
        <f t="shared" si="135"/>
        <v>27</v>
      </c>
      <c r="AE45" s="173">
        <f t="shared" si="135"/>
        <v>27</v>
      </c>
      <c r="AF45" s="173">
        <f t="shared" si="135"/>
        <v>27</v>
      </c>
      <c r="AG45" s="173">
        <f t="shared" si="135"/>
        <v>27</v>
      </c>
      <c r="AH45" s="173">
        <f t="shared" si="135"/>
        <v>27</v>
      </c>
      <c r="AI45" s="173">
        <f t="shared" si="135"/>
        <v>27</v>
      </c>
      <c r="AJ45" s="173">
        <f t="shared" ref="AJ45:BV45" si="136">AJ44+(AJ32-AJ31)*AJ38</f>
        <v>27</v>
      </c>
      <c r="AK45" s="173">
        <f t="shared" si="136"/>
        <v>27</v>
      </c>
      <c r="AL45" s="173">
        <f t="shared" si="136"/>
        <v>27</v>
      </c>
      <c r="AM45" s="173">
        <f t="shared" si="136"/>
        <v>27</v>
      </c>
      <c r="AN45" s="173">
        <f t="shared" si="136"/>
        <v>27</v>
      </c>
      <c r="AO45" s="173">
        <f t="shared" si="136"/>
        <v>27</v>
      </c>
      <c r="AP45" s="173">
        <f t="shared" si="136"/>
        <v>27</v>
      </c>
      <c r="AQ45" s="173">
        <f t="shared" si="136"/>
        <v>27</v>
      </c>
      <c r="AR45" s="173">
        <f t="shared" si="136"/>
        <v>27</v>
      </c>
      <c r="AS45" s="173">
        <f t="shared" si="136"/>
        <v>27</v>
      </c>
      <c r="AT45" s="173">
        <f t="shared" si="136"/>
        <v>27</v>
      </c>
      <c r="AU45" s="173">
        <f t="shared" si="136"/>
        <v>27</v>
      </c>
      <c r="AV45" s="173">
        <f t="shared" si="136"/>
        <v>27</v>
      </c>
      <c r="AW45" s="173">
        <f t="shared" si="136"/>
        <v>27</v>
      </c>
      <c r="AX45" s="173">
        <f t="shared" si="136"/>
        <v>27</v>
      </c>
      <c r="AY45" s="173">
        <f t="shared" si="136"/>
        <v>27</v>
      </c>
      <c r="AZ45" s="173">
        <f t="shared" si="136"/>
        <v>27</v>
      </c>
      <c r="BA45" s="173">
        <f t="shared" si="136"/>
        <v>27</v>
      </c>
      <c r="BB45" s="173">
        <f t="shared" si="136"/>
        <v>27</v>
      </c>
      <c r="BC45" s="173">
        <f t="shared" si="136"/>
        <v>27</v>
      </c>
      <c r="BD45" s="173">
        <f t="shared" si="136"/>
        <v>27</v>
      </c>
      <c r="BE45" s="173">
        <f t="shared" si="136"/>
        <v>27</v>
      </c>
      <c r="BF45" s="173">
        <f t="shared" si="136"/>
        <v>27</v>
      </c>
      <c r="BG45" s="173">
        <f t="shared" si="136"/>
        <v>27</v>
      </c>
      <c r="BH45" s="173">
        <f t="shared" si="136"/>
        <v>27</v>
      </c>
      <c r="BI45" s="173">
        <f t="shared" si="136"/>
        <v>27</v>
      </c>
      <c r="BJ45" s="173">
        <f t="shared" si="136"/>
        <v>27</v>
      </c>
      <c r="BK45" s="173">
        <f t="shared" si="136"/>
        <v>27</v>
      </c>
      <c r="BL45" s="173">
        <f t="shared" si="136"/>
        <v>27</v>
      </c>
      <c r="BM45" s="173">
        <f t="shared" si="136"/>
        <v>27</v>
      </c>
      <c r="BN45" s="173">
        <f t="shared" si="136"/>
        <v>27</v>
      </c>
      <c r="BO45" s="173">
        <f t="shared" si="136"/>
        <v>27</v>
      </c>
      <c r="BP45" s="173">
        <f t="shared" si="136"/>
        <v>27</v>
      </c>
      <c r="BQ45" s="173">
        <f t="shared" si="136"/>
        <v>27</v>
      </c>
      <c r="BR45" s="173">
        <f t="shared" si="136"/>
        <v>27</v>
      </c>
      <c r="BS45" s="173">
        <f t="shared" si="136"/>
        <v>27</v>
      </c>
      <c r="BT45" s="173">
        <f t="shared" si="136"/>
        <v>27</v>
      </c>
      <c r="BU45" s="173">
        <f t="shared" si="136"/>
        <v>27</v>
      </c>
      <c r="BV45" s="173">
        <f t="shared" si="136"/>
        <v>27</v>
      </c>
    </row>
    <row r="46" spans="1:74" s="172" customFormat="1">
      <c r="A46" s="66" t="s">
        <v>41</v>
      </c>
      <c r="B46" s="17" t="s">
        <v>29</v>
      </c>
      <c r="D46" s="179"/>
      <c r="E46" s="179"/>
      <c r="F46" s="179">
        <f t="shared" si="132"/>
        <v>49.5</v>
      </c>
      <c r="G46" s="179">
        <f t="shared" si="132"/>
        <v>49.5</v>
      </c>
      <c r="H46" s="179">
        <f t="shared" si="132"/>
        <v>49.5</v>
      </c>
      <c r="I46" s="179">
        <f t="shared" si="132"/>
        <v>49.5</v>
      </c>
      <c r="J46" s="173">
        <f t="shared" ref="J46:AI46" si="137">J45+(J33-J32)*J39</f>
        <v>49.5</v>
      </c>
      <c r="K46" s="173">
        <f t="shared" si="137"/>
        <v>49.5</v>
      </c>
      <c r="L46" s="173">
        <f t="shared" si="137"/>
        <v>49.5</v>
      </c>
      <c r="M46" s="173">
        <f t="shared" si="137"/>
        <v>49.5</v>
      </c>
      <c r="N46" s="173">
        <f t="shared" si="137"/>
        <v>49.5</v>
      </c>
      <c r="O46" s="173">
        <f t="shared" si="137"/>
        <v>49.5</v>
      </c>
      <c r="P46" s="173">
        <f t="shared" si="137"/>
        <v>49.5</v>
      </c>
      <c r="Q46" s="173">
        <f t="shared" si="137"/>
        <v>49.5</v>
      </c>
      <c r="R46" s="173">
        <f t="shared" si="137"/>
        <v>49.5</v>
      </c>
      <c r="S46" s="173">
        <f t="shared" si="137"/>
        <v>49.5</v>
      </c>
      <c r="T46" s="173">
        <f t="shared" si="137"/>
        <v>49.5</v>
      </c>
      <c r="U46" s="173">
        <f t="shared" si="137"/>
        <v>49.5</v>
      </c>
      <c r="V46" s="173">
        <f t="shared" si="137"/>
        <v>49.5</v>
      </c>
      <c r="W46" s="173">
        <f t="shared" si="137"/>
        <v>49.5</v>
      </c>
      <c r="X46" s="173">
        <f t="shared" si="137"/>
        <v>49.5</v>
      </c>
      <c r="Y46" s="173">
        <f t="shared" si="137"/>
        <v>49.5</v>
      </c>
      <c r="Z46" s="173">
        <f t="shared" si="137"/>
        <v>49.5</v>
      </c>
      <c r="AA46" s="173">
        <f t="shared" si="137"/>
        <v>49.5</v>
      </c>
      <c r="AB46" s="173">
        <f t="shared" si="137"/>
        <v>49.5</v>
      </c>
      <c r="AC46" s="173">
        <f t="shared" si="137"/>
        <v>49.5</v>
      </c>
      <c r="AD46" s="173">
        <f t="shared" si="137"/>
        <v>49.5</v>
      </c>
      <c r="AE46" s="173">
        <f t="shared" si="137"/>
        <v>49.5</v>
      </c>
      <c r="AF46" s="173">
        <f t="shared" si="137"/>
        <v>49.5</v>
      </c>
      <c r="AG46" s="173">
        <f t="shared" si="137"/>
        <v>49.5</v>
      </c>
      <c r="AH46" s="173">
        <f t="shared" si="137"/>
        <v>49.5</v>
      </c>
      <c r="AI46" s="173">
        <f t="shared" si="137"/>
        <v>49.5</v>
      </c>
      <c r="AJ46" s="173">
        <f t="shared" ref="AJ46:BV46" si="138">AJ45+(AJ33-AJ32)*AJ39</f>
        <v>49.5</v>
      </c>
      <c r="AK46" s="173">
        <f t="shared" si="138"/>
        <v>49.5</v>
      </c>
      <c r="AL46" s="173">
        <f t="shared" si="138"/>
        <v>49.5</v>
      </c>
      <c r="AM46" s="173">
        <f t="shared" si="138"/>
        <v>49.5</v>
      </c>
      <c r="AN46" s="173">
        <f t="shared" si="138"/>
        <v>49.5</v>
      </c>
      <c r="AO46" s="173">
        <f t="shared" si="138"/>
        <v>49.5</v>
      </c>
      <c r="AP46" s="173">
        <f t="shared" si="138"/>
        <v>49.5</v>
      </c>
      <c r="AQ46" s="173">
        <f t="shared" si="138"/>
        <v>49.5</v>
      </c>
      <c r="AR46" s="173">
        <f t="shared" si="138"/>
        <v>49.5</v>
      </c>
      <c r="AS46" s="173">
        <f t="shared" si="138"/>
        <v>49.5</v>
      </c>
      <c r="AT46" s="173">
        <f t="shared" si="138"/>
        <v>49.5</v>
      </c>
      <c r="AU46" s="173">
        <f t="shared" si="138"/>
        <v>49.5</v>
      </c>
      <c r="AV46" s="173">
        <f t="shared" si="138"/>
        <v>49.5</v>
      </c>
      <c r="AW46" s="173">
        <f t="shared" si="138"/>
        <v>49.5</v>
      </c>
      <c r="AX46" s="173">
        <f t="shared" si="138"/>
        <v>49.5</v>
      </c>
      <c r="AY46" s="173">
        <f t="shared" si="138"/>
        <v>49.5</v>
      </c>
      <c r="AZ46" s="173">
        <f t="shared" si="138"/>
        <v>49.5</v>
      </c>
      <c r="BA46" s="173">
        <f t="shared" si="138"/>
        <v>49.5</v>
      </c>
      <c r="BB46" s="173">
        <f t="shared" si="138"/>
        <v>49.5</v>
      </c>
      <c r="BC46" s="173">
        <f t="shared" si="138"/>
        <v>49.5</v>
      </c>
      <c r="BD46" s="173">
        <f t="shared" si="138"/>
        <v>49.5</v>
      </c>
      <c r="BE46" s="173">
        <f t="shared" si="138"/>
        <v>49.5</v>
      </c>
      <c r="BF46" s="173">
        <f t="shared" si="138"/>
        <v>49.5</v>
      </c>
      <c r="BG46" s="173">
        <f t="shared" si="138"/>
        <v>49.5</v>
      </c>
      <c r="BH46" s="173">
        <f t="shared" si="138"/>
        <v>49.5</v>
      </c>
      <c r="BI46" s="173">
        <f t="shared" si="138"/>
        <v>49.5</v>
      </c>
      <c r="BJ46" s="173">
        <f t="shared" si="138"/>
        <v>49.5</v>
      </c>
      <c r="BK46" s="173">
        <f t="shared" si="138"/>
        <v>49.5</v>
      </c>
      <c r="BL46" s="173">
        <f t="shared" si="138"/>
        <v>49.5</v>
      </c>
      <c r="BM46" s="173">
        <f t="shared" si="138"/>
        <v>49.5</v>
      </c>
      <c r="BN46" s="173">
        <f t="shared" si="138"/>
        <v>49.5</v>
      </c>
      <c r="BO46" s="173">
        <f t="shared" si="138"/>
        <v>49.5</v>
      </c>
      <c r="BP46" s="173">
        <f t="shared" si="138"/>
        <v>49.5</v>
      </c>
      <c r="BQ46" s="173">
        <f t="shared" si="138"/>
        <v>49.5</v>
      </c>
      <c r="BR46" s="173">
        <f t="shared" si="138"/>
        <v>49.5</v>
      </c>
      <c r="BS46" s="173">
        <f t="shared" si="138"/>
        <v>49.5</v>
      </c>
      <c r="BT46" s="173">
        <f t="shared" si="138"/>
        <v>49.5</v>
      </c>
      <c r="BU46" s="173">
        <f t="shared" si="138"/>
        <v>49.5</v>
      </c>
      <c r="BV46" s="173">
        <f t="shared" si="138"/>
        <v>49.5</v>
      </c>
    </row>
    <row r="49" spans="1:74">
      <c r="A49" t="s">
        <v>42</v>
      </c>
      <c r="B49" t="s">
        <v>43</v>
      </c>
      <c r="D49" s="174">
        <v>0.01</v>
      </c>
      <c r="E49" s="174">
        <v>0.01</v>
      </c>
      <c r="F49" s="174">
        <v>0.01</v>
      </c>
      <c r="G49" s="174">
        <v>0.01</v>
      </c>
      <c r="H49" s="174">
        <v>0.01</v>
      </c>
      <c r="I49" s="174">
        <v>0.01</v>
      </c>
      <c r="J49" s="174">
        <v>2.6499999999999999E-2</v>
      </c>
      <c r="K49" s="174">
        <v>2.6499999999999999E-2</v>
      </c>
      <c r="L49" s="174">
        <v>2.6499999999999999E-2</v>
      </c>
      <c r="M49" s="174">
        <v>2.6499999999999999E-2</v>
      </c>
      <c r="N49" s="174">
        <v>2.6499999999999999E-2</v>
      </c>
      <c r="O49" s="174">
        <v>2.6499999999999999E-2</v>
      </c>
      <c r="P49" s="174">
        <v>2.6499999999999999E-2</v>
      </c>
      <c r="Q49" s="174">
        <v>2.6499999999999999E-2</v>
      </c>
      <c r="R49" s="174">
        <v>2.6499999999999999E-2</v>
      </c>
      <c r="S49" s="174">
        <v>2.6499999999999999E-2</v>
      </c>
      <c r="T49" s="174">
        <v>2.6499999999999999E-2</v>
      </c>
      <c r="U49" s="174">
        <v>2.6499999999999999E-2</v>
      </c>
      <c r="V49" s="174">
        <v>2.6499999999999999E-2</v>
      </c>
      <c r="W49" s="174">
        <v>2.6499999999999999E-2</v>
      </c>
      <c r="X49" s="174">
        <v>2.6499999999999999E-2</v>
      </c>
      <c r="Y49" s="174">
        <v>2.6499999999999999E-2</v>
      </c>
      <c r="Z49" s="174">
        <v>2.6499999999999999E-2</v>
      </c>
      <c r="AA49" s="174">
        <v>2.6499999999999999E-2</v>
      </c>
      <c r="AB49" s="174">
        <v>2.6499999999999999E-2</v>
      </c>
      <c r="AC49" s="174">
        <v>2.6499999999999999E-2</v>
      </c>
      <c r="AD49" s="174">
        <v>2.6499999999999999E-2</v>
      </c>
      <c r="AE49" s="174">
        <v>2.6499999999999999E-2</v>
      </c>
      <c r="AF49" s="174">
        <v>2.6499999999999999E-2</v>
      </c>
      <c r="AG49" s="174">
        <v>2.6499999999999999E-2</v>
      </c>
      <c r="AH49" s="174">
        <v>2.6499999999999999E-2</v>
      </c>
      <c r="AI49" s="174">
        <v>2.6499999999999999E-2</v>
      </c>
      <c r="AJ49" s="174">
        <v>2.6499999999999999E-2</v>
      </c>
      <c r="AK49" s="174">
        <v>2.6499999999999999E-2</v>
      </c>
      <c r="AL49" s="174">
        <v>2.6499999999999999E-2</v>
      </c>
      <c r="AM49" s="174">
        <v>2.6499999999999999E-2</v>
      </c>
      <c r="AN49" s="174">
        <v>2.6499999999999999E-2</v>
      </c>
      <c r="AO49" s="174">
        <v>2.6499999999999999E-2</v>
      </c>
      <c r="AP49" s="174">
        <v>2.6499999999999999E-2</v>
      </c>
      <c r="AQ49" s="174">
        <v>2.6499999999999999E-2</v>
      </c>
      <c r="AR49" s="174">
        <v>2.6499999999999999E-2</v>
      </c>
      <c r="AS49" s="174">
        <v>2.6499999999999999E-2</v>
      </c>
      <c r="AT49" s="174">
        <v>2.6499999999999999E-2</v>
      </c>
      <c r="AU49" s="174">
        <v>2.6499999999999999E-2</v>
      </c>
      <c r="AV49" s="174">
        <v>2.6499999999999999E-2</v>
      </c>
      <c r="AW49" s="174">
        <v>2.6499999999999999E-2</v>
      </c>
      <c r="AX49" s="174">
        <v>2.6499999999999999E-2</v>
      </c>
      <c r="AY49" s="174">
        <v>2.6499999999999999E-2</v>
      </c>
      <c r="AZ49" s="174">
        <v>2.6499999999999999E-2</v>
      </c>
      <c r="BA49" s="174">
        <v>2.6499999999999999E-2</v>
      </c>
      <c r="BB49" s="174">
        <v>2.6499999999999999E-2</v>
      </c>
      <c r="BC49" s="174">
        <v>2.6499999999999999E-2</v>
      </c>
      <c r="BD49" s="174">
        <v>2.6499999999999999E-2</v>
      </c>
      <c r="BE49" s="174">
        <v>2.6499999999999999E-2</v>
      </c>
      <c r="BF49" s="174">
        <v>2.6499999999999999E-2</v>
      </c>
      <c r="BG49" s="174">
        <v>2.6499999999999999E-2</v>
      </c>
      <c r="BH49" s="174">
        <v>2.6499999999999999E-2</v>
      </c>
      <c r="BI49" s="174">
        <v>2.6499999999999999E-2</v>
      </c>
      <c r="BJ49" s="174">
        <v>2.6499999999999999E-2</v>
      </c>
      <c r="BK49" s="174">
        <v>2.6499999999999999E-2</v>
      </c>
      <c r="BL49" s="174">
        <v>2.6499999999999999E-2</v>
      </c>
      <c r="BM49" s="174">
        <v>2.6499999999999999E-2</v>
      </c>
      <c r="BN49" s="174">
        <v>2.6499999999999999E-2</v>
      </c>
      <c r="BO49" s="174">
        <v>2.6499999999999999E-2</v>
      </c>
      <c r="BP49" s="174">
        <v>2.6499999999999999E-2</v>
      </c>
      <c r="BQ49" s="174">
        <v>2.6499999999999999E-2</v>
      </c>
      <c r="BR49" s="174">
        <v>2.6499999999999999E-2</v>
      </c>
      <c r="BS49" s="174">
        <v>2.6499999999999999E-2</v>
      </c>
      <c r="BT49" s="174">
        <v>2.6499999999999999E-2</v>
      </c>
      <c r="BU49" s="174">
        <v>2.6499999999999999E-2</v>
      </c>
      <c r="BV49" s="174">
        <v>2.6499999999999999E-2</v>
      </c>
    </row>
    <row r="52" spans="1:74">
      <c r="A52" t="s">
        <v>44</v>
      </c>
    </row>
    <row r="53" spans="1:74">
      <c r="A53">
        <v>0</v>
      </c>
    </row>
    <row r="54" spans="1:74">
      <c r="A54" s="41">
        <v>100000</v>
      </c>
    </row>
    <row r="55" spans="1:74">
      <c r="A55" s="41">
        <v>250000</v>
      </c>
    </row>
    <row r="56" spans="1:74">
      <c r="A56" s="41">
        <v>500000</v>
      </c>
    </row>
    <row r="57" spans="1:74">
      <c r="A57" s="41">
        <v>750000</v>
      </c>
    </row>
    <row r="58" spans="1:74">
      <c r="A58" s="41">
        <v>10000000</v>
      </c>
    </row>
  </sheetData>
  <mergeCells count="1">
    <mergeCell ref="I11:AI11"/>
  </mergeCells>
  <pageMargins left="0.7" right="0.7" top="0.75" bottom="0.75" header="0.3" footer="0.3"/>
  <pageSetup paperSize="8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AB1776-5AF7-44DF-A23E-87E92D900A8E}">
          <x14:formula1>
            <xm:f>Carbon!$A$2:$A$3</xm:f>
          </x14:formula1>
          <xm:sqref>C20:H20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AK24"/>
  <sheetViews>
    <sheetView zoomScale="66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8" sqref="I8"/>
    </sheetView>
  </sheetViews>
  <sheetFormatPr baseColWidth="10" defaultColWidth="8.83203125" defaultRowHeight="15"/>
  <cols>
    <col min="1" max="1" width="53.33203125" bestFit="1" customWidth="1"/>
    <col min="2" max="2" width="19" customWidth="1"/>
    <col min="3" max="7" width="14.6640625" style="41" customWidth="1"/>
    <col min="8" max="8" width="10.5" bestFit="1" customWidth="1"/>
    <col min="9" max="34" width="12.5" customWidth="1"/>
  </cols>
  <sheetData>
    <row r="1" spans="1:37">
      <c r="C1" s="203" t="s">
        <v>45</v>
      </c>
      <c r="D1" s="203" t="s">
        <v>46</v>
      </c>
      <c r="E1" s="203" t="s">
        <v>47</v>
      </c>
      <c r="F1" s="203" t="s">
        <v>48</v>
      </c>
      <c r="G1" s="203" t="s">
        <v>49</v>
      </c>
      <c r="H1" s="203" t="s">
        <v>50</v>
      </c>
      <c r="I1" s="20">
        <v>2027</v>
      </c>
      <c r="J1" s="20">
        <f t="shared" ref="J1:AA1" si="0">I1+1</f>
        <v>2028</v>
      </c>
      <c r="K1" s="20">
        <f t="shared" si="0"/>
        <v>2029</v>
      </c>
      <c r="L1" s="20">
        <f t="shared" si="0"/>
        <v>2030</v>
      </c>
      <c r="M1" s="20">
        <f t="shared" si="0"/>
        <v>2031</v>
      </c>
      <c r="N1" s="20">
        <f t="shared" si="0"/>
        <v>2032</v>
      </c>
      <c r="O1" s="20">
        <f t="shared" si="0"/>
        <v>2033</v>
      </c>
      <c r="P1" s="20">
        <f t="shared" si="0"/>
        <v>2034</v>
      </c>
      <c r="Q1" s="20">
        <f t="shared" si="0"/>
        <v>2035</v>
      </c>
      <c r="R1" s="20">
        <f t="shared" si="0"/>
        <v>2036</v>
      </c>
      <c r="S1" s="20">
        <f t="shared" si="0"/>
        <v>2037</v>
      </c>
      <c r="T1" s="20">
        <f t="shared" si="0"/>
        <v>2038</v>
      </c>
      <c r="U1" s="20">
        <f t="shared" si="0"/>
        <v>2039</v>
      </c>
      <c r="V1" s="20">
        <f t="shared" si="0"/>
        <v>2040</v>
      </c>
      <c r="W1" s="20">
        <f t="shared" si="0"/>
        <v>2041</v>
      </c>
      <c r="X1" s="20">
        <f t="shared" si="0"/>
        <v>2042</v>
      </c>
      <c r="Y1" s="20">
        <f t="shared" si="0"/>
        <v>2043</v>
      </c>
      <c r="Z1" s="20">
        <f t="shared" si="0"/>
        <v>2044</v>
      </c>
      <c r="AA1" s="20">
        <f t="shared" si="0"/>
        <v>2045</v>
      </c>
      <c r="AB1" s="20">
        <f t="shared" ref="AB1:AH1" si="1">AA1+1</f>
        <v>2046</v>
      </c>
      <c r="AC1" s="20">
        <f t="shared" si="1"/>
        <v>2047</v>
      </c>
      <c r="AD1" s="20">
        <f t="shared" si="1"/>
        <v>2048</v>
      </c>
      <c r="AE1" s="20">
        <f t="shared" si="1"/>
        <v>2049</v>
      </c>
      <c r="AF1" s="20">
        <f t="shared" si="1"/>
        <v>2050</v>
      </c>
      <c r="AG1" s="20">
        <f t="shared" si="1"/>
        <v>2051</v>
      </c>
      <c r="AH1" s="20">
        <f t="shared" si="1"/>
        <v>2052</v>
      </c>
      <c r="AI1" s="20"/>
      <c r="AJ1" s="20"/>
      <c r="AK1" s="20"/>
    </row>
    <row r="2" spans="1:37">
      <c r="A2" s="1" t="s">
        <v>51</v>
      </c>
      <c r="B2" s="1"/>
      <c r="C2" s="194"/>
      <c r="D2" s="194"/>
      <c r="E2" s="194"/>
      <c r="F2" s="194"/>
      <c r="G2" s="194"/>
    </row>
    <row r="3" spans="1:37">
      <c r="A3" t="s">
        <v>52</v>
      </c>
      <c r="B3" s="17" t="s">
        <v>53</v>
      </c>
      <c r="C3" s="200">
        <f>'Historical Performance'!D117</f>
        <v>134.97782336075693</v>
      </c>
      <c r="D3" s="200">
        <f>'Historical Performance'!E117</f>
        <v>144.95229671109712</v>
      </c>
      <c r="E3" s="200">
        <f>'Historical Performance'!F117</f>
        <v>136.0829336106346</v>
      </c>
      <c r="F3" s="200">
        <f>'Historical Performance'!G117</f>
        <v>145.64931255567978</v>
      </c>
      <c r="G3" s="200">
        <f>'Historical Performance'!H117</f>
        <v>168.4590832135485</v>
      </c>
      <c r="H3" s="200">
        <f>'Historical Performance'!I117</f>
        <v>147.37336467583452</v>
      </c>
      <c r="I3" s="80">
        <f>IF(Springbok!D90=0,NA(),Springbok!D90)</f>
        <v>155.73260958016391</v>
      </c>
      <c r="J3" s="80">
        <f>IF(Springbok!E90=0,NA(),Springbok!E90)</f>
        <v>154.91662221616718</v>
      </c>
      <c r="K3" s="80">
        <f>IF(Springbok!F90=0,NA(),Springbok!F90)</f>
        <v>149.10247421685659</v>
      </c>
      <c r="L3" s="80">
        <f>IF(Springbok!G90=0,NA(),Springbok!G90)</f>
        <v>143.5875672814584</v>
      </c>
      <c r="M3" s="80">
        <f>IF(Springbok!H90=0,NA(),Springbok!H90)</f>
        <v>144.30906933308196</v>
      </c>
      <c r="N3" s="80" t="e">
        <f>IF(Springbok!I90=0,NA(),Springbok!I90)</f>
        <v>#N/A</v>
      </c>
      <c r="O3" s="80" t="e">
        <f>IF(Springbok!J90=0,NA(),Springbok!J90)</f>
        <v>#N/A</v>
      </c>
      <c r="P3" s="80" t="e">
        <f>IF(Springbok!K90=0,NA(),Springbok!K90)</f>
        <v>#N/A</v>
      </c>
      <c r="Q3" s="80" t="e">
        <f>IF(Springbok!L90=0,NA(),Springbok!L90)</f>
        <v>#N/A</v>
      </c>
      <c r="R3" s="80" t="e">
        <f>IF(Springbok!M90=0,NA(),Springbok!M90)</f>
        <v>#N/A</v>
      </c>
      <c r="S3" s="80" t="e">
        <f>IF(Springbok!N90=0,NA(),Springbok!N90)</f>
        <v>#N/A</v>
      </c>
      <c r="T3" s="80" t="e">
        <f>IF(Springbok!O90=0,NA(),Springbok!O90)</f>
        <v>#N/A</v>
      </c>
      <c r="U3" s="80" t="e">
        <f>IF(Springbok!P90=0,NA(),Springbok!P90)</f>
        <v>#N/A</v>
      </c>
      <c r="V3" s="80" t="e">
        <f>IF(Springbok!Q90=0,NA(),Springbok!Q90)</f>
        <v>#N/A</v>
      </c>
      <c r="W3" s="80" t="e">
        <f>IF(Springbok!R90=0,NA(),Springbok!R90)</f>
        <v>#N/A</v>
      </c>
      <c r="X3" s="80" t="e">
        <f>IF(Springbok!S90=0,NA(),Springbok!S90)</f>
        <v>#N/A</v>
      </c>
      <c r="Y3" s="80" t="e">
        <f>IF(Springbok!T90=0,NA(),Springbok!T90)</f>
        <v>#N/A</v>
      </c>
      <c r="Z3" s="80" t="e">
        <f>IF(Springbok!U90=0,NA(),Springbok!U90)</f>
        <v>#N/A</v>
      </c>
      <c r="AA3" s="80" t="e">
        <f>IF(Springbok!V90=0,NA(),Springbok!V90)</f>
        <v>#N/A</v>
      </c>
      <c r="AB3" s="80" t="e">
        <f>IF(Springbok!W90=0,NA(),Springbok!W90)</f>
        <v>#N/A</v>
      </c>
      <c r="AC3" s="80" t="e">
        <f>IF(Springbok!X90=0,NA(),Springbok!X90)</f>
        <v>#N/A</v>
      </c>
      <c r="AD3" s="80" t="e">
        <f>IF(Springbok!Y90=0,NA(),Springbok!Y90)</f>
        <v>#N/A</v>
      </c>
      <c r="AE3" s="80" t="e">
        <f>IF(Springbok!Z90=0,NA(),Springbok!Z90)</f>
        <v>#N/A</v>
      </c>
      <c r="AF3" s="80" t="e">
        <f>IF(Springbok!AA90=0,NA(),Springbok!AA90)</f>
        <v>#N/A</v>
      </c>
      <c r="AG3" s="80" t="e">
        <f>IF(Springbok!AB90=0,NA(),Springbok!AB90)</f>
        <v>#N/A</v>
      </c>
      <c r="AH3" s="80" t="e">
        <f>IF(Springbok!AC90=0,NA(),Springbok!AC90)</f>
        <v>#N/A</v>
      </c>
    </row>
    <row r="4" spans="1:37">
      <c r="A4" t="s">
        <v>54</v>
      </c>
      <c r="B4" s="17" t="s">
        <v>53</v>
      </c>
      <c r="C4" s="200"/>
      <c r="D4" s="200"/>
      <c r="E4" s="200"/>
      <c r="F4" s="200"/>
      <c r="G4" s="200"/>
      <c r="H4" s="200"/>
      <c r="I4" s="41" t="e">
        <f>IF('Brave Blossom '!D90=0,NA(),'Brave Blossom '!D90)</f>
        <v>#N/A</v>
      </c>
      <c r="J4" s="41" t="e">
        <f>IF('Brave Blossom '!E90=0,NA(),'Brave Blossom '!E90)</f>
        <v>#N/A</v>
      </c>
      <c r="K4" s="41" t="e">
        <f>IF('Brave Blossom '!F90=0,NA(),'Brave Blossom '!F90)</f>
        <v>#N/A</v>
      </c>
      <c r="L4" s="41" t="e">
        <f>IF('Brave Blossom '!G90=0,NA(),'Brave Blossom '!G90)</f>
        <v>#N/A</v>
      </c>
      <c r="M4" s="41">
        <f>IF('Brave Blossom '!H90=0,NA(),'Brave Blossom '!H90)</f>
        <v>1088.3875503487573</v>
      </c>
      <c r="N4" s="41">
        <f>IF('Brave Blossom '!I90=0,NA(),'Brave Blossom '!I90)</f>
        <v>1241.8898590234796</v>
      </c>
      <c r="O4" s="41">
        <f>IF('Brave Blossom '!J90=0,NA(),'Brave Blossom '!J90)</f>
        <v>120.40977645828903</v>
      </c>
      <c r="P4" s="41">
        <f>IF('Brave Blossom '!K90=0,NA(),'Brave Blossom '!K90)</f>
        <v>120.40977645828903</v>
      </c>
      <c r="Q4" s="41">
        <f>IF('Brave Blossom '!L90=0,NA(),'Brave Blossom '!L90)</f>
        <v>120.40977645828903</v>
      </c>
      <c r="R4" s="41">
        <f>IF('Brave Blossom '!M90=0,NA(),'Brave Blossom '!M90)</f>
        <v>120.40977645828903</v>
      </c>
      <c r="S4" s="41">
        <f>IF('Brave Blossom '!N90=0,NA(),'Brave Blossom '!N90)</f>
        <v>120.40977645828903</v>
      </c>
      <c r="T4" s="41">
        <f>IF('Brave Blossom '!O90=0,NA(),'Brave Blossom '!O90)</f>
        <v>120.40977645828903</v>
      </c>
      <c r="U4" s="41">
        <f>IF('Brave Blossom '!P90=0,NA(),'Brave Blossom '!P90)</f>
        <v>120.40977645828903</v>
      </c>
      <c r="V4" s="41">
        <f>IF('Brave Blossom '!Q90=0,NA(),'Brave Blossom '!Q90)</f>
        <v>120.40977645828903</v>
      </c>
      <c r="W4" s="41">
        <f>IF('Brave Blossom '!R90=0,NA(),'Brave Blossom '!R90)</f>
        <v>120.40977645828903</v>
      </c>
      <c r="X4" s="41">
        <f>IF('Brave Blossom '!S90=0,NA(),'Brave Blossom '!S90)</f>
        <v>120.40977645828903</v>
      </c>
      <c r="Y4" s="41">
        <f>IF('Brave Blossom '!T90=0,NA(),'Brave Blossom '!T90)</f>
        <v>120.40977645828903</v>
      </c>
      <c r="Z4" s="41">
        <f>IF('Brave Blossom '!U90=0,NA(),'Brave Blossom '!U90)</f>
        <v>120.40977645828903</v>
      </c>
      <c r="AA4" s="41">
        <f>IF('Brave Blossom '!V90=0,NA(),'Brave Blossom '!V90)</f>
        <v>120.40977645828903</v>
      </c>
      <c r="AB4" s="41">
        <f>IF('Brave Blossom '!W90=0,NA(),'Brave Blossom '!W90)</f>
        <v>120.40977645828903</v>
      </c>
      <c r="AC4" s="41">
        <f>IF('Brave Blossom '!X90=0,NA(),'Brave Blossom '!X90)</f>
        <v>120.40977645828903</v>
      </c>
      <c r="AD4" s="41">
        <f>IF('Brave Blossom '!Y90=0,NA(),'Brave Blossom '!Y90)</f>
        <v>114.59172682091442</v>
      </c>
      <c r="AE4" s="41">
        <f>IF('Brave Blossom '!Z90=0,NA(),'Brave Blossom '!Z90)</f>
        <v>104.64396284829721</v>
      </c>
      <c r="AF4" s="41">
        <f>IF('Brave Blossom '!AA90=0,NA(),'Brave Blossom '!AA90)</f>
        <v>104.64396284829721</v>
      </c>
      <c r="AG4" s="41" t="e">
        <f>IF('Brave Blossom '!AB90=0,NA(),'Brave Blossom '!AB90)</f>
        <v>#N/A</v>
      </c>
      <c r="AH4" s="41" t="e">
        <f>IF('Brave Blossom '!AC90=0,NA(),'Brave Blossom '!AC90)</f>
        <v>#N/A</v>
      </c>
    </row>
    <row r="5" spans="1:37">
      <c r="H5" s="41"/>
    </row>
    <row r="6" spans="1:37">
      <c r="A6" s="1" t="s">
        <v>55</v>
      </c>
      <c r="B6" s="1"/>
      <c r="C6" s="194"/>
      <c r="D6" s="194"/>
      <c r="E6" s="194"/>
      <c r="F6" s="194"/>
      <c r="G6" s="194"/>
      <c r="H6" s="194"/>
    </row>
    <row r="7" spans="1:37">
      <c r="A7" t="s">
        <v>52</v>
      </c>
      <c r="B7" s="17" t="s">
        <v>56</v>
      </c>
      <c r="C7" s="81">
        <f>'Historical Performance'!D143</f>
        <v>522475.42611604056</v>
      </c>
      <c r="D7" s="81">
        <f>'Historical Performance'!E143</f>
        <v>545821.2731273945</v>
      </c>
      <c r="E7" s="81">
        <f>'Historical Performance'!F143</f>
        <v>482741.52718257502</v>
      </c>
      <c r="F7" s="81">
        <f>'Historical Performance'!G143</f>
        <v>438805.48333784897</v>
      </c>
      <c r="G7" s="81">
        <f>'Historical Performance'!H143</f>
        <v>351060.19457180321</v>
      </c>
      <c r="H7" s="81">
        <f>'Historical Performance'!I143</f>
        <v>461475.22811854357</v>
      </c>
      <c r="I7" s="81">
        <f>IF(Springbok!D118=0,NA(),Springbok!D118)</f>
        <v>226119.29530439986</v>
      </c>
      <c r="J7" s="81">
        <f>IF(Springbok!E118=0,NA(),Springbok!E118)</f>
        <v>287082.16730558011</v>
      </c>
      <c r="K7" s="81">
        <f>IF(Springbok!F118=0,NA(),Springbok!F118)</f>
        <v>379815.77281816554</v>
      </c>
      <c r="L7" s="81">
        <f>IF(Springbok!G118=0,NA(),Springbok!G118)</f>
        <v>374686.35119821382</v>
      </c>
      <c r="M7" s="81">
        <f>IF(Springbok!H118=0,NA(),Springbok!H118)</f>
        <v>325082.09371192474</v>
      </c>
      <c r="N7" s="81">
        <f>IF(Springbok!I118=0,NA(),Springbok!I118)</f>
        <v>-895000</v>
      </c>
      <c r="O7" s="81" t="e">
        <f>IF(Springbok!J118=0,NA(),Springbok!J118)</f>
        <v>#N/A</v>
      </c>
      <c r="P7" s="81" t="e">
        <f>IF(Springbok!K118=0,NA(),Springbok!K118)</f>
        <v>#N/A</v>
      </c>
      <c r="Q7" s="81" t="e">
        <f>IF(Springbok!L118=0,NA(),Springbok!L118)</f>
        <v>#N/A</v>
      </c>
      <c r="R7" s="81" t="e">
        <f>IF(Springbok!M118=0,NA(),Springbok!M118)</f>
        <v>#N/A</v>
      </c>
      <c r="S7" s="81" t="e">
        <f>IF(Springbok!N118=0,NA(),Springbok!N118)</f>
        <v>#N/A</v>
      </c>
      <c r="T7" s="81" t="e">
        <f>IF(Springbok!O118=0,NA(),Springbok!O118)</f>
        <v>#N/A</v>
      </c>
      <c r="U7" s="81" t="e">
        <f>IF(Springbok!P118=0,NA(),Springbok!P118)</f>
        <v>#N/A</v>
      </c>
      <c r="V7" s="81" t="e">
        <f>IF(Springbok!Q118=0,NA(),Springbok!Q118)</f>
        <v>#N/A</v>
      </c>
      <c r="W7" s="81" t="e">
        <f>IF(Springbok!R118=0,NA(),Springbok!R118)</f>
        <v>#N/A</v>
      </c>
      <c r="X7" s="81" t="e">
        <f>IF(Springbok!S118=0,NA(),Springbok!S118)</f>
        <v>#N/A</v>
      </c>
      <c r="Y7" s="81" t="e">
        <f>IF(Springbok!T118=0,NA(),Springbok!T118)</f>
        <v>#N/A</v>
      </c>
      <c r="Z7" s="81" t="e">
        <f>IF(Springbok!U118=0,NA(),Springbok!U118)</f>
        <v>#N/A</v>
      </c>
      <c r="AA7" s="81" t="e">
        <f>IF(Springbok!V118=0,NA(),Springbok!V118)</f>
        <v>#N/A</v>
      </c>
      <c r="AB7" s="81" t="e">
        <f>IF(Springbok!W118=0,NA(),Springbok!W118)</f>
        <v>#N/A</v>
      </c>
      <c r="AC7" s="81" t="e">
        <f>IF(Springbok!X118=0,NA(),Springbok!X118)</f>
        <v>#N/A</v>
      </c>
      <c r="AD7" s="81" t="e">
        <f>IF(Springbok!Y118=0,NA(),Springbok!Y118)</f>
        <v>#N/A</v>
      </c>
      <c r="AE7" s="81" t="e">
        <f>IF(Springbok!Z118=0,NA(),Springbok!Z118)</f>
        <v>#N/A</v>
      </c>
      <c r="AF7" s="81" t="e">
        <f>IF(Springbok!AA118=0,NA(),Springbok!AA118)</f>
        <v>#N/A</v>
      </c>
      <c r="AG7" s="81" t="e">
        <f>IF(Springbok!AB118=0,NA(),Springbok!AB118)</f>
        <v>#N/A</v>
      </c>
      <c r="AH7" s="81" t="e">
        <f>IF(Springbok!AC118=0,NA(),Springbok!AC118)</f>
        <v>#N/A</v>
      </c>
    </row>
    <row r="8" spans="1:37">
      <c r="A8" t="s">
        <v>54</v>
      </c>
      <c r="B8" s="17" t="s">
        <v>56</v>
      </c>
      <c r="C8" s="200"/>
      <c r="D8" s="200"/>
      <c r="E8" s="200"/>
      <c r="F8" s="200"/>
      <c r="G8" s="200"/>
      <c r="H8" s="200"/>
      <c r="I8" s="81" t="e">
        <f>IF('Brave Blossom '!D118=0,NA(),'Brave Blossom '!D118)</f>
        <v>#N/A</v>
      </c>
      <c r="J8" s="81" t="e">
        <f>IF('Brave Blossom '!E118=0,NA(),'Brave Blossom '!E118)</f>
        <v>#N/A</v>
      </c>
      <c r="K8" s="81" t="e">
        <f>IF('Brave Blossom '!F118=0,NA(),'Brave Blossom '!F118)</f>
        <v>#N/A</v>
      </c>
      <c r="L8" s="81" t="e">
        <f>IF('Brave Blossom '!G118=0,NA(),'Brave Blossom '!G118)</f>
        <v>#N/A</v>
      </c>
      <c r="M8" s="81">
        <f>IF('Brave Blossom '!H118=0,NA(),'Brave Blossom '!H118)</f>
        <v>-76108.798574191285</v>
      </c>
      <c r="N8" s="81">
        <f>IF('Brave Blossom '!I118=0,NA(),'Brave Blossom '!I118)</f>
        <v>-173927.55394308918</v>
      </c>
      <c r="O8" s="81">
        <f>IF('Brave Blossom '!J118=0,NA(),'Brave Blossom '!J118)</f>
        <v>452810.39507043106</v>
      </c>
      <c r="P8" s="81">
        <f>IF('Brave Blossom '!K118=0,NA(),'Brave Blossom '!K118)</f>
        <v>438582.14080753439</v>
      </c>
      <c r="Q8" s="81">
        <f>IF('Brave Blossom '!L118=0,NA(),'Brave Blossom '!L118)</f>
        <v>424306.1746255465</v>
      </c>
      <c r="R8" s="81">
        <f>IF('Brave Blossom '!M118=0,NA(),'Brave Blossom '!M118)</f>
        <v>409978.84633413091</v>
      </c>
      <c r="S8" s="81">
        <f>IF('Brave Blossom '!N118=0,NA(),'Brave Blossom '!N118)</f>
        <v>399359.0739416093</v>
      </c>
      <c r="T8" s="81">
        <f>IF('Brave Blossom '!O118=0,NA(),'Brave Blossom '!O118)</f>
        <v>388920.40552375856</v>
      </c>
      <c r="U8" s="81">
        <f>IF('Brave Blossom '!P118=0,NA(),'Brave Blossom '!P118)</f>
        <v>374657.06052019302</v>
      </c>
      <c r="V8" s="81">
        <f>IF('Brave Blossom '!Q118=0,NA(),'Brave Blossom '!Q118)</f>
        <v>364450.11670210544</v>
      </c>
      <c r="W8" s="81">
        <f>IF('Brave Blossom '!R118=0,NA(),'Brave Blossom '!R118)</f>
        <v>354413.70588095248</v>
      </c>
      <c r="X8" s="81">
        <f>IF('Brave Blossom '!S118=0,NA(),'Brave Blossom '!S118)</f>
        <v>344544.37953587621</v>
      </c>
      <c r="Y8" s="81">
        <f>IF('Brave Blossom '!T118=0,NA(),'Brave Blossom '!T118)</f>
        <v>334838.72955486138</v>
      </c>
      <c r="Z8" s="81">
        <f>IF('Brave Blossom '!U118=0,NA(),'Brave Blossom '!U118)</f>
        <v>325293.38966936379</v>
      </c>
      <c r="AA8" s="81">
        <f>IF('Brave Blossom '!V118=0,NA(),'Brave Blossom '!V118)</f>
        <v>320626.30010878196</v>
      </c>
      <c r="AB8" s="81">
        <f>IF('Brave Blossom '!W118=0,NA(),'Brave Blossom '!W118)</f>
        <v>311511.49554575182</v>
      </c>
      <c r="AC8" s="81">
        <f>IF('Brave Blossom '!X118=0,NA(),'Brave Blossom '!X118)</f>
        <v>302547.16529324814</v>
      </c>
      <c r="AD8" s="81">
        <f>IF('Brave Blossom '!Y118=0,NA(),'Brave Blossom '!Y118)</f>
        <v>313115.52504905895</v>
      </c>
      <c r="AE8" s="81">
        <f>IF('Brave Blossom '!Z118=0,NA(),'Brave Blossom '!Z118)</f>
        <v>339199.46662884217</v>
      </c>
      <c r="AF8" s="81">
        <f>IF('Brave Blossom '!AA118=0,NA(),'Brave Blossom '!AA118)</f>
        <v>322099.43222515006</v>
      </c>
      <c r="AG8" s="81">
        <f>IF('Brave Blossom '!AB118=0,NA(),'Brave Blossom '!AB118)</f>
        <v>-117686.96740781899</v>
      </c>
      <c r="AH8" s="81">
        <f>IF('Brave Blossom '!AC118=0,NA(),'Brave Blossom '!AC118)</f>
        <v>-91684.509027890483</v>
      </c>
    </row>
    <row r="9" spans="1:37">
      <c r="H9" s="41"/>
    </row>
    <row r="10" spans="1:37">
      <c r="A10" s="1" t="s">
        <v>57</v>
      </c>
      <c r="B10" s="1"/>
      <c r="C10" s="194"/>
      <c r="D10" s="194"/>
      <c r="E10" s="194"/>
      <c r="F10" s="194"/>
      <c r="G10" s="194"/>
      <c r="H10" s="194"/>
    </row>
    <row r="11" spans="1:37">
      <c r="A11" t="s">
        <v>58</v>
      </c>
      <c r="B11" s="17" t="s">
        <v>56</v>
      </c>
      <c r="C11" s="81">
        <f t="shared" ref="C11:H11" si="2">C7</f>
        <v>522475.42611604056</v>
      </c>
      <c r="D11" s="81">
        <f t="shared" si="2"/>
        <v>545821.2731273945</v>
      </c>
      <c r="E11" s="81">
        <f t="shared" si="2"/>
        <v>482741.52718257502</v>
      </c>
      <c r="F11" s="81">
        <f t="shared" si="2"/>
        <v>438805.48333784897</v>
      </c>
      <c r="G11" s="81">
        <f t="shared" si="2"/>
        <v>351060.19457180321</v>
      </c>
      <c r="H11" s="81">
        <f t="shared" si="2"/>
        <v>461475.22811854357</v>
      </c>
      <c r="I11" s="81">
        <f>'Brave Blossom '!D118+Springbok!D118</f>
        <v>226119.29530439986</v>
      </c>
      <c r="J11" s="81">
        <f>'Brave Blossom '!E118+Springbok!E118</f>
        <v>287082.16730558011</v>
      </c>
      <c r="K11" s="81">
        <f>'Brave Blossom '!F118+Springbok!F118</f>
        <v>379815.77281816554</v>
      </c>
      <c r="L11" s="81">
        <f>'Brave Blossom '!G118+Springbok!G118</f>
        <v>374686.35119821382</v>
      </c>
      <c r="M11" s="81">
        <f>'Brave Blossom '!H118+Springbok!H118</f>
        <v>248973.29513773345</v>
      </c>
      <c r="N11" s="81">
        <f>'Brave Blossom '!I118+Springbok!I118</f>
        <v>-1068927.5539430892</v>
      </c>
      <c r="O11" s="81">
        <f>'Brave Blossom '!J118+Springbok!J118</f>
        <v>452810.39507043106</v>
      </c>
      <c r="P11" s="81">
        <f>'Brave Blossom '!K118+Springbok!K118</f>
        <v>438582.14080753439</v>
      </c>
      <c r="Q11" s="81">
        <f>'Brave Blossom '!L118+Springbok!L118</f>
        <v>424306.1746255465</v>
      </c>
      <c r="R11" s="81">
        <f>'Brave Blossom '!M118+Springbok!M118</f>
        <v>409978.84633413091</v>
      </c>
      <c r="S11" s="81">
        <f>'Brave Blossom '!N118+Springbok!N118</f>
        <v>399359.0739416093</v>
      </c>
      <c r="T11" s="81">
        <f>'Brave Blossom '!O118+Springbok!O118</f>
        <v>388920.40552375856</v>
      </c>
      <c r="U11" s="81">
        <f>'Brave Blossom '!P118+Springbok!P118</f>
        <v>374657.06052019302</v>
      </c>
      <c r="V11" s="81">
        <f>'Brave Blossom '!Q118+Springbok!Q118</f>
        <v>364450.11670210544</v>
      </c>
      <c r="W11" s="81">
        <f>'Brave Blossom '!R118+Springbok!R118</f>
        <v>354413.70588095248</v>
      </c>
      <c r="X11" s="81">
        <f>'Brave Blossom '!S118+Springbok!S118</f>
        <v>344544.37953587621</v>
      </c>
      <c r="Y11" s="81">
        <f>'Brave Blossom '!T118+Springbok!T118</f>
        <v>334838.72955486138</v>
      </c>
      <c r="Z11" s="81">
        <f>'Brave Blossom '!U118+Springbok!U118</f>
        <v>325293.38966936379</v>
      </c>
      <c r="AA11" s="81">
        <f>'Brave Blossom '!V118+Springbok!V118</f>
        <v>320626.30010878196</v>
      </c>
      <c r="AB11" s="81">
        <f>'Brave Blossom '!W118+Springbok!W118</f>
        <v>311511.49554575182</v>
      </c>
      <c r="AC11" s="81">
        <f>'Brave Blossom '!X118+Springbok!X118</f>
        <v>302547.16529324814</v>
      </c>
      <c r="AD11" s="81">
        <f>'Brave Blossom '!Y118+Springbok!Y118</f>
        <v>313115.52504905895</v>
      </c>
      <c r="AE11" s="81">
        <f>'Brave Blossom '!Z118+Springbok!Z118</f>
        <v>339199.46662884217</v>
      </c>
      <c r="AF11" s="81">
        <f>'Brave Blossom '!AA118+Springbok!AA118</f>
        <v>322099.43222515006</v>
      </c>
      <c r="AG11" s="81">
        <f>'Brave Blossom '!AB118+Springbok!AB118</f>
        <v>-117686.96740781899</v>
      </c>
      <c r="AH11" s="81">
        <f>'Brave Blossom '!AC118+Springbok!AC118</f>
        <v>-91684.509027890483</v>
      </c>
    </row>
    <row r="12" spans="1:37">
      <c r="B12" s="17"/>
      <c r="C12" s="200"/>
      <c r="D12" s="200"/>
      <c r="E12" s="200"/>
      <c r="F12" s="200"/>
      <c r="G12" s="200"/>
      <c r="H12" s="200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</row>
    <row r="13" spans="1:37">
      <c r="A13" s="1" t="s">
        <v>59</v>
      </c>
      <c r="B13" s="1"/>
      <c r="C13" s="194"/>
      <c r="D13" s="194"/>
      <c r="E13" s="194"/>
      <c r="F13" s="194"/>
      <c r="G13" s="194"/>
      <c r="H13" s="194"/>
    </row>
    <row r="14" spans="1:37">
      <c r="A14" t="s">
        <v>60</v>
      </c>
      <c r="B14" s="17" t="s">
        <v>56</v>
      </c>
      <c r="C14" s="81">
        <f>'Historical Performance'!D148</f>
        <v>210281.47195933701</v>
      </c>
      <c r="D14" s="81">
        <f>'Historical Performance'!E148</f>
        <v>210309.3571121057</v>
      </c>
      <c r="E14" s="81">
        <f>'Historical Performance'!F148</f>
        <v>185079.12281428152</v>
      </c>
      <c r="F14" s="81">
        <f>'Historical Performance'!G148</f>
        <v>170008.607599268</v>
      </c>
      <c r="G14" s="81">
        <f>'Historical Performance'!H148</f>
        <v>136101.94543399545</v>
      </c>
      <c r="H14" s="81">
        <f>'Historical Performance'!I148</f>
        <v>178993.72852262639</v>
      </c>
      <c r="I14" s="81">
        <f>'Brave Blossom '!D123+Springbok!D123</f>
        <v>87216.158657635227</v>
      </c>
      <c r="J14" s="81">
        <f>'Brave Blossom '!E123+Springbok!E123</f>
        <v>115050.5708688373</v>
      </c>
      <c r="K14" s="81">
        <f>'Brave Blossom '!F123+Springbok!F123</f>
        <v>162597.50658892316</v>
      </c>
      <c r="L14" s="81">
        <f>'Brave Blossom '!G123+Springbok!G123</f>
        <v>163167.12403974344</v>
      </c>
      <c r="M14" s="81">
        <f>'Brave Blossom '!H123+Springbok!H123</f>
        <v>106616.68272858727</v>
      </c>
      <c r="N14" s="81">
        <f>'Brave Blossom '!I123+Springbok!I123</f>
        <v>-641356.53236585355</v>
      </c>
      <c r="O14" s="81">
        <f>'Brave Blossom '!J123+Springbok!J123</f>
        <v>181632.96898672389</v>
      </c>
      <c r="P14" s="81">
        <f>'Brave Blossom '!K123+Springbok!K123</f>
        <v>176108.38872262309</v>
      </c>
      <c r="Q14" s="81">
        <f>'Brave Blossom '!L123+Springbok!L123</f>
        <v>170588.84092618819</v>
      </c>
      <c r="R14" s="81">
        <f>'Brave Blossom '!M123+Springbok!M123</f>
        <v>165075.74210261714</v>
      </c>
      <c r="S14" s="81">
        <f>'Brave Blossom '!N123+Springbok!N123</f>
        <v>161151.34044775806</v>
      </c>
      <c r="T14" s="81">
        <f>'Brave Blossom '!O123+Springbok!O123</f>
        <v>157338.72931226075</v>
      </c>
      <c r="U14" s="81">
        <f>'Brave Blossom '!P123+Springbok!P123</f>
        <v>151960.58469647751</v>
      </c>
      <c r="V14" s="81">
        <f>'Brave Blossom '!Q123+Springbok!Q123</f>
        <v>148333.24090826535</v>
      </c>
      <c r="W14" s="81">
        <f>'Brave Blossom '!R123+Springbok!R123</f>
        <v>144832.48536338113</v>
      </c>
      <c r="X14" s="81">
        <f>'Brave Blossom '!S123+Springbok!S123</f>
        <v>141466.86320753998</v>
      </c>
      <c r="Y14" s="81">
        <f>'Brave Blossom '!T123+Springbok!T123</f>
        <v>138247.93461551378</v>
      </c>
      <c r="Z14" s="81">
        <f>'Brave Blossom '!U123+Springbok!U123</f>
        <v>135191.60786360479</v>
      </c>
      <c r="AA14" s="81">
        <f>'Brave Blossom '!V123+Springbok!V123</f>
        <v>134303.23574816043</v>
      </c>
      <c r="AB14" s="81">
        <f>'Brave Blossom '!W123+Springbok!W123</f>
        <v>131699.93840311631</v>
      </c>
      <c r="AC14" s="81">
        <f>'Brave Blossom '!X123+Springbok!X123</f>
        <v>129363.99369706478</v>
      </c>
      <c r="AD14" s="81">
        <f>'Brave Blossom '!Y123+Springbok!Y123</f>
        <v>135700.81559450531</v>
      </c>
      <c r="AE14" s="81">
        <f>'Brave Blossom '!Z123+Springbok!Z123</f>
        <v>148937.09855801426</v>
      </c>
      <c r="AF14" s="81">
        <f>'Brave Blossom '!AA123+Springbok!AA123</f>
        <v>144491.08410846358</v>
      </c>
      <c r="AG14" s="81">
        <f>'Brave Blossom '!AB123+Springbok!AB123</f>
        <v>-70612.180444691388</v>
      </c>
      <c r="AH14" s="81">
        <f>'Brave Blossom '!AC123+Springbok!AC123</f>
        <v>-55010.705416734287</v>
      </c>
      <c r="AI14" s="81"/>
      <c r="AJ14" s="81"/>
      <c r="AK14" s="81"/>
    </row>
    <row r="15" spans="1:37">
      <c r="A15" t="s">
        <v>61</v>
      </c>
      <c r="B15" s="17" t="s">
        <v>56</v>
      </c>
      <c r="C15" s="200"/>
      <c r="D15" s="200"/>
      <c r="E15" s="200"/>
      <c r="F15" s="200"/>
      <c r="G15" s="200"/>
      <c r="H15" s="200"/>
      <c r="I15" s="81">
        <f>'Brave Blossom '!D123+Springbok!D123+'OC Clean'!D125</f>
        <v>87216.158657635227</v>
      </c>
      <c r="J15" s="81">
        <f>'Brave Blossom '!E123+Springbok!E123+'OC Clean'!E125</f>
        <v>115050.5708688373</v>
      </c>
      <c r="K15" s="81">
        <f>'Brave Blossom '!F123+Springbok!F123+'OC Clean'!F125</f>
        <v>162597.50658892316</v>
      </c>
      <c r="L15" s="81">
        <f>'Brave Blossom '!G123+Springbok!G123+'OC Clean'!G125</f>
        <v>163167.12403974344</v>
      </c>
      <c r="M15" s="81">
        <f>'Brave Blossom '!H123+Springbok!H123+'OC Clean'!H125</f>
        <v>106616.68272858727</v>
      </c>
      <c r="N15" s="81">
        <f>'Brave Blossom '!I123+Springbok!I123+'OC Clean'!I125</f>
        <v>-641356.53236585355</v>
      </c>
      <c r="O15" s="81">
        <f>'Brave Blossom '!J123+Springbok!J123+'OC Clean'!J125</f>
        <v>181632.96898672389</v>
      </c>
      <c r="P15" s="81">
        <f>'Brave Blossom '!K123+Springbok!K123+'OC Clean'!K125</f>
        <v>176108.38872262309</v>
      </c>
      <c r="Q15" s="81">
        <f>'Brave Blossom '!L123+Springbok!L123+'OC Clean'!L125</f>
        <v>170588.84092618819</v>
      </c>
      <c r="R15" s="81">
        <f>'Brave Blossom '!M123+Springbok!M123+'OC Clean'!M125</f>
        <v>165075.74210261714</v>
      </c>
      <c r="S15" s="81">
        <f>'Brave Blossom '!N123+Springbok!N123+'OC Clean'!N125</f>
        <v>161151.34044775806</v>
      </c>
      <c r="T15" s="81">
        <f>'Brave Blossom '!O123+Springbok!O123+'OC Clean'!O125</f>
        <v>157338.72931226075</v>
      </c>
      <c r="U15" s="81">
        <f>'Brave Blossom '!P123+Springbok!P123+'OC Clean'!P125</f>
        <v>151960.58469647751</v>
      </c>
      <c r="V15" s="81">
        <f>'Brave Blossom '!Q123+Springbok!Q123+'OC Clean'!Q125</f>
        <v>148333.24090826535</v>
      </c>
      <c r="W15" s="81">
        <f>'Brave Blossom '!R123+Springbok!R123+'OC Clean'!R125</f>
        <v>144832.48536338113</v>
      </c>
      <c r="X15" s="81">
        <f>'Brave Blossom '!S123+Springbok!S123+'OC Clean'!S125</f>
        <v>141466.86320753998</v>
      </c>
      <c r="Y15" s="81">
        <f>'Brave Blossom '!T123+Springbok!T123+'OC Clean'!T125</f>
        <v>138247.93461551378</v>
      </c>
      <c r="Z15" s="81">
        <f>'Brave Blossom '!U123+Springbok!U123+'OC Clean'!U125</f>
        <v>135191.60786360479</v>
      </c>
      <c r="AA15" s="81">
        <f>'Brave Blossom '!V123+Springbok!V123+'OC Clean'!V125</f>
        <v>134303.23574816043</v>
      </c>
      <c r="AB15" s="81">
        <f>'Brave Blossom '!W123+Springbok!W123+'OC Clean'!W125</f>
        <v>131699.93840311631</v>
      </c>
      <c r="AC15" s="81">
        <f>'Brave Blossom '!X123+Springbok!X123+'OC Clean'!X125</f>
        <v>129363.99369706478</v>
      </c>
      <c r="AD15" s="81">
        <f>'Brave Blossom '!Y123+Springbok!Y123+'OC Clean'!Y125</f>
        <v>135700.81559450531</v>
      </c>
      <c r="AE15" s="81">
        <f>'Brave Blossom '!Z123+Springbok!Z123+'OC Clean'!Z125</f>
        <v>148937.09855801426</v>
      </c>
      <c r="AF15" s="81">
        <f>'Brave Blossom '!AA123+Springbok!AA123+'OC Clean'!AA125</f>
        <v>144491.08410846358</v>
      </c>
      <c r="AG15" s="81">
        <f>'Brave Blossom '!AB123+Springbok!AB123+'OC Clean'!AB125</f>
        <v>-70612.180444691388</v>
      </c>
      <c r="AH15" s="81">
        <f>'Brave Blossom '!AC123+Springbok!AC123+'OC Clean'!AC125</f>
        <v>-55010.705416734287</v>
      </c>
      <c r="AI15" s="81"/>
      <c r="AJ15" s="81"/>
      <c r="AK15" s="81"/>
    </row>
    <row r="16" spans="1:37">
      <c r="B16" s="17"/>
      <c r="C16" s="200"/>
      <c r="D16" s="200"/>
      <c r="E16" s="200"/>
      <c r="F16" s="200"/>
      <c r="G16" s="200"/>
      <c r="H16" s="200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</row>
    <row r="17" spans="1:37">
      <c r="A17" s="1" t="s">
        <v>62</v>
      </c>
      <c r="B17" s="1"/>
      <c r="C17" s="194"/>
      <c r="D17" s="194"/>
      <c r="E17" s="194"/>
      <c r="F17" s="194"/>
      <c r="G17" s="194"/>
      <c r="H17" s="194"/>
    </row>
    <row r="18" spans="1:37">
      <c r="A18" t="s">
        <v>60</v>
      </c>
      <c r="B18" s="17" t="s">
        <v>56</v>
      </c>
      <c r="C18" s="81">
        <f t="shared" ref="C18:H18" si="3">C14</f>
        <v>210281.47195933701</v>
      </c>
      <c r="D18" s="81">
        <f t="shared" si="3"/>
        <v>210309.3571121057</v>
      </c>
      <c r="E18" s="81">
        <f t="shared" si="3"/>
        <v>185079.12281428152</v>
      </c>
      <c r="F18" s="81">
        <f t="shared" si="3"/>
        <v>170008.607599268</v>
      </c>
      <c r="G18" s="81">
        <f t="shared" si="3"/>
        <v>136101.94543399545</v>
      </c>
      <c r="H18" s="81">
        <f t="shared" si="3"/>
        <v>178993.72852262639</v>
      </c>
      <c r="I18" s="81">
        <f>'Brave Blossom '!D124+Springbok!D124</f>
        <v>83923.787797784666</v>
      </c>
      <c r="J18" s="81">
        <f>'Brave Blossom '!E124+Springbok!E124</f>
        <v>170844.85098133574</v>
      </c>
      <c r="K18" s="81">
        <f>'Brave Blossom '!F124+Springbok!F124</f>
        <v>223564.7057391135</v>
      </c>
      <c r="L18" s="81">
        <f>'Brave Blossom '!G124+Springbok!G124</f>
        <v>207729.54229759332</v>
      </c>
      <c r="M18" s="81">
        <f>'Brave Blossom '!H124+Springbok!H124</f>
        <v>125680.24414434459</v>
      </c>
      <c r="N18" s="81">
        <f>'Brave Blossom '!I124+Springbok!I124</f>
        <v>-700031.55496457848</v>
      </c>
      <c r="O18" s="81">
        <f>'Brave Blossom '!J124+Springbok!J124</f>
        <v>183564.63748679718</v>
      </c>
      <c r="P18" s="81">
        <f>'Brave Blossom '!K124+Springbok!K124</f>
        <v>164797.50301348182</v>
      </c>
      <c r="Q18" s="81">
        <f>'Brave Blossom '!L124+Springbok!L124</f>
        <v>147807.83179898409</v>
      </c>
      <c r="R18" s="81">
        <f>'Brave Blossom '!M124+Springbok!M124</f>
        <v>132436.08406037773</v>
      </c>
      <c r="S18" s="81">
        <f>'Brave Blossom '!N124+Springbok!N124</f>
        <v>119710.77414468587</v>
      </c>
      <c r="T18" s="81">
        <f>'Brave Blossom '!O124+Springbok!O124</f>
        <v>108220.91460263022</v>
      </c>
      <c r="U18" s="81">
        <f>'Brave Blossom '!P124+Springbok!P124</f>
        <v>96779.3635972466</v>
      </c>
      <c r="V18" s="81">
        <f>'Brave Blossom '!Q124+Springbok!Q124</f>
        <v>87471.492373746209</v>
      </c>
      <c r="W18" s="81">
        <f>'Brave Blossom '!R124+Springbok!R124</f>
        <v>79080.658755878801</v>
      </c>
      <c r="X18" s="81">
        <f>'Brave Blossom '!S124+Springbok!S124</f>
        <v>71521.277549583858</v>
      </c>
      <c r="Y18" s="81">
        <f>'Brave Blossom '!T124+Springbok!T124</f>
        <v>64716.561716458244</v>
      </c>
      <c r="Z18" s="81">
        <f>'Brave Blossom '!U124+Springbok!U124</f>
        <v>58597.995736620614</v>
      </c>
      <c r="AA18" s="81">
        <f>'Brave Blossom '!V124+Springbok!V124</f>
        <v>53900.866800111937</v>
      </c>
      <c r="AB18" s="81">
        <f>'Brave Blossom '!W124+Springbok!W124</f>
        <v>48940.802849669803</v>
      </c>
      <c r="AC18" s="81">
        <f>'Brave Blossom '!X124+Springbok!X124</f>
        <v>44511.802022732139</v>
      </c>
      <c r="AD18" s="81">
        <f>'Brave Blossom '!Y124+Springbok!Y124</f>
        <v>43233.506862946975</v>
      </c>
      <c r="AE18" s="81">
        <f>'Brave Blossom '!Z124+Springbok!Z124</f>
        <v>43935.658535161274</v>
      </c>
      <c r="AF18" s="81">
        <f>'Brave Blossom '!AA124+Springbok!AA124</f>
        <v>39466.766409419608</v>
      </c>
      <c r="AG18" s="81">
        <f>'Brave Blossom '!AB124+Springbok!AB124</f>
        <v>-17858.556928255264</v>
      </c>
      <c r="AH18" s="81">
        <f>'Brave Blossom '!AC124+Springbok!AC124</f>
        <v>-12882.204785524928</v>
      </c>
      <c r="AI18" s="81"/>
      <c r="AJ18" s="81"/>
      <c r="AK18" s="81"/>
    </row>
    <row r="19" spans="1:37">
      <c r="A19" t="s">
        <v>63</v>
      </c>
      <c r="B19" s="17" t="s">
        <v>56</v>
      </c>
      <c r="C19" s="200"/>
      <c r="D19" s="200"/>
      <c r="E19" s="200"/>
      <c r="F19" s="200"/>
      <c r="G19" s="200"/>
      <c r="H19" s="200"/>
      <c r="I19" s="81">
        <f>Springbok!D124</f>
        <v>83923.787797784666</v>
      </c>
      <c r="J19" s="81">
        <f>Springbok!E124</f>
        <v>170844.85098133574</v>
      </c>
      <c r="K19" s="81">
        <f>Springbok!F124</f>
        <v>223564.7057391135</v>
      </c>
      <c r="L19" s="81">
        <f>Springbok!G124</f>
        <v>207729.54229759332</v>
      </c>
      <c r="M19" s="81">
        <f>Springbok!H124</f>
        <v>179510.68873257597</v>
      </c>
      <c r="N19" s="81">
        <f>Springbok!I124</f>
        <v>-586127.8805866153</v>
      </c>
      <c r="O19" s="81">
        <f>Springbok!J124</f>
        <v>0</v>
      </c>
      <c r="P19" s="81">
        <f>Springbok!K124</f>
        <v>0</v>
      </c>
      <c r="Q19" s="81">
        <f>Springbok!L124</f>
        <v>0</v>
      </c>
      <c r="R19" s="81">
        <f>Springbok!M124</f>
        <v>0</v>
      </c>
      <c r="S19" s="81">
        <f>Springbok!N124</f>
        <v>0</v>
      </c>
      <c r="T19" s="81">
        <f>Springbok!O124</f>
        <v>0</v>
      </c>
      <c r="U19" s="81">
        <f>Springbok!P124</f>
        <v>0</v>
      </c>
      <c r="V19" s="81">
        <f>Springbok!Q124</f>
        <v>0</v>
      </c>
      <c r="W19" s="81">
        <f>Springbok!R124</f>
        <v>0</v>
      </c>
      <c r="X19" s="81">
        <f>Springbok!S124</f>
        <v>0</v>
      </c>
      <c r="Y19" s="81">
        <f>Springbok!T124</f>
        <v>0</v>
      </c>
      <c r="Z19" s="81">
        <f>Springbok!U124</f>
        <v>0</v>
      </c>
      <c r="AA19" s="81">
        <f>Springbok!V124</f>
        <v>0</v>
      </c>
      <c r="AB19" s="81">
        <f>Springbok!W124</f>
        <v>0</v>
      </c>
      <c r="AC19" s="81">
        <f>Springbok!X124</f>
        <v>0</v>
      </c>
      <c r="AD19" s="81">
        <f>Springbok!Y124</f>
        <v>0</v>
      </c>
      <c r="AE19" s="81">
        <f>Springbok!Z124</f>
        <v>0</v>
      </c>
      <c r="AF19" s="81">
        <f>Springbok!AA124</f>
        <v>0</v>
      </c>
      <c r="AG19" s="81">
        <f>Springbok!AB124</f>
        <v>0</v>
      </c>
      <c r="AH19" s="81">
        <f>Springbok!AC124</f>
        <v>0</v>
      </c>
      <c r="AI19" s="81"/>
      <c r="AJ19" s="81"/>
      <c r="AK19" s="81"/>
    </row>
    <row r="20" spans="1:37">
      <c r="B20" s="17"/>
      <c r="C20" s="200"/>
      <c r="D20" s="200"/>
      <c r="E20" s="200"/>
      <c r="F20" s="200"/>
      <c r="G20" s="200"/>
      <c r="H20" s="200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</row>
    <row r="21" spans="1:37">
      <c r="A21" s="1" t="s">
        <v>64</v>
      </c>
      <c r="B21" s="17"/>
      <c r="C21" s="200"/>
      <c r="D21" s="200"/>
      <c r="E21" s="200"/>
      <c r="F21" s="200"/>
      <c r="G21" s="200"/>
      <c r="H21" s="200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</row>
    <row r="22" spans="1:37">
      <c r="A22" t="s">
        <v>60</v>
      </c>
      <c r="B22" s="17" t="s">
        <v>56</v>
      </c>
      <c r="C22" s="200"/>
      <c r="D22" s="200"/>
      <c r="E22" s="200"/>
      <c r="F22" s="200"/>
      <c r="G22" s="200"/>
      <c r="H22" s="200"/>
      <c r="I22" s="81">
        <f>SUM($I18)</f>
        <v>83923.787797784666</v>
      </c>
      <c r="J22" s="81">
        <f>SUM($I18:J18)</f>
        <v>254768.6387791204</v>
      </c>
      <c r="K22" s="81">
        <f>SUM($I18:K18)</f>
        <v>478333.34451823391</v>
      </c>
      <c r="L22" s="81">
        <f>SUM($I18:L18)</f>
        <v>686062.88681582722</v>
      </c>
      <c r="M22" s="81">
        <f>SUM($I18:M18)</f>
        <v>811743.13096017181</v>
      </c>
      <c r="N22" s="81">
        <f>SUM($I18:N18)</f>
        <v>111711.57599559333</v>
      </c>
      <c r="O22" s="81">
        <f>SUM($I18:O18)</f>
        <v>295276.21348239051</v>
      </c>
      <c r="P22" s="81">
        <f>SUM($I18:P18)</f>
        <v>460073.71649587236</v>
      </c>
      <c r="Q22" s="81">
        <f>SUM($I18:Q18)</f>
        <v>607881.54829485645</v>
      </c>
      <c r="R22" s="81">
        <f>SUM($I18:R18)</f>
        <v>740317.63235523412</v>
      </c>
      <c r="S22" s="81">
        <f>SUM($I18:S18)</f>
        <v>860028.40649991995</v>
      </c>
      <c r="T22" s="81">
        <f>SUM($I18:T18)</f>
        <v>968249.32110255014</v>
      </c>
      <c r="U22" s="81">
        <f>SUM($I18:U18)</f>
        <v>1065028.6846997968</v>
      </c>
      <c r="V22" s="81">
        <f>SUM($I18:V18)</f>
        <v>1152500.177073543</v>
      </c>
      <c r="W22" s="81">
        <f>SUM($I18:W18)</f>
        <v>1231580.8358294219</v>
      </c>
      <c r="X22" s="81">
        <f>SUM($I18:X18)</f>
        <v>1303102.1133790058</v>
      </c>
      <c r="Y22" s="81">
        <f>SUM($I18:Y18)</f>
        <v>1367818.6750954641</v>
      </c>
      <c r="Z22" s="81">
        <f>SUM($I18:Z18)</f>
        <v>1426416.6708320847</v>
      </c>
      <c r="AA22" s="81">
        <f>SUM($I18:AA18)</f>
        <v>1480317.5376321967</v>
      </c>
      <c r="AB22" s="81">
        <f>SUM($I18:AB18)</f>
        <v>1529258.3404818664</v>
      </c>
      <c r="AC22" s="81">
        <f>SUM($I18:AC18)</f>
        <v>1573770.1425045985</v>
      </c>
      <c r="AD22" s="81">
        <f>SUM($I18:AD18)</f>
        <v>1617003.6493675455</v>
      </c>
      <c r="AE22" s="81">
        <f>SUM($I18:AE18)</f>
        <v>1660939.3079027068</v>
      </c>
      <c r="AF22" s="81">
        <f>SUM($I18:AF18)</f>
        <v>1700406.0743121265</v>
      </c>
      <c r="AG22" s="81">
        <f>SUM($I18:AG18)</f>
        <v>1682547.5173838711</v>
      </c>
      <c r="AH22" s="81">
        <f>SUM($I18:AH18)</f>
        <v>1669665.3125983463</v>
      </c>
      <c r="AI22" s="81"/>
      <c r="AJ22" s="81"/>
      <c r="AK22" s="81"/>
    </row>
    <row r="23" spans="1:37">
      <c r="A23" t="s">
        <v>63</v>
      </c>
      <c r="B23" s="17" t="s">
        <v>56</v>
      </c>
      <c r="C23" s="200"/>
      <c r="D23" s="200"/>
      <c r="E23" s="200"/>
      <c r="F23" s="200"/>
      <c r="G23" s="200"/>
      <c r="H23" s="200"/>
      <c r="I23" s="81">
        <f>SUM($H19:I19)</f>
        <v>83923.787797784666</v>
      </c>
      <c r="J23" s="81">
        <f>SUM($H19:J19)</f>
        <v>254768.6387791204</v>
      </c>
      <c r="K23" s="81">
        <f>SUM($H19:K19)</f>
        <v>478333.34451823391</v>
      </c>
      <c r="L23" s="81">
        <f>SUM($H19:L19)</f>
        <v>686062.88681582722</v>
      </c>
      <c r="M23" s="81">
        <f>SUM($H19:M19)</f>
        <v>865573.5755484032</v>
      </c>
      <c r="N23" s="81">
        <f>SUM($H19:N19)</f>
        <v>279445.6949617879</v>
      </c>
      <c r="O23" s="81">
        <f>SUM($H19:O19)</f>
        <v>279445.6949617879</v>
      </c>
      <c r="P23" s="81">
        <f>SUM($H19:P19)</f>
        <v>279445.6949617879</v>
      </c>
      <c r="Q23" s="81">
        <f>SUM($H19:Q19)</f>
        <v>279445.6949617879</v>
      </c>
      <c r="R23" s="81">
        <f>SUM($H19:R19)</f>
        <v>279445.6949617879</v>
      </c>
      <c r="S23" s="81">
        <f>SUM($H19:S19)</f>
        <v>279445.6949617879</v>
      </c>
      <c r="T23" s="81">
        <f>SUM($H19:T19)</f>
        <v>279445.6949617879</v>
      </c>
      <c r="U23" s="81">
        <f>SUM($H19:U19)</f>
        <v>279445.6949617879</v>
      </c>
      <c r="V23" s="81">
        <f>SUM($H19:V19)</f>
        <v>279445.6949617879</v>
      </c>
      <c r="W23" s="81">
        <f>SUM($H19:W19)</f>
        <v>279445.6949617879</v>
      </c>
      <c r="X23" s="81">
        <f>SUM($H19:X19)</f>
        <v>279445.6949617879</v>
      </c>
      <c r="Y23" s="81">
        <f>SUM($H19:Y19)</f>
        <v>279445.6949617879</v>
      </c>
      <c r="Z23" s="81">
        <f>SUM($H19:Z19)</f>
        <v>279445.6949617879</v>
      </c>
      <c r="AA23" s="81">
        <f>SUM($H19:AA19)</f>
        <v>279445.6949617879</v>
      </c>
      <c r="AB23" s="81">
        <f>SUM($H19:AB19)</f>
        <v>279445.6949617879</v>
      </c>
      <c r="AC23" s="81">
        <f>SUM($H19:AC19)</f>
        <v>279445.6949617879</v>
      </c>
      <c r="AD23" s="81">
        <f>SUM($H19:AD19)</f>
        <v>279445.6949617879</v>
      </c>
      <c r="AE23" s="81">
        <f>SUM($H19:AE19)</f>
        <v>279445.6949617879</v>
      </c>
      <c r="AF23" s="81">
        <f>SUM($H19:AF19)</f>
        <v>279445.6949617879</v>
      </c>
      <c r="AG23" s="81">
        <f>SUM($H19:AG19)</f>
        <v>279445.6949617879</v>
      </c>
      <c r="AH23" s="81">
        <f>SUM($H19:AH19)</f>
        <v>279445.6949617879</v>
      </c>
    </row>
    <row r="24" spans="1:37">
      <c r="A24" t="s">
        <v>65</v>
      </c>
      <c r="B24" s="17" t="s">
        <v>56</v>
      </c>
      <c r="C24" s="200"/>
      <c r="D24" s="200"/>
      <c r="E24" s="200"/>
      <c r="F24" s="200"/>
      <c r="G24" s="200"/>
      <c r="H24" s="200"/>
      <c r="I24" s="81">
        <f>SUM('Brave Blossom '!$D$124:'Brave Blossom '!D124)</f>
        <v>0</v>
      </c>
      <c r="J24" s="81">
        <f>SUM('Brave Blossom '!$D$124:'Brave Blossom '!E124)</f>
        <v>0</v>
      </c>
      <c r="K24" s="81">
        <f>SUM('Brave Blossom '!$D$124:'Brave Blossom '!F124)</f>
        <v>0</v>
      </c>
      <c r="L24" s="81">
        <f>SUM('Brave Blossom '!$D$124:'Brave Blossom '!G124)</f>
        <v>0</v>
      </c>
      <c r="M24" s="81">
        <f>SUM('Brave Blossom '!$D$124:'Brave Blossom '!H124)</f>
        <v>-53830.444588231388</v>
      </c>
      <c r="N24" s="81">
        <f>SUM('Brave Blossom '!$D$124:'Brave Blossom '!I124)</f>
        <v>-167734.11896619457</v>
      </c>
      <c r="O24" s="81">
        <f>SUM('Brave Blossom '!$D$124:'Brave Blossom '!J124)</f>
        <v>15830.518520602607</v>
      </c>
      <c r="P24" s="81">
        <f>SUM('Brave Blossom '!$D$124:'Brave Blossom '!K124)</f>
        <v>180628.02153408443</v>
      </c>
      <c r="Q24" s="81">
        <f>SUM('Brave Blossom '!$D$124:'Brave Blossom '!L124)</f>
        <v>328435.85333306855</v>
      </c>
      <c r="R24" s="81">
        <f>SUM('Brave Blossom '!$D$124:'Brave Blossom '!M124)</f>
        <v>460871.93739344628</v>
      </c>
      <c r="S24" s="81">
        <f>SUM('Brave Blossom '!$D$124:'Brave Blossom '!N124)</f>
        <v>580582.71153813216</v>
      </c>
      <c r="T24" s="81">
        <f>SUM('Brave Blossom '!$D$124:'Brave Blossom '!O124)</f>
        <v>688803.62614076235</v>
      </c>
      <c r="U24" s="81">
        <f>SUM('Brave Blossom '!$D$124:'Brave Blossom '!P124)</f>
        <v>785582.98973800894</v>
      </c>
      <c r="V24" s="81">
        <f>SUM('Brave Blossom '!$D$124:'Brave Blossom '!Q124)</f>
        <v>873054.48211175518</v>
      </c>
      <c r="W24" s="81">
        <f>SUM('Brave Blossom '!$D$124:'Brave Blossom '!R124)</f>
        <v>952135.14086763398</v>
      </c>
      <c r="X24" s="81">
        <f>SUM('Brave Blossom '!$D$124:'Brave Blossom '!S124)</f>
        <v>1023656.4184172178</v>
      </c>
      <c r="Y24" s="81">
        <f>SUM('Brave Blossom '!$D$124:'Brave Blossom '!T124)</f>
        <v>1088372.980133676</v>
      </c>
      <c r="Z24" s="81">
        <f>SUM('Brave Blossom '!$D$124:'Brave Blossom '!U124)</f>
        <v>1146970.9758702966</v>
      </c>
      <c r="AA24" s="81">
        <f>SUM('Brave Blossom '!$D$124:'Brave Blossom '!V124)</f>
        <v>1200871.8426704085</v>
      </c>
      <c r="AB24" s="81">
        <f>SUM('Brave Blossom '!$D$124:'Brave Blossom '!W124)</f>
        <v>1249812.6455200783</v>
      </c>
      <c r="AC24" s="81">
        <f>SUM('Brave Blossom '!$D$124:'Brave Blossom '!X124)</f>
        <v>1294324.4475428103</v>
      </c>
      <c r="AD24" s="81">
        <f>SUM('Brave Blossom '!$D$124:'Brave Blossom '!Y124)</f>
        <v>1337557.9544057574</v>
      </c>
      <c r="AE24" s="81">
        <f>SUM('Brave Blossom '!$D$124:'Brave Blossom '!Z124)</f>
        <v>1381493.6129409187</v>
      </c>
      <c r="AF24" s="81">
        <f>SUM('Brave Blossom '!$D$124:'Brave Blossom '!AA124)</f>
        <v>1420960.3793503384</v>
      </c>
      <c r="AG24" s="81">
        <f>SUM('Brave Blossom '!$D$124:'Brave Blossom '!AB124)</f>
        <v>1403101.822422083</v>
      </c>
      <c r="AH24" s="81">
        <f>SUM('Brave Blossom '!$D$124:'Brave Blossom '!AC124)</f>
        <v>1390219.6176365581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030F-50CB-4147-81DA-2C95C497882A}">
  <dimension ref="A1:H4"/>
  <sheetViews>
    <sheetView workbookViewId="0"/>
  </sheetViews>
  <sheetFormatPr baseColWidth="10" defaultColWidth="8.83203125" defaultRowHeight="15"/>
  <cols>
    <col min="1" max="1" width="15" bestFit="1" customWidth="1"/>
  </cols>
  <sheetData>
    <row r="1" spans="1:8">
      <c r="A1" t="s">
        <v>66</v>
      </c>
      <c r="B1" s="154" t="s">
        <v>67</v>
      </c>
      <c r="C1">
        <v>4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73</v>
      </c>
      <c r="B2" t="s">
        <v>74</v>
      </c>
      <c r="C2">
        <v>3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</row>
    <row r="3" spans="1:8">
      <c r="B3" t="s">
        <v>80</v>
      </c>
      <c r="C3">
        <v>2</v>
      </c>
      <c r="H3" t="s">
        <v>81</v>
      </c>
    </row>
    <row r="4" spans="1:8">
      <c r="C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9352-E019-4846-B2B2-DF264EC91504}">
  <sheetPr>
    <tabColor theme="1"/>
  </sheetPr>
  <dimension ref="A1:EP57"/>
  <sheetViews>
    <sheetView zoomScale="70" zoomScaleNormal="70" workbookViewId="0">
      <selection activeCell="E49" sqref="E49"/>
    </sheetView>
  </sheetViews>
  <sheetFormatPr baseColWidth="10" defaultColWidth="8.83203125" defaultRowHeight="15" outlineLevelRow="1"/>
  <cols>
    <col min="2" max="2" width="35.5" bestFit="1" customWidth="1"/>
    <col min="4" max="6" width="11" bestFit="1" customWidth="1"/>
    <col min="7" max="7" width="10.83203125" bestFit="1" customWidth="1"/>
    <col min="8" max="8" width="14.1640625" bestFit="1" customWidth="1"/>
    <col min="9" max="34" width="9.5" bestFit="1" customWidth="1"/>
  </cols>
  <sheetData>
    <row r="1" spans="1:60" s="204" customFormat="1">
      <c r="A1" s="206" t="s">
        <v>82</v>
      </c>
      <c r="B1" s="207"/>
      <c r="C1" s="208"/>
      <c r="D1" s="208">
        <v>2022</v>
      </c>
      <c r="E1" s="208">
        <v>2023</v>
      </c>
      <c r="F1" s="208">
        <v>2024</v>
      </c>
      <c r="G1" s="208">
        <v>2025</v>
      </c>
      <c r="H1" s="207">
        <v>2026</v>
      </c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9"/>
      <c r="AJ1" s="209"/>
      <c r="AK1" s="209"/>
      <c r="AL1" s="209"/>
    </row>
    <row r="2" spans="1:60" s="214" customFormat="1">
      <c r="A2" s="210"/>
      <c r="B2" s="211"/>
      <c r="C2" s="212"/>
      <c r="D2" s="213" t="s">
        <v>83</v>
      </c>
      <c r="E2" s="213" t="s">
        <v>84</v>
      </c>
      <c r="F2" s="213" t="s">
        <v>85</v>
      </c>
      <c r="G2" s="213" t="s">
        <v>86</v>
      </c>
      <c r="H2" s="213" t="s">
        <v>87</v>
      </c>
      <c r="I2" s="213">
        <v>2027</v>
      </c>
      <c r="J2" s="213">
        <v>2028</v>
      </c>
      <c r="K2" s="213">
        <v>2029</v>
      </c>
      <c r="L2" s="213">
        <v>2030</v>
      </c>
      <c r="M2" s="213">
        <v>2031</v>
      </c>
      <c r="N2" s="213">
        <v>2032</v>
      </c>
      <c r="O2" s="213">
        <v>2033</v>
      </c>
      <c r="P2" s="213">
        <v>2034</v>
      </c>
      <c r="Q2" s="213">
        <v>2035</v>
      </c>
      <c r="R2" s="213">
        <v>2036</v>
      </c>
      <c r="S2" s="213">
        <v>2037</v>
      </c>
      <c r="T2" s="213">
        <v>2038</v>
      </c>
      <c r="U2" s="213">
        <v>2039</v>
      </c>
      <c r="V2" s="213">
        <v>2040</v>
      </c>
      <c r="W2" s="213">
        <v>2041</v>
      </c>
      <c r="X2" s="213">
        <v>2042</v>
      </c>
      <c r="Y2" s="213">
        <v>2043</v>
      </c>
      <c r="Z2" s="213">
        <v>2044</v>
      </c>
      <c r="AA2" s="213">
        <v>2045</v>
      </c>
      <c r="AB2" s="213">
        <v>2046</v>
      </c>
      <c r="AC2" s="213">
        <v>2047</v>
      </c>
      <c r="AD2" s="213">
        <v>2048</v>
      </c>
      <c r="AE2" s="213">
        <v>2049</v>
      </c>
      <c r="AF2" s="213">
        <v>2050</v>
      </c>
      <c r="AG2" s="213">
        <v>2051</v>
      </c>
      <c r="AH2" s="213">
        <v>2052</v>
      </c>
      <c r="AI2" s="209"/>
      <c r="AJ2" s="209"/>
      <c r="AK2" s="209"/>
      <c r="AL2" s="209"/>
    </row>
    <row r="3" spans="1:60" s="218" customFormat="1">
      <c r="A3" s="208"/>
      <c r="B3" s="215" t="s">
        <v>88</v>
      </c>
      <c r="C3" s="216" t="s">
        <v>89</v>
      </c>
      <c r="D3" s="230">
        <f>'Historical Performance'!E29/1000</f>
        <v>1678.1498164841501</v>
      </c>
      <c r="E3" s="230">
        <f>'Historical Performance'!F29/1000</f>
        <v>2073.4217916039725</v>
      </c>
      <c r="F3" s="230">
        <f>'Historical Performance'!G29/1000</f>
        <v>1959.233549117514</v>
      </c>
      <c r="G3" s="230">
        <f>'Historical Performance'!H29/1000</f>
        <v>1596.6323934348238</v>
      </c>
      <c r="H3" s="230">
        <f>'Historical Performance'!I29/1000</f>
        <v>2003.9782600746266</v>
      </c>
      <c r="I3" s="217">
        <f>IF(I14&gt;0,(Springbok!D62)/1000,0)</f>
        <v>1209.8148564869566</v>
      </c>
      <c r="J3" s="217">
        <f>IF(J14&gt;0,(Springbok!E62)/1000,0)</f>
        <v>1319.7575242086959</v>
      </c>
      <c r="K3" s="217">
        <f>IF(K14&gt;0,(Springbok!F62)/1000,0)</f>
        <v>1395.4746017391305</v>
      </c>
      <c r="L3" s="217">
        <f>IF(L14&gt;0,(Springbok!G62)/1000,0)</f>
        <v>1344.3737693217395</v>
      </c>
      <c r="M3" s="217">
        <f>IF(M14&gt;0,(Springbok!H62)/1000,0)</f>
        <v>1222.5302963735485</v>
      </c>
      <c r="N3" s="217">
        <f>IF(N14&gt;0,(Springbok!I62)/1000,0)</f>
        <v>0</v>
      </c>
      <c r="O3" s="217">
        <f>IF(O14&gt;0,(Springbok!J62)/1000,0)</f>
        <v>0</v>
      </c>
      <c r="P3" s="217">
        <f>IF(P14&gt;0,(Springbok!K62)/1000,0)</f>
        <v>0</v>
      </c>
      <c r="Q3" s="217">
        <f>IF(Q14&gt;0,(Springbok!L62)/1000,0)</f>
        <v>0</v>
      </c>
      <c r="R3" s="217">
        <f>IF(R14&gt;0,(Springbok!M62)/1000,0)</f>
        <v>0</v>
      </c>
      <c r="S3" s="217">
        <f>IF(S14&gt;0,(Springbok!N62)/1000,0)</f>
        <v>0</v>
      </c>
      <c r="T3" s="217">
        <f>IF(T14&gt;0,(Springbok!O62)/1000,0)</f>
        <v>0</v>
      </c>
      <c r="U3" s="217">
        <f>IF(U14&gt;0,(Springbok!P62)/1000,0)</f>
        <v>0</v>
      </c>
      <c r="V3" s="217">
        <f>IF(V14&gt;0,(Springbok!Q62)/1000,0)</f>
        <v>0</v>
      </c>
      <c r="W3" s="217">
        <f>IF(W14&gt;0,(Springbok!R62)/1000,0)</f>
        <v>0</v>
      </c>
      <c r="X3" s="217">
        <f>IF(X14&gt;0,(Springbok!S62)/1000,0)</f>
        <v>0</v>
      </c>
      <c r="Y3" s="217">
        <f>IF(Y14&gt;0,(Springbok!T62)/1000,0)</f>
        <v>0</v>
      </c>
      <c r="Z3" s="217">
        <f>IF(Z14&gt;0,(Springbok!U62)/1000,0)</f>
        <v>0</v>
      </c>
      <c r="AA3" s="217">
        <f>IF(AA14&gt;0,(Springbok!V62)/1000,0)</f>
        <v>0</v>
      </c>
      <c r="AB3" s="217">
        <f>IF(AB14&gt;0,(Springbok!W62)/1000,0)</f>
        <v>0</v>
      </c>
      <c r="AC3" s="217">
        <f>IF(AC14&gt;0,(Springbok!X62)/1000,0)</f>
        <v>0</v>
      </c>
      <c r="AD3" s="217">
        <f>IF(AD14&gt;0,(Springbok!Y62)/1000,0)</f>
        <v>0</v>
      </c>
      <c r="AE3" s="217">
        <f>IF(AE14&gt;0,(Springbok!Z62)/1000,0)</f>
        <v>0</v>
      </c>
      <c r="AF3" s="217">
        <f>IF(AF14&gt;0,(Springbok!AA62)/1000,0)</f>
        <v>0</v>
      </c>
      <c r="AG3" s="217">
        <f>IF(AG14&gt;0,(Springbok!AB62)/1000,0)</f>
        <v>0</v>
      </c>
      <c r="AH3" s="217">
        <f>IF(AH14&gt;0,(Springbok!AC62)/1000,0)</f>
        <v>0</v>
      </c>
      <c r="AI3" s="209"/>
      <c r="AJ3" s="209"/>
      <c r="AK3" s="209"/>
      <c r="AL3" s="209"/>
    </row>
    <row r="4" spans="1:60" s="218" customFormat="1">
      <c r="A4" s="208"/>
      <c r="B4" s="215" t="s">
        <v>90</v>
      </c>
      <c r="C4" s="219" t="s">
        <v>53</v>
      </c>
      <c r="D4" s="230">
        <f>'Historical Performance'!E30</f>
        <v>502.9849177559596</v>
      </c>
      <c r="E4" s="230">
        <f>'Historical Performance'!F30</f>
        <v>505.24374421538602</v>
      </c>
      <c r="F4" s="230">
        <f>'Historical Performance'!G30</f>
        <v>464.21175131203296</v>
      </c>
      <c r="G4" s="230">
        <f>'Historical Performance'!H30</f>
        <v>431.39634739990049</v>
      </c>
      <c r="H4" s="230">
        <f>'Historical Performance'!I30</f>
        <v>470.08550302383355</v>
      </c>
      <c r="I4" s="231">
        <f>IF(I14&gt;0,(Springbok!D34*Springbok!D63)/Summary!I14,0)</f>
        <v>347.82608695652175</v>
      </c>
      <c r="J4" s="231">
        <f>IF(J14&gt;0,(Springbok!E34*Springbok!E63)/Summary!J14,0)</f>
        <v>347.82608695652175</v>
      </c>
      <c r="K4" s="231">
        <f>IF(K14&gt;0,(Springbok!F34*Springbok!F63)/Summary!K14,0)</f>
        <v>347.82608695652175</v>
      </c>
      <c r="L4" s="231">
        <f>IF(L14&gt;0,(Springbok!G34*Springbok!G63)/Summary!L14,0)</f>
        <v>347.82608695652181</v>
      </c>
      <c r="M4" s="231">
        <f>IF(M14&gt;0,(Springbok!H34*Springbok!H63)/Summary!M14,0)</f>
        <v>347.82608695652175</v>
      </c>
      <c r="N4" s="231">
        <f>IF(N14&gt;0,(Springbok!I34*Springbok!I63)/Summary!N14,0)</f>
        <v>0</v>
      </c>
      <c r="O4" s="231">
        <f>IF(O14&gt;0,(Springbok!J34*Springbok!J63)/Summary!O14,0)</f>
        <v>0</v>
      </c>
      <c r="P4" s="231">
        <f>IF(P14&gt;0,(Springbok!K34*Springbok!K63)/Summary!P14,0)</f>
        <v>0</v>
      </c>
      <c r="Q4" s="231">
        <f>IF(Q14&gt;0,(Springbok!L34*Springbok!L63)/Summary!Q14,0)</f>
        <v>0</v>
      </c>
      <c r="R4" s="231">
        <f>IF(R14&gt;0,(Springbok!M34*Springbok!M63)/Summary!R14,0)</f>
        <v>0</v>
      </c>
      <c r="S4" s="231">
        <f>IF(S14&gt;0,(Springbok!N34*Springbok!N63)/Summary!S14,0)</f>
        <v>0</v>
      </c>
      <c r="T4" s="231">
        <f>IF(T14&gt;0,(Springbok!O34*Springbok!O63)/Summary!T14,0)</f>
        <v>0</v>
      </c>
      <c r="U4" s="231">
        <f>IF(U14&gt;0,(Springbok!P34*Springbok!P63)/Summary!U14,0)</f>
        <v>0</v>
      </c>
      <c r="V4" s="231">
        <f>IF(V14&gt;0,(Springbok!Q34*Springbok!Q63)/Summary!V14,0)</f>
        <v>0</v>
      </c>
      <c r="W4" s="231">
        <f>IF(W14&gt;0,(Springbok!R34*Springbok!R63)/Summary!W14,0)</f>
        <v>0</v>
      </c>
      <c r="X4" s="231">
        <f>IF(X14&gt;0,(Springbok!S34*Springbok!S63)/Summary!X14,0)</f>
        <v>0</v>
      </c>
      <c r="Y4" s="231">
        <f>IF(Y14&gt;0,(Springbok!T34*Springbok!T63)/Summary!Y14,0)</f>
        <v>0</v>
      </c>
      <c r="Z4" s="231">
        <f>IF(Z14&gt;0,(Springbok!U34*Springbok!U63)/Summary!Z14,0)</f>
        <v>0</v>
      </c>
      <c r="AA4" s="231">
        <f>IF(AA14&gt;0,(Springbok!V34*Springbok!V63)/Summary!AA14,0)</f>
        <v>0</v>
      </c>
      <c r="AB4" s="231">
        <f>IF(AB14&gt;0,(Springbok!W34*Springbok!W63)/Summary!AB14,0)</f>
        <v>0</v>
      </c>
      <c r="AC4" s="231">
        <f>IF(AC14&gt;0,(Springbok!X34*Springbok!X63)/Summary!AC14,0)</f>
        <v>0</v>
      </c>
      <c r="AD4" s="231">
        <f>IF(AD14&gt;0,(Springbok!Y34*Springbok!Y63)/Summary!AD14,0)</f>
        <v>0</v>
      </c>
      <c r="AE4" s="231">
        <f>IF(AE14&gt;0,(Springbok!Z34*Springbok!Z63)/Summary!AE14,0)</f>
        <v>0</v>
      </c>
      <c r="AF4" s="231">
        <f>IF(AF14&gt;0,(Springbok!AA34*Springbok!AA63)/Summary!AF14,0)</f>
        <v>0</v>
      </c>
      <c r="AG4" s="231">
        <f>IF(AG14&gt;0,(Springbok!AB34*Springbok!AB63)/Summary!AG14,0)</f>
        <v>0</v>
      </c>
      <c r="AH4" s="231">
        <f>IF(AH14&gt;0,(Springbok!AC34*Springbok!AC63)/Summary!AH14,0)</f>
        <v>0</v>
      </c>
      <c r="AI4" s="209"/>
      <c r="AJ4" s="209"/>
      <c r="AK4" s="209"/>
      <c r="AL4" s="209"/>
    </row>
    <row r="5" spans="1:60" s="205" customFormat="1">
      <c r="A5" s="208"/>
      <c r="B5" s="220"/>
      <c r="C5" s="221"/>
      <c r="D5" s="222"/>
      <c r="E5" s="222"/>
      <c r="F5" s="222"/>
      <c r="G5" s="222"/>
      <c r="H5" s="222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23"/>
      <c r="AI5" s="209"/>
      <c r="AJ5" s="209"/>
      <c r="AK5" s="209"/>
      <c r="AL5" s="209"/>
      <c r="AM5" s="224"/>
      <c r="AN5" s="224"/>
    </row>
    <row r="6" spans="1:60" s="205" customFormat="1">
      <c r="A6" s="208"/>
      <c r="B6" s="225" t="s">
        <v>91</v>
      </c>
      <c r="C6" s="221" t="s">
        <v>53</v>
      </c>
      <c r="D6" s="233">
        <f>'Historical Performance'!E78/'Historical Performance'!E20</f>
        <v>104.83960816290384</v>
      </c>
      <c r="E6" s="233">
        <f>'Historical Performance'!F78/'Historical Performance'!F20</f>
        <v>101.45796123363795</v>
      </c>
      <c r="F6" s="233">
        <f>'Historical Performance'!G78/'Historical Performance'!G20</f>
        <v>109.42967561158247</v>
      </c>
      <c r="G6" s="233">
        <f>'Historical Performance'!H78/'Historical Performance'!H20</f>
        <v>136.99268460080219</v>
      </c>
      <c r="H6" s="233">
        <f>'Historical Performance'!I78/'Historical Performance'!I20</f>
        <v>110.85683681440911</v>
      </c>
      <c r="I6" s="234">
        <f>IF(I14&gt;0,(Springbok!D70+Springbok!D73+Springbok!D75+Springbok!D78)/I14,0)</f>
        <v>115.96568761697277</v>
      </c>
      <c r="J6" s="234">
        <f>IF(J14&gt;0,(Springbok!E70+Springbok!E73+Springbok!E75+Springbok!E78)/J14,0)</f>
        <v>117.28129856852895</v>
      </c>
      <c r="K6" s="234">
        <f>IF(K14&gt;0,(Springbok!F70+Springbok!F73+Springbok!F75+Springbok!F78)/K14,0)</f>
        <v>112.73986192007662</v>
      </c>
      <c r="L6" s="234">
        <f>IF(L14&gt;0,(Springbok!G70+Springbok!G73+Springbok!G75+Springbok!G78)/L14,0)</f>
        <v>106.38174029143939</v>
      </c>
      <c r="M6" s="234">
        <f>IF(M14&gt;0,(Springbok!H70+Springbok!H73+Springbok!H75+Springbok!H78)/M14,0)</f>
        <v>104.80828421413273</v>
      </c>
      <c r="N6" s="234">
        <f>IF(N14&gt;0,(Springbok!I70+Springbok!I73+Springbok!I75+Springbok!I78)/N14,0)</f>
        <v>0</v>
      </c>
      <c r="O6" s="234">
        <f>IF(O14&gt;0,(Springbok!J70+Springbok!J73+Springbok!J75+Springbok!J78)/O14,0)</f>
        <v>0</v>
      </c>
      <c r="P6" s="234">
        <f>IF(P14&gt;0,(Springbok!K70+Springbok!K73+Springbok!K75+Springbok!K78)/P14,0)</f>
        <v>0</v>
      </c>
      <c r="Q6" s="234">
        <f>IF(Q14&gt;0,(Springbok!L70+Springbok!L73+Springbok!L75+Springbok!L78)/Q14,0)</f>
        <v>0</v>
      </c>
      <c r="R6" s="234">
        <f>IF(R14&gt;0,(Springbok!M70+Springbok!M73+Springbok!M75+Springbok!M78)/R14,0)</f>
        <v>0</v>
      </c>
      <c r="S6" s="234">
        <f>IF(S14&gt;0,(Springbok!N70+Springbok!N73+Springbok!N75+Springbok!N78)/S14,0)</f>
        <v>0</v>
      </c>
      <c r="T6" s="234">
        <f>IF(T14&gt;0,(Springbok!O70+Springbok!O73+Springbok!O75+Springbok!O78)/T14,0)</f>
        <v>0</v>
      </c>
      <c r="U6" s="234">
        <f>IF(U14&gt;0,(Springbok!P70+Springbok!P73+Springbok!P75+Springbok!P78)/U14,0)</f>
        <v>0</v>
      </c>
      <c r="V6" s="234">
        <f>IF(V14&gt;0,(Springbok!Q70+Springbok!Q73+Springbok!Q75+Springbok!Q78)/V14,0)</f>
        <v>0</v>
      </c>
      <c r="W6" s="234">
        <f>IF(W14&gt;0,(Springbok!R70+Springbok!R73+Springbok!R75+Springbok!R78)/W14,0)</f>
        <v>0</v>
      </c>
      <c r="X6" s="234">
        <f>IF(X14&gt;0,(Springbok!S70+Springbok!S73+Springbok!S75+Springbok!S78)/X14,0)</f>
        <v>0</v>
      </c>
      <c r="Y6" s="234">
        <f>IF(Y14&gt;0,(Springbok!T70+Springbok!T73+Springbok!T75+Springbok!T78)/Y14,0)</f>
        <v>0</v>
      </c>
      <c r="Z6" s="234">
        <f>IF(Z14&gt;0,(Springbok!U70+Springbok!U73+Springbok!U75+Springbok!U78)/Z14,0)</f>
        <v>0</v>
      </c>
      <c r="AA6" s="234">
        <f>IF(AA14&gt;0,(Springbok!V70+Springbok!V73+Springbok!V75+Springbok!V78)/AA14,0)</f>
        <v>0</v>
      </c>
      <c r="AB6" s="234">
        <f>IF(AB14&gt;0,(Springbok!W70+Springbok!W73+Springbok!W75+Springbok!W78)/AB14,0)</f>
        <v>0</v>
      </c>
      <c r="AC6" s="234">
        <f>IF(AC14&gt;0,(Springbok!X70+Springbok!X73+Springbok!X75+Springbok!X78)/AC14,0)</f>
        <v>0</v>
      </c>
      <c r="AD6" s="234">
        <f>IF(AD14&gt;0,(Springbok!Y70+Springbok!Y73+Springbok!Y75+Springbok!Y78)/AD14,0)</f>
        <v>0</v>
      </c>
      <c r="AE6" s="234">
        <f>IF(AE14&gt;0,(Springbok!Z70+Springbok!Z73+Springbok!Z75+Springbok!Z78)/AE14,0)</f>
        <v>0</v>
      </c>
      <c r="AF6" s="234">
        <f>IF(AF14&gt;0,(Springbok!AA70+Springbok!AA73+Springbok!AA75+Springbok!AA78)/AF14,0)</f>
        <v>0</v>
      </c>
      <c r="AG6" s="234">
        <f>IF(AG14&gt;0,(Springbok!AB70+Springbok!AB73+Springbok!AB75+Springbok!AB78)/AG14,0)</f>
        <v>0</v>
      </c>
      <c r="AH6" s="234">
        <f>IF(AH14&gt;0,(Springbok!AC70+Springbok!AC73+Springbok!AC75+Springbok!AC78)/AH14,0)</f>
        <v>0</v>
      </c>
      <c r="AI6" s="209"/>
      <c r="AJ6" s="209"/>
      <c r="AK6" s="209"/>
      <c r="AL6" s="209"/>
      <c r="AM6" s="224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4"/>
    </row>
    <row r="7" spans="1:60" s="205" customFormat="1">
      <c r="A7" s="208"/>
      <c r="B7" s="225" t="s">
        <v>92</v>
      </c>
      <c r="C7" s="221" t="s">
        <v>53</v>
      </c>
      <c r="D7" s="233">
        <f>'Historical Performance'!E89/'Historical Performance'!E20</f>
        <v>24.805186542979872</v>
      </c>
      <c r="E7" s="233">
        <f>'Historical Performance'!F89/'Historical Performance'!F20</f>
        <v>19.601722542277802</v>
      </c>
      <c r="F7" s="233">
        <f>'Historical Performance'!G89/'Historical Performance'!G20</f>
        <v>20.12483941482084</v>
      </c>
      <c r="G7" s="233">
        <f>'Historical Performance'!H89/'Historical Performance'!H20</f>
        <v>27.844500331558489</v>
      </c>
      <c r="H7" s="233">
        <f>'Historical Performance'!I89/'Historical Performance'!I20</f>
        <v>18.75398344083051</v>
      </c>
      <c r="I7" s="234">
        <f>IF(I14&gt;0,(Springbok!D82)/Summary!I14,0)</f>
        <v>19.929175822685913</v>
      </c>
      <c r="J7" s="234">
        <f>IF(J14&gt;0,(Springbok!E82)/Summary!J14,0)</f>
        <v>19.450164965258299</v>
      </c>
      <c r="K7" s="234">
        <f>IF(K14&gt;0,(Springbok!F82)/Summary!K14,0)</f>
        <v>19.16416241450364</v>
      </c>
      <c r="L7" s="234">
        <f>IF(L14&gt;0,(Springbok!G82)/Summary!L14,0)</f>
        <v>19.353648862422514</v>
      </c>
      <c r="M7" s="234">
        <f>IF(M14&gt;0,(Springbok!H82)/Summary!M14,0)</f>
        <v>19.869369790272007</v>
      </c>
      <c r="N7" s="234">
        <f>IF(N14&gt;0,(Springbok!I82)/Summary!N14,0)</f>
        <v>0</v>
      </c>
      <c r="O7" s="234">
        <f>IF(O14&gt;0,(Springbok!J82)/Summary!O14,0)</f>
        <v>0</v>
      </c>
      <c r="P7" s="234">
        <f>IF(P14&gt;0,(Springbok!K82)/Summary!P14,0)</f>
        <v>0</v>
      </c>
      <c r="Q7" s="234">
        <f>IF(Q14&gt;0,(Springbok!L82)/Summary!Q14,0)</f>
        <v>0</v>
      </c>
      <c r="R7" s="234">
        <f>IF(R14&gt;0,(Springbok!M82)/Summary!R14,0)</f>
        <v>0</v>
      </c>
      <c r="S7" s="234">
        <f>IF(S14&gt;0,(Springbok!N82)/Summary!S14,0)</f>
        <v>0</v>
      </c>
      <c r="T7" s="234">
        <f>IF(T14&gt;0,(Springbok!O82)/Summary!T14,0)</f>
        <v>0</v>
      </c>
      <c r="U7" s="234">
        <f>IF(U14&gt;0,(Springbok!P82)/Summary!U14,0)</f>
        <v>0</v>
      </c>
      <c r="V7" s="234">
        <f>IF(V14&gt;0,(Springbok!Q82)/Summary!V14,0)</f>
        <v>0</v>
      </c>
      <c r="W7" s="234">
        <f>IF(W14&gt;0,(Springbok!R82)/Summary!W14,0)</f>
        <v>0</v>
      </c>
      <c r="X7" s="234">
        <f>IF(X14&gt;0,(Springbok!S82)/Summary!X14,0)</f>
        <v>0</v>
      </c>
      <c r="Y7" s="234">
        <f>IF(Y14&gt;0,(Springbok!T82)/Summary!Y14,0)</f>
        <v>0</v>
      </c>
      <c r="Z7" s="234">
        <f>IF(Z14&gt;0,(Springbok!U82)/Summary!Z14,0)</f>
        <v>0</v>
      </c>
      <c r="AA7" s="234">
        <f>IF(AA14&gt;0,(Springbok!V82)/Summary!AA14,0)</f>
        <v>0</v>
      </c>
      <c r="AB7" s="234">
        <f>IF(AB14&gt;0,(Springbok!W82)/Summary!AB14,0)</f>
        <v>0</v>
      </c>
      <c r="AC7" s="234">
        <f>IF(AC14&gt;0,(Springbok!X82)/Summary!AC14,0)</f>
        <v>0</v>
      </c>
      <c r="AD7" s="234">
        <f>IF(AD14&gt;0,(Springbok!Y82)/Summary!AD14,0)</f>
        <v>0</v>
      </c>
      <c r="AE7" s="234">
        <f>IF(AE14&gt;0,(Springbok!Z82)/Summary!AE14,0)</f>
        <v>0</v>
      </c>
      <c r="AF7" s="234">
        <f>IF(AF14&gt;0,(Springbok!AA82)/Summary!AF14,0)</f>
        <v>0</v>
      </c>
      <c r="AG7" s="234">
        <f>IF(AG14&gt;0,(Springbok!AB82)/Summary!AG14,0)</f>
        <v>0</v>
      </c>
      <c r="AH7" s="234">
        <f>IF(AH14&gt;0,(Springbok!AC82)/Summary!AH14,0)</f>
        <v>0</v>
      </c>
      <c r="AI7" s="209"/>
      <c r="AJ7" s="209"/>
      <c r="AK7" s="209"/>
      <c r="AL7" s="209"/>
      <c r="AM7" s="224"/>
      <c r="AN7" s="224"/>
    </row>
    <row r="8" spans="1:60" s="205" customFormat="1">
      <c r="A8" s="208"/>
      <c r="B8" s="225" t="s">
        <v>93</v>
      </c>
      <c r="C8" s="221" t="s">
        <v>53</v>
      </c>
      <c r="D8" s="233">
        <f>'Historical Performance'!E114/'Historical Performance'!E20</f>
        <v>19.845558686984162</v>
      </c>
      <c r="E8" s="233">
        <f>'Historical Performance'!F114/'Historical Performance'!F20</f>
        <v>18.75779811727913</v>
      </c>
      <c r="F8" s="233">
        <f>'Historical Performance'!G114/'Historical Performance'!G20</f>
        <v>17.171115249025888</v>
      </c>
      <c r="G8" s="233">
        <f>'Historical Performance'!H114/'Historical Performance'!H20</f>
        <v>20.93695421212356</v>
      </c>
      <c r="H8" s="233">
        <f>'Historical Performance'!I114/'Historical Performance'!I20</f>
        <v>17.782530478887988</v>
      </c>
      <c r="I8" s="234">
        <f>IF(I14&gt;0,(Springbok!D87)/Summary!I14,0)</f>
        <v>19.837746140505221</v>
      </c>
      <c r="J8" s="234">
        <f>IF(J14&gt;0,(Springbok!E87)/Summary!J14,0)</f>
        <v>18.185158682379928</v>
      </c>
      <c r="K8" s="234">
        <f>IF(K14&gt;0,(Springbok!F87)/Summary!K14,0)</f>
        <v>17.198449882276361</v>
      </c>
      <c r="L8" s="234">
        <f>IF(L14&gt;0,(Springbok!G87)/Summary!L14,0)</f>
        <v>17.852178127596488</v>
      </c>
      <c r="M8" s="234">
        <f>IF(M14&gt;0,(Springbok!H87)/Summary!M14,0)</f>
        <v>19.631415328677235</v>
      </c>
      <c r="N8" s="234">
        <f>IF(N14&gt;0,(Springbok!I87)/Summary!N14,0)</f>
        <v>0</v>
      </c>
      <c r="O8" s="234">
        <f>IF(O14&gt;0,(Springbok!J87)/Summary!O14,0)</f>
        <v>0</v>
      </c>
      <c r="P8" s="234">
        <f>IF(P14&gt;0,(Springbok!K87)/Summary!P14,0)</f>
        <v>0</v>
      </c>
      <c r="Q8" s="234">
        <f>IF(Q14&gt;0,(Springbok!L87)/Summary!Q14,0)</f>
        <v>0</v>
      </c>
      <c r="R8" s="234">
        <f>IF(R14&gt;0,(Springbok!M87)/Summary!R14,0)</f>
        <v>0</v>
      </c>
      <c r="S8" s="234">
        <f>IF(S14&gt;0,(Springbok!N87)/Summary!S14,0)</f>
        <v>0</v>
      </c>
      <c r="T8" s="234">
        <f>IF(T14&gt;0,(Springbok!O87)/Summary!T14,0)</f>
        <v>0</v>
      </c>
      <c r="U8" s="234">
        <f>IF(U14&gt;0,(Springbok!P87)/Summary!U14,0)</f>
        <v>0</v>
      </c>
      <c r="V8" s="234">
        <f>IF(V14&gt;0,(Springbok!Q87)/Summary!V14,0)</f>
        <v>0</v>
      </c>
      <c r="W8" s="234">
        <f>IF(W14&gt;0,(Springbok!R87)/Summary!W14,0)</f>
        <v>0</v>
      </c>
      <c r="X8" s="234">
        <f>IF(X14&gt;0,(Springbok!S87)/Summary!X14,0)</f>
        <v>0</v>
      </c>
      <c r="Y8" s="234">
        <f>IF(Y14&gt;0,(Springbok!T87)/Summary!Y14,0)</f>
        <v>0</v>
      </c>
      <c r="Z8" s="234">
        <f>IF(Z14&gt;0,(Springbok!U87)/Summary!Z14,0)</f>
        <v>0</v>
      </c>
      <c r="AA8" s="234">
        <f>IF(AA14&gt;0,(Springbok!V87)/Summary!AA14,0)</f>
        <v>0</v>
      </c>
      <c r="AB8" s="234">
        <f>IF(AB14&gt;0,(Springbok!W87)/Summary!AB14,0)</f>
        <v>0</v>
      </c>
      <c r="AC8" s="234">
        <f>IF(AC14&gt;0,(Springbok!X87)/Summary!AC14,0)</f>
        <v>0</v>
      </c>
      <c r="AD8" s="234">
        <f>IF(AD14&gt;0,(Springbok!Y87)/Summary!AD14,0)</f>
        <v>0</v>
      </c>
      <c r="AE8" s="234">
        <f>IF(AE14&gt;0,(Springbok!Z87)/Summary!AE14,0)</f>
        <v>0</v>
      </c>
      <c r="AF8" s="234">
        <f>IF(AF14&gt;0,(Springbok!AA87)/Summary!AF14,0)</f>
        <v>0</v>
      </c>
      <c r="AG8" s="234">
        <f>IF(AG14&gt;0,(Springbok!AB87)/Summary!AG14,0)</f>
        <v>0</v>
      </c>
      <c r="AH8" s="234">
        <f>IF(AH14&gt;0,(Springbok!AC87)/Summary!AH14,0)</f>
        <v>0</v>
      </c>
      <c r="AI8" s="209"/>
      <c r="AJ8" s="209"/>
      <c r="AK8" s="209"/>
      <c r="AL8" s="209"/>
      <c r="AM8" s="224"/>
      <c r="AN8" s="224"/>
    </row>
    <row r="9" spans="1:60" s="205" customFormat="1">
      <c r="A9" s="208"/>
      <c r="B9" s="225" t="s">
        <v>94</v>
      </c>
      <c r="C9" s="221" t="s">
        <v>53</v>
      </c>
      <c r="D9" s="233">
        <f>'Historical Performance'!E119/'Historical Performance'!E20</f>
        <v>109.19553528449219</v>
      </c>
      <c r="E9" s="233">
        <f>'Historical Performance'!F119/'Historical Performance'!F20</f>
        <v>128.43743372094468</v>
      </c>
      <c r="F9" s="233">
        <f>'Historical Performance'!G119/'Historical Performance'!G20</f>
        <v>96.736443969529077</v>
      </c>
      <c r="G9" s="233">
        <f>'Historical Performance'!H119/'Historical Performance'!H20</f>
        <v>72.174756153650591</v>
      </c>
      <c r="H9" s="233">
        <f>'Historical Performance'!I119/'Historical Performance'!I20</f>
        <v>83.859249839402068</v>
      </c>
      <c r="I9" s="234">
        <f>IF(I14&gt;0,(Springbok!D93+Springbok!D94)/Summary!I14,0)</f>
        <v>34</v>
      </c>
      <c r="J9" s="234">
        <f>IF(J14&gt;0,(Springbok!E93+Springbok!E94)/Summary!J14,0)</f>
        <v>34</v>
      </c>
      <c r="K9" s="234">
        <f>IF(K14&gt;0,(Springbok!F93+Springbok!F94)/Summary!K14,0)</f>
        <v>24</v>
      </c>
      <c r="L9" s="234">
        <f>IF(L14&gt;0,(Springbok!G93+Springbok!G94)/Summary!L14,0)</f>
        <v>23.999999999999996</v>
      </c>
      <c r="M9" s="234">
        <f>IF(M14&gt;0,(Springbok!H93+Springbok!H94)/Summary!M14,0)</f>
        <v>24.000000000000004</v>
      </c>
      <c r="N9" s="234">
        <f>IF(N14&gt;0,(Springbok!I93+Springbok!I94)/Summary!N14,0)</f>
        <v>0</v>
      </c>
      <c r="O9" s="234">
        <f>IF(O14&gt;0,(Springbok!J93+Springbok!J94)/Summary!O14,0)</f>
        <v>0</v>
      </c>
      <c r="P9" s="234">
        <f>IF(P14&gt;0,(Springbok!K93+Springbok!K94)/Summary!P14,0)</f>
        <v>0</v>
      </c>
      <c r="Q9" s="234">
        <f>IF(Q14&gt;0,(Springbok!L93+Springbok!L94)/Summary!Q14,0)</f>
        <v>0</v>
      </c>
      <c r="R9" s="234">
        <f>IF(R14&gt;0,(Springbok!M93+Springbok!M94)/Summary!R14,0)</f>
        <v>0</v>
      </c>
      <c r="S9" s="234">
        <f>IF(S14&gt;0,(Springbok!N93+Springbok!N94)/Summary!S14,0)</f>
        <v>0</v>
      </c>
      <c r="T9" s="234">
        <f>IF(T14&gt;0,(Springbok!O93+Springbok!O94)/Summary!T14,0)</f>
        <v>0</v>
      </c>
      <c r="U9" s="234">
        <f>IF(U14&gt;0,(Springbok!P93+Springbok!P94)/Summary!U14,0)</f>
        <v>0</v>
      </c>
      <c r="V9" s="234">
        <f>IF(V14&gt;0,(Springbok!Q93+Springbok!Q94)/Summary!V14,0)</f>
        <v>0</v>
      </c>
      <c r="W9" s="234">
        <f>IF(W14&gt;0,(Springbok!R93+Springbok!R94)/Summary!W14,0)</f>
        <v>0</v>
      </c>
      <c r="X9" s="234">
        <f>IF(X14&gt;0,(Springbok!S93+Springbok!S94)/Summary!X14,0)</f>
        <v>0</v>
      </c>
      <c r="Y9" s="234">
        <f>IF(Y14&gt;0,(Springbok!T93+Springbok!T94)/Summary!Y14,0)</f>
        <v>0</v>
      </c>
      <c r="Z9" s="234">
        <f>IF(Z14&gt;0,(Springbok!U93+Springbok!U94)/Summary!Z14,0)</f>
        <v>0</v>
      </c>
      <c r="AA9" s="234">
        <f>IF(AA14&gt;0,(Springbok!V93+Springbok!V94)/Summary!AA14,0)</f>
        <v>0</v>
      </c>
      <c r="AB9" s="234">
        <f>IF(AB14&gt;0,(Springbok!W93+Springbok!W94)/Summary!AB14,0)</f>
        <v>0</v>
      </c>
      <c r="AC9" s="234">
        <f>IF(AC14&gt;0,(Springbok!X93+Springbok!X94)/Summary!AC14,0)</f>
        <v>0</v>
      </c>
      <c r="AD9" s="234">
        <f>IF(AD14&gt;0,(Springbok!Y93+Springbok!Y94)/Summary!AD14,0)</f>
        <v>0</v>
      </c>
      <c r="AE9" s="234">
        <f>IF(AE14&gt;0,(Springbok!Z93+Springbok!Z94)/Summary!AE14,0)</f>
        <v>0</v>
      </c>
      <c r="AF9" s="234">
        <f>IF(AF14&gt;0,(Springbok!AA93+Springbok!AA94)/Summary!AF14,0)</f>
        <v>0</v>
      </c>
      <c r="AG9" s="234">
        <f>IF(AG14&gt;0,(Springbok!AB93+Springbok!AB94)/Summary!AG14,0)</f>
        <v>0</v>
      </c>
      <c r="AH9" s="234">
        <f>IF(AH14&gt;0,(Springbok!AC93+Springbok!AC94)/Summary!AH14,0)</f>
        <v>0</v>
      </c>
      <c r="AI9" s="209"/>
      <c r="AJ9" s="209"/>
      <c r="AK9" s="209"/>
      <c r="AL9" s="209"/>
      <c r="AM9" s="224"/>
      <c r="AN9" s="224"/>
    </row>
    <row r="10" spans="1:60" s="205" customFormat="1">
      <c r="A10" s="208"/>
      <c r="B10" s="225" t="s">
        <v>95</v>
      </c>
      <c r="C10" s="221" t="s">
        <v>53</v>
      </c>
      <c r="D10" s="233">
        <f>'Historical Performance'!E131/'Historical Performance'!E20</f>
        <v>0</v>
      </c>
      <c r="E10" s="233">
        <f>'Historical Performance'!F131/'Historical Performance'!F20</f>
        <v>0</v>
      </c>
      <c r="F10" s="233">
        <f>'Historical Performance'!G131/'Historical Performance'!G20</f>
        <v>2.2856573639453068</v>
      </c>
      <c r="G10" s="233">
        <f>'Historical Performance'!H131/'Historical Performance'!H20</f>
        <v>2.4227514130090477</v>
      </c>
      <c r="H10" s="233">
        <f>'Historical Performance'!I131/'Historical Performance'!I20</f>
        <v>6.240171946990003</v>
      </c>
      <c r="I10" s="234">
        <f>IF(I14&gt;0,(Springbok!D106)/I14,0)</f>
        <v>2.8063865687372846</v>
      </c>
      <c r="J10" s="234">
        <f>IF(J14&gt;0,(Springbok!E106)/J14,0)</f>
        <v>3.7689627258748568</v>
      </c>
      <c r="K10" s="234">
        <f>IF(K14&gt;0,(Springbok!F106)/K14,0)</f>
        <v>4.8295072163797927</v>
      </c>
      <c r="L10" s="234">
        <f>IF(L14&gt;0,(Springbok!G106)/L14,0)</f>
        <v>6.2669800678485101</v>
      </c>
      <c r="M10" s="234">
        <f>IF(M14&gt;0,(Springbok!H106)/M14,0)</f>
        <v>8.1149313742665381</v>
      </c>
      <c r="N10" s="234">
        <f>IF(N14&gt;0,(Springbok!I106)/N14,0)</f>
        <v>0</v>
      </c>
      <c r="O10" s="234">
        <f>IF(O14&gt;0,(Springbok!J106)/O14,0)</f>
        <v>0</v>
      </c>
      <c r="P10" s="234">
        <f>IF(P14&gt;0,(Springbok!K106)/P14,0)</f>
        <v>0</v>
      </c>
      <c r="Q10" s="234">
        <f>IF(Q14&gt;0,(Springbok!L106)/Q14,0)</f>
        <v>0</v>
      </c>
      <c r="R10" s="234">
        <f>IF(R14&gt;0,(Springbok!M106)/R14,0)</f>
        <v>0</v>
      </c>
      <c r="S10" s="234">
        <f>IF(S14&gt;0,(Springbok!N106)/S14,0)</f>
        <v>0</v>
      </c>
      <c r="T10" s="234">
        <f>IF(T14&gt;0,(Springbok!O106)/T14,0)</f>
        <v>0</v>
      </c>
      <c r="U10" s="234">
        <f>IF(U14&gt;0,(Springbok!P106)/U14,0)</f>
        <v>0</v>
      </c>
      <c r="V10" s="234">
        <f>IF(V14&gt;0,(Springbok!Q106)/V14,0)</f>
        <v>0</v>
      </c>
      <c r="W10" s="234">
        <f>IF(W14&gt;0,(Springbok!R106)/W14,0)</f>
        <v>0</v>
      </c>
      <c r="X10" s="234">
        <f>IF(X14&gt;0,(Springbok!S106)/X14,0)</f>
        <v>0</v>
      </c>
      <c r="Y10" s="234">
        <f>IF(Y14&gt;0,(Springbok!T106)/Y14,0)</f>
        <v>0</v>
      </c>
      <c r="Z10" s="234">
        <f>IF(Z14&gt;0,(Springbok!U106)/Z14,0)</f>
        <v>0</v>
      </c>
      <c r="AA10" s="234">
        <f>IF(AA14&gt;0,(Springbok!V106)/AA14,0)</f>
        <v>0</v>
      </c>
      <c r="AB10" s="234">
        <f>IF(AB14&gt;0,(Springbok!W106)/AB14,0)</f>
        <v>0</v>
      </c>
      <c r="AC10" s="234">
        <f>IF(AC14&gt;0,(Springbok!X106)/AC14,0)</f>
        <v>0</v>
      </c>
      <c r="AD10" s="234">
        <f>IF(AD14&gt;0,(Springbok!Y106)/AD14,0)</f>
        <v>0</v>
      </c>
      <c r="AE10" s="234">
        <f>IF(AE14&gt;0,(Springbok!Z106)/AE14,0)</f>
        <v>0</v>
      </c>
      <c r="AF10" s="234">
        <f>IF(AF14&gt;0,(Springbok!AA106)/AF14,0)</f>
        <v>0</v>
      </c>
      <c r="AG10" s="234">
        <f>IF(AG14&gt;0,(Springbok!AB106)/AG14,0)</f>
        <v>0</v>
      </c>
      <c r="AH10" s="234">
        <f>IF(AH14&gt;0,(Springbok!AC106)/AH14,0)</f>
        <v>0</v>
      </c>
      <c r="AI10" s="209"/>
      <c r="AJ10" s="209"/>
      <c r="AK10" s="209"/>
      <c r="AL10" s="209"/>
      <c r="AM10" s="224"/>
      <c r="AN10" s="224"/>
    </row>
    <row r="11" spans="1:60" s="205" customFormat="1">
      <c r="A11" s="208"/>
      <c r="B11" s="225" t="s">
        <v>96</v>
      </c>
      <c r="C11" s="221" t="s">
        <v>53</v>
      </c>
      <c r="D11" s="233">
        <f>'Historical Performance'!E120/'Historical Performance'!E20</f>
        <v>51.826536572462139</v>
      </c>
      <c r="E11" s="233">
        <f>'Historical Performance'!F120/'Historical Performance'!F20</f>
        <v>98.144248476398218</v>
      </c>
      <c r="F11" s="233">
        <f>'Historical Performance'!G120/'Historical Performance'!G20</f>
        <v>91.181520301622768</v>
      </c>
      <c r="G11" s="233">
        <f>'Historical Performance'!H120/'Historical Performance'!H20</f>
        <v>84.983637405439836</v>
      </c>
      <c r="H11" s="233">
        <f>'Historical Performance'!I120/'Historical Performance'!I20</f>
        <v>96.567100798004461</v>
      </c>
      <c r="I11" s="234">
        <f>IF(I14&gt;0,(Springbok!D95)/Summary!I14,0)</f>
        <v>61.921809782608698</v>
      </c>
      <c r="J11" s="234">
        <f>IF(J14&gt;0,(Springbok!E95)/Summary!J14,0)</f>
        <v>63.741704237523507</v>
      </c>
      <c r="K11" s="234">
        <f>IF(K14&gt;0,(Springbok!F95)/Summary!K14,0)</f>
        <v>67.494049175638708</v>
      </c>
      <c r="L11" s="234">
        <f>IF(L14&gt;0,(Springbok!G95)/Summary!L14,0)</f>
        <v>69.233218452751387</v>
      </c>
      <c r="M11" s="234">
        <f>IF(M14&gt;0,(Springbok!H95)/Summary!M14,0)</f>
        <v>70.933105259279174</v>
      </c>
      <c r="N11" s="234">
        <f>IF(N14&gt;0,(Springbok!I95)/Summary!N14,0)</f>
        <v>0</v>
      </c>
      <c r="O11" s="234">
        <f>IF(O14&gt;0,(Springbok!J95)/Summary!O14,0)</f>
        <v>0</v>
      </c>
      <c r="P11" s="234">
        <f>IF(P14&gt;0,(Springbok!K95)/Summary!P14,0)</f>
        <v>0</v>
      </c>
      <c r="Q11" s="234">
        <f>IF(Q14&gt;0,(Springbok!L95)/Summary!Q14,0)</f>
        <v>0</v>
      </c>
      <c r="R11" s="234">
        <f>IF(R14&gt;0,(Springbok!M95)/Summary!R14,0)</f>
        <v>0</v>
      </c>
      <c r="S11" s="234">
        <f>IF(S14&gt;0,(Springbok!N95)/Summary!S14,0)</f>
        <v>0</v>
      </c>
      <c r="T11" s="234">
        <f>IF(T14&gt;0,(Springbok!O95)/Summary!T14,0)</f>
        <v>0</v>
      </c>
      <c r="U11" s="234">
        <f>IF(U14&gt;0,(Springbok!P95)/Summary!U14,0)</f>
        <v>0</v>
      </c>
      <c r="V11" s="234">
        <f>IF(V14&gt;0,(Springbok!Q95)/Summary!V14,0)</f>
        <v>0</v>
      </c>
      <c r="W11" s="234">
        <f>IF(W14&gt;0,(Springbok!R95)/Summary!W14,0)</f>
        <v>0</v>
      </c>
      <c r="X11" s="234">
        <f>IF(X14&gt;0,(Springbok!S95)/Summary!X14,0)</f>
        <v>0</v>
      </c>
      <c r="Y11" s="234">
        <f>IF(Y14&gt;0,(Springbok!T95)/Summary!Y14,0)</f>
        <v>0</v>
      </c>
      <c r="Z11" s="234">
        <f>IF(Z14&gt;0,(Springbok!U95)/Summary!Z14,0)</f>
        <v>0</v>
      </c>
      <c r="AA11" s="234">
        <f>IF(AA14&gt;0,(Springbok!V95)/Summary!AA14,0)</f>
        <v>0</v>
      </c>
      <c r="AB11" s="234">
        <f>IF(AB14&gt;0,(Springbok!W95)/Summary!AB14,0)</f>
        <v>0</v>
      </c>
      <c r="AC11" s="234">
        <f>IF(AC14&gt;0,(Springbok!X95)/Summary!AC14,0)</f>
        <v>0</v>
      </c>
      <c r="AD11" s="234">
        <f>IF(AD14&gt;0,(Springbok!Y95)/Summary!AD14,0)</f>
        <v>0</v>
      </c>
      <c r="AE11" s="234">
        <f>IF(AE14&gt;0,(Springbok!Z95)/Summary!AE14,0)</f>
        <v>0</v>
      </c>
      <c r="AF11" s="234">
        <f>IF(AF14&gt;0,(Springbok!AA95)/Summary!AF14,0)</f>
        <v>0</v>
      </c>
      <c r="AG11" s="234">
        <f>IF(AG14&gt;0,(Springbok!AB95)/Summary!AG14,0)</f>
        <v>0</v>
      </c>
      <c r="AH11" s="234">
        <f>IF(AH14&gt;0,(Springbok!AC95)/Summary!AH14,0)</f>
        <v>0</v>
      </c>
      <c r="AI11" s="209"/>
      <c r="AJ11" s="209"/>
      <c r="AK11" s="209"/>
      <c r="AL11" s="209"/>
      <c r="AM11" s="224"/>
      <c r="AN11" s="224"/>
    </row>
    <row r="12" spans="1:60" s="218" customFormat="1">
      <c r="A12" s="209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09"/>
      <c r="AJ12" s="209"/>
      <c r="AK12" s="209"/>
      <c r="AL12" s="209"/>
      <c r="AM12" s="229"/>
      <c r="AN12" s="229"/>
    </row>
    <row r="13" spans="1:60" outlineLevel="1"/>
    <row r="14" spans="1:60" s="218" customFormat="1" outlineLevel="1">
      <c r="A14" s="209"/>
      <c r="B14" s="227" t="s">
        <v>97</v>
      </c>
      <c r="C14" s="228"/>
      <c r="D14" s="228"/>
      <c r="E14" s="228"/>
      <c r="F14" s="228"/>
      <c r="G14" s="228"/>
      <c r="H14" s="232"/>
      <c r="I14" s="232">
        <f>Springbok!D34</f>
        <v>3478.2177124</v>
      </c>
      <c r="J14" s="232">
        <f>Springbok!E34</f>
        <v>3794.3028821000003</v>
      </c>
      <c r="K14" s="232">
        <f>Springbok!F34</f>
        <v>4011.9894800000002</v>
      </c>
      <c r="L14" s="232">
        <f>Springbok!G34</f>
        <v>3865.0745868000004</v>
      </c>
      <c r="M14" s="232">
        <f>Springbok!H34</f>
        <v>3514.7746020739514</v>
      </c>
      <c r="N14" s="232">
        <f>Springbok!I34</f>
        <v>0</v>
      </c>
      <c r="O14" s="232">
        <f>Springbok!J34</f>
        <v>0</v>
      </c>
      <c r="P14" s="232">
        <f>Springbok!K34</f>
        <v>0</v>
      </c>
      <c r="Q14" s="232">
        <f>Springbok!L34</f>
        <v>0</v>
      </c>
      <c r="R14" s="232">
        <f>Springbok!M34</f>
        <v>0</v>
      </c>
      <c r="S14" s="232">
        <f>Springbok!N34</f>
        <v>0</v>
      </c>
      <c r="T14" s="232">
        <f>Springbok!O34</f>
        <v>0</v>
      </c>
      <c r="U14" s="232">
        <f>Springbok!P34</f>
        <v>0</v>
      </c>
      <c r="V14" s="232">
        <f>Springbok!Q34</f>
        <v>0</v>
      </c>
      <c r="W14" s="232">
        <f>Springbok!R34</f>
        <v>0</v>
      </c>
      <c r="X14" s="232">
        <f>Springbok!S34</f>
        <v>0</v>
      </c>
      <c r="Y14" s="232">
        <f>Springbok!T34</f>
        <v>0</v>
      </c>
      <c r="Z14" s="232">
        <f>Springbok!U34</f>
        <v>0</v>
      </c>
      <c r="AA14" s="232">
        <f>Springbok!V34</f>
        <v>0</v>
      </c>
      <c r="AB14" s="232">
        <f>Springbok!W34</f>
        <v>0</v>
      </c>
      <c r="AC14" s="232">
        <f>Springbok!X34</f>
        <v>0</v>
      </c>
      <c r="AD14" s="232">
        <f>Springbok!Y34</f>
        <v>0</v>
      </c>
      <c r="AE14" s="232">
        <f>Springbok!Z34</f>
        <v>0</v>
      </c>
      <c r="AF14" s="232">
        <f>Springbok!AA34</f>
        <v>0</v>
      </c>
      <c r="AG14" s="232">
        <f>Springbok!AB34</f>
        <v>0</v>
      </c>
      <c r="AH14" s="232">
        <f>Springbok!AC34</f>
        <v>0</v>
      </c>
      <c r="AI14" s="209"/>
      <c r="AJ14" s="209"/>
      <c r="AK14" s="209"/>
      <c r="AL14" s="209"/>
      <c r="AM14" s="229"/>
      <c r="AN14" s="229"/>
    </row>
    <row r="15" spans="1:60" outlineLevel="1"/>
    <row r="44" spans="1:146">
      <c r="B44" t="s">
        <v>98</v>
      </c>
    </row>
    <row r="45" spans="1:146" s="214" customFormat="1">
      <c r="A45" s="210"/>
      <c r="B45" s="211"/>
      <c r="C45" s="212"/>
      <c r="D45" s="213">
        <v>2031</v>
      </c>
      <c r="E45" s="213">
        <v>2032</v>
      </c>
      <c r="F45" s="213">
        <v>2033</v>
      </c>
      <c r="G45" s="213">
        <v>2034</v>
      </c>
      <c r="H45" s="213">
        <v>2035</v>
      </c>
      <c r="I45" s="213">
        <v>2036</v>
      </c>
      <c r="J45" s="213">
        <v>2037</v>
      </c>
      <c r="K45" s="213">
        <v>2038</v>
      </c>
      <c r="L45" s="213">
        <v>2039</v>
      </c>
      <c r="M45" s="213">
        <v>2040</v>
      </c>
      <c r="N45" s="213">
        <v>2041</v>
      </c>
      <c r="O45" s="213">
        <v>2042</v>
      </c>
      <c r="P45" s="213">
        <v>2043</v>
      </c>
      <c r="Q45" s="213">
        <v>2044</v>
      </c>
      <c r="R45" s="213">
        <v>2045</v>
      </c>
      <c r="S45" s="213">
        <v>2046</v>
      </c>
      <c r="T45" s="213">
        <v>2047</v>
      </c>
      <c r="U45" s="213">
        <v>2048</v>
      </c>
      <c r="V45" s="213">
        <v>2049</v>
      </c>
      <c r="W45" s="213">
        <v>2050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</row>
    <row r="46" spans="1:146" s="218" customFormat="1">
      <c r="A46" s="208"/>
      <c r="B46" s="215" t="s">
        <v>88</v>
      </c>
      <c r="C46" s="216" t="s">
        <v>89</v>
      </c>
      <c r="D46" s="217">
        <f>IF(D57&gt;0,('Brave Blossom '!H62)/1000,0)</f>
        <v>24.92527304347826</v>
      </c>
      <c r="E46" s="217">
        <f>IF(E57&gt;0,('Brave Blossom '!I62)/1000,0)</f>
        <v>49.85054608695652</v>
      </c>
      <c r="F46" s="217">
        <f>IF(F57&gt;0,('Brave Blossom '!J62)/1000,0)</f>
        <v>1652.4789982608697</v>
      </c>
      <c r="G46" s="217">
        <f>IF(G57&gt;0,('Brave Blossom '!K62)/1000,0)</f>
        <v>1652.4789982608697</v>
      </c>
      <c r="H46" s="217">
        <f>IF(H57&gt;0,('Brave Blossom '!L62)/1000,0)</f>
        <v>1652.4789982608697</v>
      </c>
      <c r="I46" s="217">
        <f>IF(I57&gt;0,('Brave Blossom '!M62)/1000,0)</f>
        <v>1652.4789982608697</v>
      </c>
      <c r="J46" s="217">
        <f>IF(J57&gt;0,('Brave Blossom '!N62)/1000,0)</f>
        <v>1652.4789982608697</v>
      </c>
      <c r="K46" s="217">
        <f>IF(K57&gt;0,('Brave Blossom '!O62)/1000,0)</f>
        <v>1652.4789982608697</v>
      </c>
      <c r="L46" s="217">
        <f>IF(L57&gt;0,('Brave Blossom '!P62)/1000,0)</f>
        <v>1652.4789982608697</v>
      </c>
      <c r="M46" s="217">
        <f>IF(M57&gt;0,('Brave Blossom '!Q62)/1000,0)</f>
        <v>1652.4789982608697</v>
      </c>
      <c r="N46" s="217">
        <f>IF(N57&gt;0,('Brave Blossom '!R62)/1000,0)</f>
        <v>1652.4789982608697</v>
      </c>
      <c r="O46" s="217">
        <f>IF(O57&gt;0,('Brave Blossom '!S62)/1000,0)</f>
        <v>1652.4789982608697</v>
      </c>
      <c r="P46" s="217">
        <f>IF(P57&gt;0,('Brave Blossom '!T62)/1000,0)</f>
        <v>1652.4789982608697</v>
      </c>
      <c r="Q46" s="217">
        <f>IF(Q57&gt;0,('Brave Blossom '!U62)/1000,0)</f>
        <v>1652.4789982608697</v>
      </c>
      <c r="R46" s="217">
        <f>IF(R57&gt;0,('Brave Blossom '!V62)/1000,0)</f>
        <v>1652.4789982608697</v>
      </c>
      <c r="S46" s="217">
        <f>IF(S57&gt;0,('Brave Blossom '!W62)/1000,0)</f>
        <v>1652.4789982608697</v>
      </c>
      <c r="T46" s="217">
        <f>IF(T57&gt;0,('Brave Blossom '!X62)/1000,0)</f>
        <v>1652.4789982608697</v>
      </c>
      <c r="U46" s="217">
        <f>IF(U57&gt;0,('Brave Blossom '!Y62)/1000,0)</f>
        <v>1617.1681947826089</v>
      </c>
      <c r="V46" s="217">
        <f>IF(V57&gt;0,('Brave Blossom '!Z62)/1000,0)</f>
        <v>1581.8573913043476</v>
      </c>
      <c r="W46" s="217">
        <f>IF(W57&gt;0,('Brave Blossom '!AA62)/1000,0)</f>
        <v>1581.8573913043476</v>
      </c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</row>
    <row r="47" spans="1:146" s="218" customFormat="1">
      <c r="A47" s="208"/>
      <c r="B47" s="215" t="s">
        <v>90</v>
      </c>
      <c r="C47" s="219" t="s">
        <v>53</v>
      </c>
      <c r="D47" s="231">
        <f>IF(D57&gt;0,('Brave Blossom '!H34*'Brave Blossom '!H63)/D57,0)</f>
        <v>306.08695652173913</v>
      </c>
      <c r="E47" s="231">
        <f>IF(E57&gt;0,('Brave Blossom '!I34*'Brave Blossom '!I63)/E57,0)</f>
        <v>306.08695652173913</v>
      </c>
      <c r="F47" s="231">
        <f>IF(F57&gt;0,('Brave Blossom '!J34*'Brave Blossom '!J63)/F57,0)</f>
        <v>306.08695652173913</v>
      </c>
      <c r="G47" s="231">
        <f>IF(G57&gt;0,('Brave Blossom '!K34*'Brave Blossom '!K63)/G57,0)</f>
        <v>306.08695652173913</v>
      </c>
      <c r="H47" s="231">
        <f>IF(H57&gt;0,('Brave Blossom '!L34*'Brave Blossom '!L63)/H57,0)</f>
        <v>306.08695652173913</v>
      </c>
      <c r="I47" s="231">
        <f>IF(I57&gt;0,('Brave Blossom '!M34*'Brave Blossom '!M63)/I57,0)</f>
        <v>306.08695652173913</v>
      </c>
      <c r="J47" s="231">
        <f>IF(J57&gt;0,('Brave Blossom '!N34*'Brave Blossom '!N63)/J57,0)</f>
        <v>306.08695652173913</v>
      </c>
      <c r="K47" s="231">
        <f>IF(K57&gt;0,('Brave Blossom '!O34*'Brave Blossom '!O63)/K57,0)</f>
        <v>306.08695652173913</v>
      </c>
      <c r="L47" s="231">
        <f>IF(L57&gt;0,('Brave Blossom '!P34*'Brave Blossom '!P63)/L57,0)</f>
        <v>306.08695652173913</v>
      </c>
      <c r="M47" s="231">
        <f>IF(M57&gt;0,('Brave Blossom '!Q34*'Brave Blossom '!Q63)/M57,0)</f>
        <v>306.08695652173913</v>
      </c>
      <c r="N47" s="231">
        <f>IF(N57&gt;0,('Brave Blossom '!R34*'Brave Blossom '!R63)/N57,0)</f>
        <v>306.08695652173913</v>
      </c>
      <c r="O47" s="231">
        <f>IF(O57&gt;0,('Brave Blossom '!S34*'Brave Blossom '!S63)/O57,0)</f>
        <v>306.08695652173913</v>
      </c>
      <c r="P47" s="231">
        <f>IF(P57&gt;0,('Brave Blossom '!T34*'Brave Blossom '!T63)/P57,0)</f>
        <v>306.08695652173913</v>
      </c>
      <c r="Q47" s="231">
        <f>IF(Q57&gt;0,('Brave Blossom '!U34*'Brave Blossom '!U63)/Q57,0)</f>
        <v>306.08695652173913</v>
      </c>
      <c r="R47" s="231">
        <f>IF(R57&gt;0,('Brave Blossom '!V34*'Brave Blossom '!V63)/R57,0)</f>
        <v>306.08695652173913</v>
      </c>
      <c r="S47" s="231">
        <f>IF(S57&gt;0,('Brave Blossom '!W34*'Brave Blossom '!W63)/S57,0)</f>
        <v>306.08695652173913</v>
      </c>
      <c r="T47" s="231">
        <f>IF(T57&gt;0,('Brave Blossom '!X34*'Brave Blossom '!X63)/T57,0)</f>
        <v>306.08695652173913</v>
      </c>
      <c r="U47" s="231">
        <f>IF(U57&gt;0,('Brave Blossom '!Y34*'Brave Blossom '!Y63)/U57,0)</f>
        <v>306.08695652173918</v>
      </c>
      <c r="V47" s="231">
        <f>IF(V57&gt;0,('Brave Blossom '!Z34*'Brave Blossom '!Z63)/V57,0)</f>
        <v>306.08695652173913</v>
      </c>
      <c r="W47" s="231">
        <f>IF(W57&gt;0,('Brave Blossom '!AA34*'Brave Blossom '!AA63)/W57,0)</f>
        <v>306.08695652173913</v>
      </c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</row>
    <row r="48" spans="1:146" s="205" customFormat="1">
      <c r="A48" s="208"/>
      <c r="B48" s="220"/>
      <c r="C48" s="221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</row>
    <row r="49" spans="1:146" s="205" customFormat="1">
      <c r="A49" s="208"/>
      <c r="B49" s="225" t="s">
        <v>91</v>
      </c>
      <c r="C49" s="221" t="s">
        <v>53</v>
      </c>
      <c r="D49" s="234">
        <f>IF(D57&gt;0,('Brave Blossom '!H70+'Brave Blossom '!H73+'Brave Blossom '!H75+'Brave Blossom '!H78)/D57,0)</f>
        <v>822.99218980253454</v>
      </c>
      <c r="E49" s="234">
        <f>IF(E57&gt;0,('Brave Blossom '!I70+'Brave Blossom '!I73+'Brave Blossom '!I75+'Brave Blossom '!I78)/E57,0)</f>
        <v>675.62997347480109</v>
      </c>
      <c r="F49" s="234">
        <f>IF(F57&gt;0,('Brave Blossom '!J70+'Brave Blossom '!J73+'Brave Blossom '!J75+'Brave Blossom '!J78)/F57,0)</f>
        <v>89.953811308005371</v>
      </c>
      <c r="G49" s="234">
        <f>IF(G57&gt;0,('Brave Blossom '!K70+'Brave Blossom '!K73+'Brave Blossom '!K75+'Brave Blossom '!K78)/G57,0)</f>
        <v>89.953811308005371</v>
      </c>
      <c r="H49" s="234">
        <f>IF(H57&gt;0,('Brave Blossom '!L70+'Brave Blossom '!L73+'Brave Blossom '!L75+'Brave Blossom '!L78)/H57,0)</f>
        <v>89.953811308005371</v>
      </c>
      <c r="I49" s="234">
        <f>IF(I57&gt;0,('Brave Blossom '!M70+'Brave Blossom '!M73+'Brave Blossom '!M75+'Brave Blossom '!M78)/I57,0)</f>
        <v>89.953811308005371</v>
      </c>
      <c r="J49" s="234">
        <f>IF(J57&gt;0,('Brave Blossom '!N70+'Brave Blossom '!N73+'Brave Blossom '!N75+'Brave Blossom '!N78)/J57,0)</f>
        <v>89.953811308005371</v>
      </c>
      <c r="K49" s="234">
        <f>IF(K57&gt;0,('Brave Blossom '!O70+'Brave Blossom '!O73+'Brave Blossom '!O75+'Brave Blossom '!O78)/K57,0)</f>
        <v>89.953811308005371</v>
      </c>
      <c r="L49" s="234">
        <f>IF(L57&gt;0,('Brave Blossom '!P70+'Brave Blossom '!P73+'Brave Blossom '!P75+'Brave Blossom '!P78)/L57,0)</f>
        <v>89.953811308005371</v>
      </c>
      <c r="M49" s="234">
        <f>IF(M57&gt;0,('Brave Blossom '!Q70+'Brave Blossom '!Q73+'Brave Blossom '!Q75+'Brave Blossom '!Q78)/M57,0)</f>
        <v>89.953811308005371</v>
      </c>
      <c r="N49" s="234">
        <f>IF(N57&gt;0,('Brave Blossom '!R70+'Brave Blossom '!R73+'Brave Blossom '!R75+'Brave Blossom '!R78)/N57,0)</f>
        <v>89.953811308005371</v>
      </c>
      <c r="O49" s="234">
        <f>IF(O57&gt;0,('Brave Blossom '!S70+'Brave Blossom '!S73+'Brave Blossom '!S75+'Brave Blossom '!S78)/O57,0)</f>
        <v>89.953811308005371</v>
      </c>
      <c r="P49" s="234">
        <f>IF(P57&gt;0,('Brave Blossom '!T70+'Brave Blossom '!T73+'Brave Blossom '!T75+'Brave Blossom '!T78)/P57,0)</f>
        <v>89.953811308005371</v>
      </c>
      <c r="Q49" s="234">
        <f>IF(Q57&gt;0,('Brave Blossom '!U70+'Brave Blossom '!U73+'Brave Blossom '!U75+'Brave Blossom '!U78)/Q57,0)</f>
        <v>89.953811308005371</v>
      </c>
      <c r="R49" s="234">
        <f>IF(R57&gt;0,('Brave Blossom '!V70+'Brave Blossom '!V73+'Brave Blossom '!V75+'Brave Blossom '!V78)/R57,0)</f>
        <v>89.953811308005371</v>
      </c>
      <c r="S49" s="234">
        <f>IF(S57&gt;0,('Brave Blossom '!W70+'Brave Blossom '!W73+'Brave Blossom '!W75+'Brave Blossom '!W78)/S57,0)</f>
        <v>89.953811308005371</v>
      </c>
      <c r="T49" s="234">
        <f>IF(T57&gt;0,('Brave Blossom '!X70+'Brave Blossom '!X73+'Brave Blossom '!X75+'Brave Blossom '!X78)/T57,0)</f>
        <v>89.953811308005371</v>
      </c>
      <c r="U49" s="234">
        <f>IF(U57&gt;0,('Brave Blossom '!Y70+'Brave Blossom '!Y73+'Brave Blossom '!Y75+'Brave Blossom '!Y78)/U57,0)</f>
        <v>83.775804118665349</v>
      </c>
      <c r="V49" s="234">
        <f>IF(V57&gt;0,('Brave Blossom '!Z70+'Brave Blossom '!Z73+'Brave Blossom '!Z75+'Brave Blossom '!Z78)/V57,0)</f>
        <v>77.321981424148603</v>
      </c>
      <c r="W49" s="234">
        <f>IF(W57&gt;0,('Brave Blossom '!AA70+'Brave Blossom '!AA73+'Brave Blossom '!AA75+'Brave Blossom '!AA78)/W57,0)</f>
        <v>77.321981424148603</v>
      </c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</row>
    <row r="50" spans="1:146" s="205" customFormat="1">
      <c r="A50" s="208"/>
      <c r="B50" s="225" t="s">
        <v>92</v>
      </c>
      <c r="C50" s="221" t="s">
        <v>53</v>
      </c>
      <c r="D50" s="234">
        <f>IF(D57&gt;0,('Brave Blossom '!H82)/D57,0)</f>
        <v>265.39536054622261</v>
      </c>
      <c r="E50" s="234">
        <f>IF(E57&gt;0,('Brave Blossom '!I82)/E57,0)</f>
        <v>142.59351360644462</v>
      </c>
      <c r="F50" s="234">
        <f>IF(F57&gt;0,('Brave Blossom '!J82)/F57,0)</f>
        <v>17.675167317314241</v>
      </c>
      <c r="G50" s="234">
        <f>IF(G57&gt;0,('Brave Blossom '!K82)/G57,0)</f>
        <v>17.675167317314241</v>
      </c>
      <c r="H50" s="234">
        <f>IF(H57&gt;0,('Brave Blossom '!L82)/H57,0)</f>
        <v>17.675167317314241</v>
      </c>
      <c r="I50" s="234">
        <f>IF(I57&gt;0,('Brave Blossom '!M82)/I57,0)</f>
        <v>17.675167317314241</v>
      </c>
      <c r="J50" s="234">
        <f>IF(J57&gt;0,('Brave Blossom '!N82)/J57,0)</f>
        <v>17.675167317314241</v>
      </c>
      <c r="K50" s="234">
        <f>IF(K57&gt;0,('Brave Blossom '!O82)/K57,0)</f>
        <v>17.675167317314241</v>
      </c>
      <c r="L50" s="234">
        <f>IF(L57&gt;0,('Brave Blossom '!P82)/L57,0)</f>
        <v>17.675167317314241</v>
      </c>
      <c r="M50" s="234">
        <f>IF(M57&gt;0,('Brave Blossom '!Q82)/M57,0)</f>
        <v>17.675167317314241</v>
      </c>
      <c r="N50" s="234">
        <f>IF(N57&gt;0,('Brave Blossom '!R82)/N57,0)</f>
        <v>17.675167317314241</v>
      </c>
      <c r="O50" s="234">
        <f>IF(O57&gt;0,('Brave Blossom '!S82)/O57,0)</f>
        <v>17.675167317314241</v>
      </c>
      <c r="P50" s="234">
        <f>IF(P57&gt;0,('Brave Blossom '!T82)/P57,0)</f>
        <v>17.675167317314241</v>
      </c>
      <c r="Q50" s="234">
        <f>IF(Q57&gt;0,('Brave Blossom '!U82)/Q57,0)</f>
        <v>17.675167317314241</v>
      </c>
      <c r="R50" s="234">
        <f>IF(R57&gt;0,('Brave Blossom '!V82)/R57,0)</f>
        <v>17.675167317314241</v>
      </c>
      <c r="S50" s="234">
        <f>IF(S57&gt;0,('Brave Blossom '!W82)/S57,0)</f>
        <v>17.675167317314241</v>
      </c>
      <c r="T50" s="234">
        <f>IF(T57&gt;0,('Brave Blossom '!X82)/T57,0)</f>
        <v>17.675167317314241</v>
      </c>
      <c r="U50" s="234">
        <f>IF(U57&gt;0,('Brave Blossom '!Y82)/U57,0)</f>
        <v>17.756056654834556</v>
      </c>
      <c r="V50" s="234">
        <f>IF(V57&gt;0,('Brave Blossom '!Z82)/V57,0)</f>
        <v>13.970588235294118</v>
      </c>
      <c r="W50" s="234">
        <f>IF(W57&gt;0,('Brave Blossom '!AA82)/W57,0)</f>
        <v>13.970588235294118</v>
      </c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</row>
    <row r="51" spans="1:146" s="205" customFormat="1">
      <c r="A51" s="208"/>
      <c r="B51" s="225" t="s">
        <v>93</v>
      </c>
      <c r="C51" s="221" t="s">
        <v>53</v>
      </c>
      <c r="D51" s="234">
        <f>IF(D57&gt;0,('Brave Blossom '!H87)/D57,0)</f>
        <v>0</v>
      </c>
      <c r="E51" s="234">
        <f>IF(E57&gt;0,('Brave Blossom '!I87)/E57,0)</f>
        <v>423.66637194223398</v>
      </c>
      <c r="F51" s="234">
        <f>IF(F57&gt;0,('Brave Blossom '!J87)/F57,0)</f>
        <v>12.780797832969419</v>
      </c>
      <c r="G51" s="234">
        <f>IF(G57&gt;0,('Brave Blossom '!K87)/G57,0)</f>
        <v>12.780797832969419</v>
      </c>
      <c r="H51" s="234">
        <f>IF(H57&gt;0,('Brave Blossom '!L87)/H57,0)</f>
        <v>12.780797832969419</v>
      </c>
      <c r="I51" s="234">
        <f>IF(I57&gt;0,('Brave Blossom '!M87)/I57,0)</f>
        <v>12.780797832969419</v>
      </c>
      <c r="J51" s="234">
        <f>IF(J57&gt;0,('Brave Blossom '!N87)/J57,0)</f>
        <v>12.780797832969419</v>
      </c>
      <c r="K51" s="234">
        <f>IF(K57&gt;0,('Brave Blossom '!O87)/K57,0)</f>
        <v>12.780797832969419</v>
      </c>
      <c r="L51" s="234">
        <f>IF(L57&gt;0,('Brave Blossom '!P87)/L57,0)</f>
        <v>12.780797832969419</v>
      </c>
      <c r="M51" s="234">
        <f>IF(M57&gt;0,('Brave Blossom '!Q87)/M57,0)</f>
        <v>12.780797832969419</v>
      </c>
      <c r="N51" s="234">
        <f>IF(N57&gt;0,('Brave Blossom '!R87)/N57,0)</f>
        <v>12.780797832969419</v>
      </c>
      <c r="O51" s="234">
        <f>IF(O57&gt;0,('Brave Blossom '!S87)/O57,0)</f>
        <v>12.780797832969419</v>
      </c>
      <c r="P51" s="234">
        <f>IF(P57&gt;0,('Brave Blossom '!T87)/P57,0)</f>
        <v>12.780797832969419</v>
      </c>
      <c r="Q51" s="234">
        <f>IF(Q57&gt;0,('Brave Blossom '!U87)/Q57,0)</f>
        <v>12.780797832969419</v>
      </c>
      <c r="R51" s="234">
        <f>IF(R57&gt;0,('Brave Blossom '!V87)/R57,0)</f>
        <v>12.780797832969419</v>
      </c>
      <c r="S51" s="234">
        <f>IF(S57&gt;0,('Brave Blossom '!W87)/S57,0)</f>
        <v>12.780797832969419</v>
      </c>
      <c r="T51" s="234">
        <f>IF(T57&gt;0,('Brave Blossom '!X87)/T57,0)</f>
        <v>12.780797832969419</v>
      </c>
      <c r="U51" s="234">
        <f>IF(U57&gt;0,('Brave Blossom '!Y87)/U57,0)</f>
        <v>13.059866047414506</v>
      </c>
      <c r="V51" s="234">
        <f>IF(V57&gt;0,('Brave Blossom '!Z87)/V57,0)</f>
        <v>13.351393188854489</v>
      </c>
      <c r="W51" s="234">
        <f>IF(W57&gt;0,('Brave Blossom '!AA87)/W57,0)</f>
        <v>13.351393188854489</v>
      </c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</row>
    <row r="52" spans="1:146" s="205" customFormat="1">
      <c r="A52" s="208"/>
      <c r="B52" s="225" t="s">
        <v>94</v>
      </c>
      <c r="C52" s="221" t="s">
        <v>53</v>
      </c>
      <c r="D52" s="234">
        <f>IF(D57&gt;0,('Brave Blossom '!H93+'Brave Blossom '!H94)/D57,0)</f>
        <v>22</v>
      </c>
      <c r="E52" s="234">
        <f>IF(E57&gt;0,('Brave Blossom '!I93+'Brave Blossom '!I94)/E57,0)</f>
        <v>22</v>
      </c>
      <c r="F52" s="234">
        <f>IF(F57&gt;0,('Brave Blossom '!J93+'Brave Blossom '!J94)/F57,0)</f>
        <v>22</v>
      </c>
      <c r="G52" s="234">
        <f>IF(G57&gt;0,('Brave Blossom '!K93+'Brave Blossom '!K94)/G57,0)</f>
        <v>22</v>
      </c>
      <c r="H52" s="234">
        <f>IF(H57&gt;0,('Brave Blossom '!L93+'Brave Blossom '!L94)/H57,0)</f>
        <v>22</v>
      </c>
      <c r="I52" s="234">
        <f>IF(I57&gt;0,('Brave Blossom '!M93+'Brave Blossom '!M94)/I57,0)</f>
        <v>22</v>
      </c>
      <c r="J52" s="234">
        <f>IF(J57&gt;0,('Brave Blossom '!N93+'Brave Blossom '!N94)/J57,0)</f>
        <v>22</v>
      </c>
      <c r="K52" s="234">
        <f>IF(K57&gt;0,('Brave Blossom '!O93+'Brave Blossom '!O94)/K57,0)</f>
        <v>22</v>
      </c>
      <c r="L52" s="234">
        <f>IF(L57&gt;0,('Brave Blossom '!P93+'Brave Blossom '!P94)/L57,0)</f>
        <v>22</v>
      </c>
      <c r="M52" s="234">
        <f>IF(M57&gt;0,('Brave Blossom '!Q93+'Brave Blossom '!Q94)/M57,0)</f>
        <v>22</v>
      </c>
      <c r="N52" s="234">
        <f>IF(N57&gt;0,('Brave Blossom '!R93+'Brave Blossom '!R94)/N57,0)</f>
        <v>22</v>
      </c>
      <c r="O52" s="234">
        <f>IF(O57&gt;0,('Brave Blossom '!S93+'Brave Blossom '!S94)/O57,0)</f>
        <v>22</v>
      </c>
      <c r="P52" s="234">
        <f>IF(P57&gt;0,('Brave Blossom '!T93+'Brave Blossom '!T94)/P57,0)</f>
        <v>22</v>
      </c>
      <c r="Q52" s="234">
        <f>IF(Q57&gt;0,('Brave Blossom '!U93+'Brave Blossom '!U94)/Q57,0)</f>
        <v>22</v>
      </c>
      <c r="R52" s="234">
        <f>IF(R57&gt;0,('Brave Blossom '!V93+'Brave Blossom '!V94)/R57,0)</f>
        <v>22</v>
      </c>
      <c r="S52" s="234">
        <f>IF(S57&gt;0,('Brave Blossom '!W93+'Brave Blossom '!W94)/S57,0)</f>
        <v>22</v>
      </c>
      <c r="T52" s="234">
        <f>IF(T57&gt;0,('Brave Blossom '!X93+'Brave Blossom '!X94)/T57,0)</f>
        <v>22</v>
      </c>
      <c r="U52" s="234">
        <f>IF(U57&gt;0,('Brave Blossom '!Y93+'Brave Blossom '!Y94)/U57,0)</f>
        <v>22</v>
      </c>
      <c r="V52" s="234">
        <f>IF(V57&gt;0,('Brave Blossom '!Z93+'Brave Blossom '!Z94)/V57,0)</f>
        <v>22</v>
      </c>
      <c r="W52" s="234">
        <f>IF(W57&gt;0,('Brave Blossom '!AA93+'Brave Blossom '!AA94)/W57,0)</f>
        <v>22</v>
      </c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</row>
    <row r="53" spans="1:146" s="205" customFormat="1">
      <c r="A53" s="208"/>
      <c r="B53" s="225" t="s">
        <v>95</v>
      </c>
      <c r="C53" s="221" t="s">
        <v>53</v>
      </c>
      <c r="D53" s="234">
        <f>IF(D57&gt;0,('Brave Blossom '!H106)/D57,0)</f>
        <v>32.006640927031142</v>
      </c>
      <c r="E53" s="234">
        <f>IF(E57&gt;0,('Brave Blossom '!I106)/E57,0)</f>
        <v>25.521351380830019</v>
      </c>
      <c r="F53" s="234">
        <f>IF(F57&gt;0,('Brave Blossom '!J106)/F57,0)</f>
        <v>12.162796511143188</v>
      </c>
      <c r="G53" s="234">
        <f>IF(G57&gt;0,('Brave Blossom '!K106)/G57,0)</f>
        <v>13.237092329347407</v>
      </c>
      <c r="H53" s="234">
        <f>IF(H57&gt;0,('Brave Blossom '!L106)/H57,0)</f>
        <v>14.355783956375156</v>
      </c>
      <c r="I53" s="234">
        <f>IF(I57&gt;0,('Brave Blossom '!M106)/I57,0)</f>
        <v>15.518871392226435</v>
      </c>
      <c r="J53" s="234">
        <f>IF(J57&gt;0,('Brave Blossom '!N106)/J57,0)</f>
        <v>16.029423193697021</v>
      </c>
      <c r="K53" s="234">
        <f>IF(K57&gt;0,('Brave Blossom '!O106)/K57,0)</f>
        <v>16.539974995167608</v>
      </c>
      <c r="L53" s="234">
        <f>IF(L57&gt;0,('Brave Blossom '!P106)/L57,0)</f>
        <v>17.791854048665943</v>
      </c>
      <c r="M53" s="234">
        <f>IF(M57&gt;0,('Brave Blossom '!Q106)/M57,0)</f>
        <v>18.324603754548296</v>
      </c>
      <c r="N53" s="234">
        <f>IF(N57&gt;0,('Brave Blossom '!R106)/N57,0)</f>
        <v>18.857353460430648</v>
      </c>
      <c r="O53" s="234">
        <f>IF(O57&gt;0,('Brave Blossom '!S106)/O57,0)</f>
        <v>19.390103166313001</v>
      </c>
      <c r="P53" s="234">
        <f>IF(P57&gt;0,('Brave Blossom '!T106)/P57,0)</f>
        <v>19.922852872195353</v>
      </c>
      <c r="Q53" s="234">
        <f>IF(Q57&gt;0,('Brave Blossom '!U106)/Q57,0)</f>
        <v>20.455602578077706</v>
      </c>
      <c r="R53" s="234">
        <f>IF(R57&gt;0,('Brave Blossom '!V106)/R57,0)</f>
        <v>20.113837605461725</v>
      </c>
      <c r="S53" s="234">
        <f>IF(S57&gt;0,('Brave Blossom '!W106)/S57,0)</f>
        <v>20.624389406932313</v>
      </c>
      <c r="T53" s="234">
        <f>IF(T57&gt;0,('Brave Blossom '!X106)/T57,0)</f>
        <v>21.1349412084029</v>
      </c>
      <c r="U53" s="234">
        <f>IF(U57&gt;0,('Brave Blossom '!Y106)/U57,0)</f>
        <v>22.596308122109555</v>
      </c>
      <c r="V53" s="234">
        <f>IF(V57&gt;0,('Brave Blossom '!Z106)/V57,0)</f>
        <v>25.067464394349845</v>
      </c>
      <c r="W53" s="234">
        <f>IF(W57&gt;0,('Brave Blossom '!AA106)/W57,0)</f>
        <v>27.306501547987612</v>
      </c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</row>
    <row r="54" spans="1:146" s="205" customFormat="1">
      <c r="A54" s="208"/>
      <c r="B54" s="225" t="s">
        <v>96</v>
      </c>
      <c r="C54" s="221" t="s">
        <v>53</v>
      </c>
      <c r="D54" s="234">
        <f>IF(D57&gt;0,('Brave Blossom '!H95)/D57,0)</f>
        <v>55.122406838829349</v>
      </c>
      <c r="E54" s="234">
        <f>IF(E57&gt;0,('Brave Blossom '!I95)/E57,0)</f>
        <v>56.756758146417894</v>
      </c>
      <c r="F54" s="234">
        <f>IF(F57&gt;0,('Brave Blossom '!J95)/F57,0)</f>
        <v>58.354185870330376</v>
      </c>
      <c r="G54" s="234">
        <f>IF(G57&gt;0,('Brave Blossom '!K95)/G57,0)</f>
        <v>59.915374707925707</v>
      </c>
      <c r="H54" s="234">
        <f>IF(H57&gt;0,('Brave Blossom '!L95)/H57,0)</f>
        <v>61.441005365568891</v>
      </c>
      <c r="I54" s="234">
        <f>IF(I57&gt;0,('Brave Blossom '!M95)/I57,0)</f>
        <v>62.931753964198272</v>
      </c>
      <c r="J54" s="234">
        <f>IF(J57&gt;0,('Brave Blossom '!N95)/J57,0)</f>
        <v>64.388291495785211</v>
      </c>
      <c r="K54" s="234">
        <f>IF(K57&gt;0,('Brave Blossom '!O95)/K57,0)</f>
        <v>65.811283327560318</v>
      </c>
      <c r="L54" s="234">
        <f>IF(L57&gt;0,('Brave Blossom '!P95)/L57,0)</f>
        <v>67.201388751054239</v>
      </c>
      <c r="M54" s="234">
        <f>IF(M57&gt;0,('Brave Blossom '!Q95)/M57,0)</f>
        <v>68.559260573164011</v>
      </c>
      <c r="N54" s="234">
        <f>IF(N57&gt;0,('Brave Blossom '!R95)/N57,0)</f>
        <v>69.885544746611828</v>
      </c>
      <c r="O54" s="234">
        <f>IF(O57&gt;0,('Brave Blossom '!S95)/O57,0)</f>
        <v>71.180880037309436</v>
      </c>
      <c r="P54" s="234">
        <f>IF(P57&gt;0,('Brave Blossom '!T95)/P57,0)</f>
        <v>72.445897726280933</v>
      </c>
      <c r="Q54" s="234">
        <f>IF(Q57&gt;0,('Brave Blossom '!U95)/Q57,0)</f>
        <v>73.681221343927902</v>
      </c>
      <c r="R54" s="234">
        <f>IF(R57&gt;0,('Brave Blossom '!V95)/R57,0)</f>
        <v>74.887466434546184</v>
      </c>
      <c r="S54" s="234">
        <f>IF(S57&gt;0,('Brave Blossom '!W95)/S57,0)</f>
        <v>76.065240349120742</v>
      </c>
      <c r="T54" s="234">
        <f>IF(T57&gt;0,('Brave Blossom '!X95)/T57,0)</f>
        <v>77.215142064537432</v>
      </c>
      <c r="U54" s="234">
        <f>IF(U57&gt;0,('Brave Blossom '!Y95)/U57,0)</f>
        <v>78.337762027456165</v>
      </c>
      <c r="V54" s="234">
        <f>IF(V57&gt;0,('Brave Blossom '!Z95)/V57,0)</f>
        <v>79.433682021189128</v>
      </c>
      <c r="W54" s="234">
        <f>IF(W57&gt;0,('Brave Blossom '!AA95)/W57,0)</f>
        <v>80.503475054024307</v>
      </c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</row>
    <row r="55" spans="1:146" s="218" customFormat="1">
      <c r="A55" s="209"/>
      <c r="B55" s="227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</row>
    <row r="56" spans="1:146" outlineLevel="1"/>
    <row r="57" spans="1:146" s="218" customFormat="1" outlineLevel="1">
      <c r="A57" s="209"/>
      <c r="B57" s="227" t="s">
        <v>97</v>
      </c>
      <c r="C57" s="228"/>
      <c r="D57" s="232">
        <f>'Brave Blossom '!H34</f>
        <v>81.432000000000002</v>
      </c>
      <c r="E57" s="232">
        <f>'Brave Blossom '!I34</f>
        <v>162.864</v>
      </c>
      <c r="F57" s="232">
        <f>'Brave Blossom '!J34</f>
        <v>5398.7240000000002</v>
      </c>
      <c r="G57" s="232">
        <f>'Brave Blossom '!K34</f>
        <v>5398.7240000000002</v>
      </c>
      <c r="H57" s="232">
        <f>'Brave Blossom '!L34</f>
        <v>5398.7240000000002</v>
      </c>
      <c r="I57" s="232">
        <f>'Brave Blossom '!M34</f>
        <v>5398.7240000000002</v>
      </c>
      <c r="J57" s="232">
        <f>'Brave Blossom '!N34</f>
        <v>5398.7240000000002</v>
      </c>
      <c r="K57" s="232">
        <f>'Brave Blossom '!O34</f>
        <v>5398.7240000000002</v>
      </c>
      <c r="L57" s="232">
        <f>'Brave Blossom '!P34</f>
        <v>5398.7240000000002</v>
      </c>
      <c r="M57" s="232">
        <f>'Brave Blossom '!Q34</f>
        <v>5398.7240000000002</v>
      </c>
      <c r="N57" s="232">
        <f>'Brave Blossom '!R34</f>
        <v>5398.7240000000002</v>
      </c>
      <c r="O57" s="232">
        <f>'Brave Blossom '!S34</f>
        <v>5398.7240000000002</v>
      </c>
      <c r="P57" s="232">
        <f>'Brave Blossom '!T34</f>
        <v>5398.7240000000002</v>
      </c>
      <c r="Q57" s="232">
        <f>'Brave Blossom '!U34</f>
        <v>5398.7240000000002</v>
      </c>
      <c r="R57" s="232">
        <f>'Brave Blossom '!V34</f>
        <v>5398.7240000000002</v>
      </c>
      <c r="S57" s="232">
        <f>'Brave Blossom '!W34</f>
        <v>5398.7240000000002</v>
      </c>
      <c r="T57" s="232">
        <f>'Brave Blossom '!X34</f>
        <v>5398.7240000000002</v>
      </c>
      <c r="U57" s="232">
        <f>'Brave Blossom '!Y34</f>
        <v>5283.3620000000001</v>
      </c>
      <c r="V57" s="232">
        <f>'Brave Blossom '!Z34</f>
        <v>5168</v>
      </c>
      <c r="W57" s="232">
        <f>'Brave Blossom '!AA34</f>
        <v>5168</v>
      </c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</row>
  </sheetData>
  <phoneticPr fontId="3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8058-5522-428B-BDDF-757663474654}">
  <sheetPr>
    <tabColor rgb="FFFFCCFF"/>
  </sheetPr>
  <dimension ref="A2:I170"/>
  <sheetViews>
    <sheetView zoomScale="85" zoomScaleNormal="85" workbookViewId="0">
      <pane xSplit="3" ySplit="3" topLeftCell="D35" activePane="bottomRight" state="frozen"/>
      <selection pane="topRight" activeCell="D1" sqref="D1"/>
      <selection pane="bottomLeft" activeCell="A4" sqref="A4"/>
      <selection pane="bottomRight" activeCell="B65" sqref="B65"/>
    </sheetView>
  </sheetViews>
  <sheetFormatPr baseColWidth="10" defaultColWidth="8.83203125" defaultRowHeight="15"/>
  <cols>
    <col min="2" max="2" width="43.33203125" bestFit="1" customWidth="1"/>
    <col min="3" max="3" width="13.5" customWidth="1"/>
    <col min="4" max="4" width="11.6640625" bestFit="1" customWidth="1"/>
    <col min="5" max="5" width="13.33203125" bestFit="1" customWidth="1"/>
    <col min="6" max="9" width="11.5" bestFit="1" customWidth="1"/>
  </cols>
  <sheetData>
    <row r="2" spans="2:9" ht="16">
      <c r="B2" s="201"/>
      <c r="C2" s="1"/>
    </row>
    <row r="3" spans="2:9">
      <c r="B3" s="51" t="s">
        <v>99</v>
      </c>
      <c r="C3" s="51"/>
      <c r="D3" s="51">
        <v>2021</v>
      </c>
      <c r="E3" s="51">
        <v>2022</v>
      </c>
      <c r="F3" s="51">
        <v>2023</v>
      </c>
      <c r="G3" s="51">
        <v>2024</v>
      </c>
      <c r="H3" s="51">
        <v>2025</v>
      </c>
      <c r="I3" s="51" t="s">
        <v>100</v>
      </c>
    </row>
    <row r="4" spans="2:9">
      <c r="B4" s="160" t="s">
        <v>101</v>
      </c>
      <c r="C4" s="160"/>
      <c r="D4" s="160"/>
      <c r="E4" s="160"/>
      <c r="F4" s="160"/>
      <c r="G4" s="160"/>
      <c r="H4" s="160"/>
      <c r="I4" s="160"/>
    </row>
    <row r="5" spans="2:9" ht="6" customHeight="1">
      <c r="B5" s="160"/>
      <c r="C5" s="160"/>
      <c r="D5" s="160"/>
      <c r="E5" s="37"/>
      <c r="F5" s="37"/>
      <c r="G5" s="37"/>
      <c r="H5" s="37"/>
      <c r="I5" s="37"/>
    </row>
    <row r="6" spans="2:9">
      <c r="B6" s="160" t="s">
        <v>102</v>
      </c>
      <c r="C6" s="17" t="s">
        <v>103</v>
      </c>
      <c r="D6" s="37">
        <v>18870.2</v>
      </c>
      <c r="E6" s="37">
        <v>17655.260000000002</v>
      </c>
      <c r="F6" s="37">
        <v>16276.64</v>
      </c>
      <c r="G6" s="37">
        <v>18887.5</v>
      </c>
      <c r="H6" s="37">
        <v>14092.9</v>
      </c>
      <c r="I6" s="37">
        <v>17185.127049461189</v>
      </c>
    </row>
    <row r="7" spans="2:9">
      <c r="B7" s="160" t="s">
        <v>104</v>
      </c>
      <c r="C7" s="17" t="s">
        <v>105</v>
      </c>
      <c r="D7" s="37">
        <v>5835.19037501</v>
      </c>
      <c r="E7" s="37">
        <v>5207.3246410000002</v>
      </c>
      <c r="F7" s="37">
        <v>6111.2246268600002</v>
      </c>
      <c r="G7" s="37">
        <v>6109.05954716</v>
      </c>
      <c r="H7" s="37">
        <v>5344.0864700000002</v>
      </c>
      <c r="I7" s="37">
        <v>5943.704963000001</v>
      </c>
    </row>
    <row r="8" spans="2:9">
      <c r="B8" s="160" t="s">
        <v>106</v>
      </c>
      <c r="C8" s="164" t="s">
        <v>43</v>
      </c>
      <c r="D8" s="163">
        <v>0.65000434759509351</v>
      </c>
      <c r="E8" s="163">
        <v>0.65130403402023118</v>
      </c>
      <c r="F8" s="163">
        <v>0.6833380897269552</v>
      </c>
      <c r="G8" s="163">
        <v>0.67876628780964765</v>
      </c>
      <c r="H8" s="163">
        <v>0.69406895646339284</v>
      </c>
      <c r="I8" s="163">
        <v>0.72284586574080767</v>
      </c>
    </row>
    <row r="9" spans="2:9">
      <c r="B9" s="160" t="s">
        <v>107</v>
      </c>
      <c r="C9" s="17" t="s">
        <v>105</v>
      </c>
      <c r="D9" s="37">
        <v>3809.4019735799998</v>
      </c>
      <c r="E9" s="37">
        <v>3336.3819813348</v>
      </c>
      <c r="F9" s="37">
        <v>4103.8049760000004</v>
      </c>
      <c r="G9" s="37">
        <v>4220.5600000000004</v>
      </c>
      <c r="H9" s="37">
        <v>3701.08</v>
      </c>
      <c r="I9" s="37">
        <v>4263.0079999999998</v>
      </c>
    </row>
    <row r="10" spans="2:9">
      <c r="B10" s="160"/>
      <c r="C10" s="160"/>
      <c r="D10" s="37"/>
      <c r="E10" s="37"/>
      <c r="F10" s="37"/>
      <c r="G10" s="37"/>
      <c r="H10" s="37"/>
      <c r="I10" s="37"/>
    </row>
    <row r="11" spans="2:9">
      <c r="B11" s="160" t="s">
        <v>108</v>
      </c>
      <c r="C11" s="160"/>
      <c r="D11" s="37"/>
      <c r="E11" s="37"/>
      <c r="F11" s="37"/>
      <c r="G11" s="37"/>
      <c r="H11" s="37"/>
      <c r="I11" s="37"/>
    </row>
    <row r="12" spans="2:9">
      <c r="B12" t="s">
        <v>109</v>
      </c>
      <c r="C12" s="17" t="s">
        <v>105</v>
      </c>
      <c r="D12" s="37">
        <v>5860.5792217762</v>
      </c>
      <c r="E12" s="37">
        <v>5122.6183273281604</v>
      </c>
      <c r="F12" s="37">
        <v>6005.5264556374696</v>
      </c>
      <c r="G12" s="37">
        <v>6217.9870683023801</v>
      </c>
      <c r="H12" s="37">
        <v>5332.4384638361298</v>
      </c>
      <c r="I12" s="37">
        <v>5897.53390320779</v>
      </c>
    </row>
    <row r="13" spans="2:9">
      <c r="B13" t="s">
        <v>110</v>
      </c>
      <c r="C13" s="17" t="s">
        <v>105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</row>
    <row r="14" spans="2:9">
      <c r="B14" t="s">
        <v>111</v>
      </c>
      <c r="C14" s="17" t="s">
        <v>105</v>
      </c>
      <c r="D14" s="37">
        <v>3809.4019735799998</v>
      </c>
      <c r="E14" s="37">
        <v>3336.3819813348</v>
      </c>
      <c r="F14" s="37">
        <v>4103.8049760000004</v>
      </c>
      <c r="G14" s="37">
        <v>4220.5600000000004</v>
      </c>
      <c r="H14" s="37">
        <v>3701.08</v>
      </c>
      <c r="I14" s="37">
        <v>4263.0079999999998</v>
      </c>
    </row>
    <row r="15" spans="2:9">
      <c r="B15" t="s">
        <v>112</v>
      </c>
      <c r="C15" s="17" t="s">
        <v>43</v>
      </c>
      <c r="D15" s="165">
        <f t="shared" ref="D15:I15" si="0">D14/(D12+D13)</f>
        <v>0.65000434759509351</v>
      </c>
      <c r="E15" s="165">
        <f t="shared" si="0"/>
        <v>0.65130403402023118</v>
      </c>
      <c r="F15" s="165">
        <f t="shared" si="0"/>
        <v>0.6833380897269552</v>
      </c>
      <c r="G15" s="165">
        <f t="shared" si="0"/>
        <v>0.67876628780964765</v>
      </c>
      <c r="H15" s="165">
        <f t="shared" si="0"/>
        <v>0.69406895646339284</v>
      </c>
      <c r="I15" s="165">
        <f t="shared" si="0"/>
        <v>0.72284586574080767</v>
      </c>
    </row>
    <row r="16" spans="2:9">
      <c r="B16" s="160"/>
      <c r="C16" s="160"/>
      <c r="D16" s="37"/>
      <c r="E16" s="37"/>
      <c r="F16" s="37"/>
      <c r="G16" s="37"/>
      <c r="H16" s="37"/>
      <c r="I16" s="37"/>
    </row>
    <row r="17" spans="2:9">
      <c r="B17" s="160" t="s">
        <v>113</v>
      </c>
      <c r="C17" s="160"/>
      <c r="D17" s="37"/>
      <c r="E17" s="37"/>
      <c r="F17" s="37"/>
      <c r="G17" s="37"/>
      <c r="H17" s="37"/>
      <c r="I17" s="37"/>
    </row>
    <row r="18" spans="2:9">
      <c r="B18" s="113" t="s">
        <v>114</v>
      </c>
      <c r="C18" s="17" t="s">
        <v>105</v>
      </c>
      <c r="D18" s="37">
        <v>3780.3108699999998</v>
      </c>
      <c r="E18" s="37">
        <v>3235.0999240000001</v>
      </c>
      <c r="F18" s="37">
        <v>3994.19166</v>
      </c>
      <c r="G18" s="37">
        <v>4189.599741</v>
      </c>
      <c r="H18" s="37">
        <v>3356.1212909999999</v>
      </c>
      <c r="I18" s="37">
        <v>4262.4299499999997</v>
      </c>
    </row>
    <row r="19" spans="2:9">
      <c r="B19" s="113" t="s">
        <v>9</v>
      </c>
      <c r="C19" s="17" t="s">
        <v>105</v>
      </c>
      <c r="D19" s="37"/>
      <c r="E19" s="37"/>
      <c r="F19" s="37"/>
      <c r="G19" s="37"/>
      <c r="H19" s="37"/>
      <c r="I19" s="37"/>
    </row>
    <row r="20" spans="2:9">
      <c r="B20" t="s">
        <v>115</v>
      </c>
      <c r="C20" s="17" t="s">
        <v>105</v>
      </c>
      <c r="D20" s="35">
        <f t="shared" ref="D20:I20" si="1">SUM(D18:D19)</f>
        <v>3780.3108699999998</v>
      </c>
      <c r="E20" s="35">
        <f t="shared" si="1"/>
        <v>3235.0999240000001</v>
      </c>
      <c r="F20" s="35">
        <f t="shared" si="1"/>
        <v>3994.19166</v>
      </c>
      <c r="G20" s="35">
        <f t="shared" si="1"/>
        <v>4189.599741</v>
      </c>
      <c r="H20" s="35">
        <f t="shared" si="1"/>
        <v>3356.1212909999999</v>
      </c>
      <c r="I20" s="35">
        <f t="shared" si="1"/>
        <v>4262.4299499999997</v>
      </c>
    </row>
    <row r="21" spans="2:9">
      <c r="C21" s="17"/>
      <c r="D21" s="37"/>
      <c r="E21" s="37"/>
      <c r="F21" s="37"/>
      <c r="G21" s="37"/>
      <c r="H21" s="37"/>
      <c r="I21" s="37"/>
    </row>
    <row r="22" spans="2:9">
      <c r="B22" s="1" t="s">
        <v>116</v>
      </c>
      <c r="C22" s="17"/>
      <c r="D22" s="37"/>
      <c r="E22" s="37"/>
      <c r="F22" s="37"/>
      <c r="G22" s="37"/>
      <c r="H22" s="37"/>
      <c r="I22" s="37"/>
    </row>
    <row r="23" spans="2:9">
      <c r="B23" t="s">
        <v>114</v>
      </c>
      <c r="C23" s="17" t="s">
        <v>7</v>
      </c>
      <c r="D23" s="37">
        <v>295</v>
      </c>
      <c r="E23" s="37">
        <v>360</v>
      </c>
      <c r="F23" s="37">
        <v>345</v>
      </c>
      <c r="G23" s="37">
        <v>310</v>
      </c>
      <c r="H23" s="37">
        <v>300</v>
      </c>
      <c r="I23" s="37">
        <v>315</v>
      </c>
    </row>
    <row r="24" spans="2:9">
      <c r="B24" t="s">
        <v>9</v>
      </c>
      <c r="C24" s="17" t="s">
        <v>7</v>
      </c>
      <c r="D24" s="37"/>
      <c r="E24" s="37"/>
      <c r="F24" s="37"/>
      <c r="G24" s="37"/>
      <c r="H24" s="37"/>
      <c r="I24" s="37"/>
    </row>
    <row r="25" spans="2:9">
      <c r="B25" t="s">
        <v>117</v>
      </c>
      <c r="C25" s="17" t="s">
        <v>7</v>
      </c>
      <c r="D25" s="37"/>
      <c r="E25" s="37"/>
      <c r="F25" s="37"/>
      <c r="G25" s="37"/>
      <c r="H25" s="37"/>
      <c r="I25" s="37"/>
    </row>
    <row r="26" spans="2:9">
      <c r="B26" s="160"/>
      <c r="C26" s="160"/>
      <c r="E26" s="167"/>
      <c r="F26" s="167"/>
      <c r="G26" s="167"/>
      <c r="H26" s="167"/>
      <c r="I26" s="167"/>
    </row>
    <row r="27" spans="2:9">
      <c r="B27" t="s">
        <v>118</v>
      </c>
      <c r="C27" s="17" t="s">
        <v>119</v>
      </c>
      <c r="D27" s="41">
        <f t="shared" ref="D27:I27" si="2">SUMPRODUCT(D18:D19,D23:D24)</f>
        <v>1115191.7066499998</v>
      </c>
      <c r="E27" s="41">
        <f t="shared" si="2"/>
        <v>1164635.9726400001</v>
      </c>
      <c r="F27" s="41">
        <f t="shared" si="2"/>
        <v>1377996.1226999999</v>
      </c>
      <c r="G27" s="41">
        <f t="shared" si="2"/>
        <v>1298775.91971</v>
      </c>
      <c r="H27" s="41">
        <f t="shared" si="2"/>
        <v>1006836.3872999999</v>
      </c>
      <c r="I27" s="41">
        <f t="shared" si="2"/>
        <v>1342665.4342499999</v>
      </c>
    </row>
    <row r="28" spans="2:9" ht="16" thickBot="1">
      <c r="B28" t="s">
        <v>120</v>
      </c>
      <c r="C28" s="17" t="s">
        <v>4</v>
      </c>
      <c r="D28" s="184">
        <v>0.74299999999999999</v>
      </c>
      <c r="E28" s="184">
        <v>0.69399999999999995</v>
      </c>
      <c r="F28" s="184">
        <v>0.66459999999999997</v>
      </c>
      <c r="G28" s="184">
        <v>0.66290000000000004</v>
      </c>
      <c r="H28" s="184">
        <v>0.63060000000000005</v>
      </c>
      <c r="I28" s="184">
        <v>0.67</v>
      </c>
    </row>
    <row r="29" spans="2:9">
      <c r="B29" t="s">
        <v>118</v>
      </c>
      <c r="C29" s="17" t="s">
        <v>121</v>
      </c>
      <c r="D29" s="41">
        <f t="shared" ref="D29:I29" si="3">D27/D28</f>
        <v>1500930.9645356659</v>
      </c>
      <c r="E29" s="41">
        <f t="shared" si="3"/>
        <v>1678149.81648415</v>
      </c>
      <c r="F29" s="41">
        <f t="shared" si="3"/>
        <v>2073421.7916039724</v>
      </c>
      <c r="G29" s="41">
        <f t="shared" si="3"/>
        <v>1959233.5491175139</v>
      </c>
      <c r="H29" s="41">
        <f t="shared" si="3"/>
        <v>1596632.3934348237</v>
      </c>
      <c r="I29" s="41">
        <f t="shared" si="3"/>
        <v>2003978.2600746267</v>
      </c>
    </row>
    <row r="30" spans="2:9" ht="16" thickBot="1">
      <c r="B30" t="s">
        <v>122</v>
      </c>
      <c r="C30" s="17" t="s">
        <v>53</v>
      </c>
      <c r="D30" s="184">
        <f t="shared" ref="D30:I30" si="4">IFERROR(D29/D9,0)</f>
        <v>394.00697929631224</v>
      </c>
      <c r="E30" s="184">
        <f t="shared" si="4"/>
        <v>502.9849177559596</v>
      </c>
      <c r="F30" s="184">
        <f t="shared" si="4"/>
        <v>505.24374421538602</v>
      </c>
      <c r="G30" s="184">
        <f t="shared" si="4"/>
        <v>464.21175131203296</v>
      </c>
      <c r="H30" s="184">
        <f t="shared" si="4"/>
        <v>431.39634739990049</v>
      </c>
      <c r="I30" s="184">
        <f t="shared" si="4"/>
        <v>470.08550302383355</v>
      </c>
    </row>
    <row r="31" spans="2:9">
      <c r="B31" s="160"/>
      <c r="C31" s="160"/>
      <c r="D31" s="167"/>
      <c r="E31" s="167"/>
      <c r="F31" s="167"/>
      <c r="G31" s="167"/>
      <c r="H31" s="167"/>
      <c r="I31" s="167"/>
    </row>
    <row r="32" spans="2:9">
      <c r="B32" s="160"/>
      <c r="C32" s="160"/>
      <c r="D32" s="37"/>
      <c r="E32" s="37"/>
      <c r="F32" s="37"/>
      <c r="G32" s="37"/>
      <c r="H32" s="37"/>
      <c r="I32" s="37"/>
    </row>
    <row r="33" spans="2:9" s="1" customFormat="1">
      <c r="B33" s="166" t="s">
        <v>123</v>
      </c>
      <c r="C33" s="166"/>
      <c r="D33" s="166"/>
      <c r="E33" s="166"/>
      <c r="F33" s="166"/>
      <c r="G33" s="166"/>
      <c r="H33" s="166"/>
      <c r="I33" s="166"/>
    </row>
    <row r="34" spans="2:9" s="1" customFormat="1">
      <c r="B34" s="166"/>
      <c r="C34" s="166"/>
      <c r="D34" s="166"/>
      <c r="E34" s="166"/>
      <c r="F34" s="166"/>
      <c r="G34" s="166"/>
      <c r="H34" s="166"/>
      <c r="I34" s="166"/>
    </row>
    <row r="35" spans="2:9" s="1" customFormat="1">
      <c r="B35" s="166" t="s">
        <v>124</v>
      </c>
      <c r="C35" s="166"/>
      <c r="D35" s="46"/>
      <c r="E35" s="46"/>
      <c r="F35" s="46"/>
      <c r="G35" s="46"/>
      <c r="H35" s="46"/>
      <c r="I35" s="46"/>
    </row>
    <row r="36" spans="2:9">
      <c r="B36" s="160" t="s">
        <v>125</v>
      </c>
      <c r="C36" t="s">
        <v>56</v>
      </c>
      <c r="D36" s="37">
        <v>47056.114000000001</v>
      </c>
      <c r="E36" s="37">
        <v>48060.789100000002</v>
      </c>
      <c r="F36" s="37">
        <v>69060.911300000007</v>
      </c>
      <c r="G36" s="37">
        <v>76942.992800000007</v>
      </c>
      <c r="H36" s="37">
        <v>75336.190600000002</v>
      </c>
      <c r="I36" s="37">
        <v>80032.977299999999</v>
      </c>
    </row>
    <row r="37" spans="2:9">
      <c r="B37" s="160" t="s">
        <v>126</v>
      </c>
      <c r="C37" t="s">
        <v>56</v>
      </c>
      <c r="D37" s="37">
        <v>1681.8503000000001</v>
      </c>
      <c r="E37" s="37">
        <v>2500.8708999999999</v>
      </c>
      <c r="F37" s="37">
        <v>4953.1896999999999</v>
      </c>
      <c r="G37" s="37">
        <v>5809.7424000000001</v>
      </c>
      <c r="H37" s="37">
        <v>4013.8710000000001</v>
      </c>
      <c r="I37" s="37">
        <v>3573.1287000000002</v>
      </c>
    </row>
    <row r="38" spans="2:9">
      <c r="B38" s="160" t="s">
        <v>127</v>
      </c>
      <c r="C38" t="s">
        <v>56</v>
      </c>
      <c r="D38" s="37">
        <v>8535.7186000000002</v>
      </c>
      <c r="E38" s="37">
        <v>7634.1220000000003</v>
      </c>
      <c r="F38" s="37">
        <v>12511.0447</v>
      </c>
      <c r="G38" s="37">
        <v>15141.5542</v>
      </c>
      <c r="H38" s="37">
        <v>14736.527899999999</v>
      </c>
      <c r="I38" s="37">
        <v>14811.071900000001</v>
      </c>
    </row>
    <row r="39" spans="2:9">
      <c r="B39" s="160" t="s">
        <v>128</v>
      </c>
      <c r="C39" t="s">
        <v>56</v>
      </c>
      <c r="D39" s="37">
        <v>19564.520799999998</v>
      </c>
      <c r="E39" s="37">
        <v>16288.2129</v>
      </c>
      <c r="F39" s="37">
        <v>33977.427300000003</v>
      </c>
      <c r="G39" s="37">
        <v>37669.4827</v>
      </c>
      <c r="H39" s="37">
        <v>37114.404900000001</v>
      </c>
      <c r="I39" s="37">
        <v>31006.633099999999</v>
      </c>
    </row>
    <row r="40" spans="2:9">
      <c r="B40" s="160" t="s">
        <v>129</v>
      </c>
      <c r="C40" t="s">
        <v>56</v>
      </c>
      <c r="D40" s="37">
        <v>41000.054100000001</v>
      </c>
      <c r="E40" s="37">
        <v>50376.880400000002</v>
      </c>
      <c r="F40" s="37">
        <v>51764.528899999998</v>
      </c>
      <c r="G40" s="37">
        <v>56992.705300000001</v>
      </c>
      <c r="H40" s="37">
        <v>61400.365299999998</v>
      </c>
      <c r="I40" s="37">
        <v>81378.812999999995</v>
      </c>
    </row>
    <row r="41" spans="2:9" ht="16" thickBot="1">
      <c r="B41" s="160" t="s">
        <v>130</v>
      </c>
      <c r="C41" t="s">
        <v>56</v>
      </c>
      <c r="D41" s="185">
        <v>0</v>
      </c>
      <c r="E41" s="185">
        <v>0</v>
      </c>
      <c r="F41" s="185">
        <v>0</v>
      </c>
      <c r="G41" s="185">
        <v>0</v>
      </c>
      <c r="H41" s="185">
        <v>0</v>
      </c>
      <c r="I41" s="185">
        <v>0</v>
      </c>
    </row>
    <row r="42" spans="2:9" s="1" customFormat="1">
      <c r="B42" s="166" t="s">
        <v>131</v>
      </c>
      <c r="C42" t="s">
        <v>56</v>
      </c>
      <c r="D42" s="162">
        <f t="shared" ref="D42:I42" si="5">SUM(D36:D41)</f>
        <v>117838.25779999999</v>
      </c>
      <c r="E42" s="162">
        <f t="shared" si="5"/>
        <v>124860.87530000001</v>
      </c>
      <c r="F42" s="162">
        <f t="shared" si="5"/>
        <v>172267.10190000001</v>
      </c>
      <c r="G42" s="162">
        <f t="shared" si="5"/>
        <v>192556.4774</v>
      </c>
      <c r="H42" s="162">
        <f t="shared" si="5"/>
        <v>192601.3597</v>
      </c>
      <c r="I42" s="162">
        <f t="shared" si="5"/>
        <v>210802.62399999998</v>
      </c>
    </row>
    <row r="43" spans="2:9">
      <c r="B43" s="160"/>
      <c r="C43" s="160"/>
      <c r="D43" s="136"/>
      <c r="E43" s="136"/>
      <c r="F43" s="136"/>
      <c r="G43" s="136"/>
      <c r="H43" s="136"/>
      <c r="I43" s="136"/>
    </row>
    <row r="44" spans="2:9" s="1" customFormat="1">
      <c r="B44" s="166" t="s">
        <v>132</v>
      </c>
      <c r="C44" s="166"/>
      <c r="D44" s="46"/>
      <c r="E44" s="46"/>
      <c r="F44" s="46"/>
      <c r="G44" s="46"/>
      <c r="H44" s="46"/>
      <c r="I44" s="46"/>
    </row>
    <row r="45" spans="2:9">
      <c r="B45" s="160" t="s">
        <v>133</v>
      </c>
      <c r="C45" t="s">
        <v>56</v>
      </c>
      <c r="D45" s="37">
        <v>9965.8191000000006</v>
      </c>
      <c r="E45" s="37">
        <v>11877.628000000001</v>
      </c>
      <c r="F45" s="37">
        <v>14718.803400000001</v>
      </c>
      <c r="G45" s="37">
        <v>15671.7953</v>
      </c>
      <c r="H45" s="37">
        <v>15891.3354</v>
      </c>
      <c r="I45" s="37">
        <v>13435.9943</v>
      </c>
    </row>
    <row r="46" spans="2:9">
      <c r="B46" s="160" t="s">
        <v>134</v>
      </c>
      <c r="C46" t="s">
        <v>56</v>
      </c>
      <c r="D46" s="37">
        <v>28328.865600000001</v>
      </c>
      <c r="E46" s="37">
        <v>20948.2039</v>
      </c>
      <c r="F46" s="37">
        <v>28955.941999999999</v>
      </c>
      <c r="G46" s="37">
        <v>35206.732000000004</v>
      </c>
      <c r="H46" s="37">
        <v>31237.772700000001</v>
      </c>
      <c r="I46" s="37">
        <v>31457.780200000001</v>
      </c>
    </row>
    <row r="47" spans="2:9">
      <c r="B47" s="160" t="s">
        <v>135</v>
      </c>
      <c r="C47" t="s">
        <v>56</v>
      </c>
      <c r="D47" s="37">
        <v>26852.738499999999</v>
      </c>
      <c r="E47" s="37">
        <v>24931.6145</v>
      </c>
      <c r="F47" s="37">
        <v>25186.147199999999</v>
      </c>
      <c r="G47" s="37">
        <v>31547.039700000001</v>
      </c>
      <c r="H47" s="37">
        <v>39030.6466</v>
      </c>
      <c r="I47" s="37">
        <v>34935.981200000002</v>
      </c>
    </row>
    <row r="48" spans="2:9">
      <c r="B48" s="160" t="s">
        <v>136</v>
      </c>
      <c r="C48" t="s">
        <v>56</v>
      </c>
      <c r="D48" s="37">
        <v>17235.525000000001</v>
      </c>
      <c r="E48" s="37">
        <v>9755.3986000000004</v>
      </c>
      <c r="F48" s="37">
        <v>15146.939</v>
      </c>
      <c r="G48" s="37">
        <v>18187.025300000001</v>
      </c>
      <c r="H48" s="37">
        <v>15584.9406</v>
      </c>
      <c r="I48" s="37">
        <v>12582.7575</v>
      </c>
    </row>
    <row r="49" spans="2:9" ht="16" thickBot="1">
      <c r="B49" s="160" t="s">
        <v>137</v>
      </c>
      <c r="C49" t="s">
        <v>56</v>
      </c>
      <c r="D49" s="185">
        <v>3191.9474</v>
      </c>
      <c r="E49" s="185">
        <v>3217.5356999999999</v>
      </c>
      <c r="F49" s="185">
        <v>4460.6962000000003</v>
      </c>
      <c r="G49" s="185">
        <v>5460.6453000000001</v>
      </c>
      <c r="H49" s="185">
        <v>4052.5299</v>
      </c>
      <c r="I49" s="185">
        <v>5494.2061999999996</v>
      </c>
    </row>
    <row r="50" spans="2:9" s="1" customFormat="1">
      <c r="B50" s="166" t="s">
        <v>138</v>
      </c>
      <c r="C50" t="s">
        <v>56</v>
      </c>
      <c r="D50" s="162">
        <f t="shared" ref="D50:I50" si="6">SUM(D45:D49)</f>
        <v>85574.895600000003</v>
      </c>
      <c r="E50" s="162">
        <f t="shared" si="6"/>
        <v>70730.380699999994</v>
      </c>
      <c r="F50" s="162">
        <f t="shared" si="6"/>
        <v>88468.527799999996</v>
      </c>
      <c r="G50" s="162">
        <f t="shared" si="6"/>
        <v>106073.23760000002</v>
      </c>
      <c r="H50" s="162">
        <f t="shared" si="6"/>
        <v>105797.22519999999</v>
      </c>
      <c r="I50" s="162">
        <f t="shared" si="6"/>
        <v>97906.719400000016</v>
      </c>
    </row>
    <row r="51" spans="2:9">
      <c r="B51" s="160"/>
      <c r="C51" s="160"/>
      <c r="D51" s="37"/>
      <c r="E51" s="37"/>
      <c r="F51" s="37"/>
      <c r="G51" s="37"/>
      <c r="H51" s="37"/>
      <c r="I51" s="37"/>
    </row>
    <row r="52" spans="2:9" s="1" customFormat="1">
      <c r="B52" s="166" t="s">
        <v>139</v>
      </c>
      <c r="C52" s="166"/>
      <c r="D52" s="46"/>
      <c r="E52" s="46"/>
      <c r="F52" s="46"/>
      <c r="G52" s="46"/>
      <c r="H52" s="46"/>
      <c r="I52" s="46"/>
    </row>
    <row r="53" spans="2:9">
      <c r="B53" s="160" t="s">
        <v>140</v>
      </c>
      <c r="C53" t="s">
        <v>56</v>
      </c>
      <c r="D53" s="37">
        <v>18.777200000000001</v>
      </c>
      <c r="E53" s="37">
        <v>40.728299999999997</v>
      </c>
      <c r="F53" s="37">
        <v>45.379899999999999</v>
      </c>
      <c r="G53" s="37">
        <v>228.4855</v>
      </c>
      <c r="H53" s="37">
        <v>148.5753</v>
      </c>
      <c r="I53" s="37">
        <v>337.51519999999999</v>
      </c>
    </row>
    <row r="54" spans="2:9">
      <c r="B54" s="160" t="s">
        <v>141</v>
      </c>
      <c r="C54" t="s">
        <v>56</v>
      </c>
      <c r="D54" s="37">
        <v>1073.5635</v>
      </c>
      <c r="E54" s="37">
        <v>1055.4260999999999</v>
      </c>
      <c r="F54" s="37">
        <v>1457.5299</v>
      </c>
      <c r="G54" s="37">
        <v>1308.8924</v>
      </c>
      <c r="H54" s="37">
        <v>1356.0306</v>
      </c>
      <c r="I54" s="37">
        <v>1171.2334000000001</v>
      </c>
    </row>
    <row r="55" spans="2:9">
      <c r="B55" s="160" t="s">
        <v>142</v>
      </c>
      <c r="C55" t="s">
        <v>56</v>
      </c>
      <c r="D55" s="37">
        <v>3998.45</v>
      </c>
      <c r="E55" s="37">
        <v>2315.0953</v>
      </c>
      <c r="F55" s="37">
        <v>2957.384</v>
      </c>
      <c r="G55" s="37">
        <v>7107.48</v>
      </c>
      <c r="H55" s="37">
        <v>8620.6319999999996</v>
      </c>
      <c r="I55" s="37">
        <v>7464.4750000000004</v>
      </c>
    </row>
    <row r="56" spans="2:9">
      <c r="B56" s="160" t="s">
        <v>143</v>
      </c>
      <c r="C56" t="s">
        <v>56</v>
      </c>
      <c r="D56" s="37">
        <v>2427.3908999999999</v>
      </c>
      <c r="E56" s="37">
        <v>3532.7408</v>
      </c>
      <c r="F56" s="37">
        <v>3451.5371</v>
      </c>
      <c r="G56" s="37">
        <v>3983.1064999999999</v>
      </c>
      <c r="H56" s="37">
        <v>3839.7271999999998</v>
      </c>
      <c r="I56" s="37">
        <v>3894.9560999999999</v>
      </c>
    </row>
    <row r="57" spans="2:9">
      <c r="B57" s="160" t="s">
        <v>144</v>
      </c>
      <c r="C57" t="s">
        <v>56</v>
      </c>
      <c r="D57" s="37">
        <v>303.77280000000002</v>
      </c>
      <c r="E57" s="37">
        <v>273.23849999999999</v>
      </c>
      <c r="F57" s="37">
        <v>209.8963</v>
      </c>
      <c r="G57" s="37">
        <v>245.05840000000001</v>
      </c>
      <c r="H57" s="37">
        <v>244.054</v>
      </c>
      <c r="I57" s="37">
        <v>264.48759999999999</v>
      </c>
    </row>
    <row r="58" spans="2:9">
      <c r="B58" s="160" t="s">
        <v>145</v>
      </c>
      <c r="C58" t="s">
        <v>56</v>
      </c>
      <c r="D58" s="37">
        <v>405.86070000000001</v>
      </c>
      <c r="E58" s="37">
        <v>463.51100000000002</v>
      </c>
      <c r="F58" s="37">
        <v>442.65050000000002</v>
      </c>
      <c r="G58" s="37">
        <v>946.40250000000003</v>
      </c>
      <c r="H58" s="37">
        <v>448.98259999999999</v>
      </c>
      <c r="I58" s="37">
        <v>479.04820000000001</v>
      </c>
    </row>
    <row r="59" spans="2:9">
      <c r="B59" s="160" t="s">
        <v>146</v>
      </c>
      <c r="C59" t="s">
        <v>56</v>
      </c>
      <c r="D59" s="37">
        <v>12401.0502</v>
      </c>
      <c r="E59" s="37">
        <v>15708.2207</v>
      </c>
      <c r="F59" s="37">
        <v>14089.356400000001</v>
      </c>
      <c r="G59" s="37">
        <v>18534.293099999999</v>
      </c>
      <c r="H59" s="37">
        <v>14905.8303</v>
      </c>
      <c r="I59" s="37">
        <v>18657.272499999999</v>
      </c>
    </row>
    <row r="60" spans="2:9" ht="16" thickBot="1">
      <c r="B60" s="160" t="s">
        <v>80</v>
      </c>
      <c r="C60" t="s">
        <v>56</v>
      </c>
      <c r="D60" s="185">
        <v>18728.935600000001</v>
      </c>
      <c r="E60" s="185">
        <v>20039.896000000001</v>
      </c>
      <c r="F60" s="185">
        <v>24574.345499999999</v>
      </c>
      <c r="G60" s="185">
        <v>26413.992600000001</v>
      </c>
      <c r="H60" s="185">
        <v>26253.064699999999</v>
      </c>
      <c r="I60" s="185">
        <v>26028.116000000002</v>
      </c>
    </row>
    <row r="61" spans="2:9" s="1" customFormat="1">
      <c r="B61" s="166" t="s">
        <v>147</v>
      </c>
      <c r="C61" t="s">
        <v>56</v>
      </c>
      <c r="D61" s="162">
        <f t="shared" ref="D61:I61" si="7">SUM(D53:D60)</f>
        <v>39357.800900000002</v>
      </c>
      <c r="E61" s="162">
        <f t="shared" si="7"/>
        <v>43428.856700000004</v>
      </c>
      <c r="F61" s="162">
        <f t="shared" si="7"/>
        <v>47228.079599999997</v>
      </c>
      <c r="G61" s="162">
        <f t="shared" si="7"/>
        <v>58767.710999999996</v>
      </c>
      <c r="H61" s="162">
        <f t="shared" si="7"/>
        <v>55816.896699999998</v>
      </c>
      <c r="I61" s="162">
        <f t="shared" si="7"/>
        <v>58297.103999999999</v>
      </c>
    </row>
    <row r="62" spans="2:9">
      <c r="B62" s="160"/>
      <c r="C62" s="160"/>
      <c r="D62" s="37"/>
      <c r="E62" s="37"/>
      <c r="F62" s="37"/>
      <c r="G62" s="37"/>
      <c r="H62" s="37"/>
      <c r="I62" s="37"/>
    </row>
    <row r="63" spans="2:9" s="1" customFormat="1">
      <c r="B63" s="166" t="s">
        <v>148</v>
      </c>
      <c r="C63" s="166"/>
      <c r="D63" s="46"/>
      <c r="E63" s="46"/>
      <c r="F63" s="46"/>
      <c r="G63" s="46"/>
      <c r="H63" s="46"/>
      <c r="I63" s="46"/>
    </row>
    <row r="64" spans="2:9">
      <c r="B64" s="160" t="s">
        <v>149</v>
      </c>
      <c r="C64" t="s">
        <v>56</v>
      </c>
      <c r="D64" s="37">
        <v>6356.8522000000003</v>
      </c>
      <c r="E64" s="37">
        <v>9077.3091000000004</v>
      </c>
      <c r="F64" s="37">
        <v>7331.2205999999996</v>
      </c>
      <c r="G64" s="37">
        <v>8018.0609999999997</v>
      </c>
      <c r="H64" s="37">
        <v>6085.6391999999996</v>
      </c>
      <c r="I64" s="37">
        <v>15378.7258</v>
      </c>
    </row>
    <row r="65" spans="2:9" ht="16" thickBot="1">
      <c r="B65" s="160" t="s">
        <v>150</v>
      </c>
      <c r="C65" t="s">
        <v>56</v>
      </c>
      <c r="D65" s="185">
        <v>5390.3298999999997</v>
      </c>
      <c r="E65" s="185">
        <v>10821.9295</v>
      </c>
      <c r="F65" s="185">
        <v>11654.575999999999</v>
      </c>
      <c r="G65" s="185">
        <v>8736.0316000000003</v>
      </c>
      <c r="H65" s="185">
        <v>6013.4242999999997</v>
      </c>
      <c r="I65" s="185">
        <v>10196.7875</v>
      </c>
    </row>
    <row r="66" spans="2:9">
      <c r="B66" s="160" t="s">
        <v>151</v>
      </c>
      <c r="C66" t="s">
        <v>56</v>
      </c>
      <c r="D66" s="162">
        <f t="shared" ref="D66:I66" si="8">SUM(D64:D65)</f>
        <v>11747.1821</v>
      </c>
      <c r="E66" s="162">
        <f t="shared" si="8"/>
        <v>19899.238600000001</v>
      </c>
      <c r="F66" s="162">
        <f t="shared" si="8"/>
        <v>18985.796599999998</v>
      </c>
      <c r="G66" s="162">
        <f t="shared" si="8"/>
        <v>16754.0926</v>
      </c>
      <c r="H66" s="162">
        <f t="shared" si="8"/>
        <v>12099.0635</v>
      </c>
      <c r="I66" s="162">
        <f t="shared" si="8"/>
        <v>25575.513299999999</v>
      </c>
    </row>
    <row r="67" spans="2:9">
      <c r="B67" s="160"/>
      <c r="C67" s="160"/>
      <c r="D67" s="37"/>
      <c r="E67" s="37"/>
      <c r="F67" s="37"/>
      <c r="G67" s="37"/>
      <c r="H67" s="37"/>
      <c r="I67" s="37"/>
    </row>
    <row r="68" spans="2:9" s="1" customFormat="1">
      <c r="B68" s="166" t="s">
        <v>152</v>
      </c>
      <c r="C68" s="166"/>
      <c r="D68" s="46"/>
      <c r="E68" s="46"/>
      <c r="F68" s="46"/>
      <c r="G68" s="46"/>
      <c r="H68" s="46"/>
      <c r="I68" s="46"/>
    </row>
    <row r="69" spans="2:9">
      <c r="B69" s="160" t="s">
        <v>153</v>
      </c>
      <c r="C69" t="s">
        <v>56</v>
      </c>
      <c r="D69" s="37">
        <v>82087.116800000003</v>
      </c>
      <c r="E69" s="37">
        <v>54550.192199999998</v>
      </c>
      <c r="F69" s="37">
        <v>47185.167300000001</v>
      </c>
      <c r="G69" s="37">
        <v>61402.362300000001</v>
      </c>
      <c r="H69" s="37">
        <v>66959.562099999996</v>
      </c>
      <c r="I69" s="37">
        <v>49131.168100000003</v>
      </c>
    </row>
    <row r="70" spans="2:9">
      <c r="B70" s="160" t="s">
        <v>154</v>
      </c>
      <c r="C70" t="s">
        <v>56</v>
      </c>
      <c r="D70" s="37">
        <v>9726.8507000000009</v>
      </c>
      <c r="E70" s="37">
        <v>12981.243399999999</v>
      </c>
      <c r="F70" s="37">
        <v>14096.701300000001</v>
      </c>
      <c r="G70" s="37">
        <v>7830.3116</v>
      </c>
      <c r="H70" s="37">
        <v>7817.7934999999998</v>
      </c>
      <c r="I70" s="37">
        <v>14870.1386</v>
      </c>
    </row>
    <row r="71" spans="2:9">
      <c r="B71" s="160" t="s">
        <v>155</v>
      </c>
      <c r="C71" t="s">
        <v>56</v>
      </c>
      <c r="D71" s="37">
        <v>1117.2760000000001</v>
      </c>
      <c r="E71" s="37">
        <v>1283.5056999999999</v>
      </c>
      <c r="F71" s="37">
        <v>1448.4872</v>
      </c>
      <c r="G71" s="37">
        <v>1606.9704999999999</v>
      </c>
      <c r="H71" s="37">
        <v>1944.8257000000001</v>
      </c>
      <c r="I71" s="37">
        <v>1197.6802</v>
      </c>
    </row>
    <row r="72" spans="2:9">
      <c r="B72" s="160" t="s">
        <v>156</v>
      </c>
      <c r="C72" t="s">
        <v>56</v>
      </c>
      <c r="D72" s="37">
        <v>1900.4094</v>
      </c>
      <c r="E72" s="37">
        <v>1720.3171</v>
      </c>
      <c r="F72" s="37">
        <v>2110.8415</v>
      </c>
      <c r="G72" s="37">
        <v>1482.9967999999999</v>
      </c>
      <c r="H72" s="37">
        <v>2390.1839</v>
      </c>
      <c r="I72" s="37">
        <v>1884.1478</v>
      </c>
    </row>
    <row r="73" spans="2:9">
      <c r="B73" s="160" t="s">
        <v>157</v>
      </c>
      <c r="C73" t="s">
        <v>56</v>
      </c>
      <c r="D73" s="37">
        <v>9.6600000000000005E-2</v>
      </c>
      <c r="E73" s="37">
        <v>48.454799999999999</v>
      </c>
      <c r="F73" s="37">
        <v>1.9457</v>
      </c>
      <c r="G73" s="37">
        <v>33.924100000000003</v>
      </c>
      <c r="H73" s="37">
        <v>522.35910000000001</v>
      </c>
      <c r="I73" s="37">
        <v>881.83150000000001</v>
      </c>
    </row>
    <row r="74" spans="2:9">
      <c r="B74" s="160" t="s">
        <v>158</v>
      </c>
      <c r="C74" t="s">
        <v>56</v>
      </c>
      <c r="D74" s="37">
        <v>8317.9676999999992</v>
      </c>
      <c r="E74" s="37">
        <v>9663.5439000000006</v>
      </c>
      <c r="F74" s="37">
        <v>13449.893700000001</v>
      </c>
      <c r="G74" s="37">
        <v>11958.456700000001</v>
      </c>
      <c r="H74" s="37">
        <v>13814.7961</v>
      </c>
      <c r="I74" s="37">
        <v>11972.574500000001</v>
      </c>
    </row>
    <row r="75" spans="2:9" ht="16" thickBot="1">
      <c r="B75" s="160" t="s">
        <v>159</v>
      </c>
      <c r="C75" t="s">
        <v>56</v>
      </c>
      <c r="D75" s="186">
        <v>0</v>
      </c>
      <c r="E75" s="186">
        <v>0</v>
      </c>
      <c r="F75" s="186">
        <v>0</v>
      </c>
      <c r="G75" s="186">
        <v>0</v>
      </c>
      <c r="H75" s="186">
        <v>0</v>
      </c>
      <c r="I75" s="186">
        <v>0</v>
      </c>
    </row>
    <row r="76" spans="2:9">
      <c r="B76" s="160" t="s">
        <v>160</v>
      </c>
      <c r="C76" t="s">
        <v>56</v>
      </c>
      <c r="D76" s="162">
        <f t="shared" ref="D76:I76" si="9">SUM(D69:D75)</f>
        <v>103149.7172</v>
      </c>
      <c r="E76" s="162">
        <f t="shared" si="9"/>
        <v>80247.257100000003</v>
      </c>
      <c r="F76" s="162">
        <f t="shared" si="9"/>
        <v>78293.036699999997</v>
      </c>
      <c r="G76" s="162">
        <f t="shared" si="9"/>
        <v>84315.021999999983</v>
      </c>
      <c r="H76" s="162">
        <f t="shared" si="9"/>
        <v>93449.520400000009</v>
      </c>
      <c r="I76" s="162">
        <f t="shared" si="9"/>
        <v>79937.540700000012</v>
      </c>
    </row>
    <row r="77" spans="2:9" ht="16" thickBot="1">
      <c r="B77" s="160"/>
      <c r="C77" s="160"/>
      <c r="D77" s="185"/>
      <c r="E77" s="185"/>
      <c r="F77" s="185"/>
      <c r="G77" s="185"/>
      <c r="H77" s="185"/>
      <c r="I77" s="185"/>
    </row>
    <row r="78" spans="2:9" s="1" customFormat="1" ht="16" thickBot="1">
      <c r="B78" s="1" t="s">
        <v>161</v>
      </c>
      <c r="C78" t="s">
        <v>56</v>
      </c>
      <c r="D78" s="187">
        <f t="shared" ref="D78:I78" si="10">D76+D66+D61+D50+D42</f>
        <v>357667.85360000003</v>
      </c>
      <c r="E78" s="187">
        <f t="shared" si="10"/>
        <v>339166.60840000003</v>
      </c>
      <c r="F78" s="187">
        <f t="shared" si="10"/>
        <v>405242.54259999999</v>
      </c>
      <c r="G78" s="187">
        <f t="shared" si="10"/>
        <v>458466.54059999995</v>
      </c>
      <c r="H78" s="187">
        <f t="shared" si="10"/>
        <v>459764.06550000003</v>
      </c>
      <c r="I78" s="187">
        <f t="shared" si="10"/>
        <v>472519.50139999995</v>
      </c>
    </row>
    <row r="79" spans="2:9">
      <c r="B79" s="160"/>
      <c r="C79" s="160"/>
      <c r="D79" s="37"/>
      <c r="E79" s="37"/>
      <c r="F79" s="37"/>
      <c r="G79" s="37"/>
      <c r="H79" s="37"/>
      <c r="I79" s="37"/>
    </row>
    <row r="80" spans="2:9" s="1" customFormat="1">
      <c r="B80" s="166" t="s">
        <v>152</v>
      </c>
      <c r="C80" s="166"/>
      <c r="D80" s="46"/>
      <c r="E80" s="46"/>
      <c r="F80" s="46"/>
      <c r="G80" s="46"/>
      <c r="H80" s="46"/>
      <c r="I80" s="46"/>
    </row>
    <row r="81" spans="2:9">
      <c r="B81" s="160" t="s">
        <v>153</v>
      </c>
      <c r="C81" s="160"/>
      <c r="D81" s="37">
        <v>82087.116800000003</v>
      </c>
      <c r="E81" s="37">
        <v>54550.192199999998</v>
      </c>
      <c r="F81" s="37">
        <v>47185.167300000001</v>
      </c>
      <c r="G81" s="37">
        <v>61402.362300000001</v>
      </c>
      <c r="H81" s="37">
        <v>66959.562099999996</v>
      </c>
      <c r="I81" s="37">
        <v>49131.168100000003</v>
      </c>
    </row>
    <row r="82" spans="2:9">
      <c r="B82" s="160" t="s">
        <v>154</v>
      </c>
      <c r="C82" t="s">
        <v>56</v>
      </c>
      <c r="D82" s="37">
        <v>9726.8507000000009</v>
      </c>
      <c r="E82" s="37">
        <v>12981.243399999999</v>
      </c>
      <c r="F82" s="37">
        <v>14096.701300000001</v>
      </c>
      <c r="G82" s="37">
        <v>7830.3116</v>
      </c>
      <c r="H82" s="37">
        <v>7817.7934999999998</v>
      </c>
      <c r="I82" s="37">
        <v>14870.1386</v>
      </c>
    </row>
    <row r="83" spans="2:9">
      <c r="B83" s="160" t="s">
        <v>155</v>
      </c>
      <c r="C83" s="160"/>
      <c r="D83" s="37">
        <v>1117.2760000000001</v>
      </c>
      <c r="E83" s="37">
        <v>1283.5056999999999</v>
      </c>
      <c r="F83" s="37">
        <v>1448.4872</v>
      </c>
      <c r="G83" s="37">
        <v>1606.9704999999999</v>
      </c>
      <c r="H83" s="37">
        <v>1944.8257000000001</v>
      </c>
      <c r="I83" s="37">
        <v>1197.6802</v>
      </c>
    </row>
    <row r="84" spans="2:9">
      <c r="B84" s="160" t="s">
        <v>156</v>
      </c>
      <c r="C84" s="160"/>
      <c r="D84" s="37">
        <v>1900.4094</v>
      </c>
      <c r="E84" s="37">
        <v>1720.3171</v>
      </c>
      <c r="F84" s="37">
        <v>2110.8415</v>
      </c>
      <c r="G84" s="37">
        <v>1482.9967999999999</v>
      </c>
      <c r="H84" s="37">
        <v>2390.1839</v>
      </c>
      <c r="I84" s="37">
        <v>1884.1478</v>
      </c>
    </row>
    <row r="85" spans="2:9">
      <c r="B85" s="160" t="s">
        <v>157</v>
      </c>
      <c r="C85" s="160"/>
      <c r="D85" s="37">
        <v>9.6600000000000005E-2</v>
      </c>
      <c r="E85" s="37">
        <v>48.454799999999999</v>
      </c>
      <c r="F85" s="37">
        <v>1.9457</v>
      </c>
      <c r="G85" s="37">
        <v>33.924100000000003</v>
      </c>
      <c r="H85" s="37">
        <v>522.35910000000001</v>
      </c>
      <c r="I85" s="37">
        <v>881.83150000000001</v>
      </c>
    </row>
    <row r="86" spans="2:9">
      <c r="B86" s="160" t="s">
        <v>158</v>
      </c>
      <c r="C86" t="s">
        <v>56</v>
      </c>
      <c r="D86" s="37">
        <v>8317.9676999999992</v>
      </c>
      <c r="E86" s="37">
        <v>9663.5439000000006</v>
      </c>
      <c r="F86" s="37">
        <v>13449.893700000001</v>
      </c>
      <c r="G86" s="37">
        <v>11958.456700000001</v>
      </c>
      <c r="H86" s="37">
        <v>13814.7961</v>
      </c>
      <c r="I86" s="37">
        <v>11972.574500000001</v>
      </c>
    </row>
    <row r="87" spans="2:9">
      <c r="B87" s="160" t="s">
        <v>162</v>
      </c>
      <c r="C87" t="s">
        <v>56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</row>
    <row r="88" spans="2:9" ht="16" thickBot="1">
      <c r="B88" s="160" t="s">
        <v>159</v>
      </c>
      <c r="C88" s="160"/>
      <c r="D88" s="186">
        <v>0</v>
      </c>
      <c r="E88" s="186">
        <v>0</v>
      </c>
      <c r="F88" s="186">
        <v>0</v>
      </c>
      <c r="G88" s="186">
        <v>0</v>
      </c>
      <c r="H88" s="186">
        <v>0</v>
      </c>
      <c r="I88" s="186">
        <v>0</v>
      </c>
    </row>
    <row r="89" spans="2:9">
      <c r="B89" s="160" t="s">
        <v>163</v>
      </c>
      <c r="C89" t="s">
        <v>56</v>
      </c>
      <c r="D89" s="162">
        <f t="shared" ref="D89:I89" si="11">SUM(D81:D88)</f>
        <v>103149.7172</v>
      </c>
      <c r="E89" s="162">
        <f t="shared" si="11"/>
        <v>80247.257100000003</v>
      </c>
      <c r="F89" s="162">
        <f t="shared" si="11"/>
        <v>78293.036699999997</v>
      </c>
      <c r="G89" s="162">
        <f t="shared" si="11"/>
        <v>84315.021999999983</v>
      </c>
      <c r="H89" s="162">
        <f t="shared" si="11"/>
        <v>93449.520400000009</v>
      </c>
      <c r="I89" s="162">
        <f t="shared" si="11"/>
        <v>79937.540700000012</v>
      </c>
    </row>
    <row r="90" spans="2:9" ht="16" thickBot="1">
      <c r="B90" s="160"/>
      <c r="C90" s="160"/>
      <c r="D90" s="185"/>
      <c r="E90" s="185"/>
      <c r="F90" s="185"/>
      <c r="G90" s="185"/>
      <c r="H90" s="185"/>
      <c r="I90" s="185"/>
    </row>
    <row r="91" spans="2:9" s="1" customFormat="1" ht="16" thickBot="1">
      <c r="B91" s="1" t="s">
        <v>164</v>
      </c>
      <c r="C91" t="s">
        <v>56</v>
      </c>
      <c r="D91" s="188">
        <f t="shared" ref="D91:I91" si="12">D89</f>
        <v>103149.7172</v>
      </c>
      <c r="E91" s="188">
        <f t="shared" si="12"/>
        <v>80247.257100000003</v>
      </c>
      <c r="F91" s="188">
        <f t="shared" si="12"/>
        <v>78293.036699999997</v>
      </c>
      <c r="G91" s="188">
        <f t="shared" si="12"/>
        <v>84315.021999999983</v>
      </c>
      <c r="H91" s="188">
        <f t="shared" si="12"/>
        <v>93449.520400000009</v>
      </c>
      <c r="I91" s="188">
        <f t="shared" si="12"/>
        <v>79937.540700000012</v>
      </c>
    </row>
    <row r="92" spans="2:9" s="1" customFormat="1">
      <c r="D92" s="46"/>
      <c r="E92" s="46"/>
      <c r="F92" s="46"/>
      <c r="G92" s="46"/>
      <c r="H92" s="46"/>
      <c r="I92" s="46"/>
    </row>
    <row r="93" spans="2:9" s="1" customFormat="1">
      <c r="B93" s="166" t="s">
        <v>165</v>
      </c>
      <c r="C93" s="166"/>
      <c r="D93" s="166"/>
      <c r="E93" s="166"/>
      <c r="F93" s="166"/>
      <c r="G93" s="166"/>
      <c r="H93" s="166"/>
      <c r="I93" s="166"/>
    </row>
    <row r="94" spans="2:9" s="1" customFormat="1">
      <c r="B94" s="166" t="s">
        <v>166</v>
      </c>
      <c r="C94" s="166"/>
      <c r="D94" s="46"/>
      <c r="E94" s="46"/>
      <c r="F94" s="46"/>
      <c r="G94" s="46"/>
      <c r="H94" s="46"/>
      <c r="I94" s="46"/>
    </row>
    <row r="95" spans="2:9">
      <c r="B95" s="160" t="s">
        <v>167</v>
      </c>
      <c r="C95" t="s">
        <v>56</v>
      </c>
      <c r="D95" s="37">
        <v>7082.8198000000002</v>
      </c>
      <c r="E95" s="37">
        <v>7355.6550999999999</v>
      </c>
      <c r="F95" s="37">
        <v>9207.0416999999998</v>
      </c>
      <c r="G95" s="37">
        <v>10566.873900000001</v>
      </c>
      <c r="H95" s="37">
        <v>11333.4521</v>
      </c>
      <c r="I95" s="37">
        <v>11878.3971</v>
      </c>
    </row>
    <row r="96" spans="2:9">
      <c r="B96" s="160" t="s">
        <v>129</v>
      </c>
      <c r="C96" t="s">
        <v>56</v>
      </c>
      <c r="D96" s="37">
        <v>489.18090000000001</v>
      </c>
      <c r="E96" s="37">
        <v>2257.4124999999999</v>
      </c>
      <c r="F96" s="37">
        <v>2515.7053000000001</v>
      </c>
      <c r="G96" s="37">
        <v>2126.2489</v>
      </c>
      <c r="H96" s="37">
        <v>1412.1474000000001</v>
      </c>
      <c r="I96" s="37">
        <v>2230.5079999999998</v>
      </c>
    </row>
    <row r="97" spans="2:9">
      <c r="B97" s="160" t="s">
        <v>153</v>
      </c>
      <c r="C97" t="s">
        <v>56</v>
      </c>
      <c r="D97" s="37">
        <v>5320.2802000000001</v>
      </c>
      <c r="E97" s="37">
        <v>4641.6007</v>
      </c>
      <c r="F97" s="37">
        <v>4209.7739000000001</v>
      </c>
      <c r="G97" s="37">
        <v>728.31619999999998</v>
      </c>
      <c r="H97" s="37">
        <v>132.88200000000001</v>
      </c>
      <c r="I97" s="37">
        <v>899.97289999999998</v>
      </c>
    </row>
    <row r="98" spans="2:9">
      <c r="B98" s="160" t="s">
        <v>168</v>
      </c>
      <c r="C98" t="s">
        <v>56</v>
      </c>
      <c r="D98" s="37">
        <v>3450.9866999999999</v>
      </c>
      <c r="E98" s="37">
        <v>4519.3981000000003</v>
      </c>
      <c r="F98" s="37">
        <v>5487.1504000000004</v>
      </c>
      <c r="G98" s="37">
        <v>6023.3190000000004</v>
      </c>
      <c r="H98" s="37">
        <v>6142.2061999999996</v>
      </c>
      <c r="I98" s="37">
        <v>6097.7190000000001</v>
      </c>
    </row>
    <row r="99" spans="2:9">
      <c r="B99" s="160" t="s">
        <v>169</v>
      </c>
      <c r="C99" t="s">
        <v>56</v>
      </c>
      <c r="D99" s="37">
        <v>3148.2438000000002</v>
      </c>
      <c r="E99" s="37">
        <v>3035.2759000000001</v>
      </c>
      <c r="F99" s="37">
        <v>3287.9131000000002</v>
      </c>
      <c r="G99" s="37">
        <v>3787.3746999999998</v>
      </c>
      <c r="H99" s="37">
        <v>4427.2001</v>
      </c>
      <c r="I99" s="37">
        <v>4221.1329999999998</v>
      </c>
    </row>
    <row r="100" spans="2:9">
      <c r="B100" s="160" t="s">
        <v>170</v>
      </c>
      <c r="C100" t="s">
        <v>56</v>
      </c>
      <c r="D100" s="37">
        <v>313.66140000000001</v>
      </c>
      <c r="E100" s="37">
        <v>511.16030000000001</v>
      </c>
      <c r="F100" s="37">
        <v>1089.9891</v>
      </c>
      <c r="G100" s="37">
        <v>962.75229999999999</v>
      </c>
      <c r="H100" s="37">
        <v>1082.5169000000001</v>
      </c>
      <c r="I100" s="37">
        <v>947.73569999999995</v>
      </c>
    </row>
    <row r="101" spans="2:9">
      <c r="B101" s="160" t="s">
        <v>171</v>
      </c>
      <c r="C101" t="s">
        <v>56</v>
      </c>
      <c r="D101" s="37">
        <v>2652.7202000000002</v>
      </c>
      <c r="E101" s="37">
        <v>3849.5345000000002</v>
      </c>
      <c r="F101" s="37">
        <v>4895.9762000000001</v>
      </c>
      <c r="G101" s="37">
        <v>6074.1569</v>
      </c>
      <c r="H101" s="37">
        <v>5755.0063</v>
      </c>
      <c r="I101" s="37">
        <v>5923.1795000000002</v>
      </c>
    </row>
    <row r="102" spans="2:9">
      <c r="B102" s="160" t="s">
        <v>172</v>
      </c>
      <c r="C102" t="s">
        <v>56</v>
      </c>
      <c r="D102" s="37">
        <v>6909.8636999999999</v>
      </c>
      <c r="E102" s="37">
        <v>6192.9180999999999</v>
      </c>
      <c r="F102" s="37">
        <v>6678.3966</v>
      </c>
      <c r="G102" s="37">
        <v>8204.0056000000004</v>
      </c>
      <c r="H102" s="37">
        <v>8567.6016</v>
      </c>
      <c r="I102" s="37">
        <v>8698.8562999999995</v>
      </c>
    </row>
    <row r="103" spans="2:9">
      <c r="B103" s="160" t="s">
        <v>173</v>
      </c>
      <c r="C103" t="s">
        <v>56</v>
      </c>
      <c r="D103" s="37">
        <v>11158.416999999999</v>
      </c>
      <c r="E103" s="37">
        <v>14335.433199999999</v>
      </c>
      <c r="F103" s="37">
        <v>16616.587200000002</v>
      </c>
      <c r="G103" s="37">
        <v>15182.884700000001</v>
      </c>
      <c r="H103" s="37">
        <v>15537.3195</v>
      </c>
      <c r="I103" s="37">
        <v>16239.9069</v>
      </c>
    </row>
    <row r="104" spans="2:9">
      <c r="B104" s="160" t="s">
        <v>174</v>
      </c>
      <c r="C104" t="s">
        <v>56</v>
      </c>
      <c r="D104" s="161">
        <v>408.97280000000001</v>
      </c>
      <c r="E104" s="161">
        <v>463.8655</v>
      </c>
      <c r="F104" s="161">
        <v>214.05600000000001</v>
      </c>
      <c r="G104" s="161">
        <v>474.78449999999998</v>
      </c>
      <c r="H104" s="161">
        <v>1236.7454</v>
      </c>
      <c r="I104" s="161">
        <v>1191.1047000000001</v>
      </c>
    </row>
    <row r="105" spans="2:9">
      <c r="B105" s="160" t="s">
        <v>175</v>
      </c>
      <c r="C105" t="s">
        <v>56</v>
      </c>
      <c r="D105" s="37">
        <v>200.86850000000001</v>
      </c>
      <c r="E105" s="37">
        <v>281.75569999999999</v>
      </c>
      <c r="F105" s="37">
        <v>270.00009999999997</v>
      </c>
      <c r="G105" s="37">
        <v>299.95310000000001</v>
      </c>
      <c r="H105" s="37">
        <v>309.3426</v>
      </c>
      <c r="I105" s="37">
        <v>300.00009999999997</v>
      </c>
    </row>
    <row r="106" spans="2:9">
      <c r="B106" s="160" t="s">
        <v>176</v>
      </c>
      <c r="C106" t="s">
        <v>56</v>
      </c>
      <c r="D106" s="161">
        <v>-37.542400000000001</v>
      </c>
      <c r="E106" s="161">
        <v>-54.218899999999998</v>
      </c>
      <c r="F106" s="161">
        <v>-539.1893</v>
      </c>
      <c r="G106" s="161">
        <v>-152.67429999999999</v>
      </c>
      <c r="H106" s="161">
        <v>-2321.9998000000001</v>
      </c>
      <c r="I106" s="161">
        <v>-126.2453</v>
      </c>
    </row>
    <row r="107" spans="2:9">
      <c r="B107" s="160" t="s">
        <v>177</v>
      </c>
      <c r="C107" t="s">
        <v>56</v>
      </c>
      <c r="D107" s="37">
        <v>4679.7433000000001</v>
      </c>
      <c r="E107" s="37">
        <v>7960.5747000000001</v>
      </c>
      <c r="F107" s="37">
        <v>12095.8405</v>
      </c>
      <c r="G107" s="37">
        <v>8534.1044999999995</v>
      </c>
      <c r="H107" s="37">
        <v>6979.5375000000004</v>
      </c>
      <c r="I107" s="37">
        <v>7620.5226000000002</v>
      </c>
    </row>
    <row r="108" spans="2:9" ht="16" thickBot="1">
      <c r="B108" s="160" t="s">
        <v>178</v>
      </c>
      <c r="C108" t="s">
        <v>56</v>
      </c>
      <c r="D108" s="186">
        <v>0</v>
      </c>
      <c r="E108" s="186">
        <v>0</v>
      </c>
      <c r="F108" s="186">
        <v>0</v>
      </c>
      <c r="G108" s="186">
        <v>0</v>
      </c>
      <c r="H108" s="186">
        <v>0</v>
      </c>
      <c r="I108" s="186">
        <v>0</v>
      </c>
    </row>
    <row r="109" spans="2:9" s="1" customFormat="1">
      <c r="B109" s="166" t="s">
        <v>179</v>
      </c>
      <c r="C109" t="s">
        <v>56</v>
      </c>
      <c r="D109" s="162">
        <f t="shared" ref="D109:I109" si="13">SUM(D95:D108)</f>
        <v>45778.21590000001</v>
      </c>
      <c r="E109" s="162">
        <f t="shared" si="13"/>
        <v>55350.365400000002</v>
      </c>
      <c r="F109" s="162">
        <f t="shared" si="13"/>
        <v>66029.2408</v>
      </c>
      <c r="G109" s="162">
        <f t="shared" si="13"/>
        <v>62812.100000000006</v>
      </c>
      <c r="H109" s="162">
        <f t="shared" si="13"/>
        <v>60593.957799999996</v>
      </c>
      <c r="I109" s="162">
        <f t="shared" si="13"/>
        <v>66122.790500000003</v>
      </c>
    </row>
    <row r="110" spans="2:9">
      <c r="B110" s="160"/>
      <c r="C110" s="160"/>
    </row>
    <row r="111" spans="2:9" s="1" customFormat="1" ht="16" thickBot="1">
      <c r="B111" s="166" t="s">
        <v>180</v>
      </c>
      <c r="C111" s="166"/>
      <c r="D111" s="188"/>
      <c r="E111" s="188"/>
      <c r="F111" s="188"/>
      <c r="G111" s="188"/>
      <c r="H111" s="188"/>
      <c r="I111" s="188"/>
    </row>
    <row r="112" spans="2:9" s="1" customFormat="1" ht="16" thickBot="1">
      <c r="B112" s="166" t="s">
        <v>181</v>
      </c>
      <c r="C112" t="s">
        <v>56</v>
      </c>
      <c r="D112" s="189">
        <v>7589</v>
      </c>
      <c r="E112" s="189">
        <v>8852</v>
      </c>
      <c r="F112" s="189">
        <v>8893</v>
      </c>
      <c r="G112" s="189">
        <v>9128</v>
      </c>
      <c r="H112" s="189">
        <v>9673</v>
      </c>
      <c r="I112" s="189">
        <v>9674</v>
      </c>
    </row>
    <row r="113" spans="1:9" ht="16" thickBot="1">
      <c r="B113" s="160"/>
      <c r="C113" s="160"/>
      <c r="D113" s="190"/>
      <c r="E113" s="190"/>
      <c r="F113" s="190"/>
      <c r="G113" s="190"/>
      <c r="H113" s="190"/>
      <c r="I113" s="190"/>
    </row>
    <row r="114" spans="1:9" s="1" customFormat="1" ht="16" thickBot="1">
      <c r="B114" s="1" t="s">
        <v>182</v>
      </c>
      <c r="C114" t="s">
        <v>56</v>
      </c>
      <c r="D114" s="187">
        <f t="shared" ref="D114:I114" si="14">D109+D112</f>
        <v>53367.21590000001</v>
      </c>
      <c r="E114" s="187">
        <f t="shared" si="14"/>
        <v>64202.365400000002</v>
      </c>
      <c r="F114" s="187">
        <f t="shared" si="14"/>
        <v>74922.2408</v>
      </c>
      <c r="G114" s="187">
        <f t="shared" si="14"/>
        <v>71940.100000000006</v>
      </c>
      <c r="H114" s="187">
        <f t="shared" si="14"/>
        <v>70266.957800000004</v>
      </c>
      <c r="I114" s="187">
        <f t="shared" si="14"/>
        <v>75796.790500000003</v>
      </c>
    </row>
    <row r="115" spans="1:9" s="1" customFormat="1" ht="16" thickBot="1">
      <c r="B115" s="166" t="s">
        <v>183</v>
      </c>
      <c r="C115" t="s">
        <v>56</v>
      </c>
      <c r="D115" s="191">
        <f>D112+D109+D91+D78-D108-D88-D75</f>
        <v>514184.78670000006</v>
      </c>
      <c r="E115" s="191">
        <f>E112+E109+E91+E78</f>
        <v>483616.23090000002</v>
      </c>
      <c r="F115" s="191">
        <f>F112+F109+F91+F78</f>
        <v>558457.82010000001</v>
      </c>
      <c r="G115" s="191">
        <f>G112+G109+G91+G78</f>
        <v>614721.66259999992</v>
      </c>
      <c r="H115" s="191">
        <f>H112+H109+H91+H78</f>
        <v>623480.54370000004</v>
      </c>
      <c r="I115" s="191">
        <f>I112+I109+I91+I78</f>
        <v>628253.83259999997</v>
      </c>
    </row>
    <row r="116" spans="1:9" s="1" customFormat="1" ht="17" thickTop="1" thickBot="1">
      <c r="B116" s="166" t="s">
        <v>184</v>
      </c>
      <c r="C116" t="s">
        <v>56</v>
      </c>
      <c r="D116" s="192">
        <f t="shared" ref="D116:I116" si="15">D112+D109+D91+D78</f>
        <v>514184.78670000006</v>
      </c>
      <c r="E116" s="192">
        <f t="shared" si="15"/>
        <v>483616.23090000002</v>
      </c>
      <c r="F116" s="192">
        <f t="shared" si="15"/>
        <v>558457.82010000001</v>
      </c>
      <c r="G116" s="192">
        <f t="shared" si="15"/>
        <v>614721.66259999992</v>
      </c>
      <c r="H116" s="192">
        <f t="shared" si="15"/>
        <v>623480.54370000004</v>
      </c>
      <c r="I116" s="192">
        <f t="shared" si="15"/>
        <v>628253.83259999997</v>
      </c>
    </row>
    <row r="117" spans="1:9" s="1" customFormat="1" ht="16" thickTop="1">
      <c r="B117" s="28" t="s">
        <v>185</v>
      </c>
      <c r="C117" s="199" t="s">
        <v>53</v>
      </c>
      <c r="D117" s="198">
        <f t="shared" ref="D117:I117" si="16">D116/D9</f>
        <v>134.97782336075693</v>
      </c>
      <c r="E117" s="198">
        <f t="shared" si="16"/>
        <v>144.95229671109712</v>
      </c>
      <c r="F117" s="198">
        <f t="shared" si="16"/>
        <v>136.0829336106346</v>
      </c>
      <c r="G117" s="198">
        <f t="shared" si="16"/>
        <v>145.64931255567978</v>
      </c>
      <c r="H117" s="198">
        <f t="shared" si="16"/>
        <v>168.4590832135485</v>
      </c>
      <c r="I117" s="198">
        <f t="shared" si="16"/>
        <v>147.37336467583452</v>
      </c>
    </row>
    <row r="118" spans="1:9">
      <c r="A118" s="1"/>
    </row>
    <row r="119" spans="1:9">
      <c r="B119" t="s">
        <v>186</v>
      </c>
      <c r="C119" t="s">
        <v>56</v>
      </c>
      <c r="D119" s="118">
        <v>226776.33350000001</v>
      </c>
      <c r="E119" s="118">
        <v>353258.46790000005</v>
      </c>
      <c r="F119" s="118">
        <v>513003.72660000005</v>
      </c>
      <c r="G119" s="118">
        <v>405286.98060000001</v>
      </c>
      <c r="H119" s="118">
        <v>242227.23579999999</v>
      </c>
      <c r="I119" s="118">
        <v>357444.17810000002</v>
      </c>
    </row>
    <row r="120" spans="1:9" ht="16" thickBot="1">
      <c r="B120" t="s">
        <v>187</v>
      </c>
      <c r="C120" t="s">
        <v>56</v>
      </c>
      <c r="D120" s="183">
        <f t="shared" ref="D120:I120" si="17">D159*D20</f>
        <v>159759.97378962534</v>
      </c>
      <c r="E120" s="183">
        <f t="shared" si="17"/>
        <v>167664.0245267555</v>
      </c>
      <c r="F120" s="183">
        <f t="shared" si="17"/>
        <v>392006.93874139746</v>
      </c>
      <c r="G120" s="183">
        <f t="shared" si="17"/>
        <v>382014.07383966498</v>
      </c>
      <c r="H120" s="183">
        <f t="shared" si="17"/>
        <v>285215.39488302061</v>
      </c>
      <c r="I120" s="183">
        <f t="shared" si="17"/>
        <v>411610.50262608309</v>
      </c>
    </row>
    <row r="121" spans="1:9" ht="16" thickBot="1">
      <c r="B121" t="s">
        <v>188</v>
      </c>
      <c r="C121" t="s">
        <v>56</v>
      </c>
      <c r="D121" s="193">
        <f t="shared" ref="D121:I121" si="18">D119+D120</f>
        <v>386536.30728962534</v>
      </c>
      <c r="E121" s="193">
        <f t="shared" si="18"/>
        <v>520922.49242675555</v>
      </c>
      <c r="F121" s="193">
        <f t="shared" si="18"/>
        <v>905010.66534139751</v>
      </c>
      <c r="G121" s="193">
        <f t="shared" si="18"/>
        <v>787301.05443966505</v>
      </c>
      <c r="H121" s="193">
        <f t="shared" si="18"/>
        <v>527442.63068302057</v>
      </c>
      <c r="I121" s="193">
        <f t="shared" si="18"/>
        <v>769054.68072608311</v>
      </c>
    </row>
    <row r="122" spans="1:9" ht="16" thickBot="1"/>
    <row r="123" spans="1:9" ht="17" thickTop="1" thickBot="1">
      <c r="B123" s="1" t="s">
        <v>189</v>
      </c>
      <c r="C123" t="s">
        <v>56</v>
      </c>
      <c r="D123" s="192">
        <f t="shared" ref="D123:I123" si="19">D115+D121</f>
        <v>900721.09398962534</v>
      </c>
      <c r="E123" s="192">
        <f t="shared" si="19"/>
        <v>1004538.7233267556</v>
      </c>
      <c r="F123" s="192">
        <f t="shared" si="19"/>
        <v>1463468.4854413974</v>
      </c>
      <c r="G123" s="192">
        <f t="shared" si="19"/>
        <v>1402022.717039665</v>
      </c>
      <c r="H123" s="192">
        <f t="shared" si="19"/>
        <v>1150923.1743830205</v>
      </c>
      <c r="I123" s="192">
        <f t="shared" si="19"/>
        <v>1397308.5133260831</v>
      </c>
    </row>
    <row r="124" spans="1:9" ht="16" thickTop="1">
      <c r="B124" s="1" t="s">
        <v>190</v>
      </c>
      <c r="C124" s="56" t="s">
        <v>53</v>
      </c>
      <c r="D124" s="167">
        <f t="shared" ref="D124:I124" si="20">D123/D20</f>
        <v>238.26640849503082</v>
      </c>
      <c r="E124" s="167">
        <f t="shared" si="20"/>
        <v>310.51242524982223</v>
      </c>
      <c r="F124" s="167">
        <f t="shared" si="20"/>
        <v>366.39916409053774</v>
      </c>
      <c r="G124" s="167">
        <f t="shared" si="20"/>
        <v>334.64359454658103</v>
      </c>
      <c r="H124" s="167">
        <f t="shared" si="20"/>
        <v>342.93253270357462</v>
      </c>
      <c r="I124" s="167">
        <f t="shared" si="20"/>
        <v>327.81970137153411</v>
      </c>
    </row>
    <row r="126" spans="1:9">
      <c r="B126" t="s">
        <v>191</v>
      </c>
      <c r="C126" t="s">
        <v>56</v>
      </c>
      <c r="D126" s="118">
        <f t="shared" ref="D126:I126" si="21">D29-D123</f>
        <v>600209.87054604059</v>
      </c>
      <c r="E126" s="118">
        <f t="shared" si="21"/>
        <v>673611.09315739444</v>
      </c>
      <c r="F126" s="118">
        <f t="shared" si="21"/>
        <v>609953.30616257503</v>
      </c>
      <c r="G126" s="118">
        <f t="shared" si="21"/>
        <v>557210.83207784896</v>
      </c>
      <c r="H126" s="118">
        <f t="shared" si="21"/>
        <v>445709.21905180323</v>
      </c>
      <c r="I126" s="118">
        <f t="shared" si="21"/>
        <v>606669.74674854358</v>
      </c>
    </row>
    <row r="128" spans="1:9" s="1" customFormat="1">
      <c r="B128" s="1" t="s">
        <v>192</v>
      </c>
      <c r="D128" s="194"/>
      <c r="E128" s="194"/>
      <c r="F128" s="194"/>
      <c r="G128" s="194"/>
      <c r="H128" s="194"/>
      <c r="I128" s="194"/>
    </row>
    <row r="129" spans="1:9">
      <c r="B129" t="s">
        <v>193</v>
      </c>
      <c r="C129" t="s">
        <v>56</v>
      </c>
      <c r="D129" s="41">
        <v>10985.8166</v>
      </c>
      <c r="E129" s="41">
        <v>13727.577799999999</v>
      </c>
      <c r="F129" s="41">
        <v>18948.929800000002</v>
      </c>
      <c r="G129" s="41">
        <v>22287.919900000001</v>
      </c>
      <c r="H129" s="41">
        <v>16781.482400000001</v>
      </c>
      <c r="I129" s="41">
        <v>29511.333900000001</v>
      </c>
    </row>
    <row r="130" spans="1:9">
      <c r="B130" t="s">
        <v>194</v>
      </c>
      <c r="C130" t="s">
        <v>56</v>
      </c>
      <c r="D130" s="41"/>
      <c r="E130" s="41"/>
      <c r="F130" s="41"/>
      <c r="G130" s="41"/>
      <c r="H130" s="41"/>
      <c r="I130" s="41"/>
    </row>
    <row r="131" spans="1:9">
      <c r="B131" t="s">
        <v>195</v>
      </c>
      <c r="C131" t="s">
        <v>56</v>
      </c>
      <c r="D131" s="195">
        <v>0</v>
      </c>
      <c r="E131" s="195">
        <v>0</v>
      </c>
      <c r="F131" s="41">
        <v>0</v>
      </c>
      <c r="G131" s="41">
        <v>9575.9894999999997</v>
      </c>
      <c r="H131" s="41">
        <v>8131.0475999999999</v>
      </c>
      <c r="I131" s="41">
        <v>26598.2958</v>
      </c>
    </row>
    <row r="132" spans="1:9" ht="16" thickBot="1">
      <c r="B132" t="s">
        <v>196</v>
      </c>
      <c r="C132" t="s">
        <v>56</v>
      </c>
      <c r="D132" s="196"/>
      <c r="E132" s="196"/>
      <c r="F132" s="196"/>
      <c r="G132" s="196"/>
      <c r="H132" s="196"/>
      <c r="I132" s="196"/>
    </row>
    <row r="133" spans="1:9" s="1" customFormat="1">
      <c r="B133" s="1" t="s">
        <v>197</v>
      </c>
      <c r="C133" s="1" t="s">
        <v>56</v>
      </c>
      <c r="D133" s="194">
        <f t="shared" ref="D133:I133" si="22">SUM(D129:D132)</f>
        <v>10985.8166</v>
      </c>
      <c r="E133" s="194">
        <f t="shared" si="22"/>
        <v>13727.577799999999</v>
      </c>
      <c r="F133" s="194">
        <f t="shared" si="22"/>
        <v>18948.929800000002</v>
      </c>
      <c r="G133" s="194">
        <f t="shared" si="22"/>
        <v>31863.9094</v>
      </c>
      <c r="H133" s="194">
        <f t="shared" si="22"/>
        <v>24912.53</v>
      </c>
      <c r="I133" s="194">
        <f t="shared" si="22"/>
        <v>56109.629700000005</v>
      </c>
    </row>
    <row r="134" spans="1:9">
      <c r="B134" t="s">
        <v>198</v>
      </c>
      <c r="D134" s="41"/>
      <c r="E134" s="41"/>
      <c r="F134" s="41"/>
      <c r="G134" s="41"/>
      <c r="H134" s="41"/>
      <c r="I134" s="41"/>
    </row>
    <row r="135" spans="1:9">
      <c r="D135" s="41"/>
      <c r="E135" s="41"/>
      <c r="F135" s="41"/>
      <c r="G135" s="41"/>
      <c r="H135" s="41"/>
      <c r="I135" s="41"/>
    </row>
    <row r="136" spans="1:9" s="1" customFormat="1">
      <c r="B136" s="1" t="s">
        <v>199</v>
      </c>
      <c r="D136" s="194"/>
      <c r="E136" s="194"/>
      <c r="F136" s="194"/>
      <c r="G136" s="194"/>
      <c r="H136" s="194"/>
      <c r="I136" s="194"/>
    </row>
    <row r="137" spans="1:9">
      <c r="B137" t="s">
        <v>200</v>
      </c>
      <c r="C137" t="s">
        <v>56</v>
      </c>
      <c r="D137" s="41"/>
      <c r="E137" s="41"/>
      <c r="F137" s="41"/>
      <c r="G137" s="41"/>
      <c r="H137" s="41"/>
      <c r="I137" s="41"/>
    </row>
    <row r="138" spans="1:9">
      <c r="B138" t="s">
        <v>201</v>
      </c>
      <c r="C138" t="s">
        <v>56</v>
      </c>
      <c r="D138" s="41"/>
      <c r="E138" s="41"/>
      <c r="F138" s="41"/>
      <c r="G138" s="41"/>
      <c r="H138" s="41"/>
      <c r="I138" s="41"/>
    </row>
    <row r="139" spans="1:9" ht="16" thickBot="1">
      <c r="B139" t="s">
        <v>202</v>
      </c>
      <c r="C139" t="s">
        <v>203</v>
      </c>
      <c r="D139" s="196">
        <v>66748.627829999998</v>
      </c>
      <c r="E139" s="196">
        <v>114062.24223</v>
      </c>
      <c r="F139" s="196">
        <v>108262.84918</v>
      </c>
      <c r="G139" s="196">
        <v>86541.439339999997</v>
      </c>
      <c r="H139" s="196">
        <v>69736.494479999994</v>
      </c>
      <c r="I139" s="196">
        <v>89084.888930000001</v>
      </c>
    </row>
    <row r="140" spans="1:9" s="1" customFormat="1" ht="16" thickBot="1">
      <c r="B140" s="1" t="s">
        <v>204</v>
      </c>
      <c r="C140" s="1" t="s">
        <v>56</v>
      </c>
      <c r="D140" s="197">
        <f t="shared" ref="D140:I140" si="23">SUM(D137:D139)</f>
        <v>66748.627829999998</v>
      </c>
      <c r="E140" s="197">
        <f t="shared" si="23"/>
        <v>114062.24223</v>
      </c>
      <c r="F140" s="197">
        <f t="shared" si="23"/>
        <v>108262.84918</v>
      </c>
      <c r="G140" s="197">
        <f t="shared" si="23"/>
        <v>86541.439339999997</v>
      </c>
      <c r="H140" s="197">
        <f t="shared" si="23"/>
        <v>69736.494479999994</v>
      </c>
      <c r="I140" s="197">
        <f t="shared" si="23"/>
        <v>89084.888930000001</v>
      </c>
    </row>
    <row r="141" spans="1:9">
      <c r="B141" t="s">
        <v>205</v>
      </c>
      <c r="C141" t="s">
        <v>56</v>
      </c>
      <c r="D141" s="41">
        <v>15869.7</v>
      </c>
      <c r="E141" s="41">
        <v>8864.5888888888894</v>
      </c>
      <c r="F141" s="41">
        <v>10083.301388888889</v>
      </c>
      <c r="G141" s="41">
        <v>7154.2426587301588</v>
      </c>
      <c r="H141" s="41">
        <v>6717.959556878307</v>
      </c>
      <c r="I141" s="41">
        <v>6718.9595568783097</v>
      </c>
    </row>
    <row r="142" spans="1:9">
      <c r="D142" s="41"/>
      <c r="E142" s="41"/>
      <c r="F142" s="41"/>
      <c r="G142" s="41"/>
      <c r="H142" s="41"/>
      <c r="I142" s="41"/>
    </row>
    <row r="143" spans="1:9" s="1" customFormat="1">
      <c r="B143" s="1" t="s">
        <v>55</v>
      </c>
      <c r="C143" s="1" t="s">
        <v>56</v>
      </c>
      <c r="D143" s="194">
        <f t="shared" ref="D143:I143" si="24">D126-(D133+D140)</f>
        <v>522475.42611604056</v>
      </c>
      <c r="E143" s="194">
        <f t="shared" si="24"/>
        <v>545821.2731273945</v>
      </c>
      <c r="F143" s="194">
        <f t="shared" si="24"/>
        <v>482741.52718257502</v>
      </c>
      <c r="G143" s="194">
        <f t="shared" si="24"/>
        <v>438805.48333784897</v>
      </c>
      <c r="H143" s="194">
        <f t="shared" si="24"/>
        <v>351060.19457180321</v>
      </c>
      <c r="I143" s="194">
        <f t="shared" si="24"/>
        <v>461475.22811854357</v>
      </c>
    </row>
    <row r="144" spans="1:9">
      <c r="A144" s="171">
        <v>0.3</v>
      </c>
      <c r="B144" t="s">
        <v>206</v>
      </c>
      <c r="C144" t="s">
        <v>56</v>
      </c>
      <c r="D144" s="41">
        <f t="shared" ref="D144:I144" si="25">IF((D126-D133-D141)*$A$144&gt;0,(D126-D133-D141)*$A$144,0)</f>
        <v>172006.30618381218</v>
      </c>
      <c r="E144" s="41">
        <f t="shared" si="25"/>
        <v>195305.67794055166</v>
      </c>
      <c r="F144" s="41">
        <f t="shared" si="25"/>
        <v>174276.32249210583</v>
      </c>
      <c r="G144" s="41">
        <f t="shared" si="25"/>
        <v>155457.80400573564</v>
      </c>
      <c r="H144" s="41">
        <f t="shared" si="25"/>
        <v>124223.61884847746</v>
      </c>
      <c r="I144" s="41">
        <f t="shared" si="25"/>
        <v>163152.34724749957</v>
      </c>
    </row>
    <row r="145" spans="1:9">
      <c r="C145" s="118"/>
      <c r="D145" s="41"/>
      <c r="E145" s="41"/>
      <c r="F145" s="41"/>
      <c r="G145" s="41"/>
      <c r="H145" s="41"/>
      <c r="I145" s="41"/>
    </row>
    <row r="146" spans="1:9">
      <c r="C146" s="118"/>
      <c r="D146" s="41"/>
      <c r="E146" s="41"/>
      <c r="F146" s="41"/>
      <c r="G146" s="41"/>
      <c r="H146" s="41"/>
      <c r="I146" s="41"/>
    </row>
    <row r="147" spans="1:9" s="1" customFormat="1">
      <c r="B147" s="1" t="s">
        <v>207</v>
      </c>
      <c r="C147" s="1" t="s">
        <v>56</v>
      </c>
      <c r="D147" s="194">
        <f t="shared" ref="D147:I147" si="26">D143-D144</f>
        <v>350469.11993222835</v>
      </c>
      <c r="E147" s="194">
        <f t="shared" si="26"/>
        <v>350515.59518684284</v>
      </c>
      <c r="F147" s="194">
        <f t="shared" si="26"/>
        <v>308465.2046904692</v>
      </c>
      <c r="G147" s="194">
        <f t="shared" si="26"/>
        <v>283347.67933211336</v>
      </c>
      <c r="H147" s="194">
        <f t="shared" si="26"/>
        <v>226836.57572332575</v>
      </c>
      <c r="I147" s="194">
        <f t="shared" si="26"/>
        <v>298322.88087104401</v>
      </c>
    </row>
    <row r="148" spans="1:9">
      <c r="A148" s="34">
        <v>0.6</v>
      </c>
      <c r="B148" t="s">
        <v>208</v>
      </c>
      <c r="C148" t="s">
        <v>56</v>
      </c>
      <c r="D148" s="194">
        <f t="shared" ref="D148:I148" si="27">D147*$A$148</f>
        <v>210281.47195933701</v>
      </c>
      <c r="E148" s="194">
        <f t="shared" si="27"/>
        <v>210309.3571121057</v>
      </c>
      <c r="F148" s="194">
        <f t="shared" si="27"/>
        <v>185079.12281428152</v>
      </c>
      <c r="G148" s="194">
        <f t="shared" si="27"/>
        <v>170008.607599268</v>
      </c>
      <c r="H148" s="194">
        <f t="shared" si="27"/>
        <v>136101.94543399545</v>
      </c>
      <c r="I148" s="194">
        <f t="shared" si="27"/>
        <v>178993.72852262639</v>
      </c>
    </row>
    <row r="151" spans="1:9">
      <c r="B151" s="235" t="s">
        <v>209</v>
      </c>
      <c r="C151" s="202"/>
      <c r="D151" s="202"/>
      <c r="E151" s="202"/>
      <c r="F151" s="202"/>
      <c r="G151" s="202"/>
      <c r="H151" s="202"/>
      <c r="I151" s="202"/>
    </row>
    <row r="153" spans="1:9">
      <c r="B153" t="s">
        <v>210</v>
      </c>
      <c r="D153" s="167">
        <v>1</v>
      </c>
      <c r="E153" s="167">
        <v>1</v>
      </c>
      <c r="F153" s="167">
        <v>1</v>
      </c>
      <c r="G153" s="167">
        <v>1</v>
      </c>
      <c r="H153" s="167">
        <v>1</v>
      </c>
      <c r="I153" s="167">
        <v>1</v>
      </c>
    </row>
    <row r="154" spans="1:9">
      <c r="B154" t="s">
        <v>211</v>
      </c>
    </row>
    <row r="155" spans="1:9">
      <c r="B155" t="s">
        <v>212</v>
      </c>
      <c r="C155" t="s">
        <v>213</v>
      </c>
      <c r="D155" s="175">
        <f t="shared" ref="D155:I155" si="28">D153*D30</f>
        <v>394.00697929631224</v>
      </c>
      <c r="E155" s="175">
        <f t="shared" si="28"/>
        <v>502.9849177559596</v>
      </c>
      <c r="F155" s="175">
        <f t="shared" si="28"/>
        <v>505.24374421538602</v>
      </c>
      <c r="G155" s="175">
        <f t="shared" si="28"/>
        <v>464.21175131203296</v>
      </c>
      <c r="H155" s="175">
        <f t="shared" si="28"/>
        <v>431.39634739990049</v>
      </c>
      <c r="I155" s="175">
        <f t="shared" si="28"/>
        <v>470.08550302383355</v>
      </c>
    </row>
    <row r="156" spans="1:9">
      <c r="B156" t="s">
        <v>214</v>
      </c>
      <c r="C156" t="s">
        <v>43</v>
      </c>
      <c r="D156" s="177">
        <f>IF(D155&lt;Assumptions!D$29,Assumptions!D$35,IF(D155&lt;Assumptions!D$30,(Assumptions!D$42+(D155-Assumptions!D$29)*Assumptions!D$36)/D155,(Assumptions!D$43+(D155-Assumptions!D$30)*Assumptions!D$37)/D155))</f>
        <v>0.12652325850541962</v>
      </c>
      <c r="E156" s="177">
        <f>IF(E155&lt;Assumptions!E$29,Assumptions!E$35,IF(E155&lt;Assumptions!E$30,(Assumptions!E$42+(E155-Assumptions!E$29)*Assumptions!E$36)/E155,(Assumptions!E$43+(E155-Assumptions!E$30)*Assumptions!E$37)/E155))</f>
        <v>0.13160978654932959</v>
      </c>
      <c r="F156" s="177">
        <f>IF(F155&lt;Assumptions!F$29,Assumptions!F$35,IF(F155&lt;Assumptions!F$30,(Assumptions!F$42+(F155-Assumptions!F$29)*Assumptions!F$36)/F155,IF(F155&lt;Assumptions!F$31,(Assumptions!F$43+(F155-Assumptions!F$30)*Assumptions!F$37)/F155,IF(F155&lt;Assumptions!F$32,(Assumptions!F$44+(F155-Assumptions!F$31)*Assumptions!F$38)/F155,IF(F155&lt;Assumptions!F$33,(Assumptions!F$45+(F155-Assumptions!F$32)*Assumptions!F$39)/F155,(Assumptions!F$46+(F155-Assumptions!F$33)*Assumptions!F$40)/F155)))))</f>
        <v>0.26046338859775026</v>
      </c>
      <c r="G156" s="177">
        <f>IF(G155&lt;Assumptions!G$29,Assumptions!G$35,IF(G155&lt;Assumptions!G$30,(Assumptions!G$42+(G155-Assumptions!G$29)*Assumptions!G$36)/G155,IF(G155&lt;Assumptions!G$31,(Assumptions!G$43+(G155-Assumptions!G$30)*Assumptions!G$37)/G155,IF(G155&lt;Assumptions!G$32,(Assumptions!G$44+(G155-Assumptions!G$31)*Assumptions!G$38)/G155,IF(G155&lt;Assumptions!G$33,(Assumptions!G$45+(G155-Assumptions!G$32)*Assumptions!G$39)/G155,(Assumptions!G$46+(G155-Assumptions!G$33)*Assumptions!G$40)/G155)))))</f>
        <v>0.24812965246842394</v>
      </c>
      <c r="H156" s="177">
        <f>IF(H155&lt;Assumptions!H$29,Assumptions!H$35,IF(H155&lt;Assumptions!H$30,(Assumptions!H$42+(H155-Assumptions!H$29)*Assumptions!H$36)/H155,IF(H155&lt;Assumptions!H$31,(Assumptions!H$43+(H155-Assumptions!H$30)*Assumptions!H$37)/H155,IF(H155&lt;Assumptions!H$32,(Assumptions!H$44+(H155-Assumptions!H$31)*Assumptions!H$38)/H155,IF(H155&lt;Assumptions!H$33,(Assumptions!H$45+(H155-Assumptions!H$32)*Assumptions!H$39)/H155,(Assumptions!H$46+(H155-Assumptions!H$33)*Assumptions!H$40)/H155)))))</f>
        <v>0.236577197686268</v>
      </c>
      <c r="I156" s="177">
        <f>IF(I155&lt;Assumptions!I$29,Assumptions!I$35,IF(I155&lt;Assumptions!I$30,(Assumptions!I$42+(I155-Assumptions!I$29)*Assumptions!I$36)/I155,IF(I155&lt;Assumptions!I$31,(Assumptions!I$43+(I155-Assumptions!I$30)*Assumptions!I$37)/I155,IF(I155&lt;Assumptions!I$32,(Assumptions!I$44+(I155-Assumptions!I$31)*Assumptions!I$38)/I155,IF(I155&lt;Assumptions!I$33,(Assumptions!I$45+(I155-Assumptions!I$32)*Assumptions!I$39)/I155,(Assumptions!I$46+(I155-Assumptions!I$33)*Assumptions!I$40)/I155)))))</f>
        <v>0.25002728323569334</v>
      </c>
    </row>
    <row r="157" spans="1:9">
      <c r="B157" t="s">
        <v>215</v>
      </c>
      <c r="C157" t="s">
        <v>213</v>
      </c>
      <c r="D157" s="167">
        <f t="shared" ref="D157:I157" si="29">IFERROR((D119)/D20,0)</f>
        <v>59.988805497363771</v>
      </c>
      <c r="E157" s="167">
        <f t="shared" si="29"/>
        <v>109.19553528449219</v>
      </c>
      <c r="F157" s="167">
        <f t="shared" si="29"/>
        <v>128.43743372094468</v>
      </c>
      <c r="G157" s="167">
        <f t="shared" si="29"/>
        <v>96.736443969529077</v>
      </c>
      <c r="H157" s="167">
        <f t="shared" si="29"/>
        <v>72.174756153650591</v>
      </c>
      <c r="I157" s="167">
        <f t="shared" si="29"/>
        <v>83.859249839402068</v>
      </c>
    </row>
    <row r="158" spans="1:9">
      <c r="B158" t="s">
        <v>216</v>
      </c>
      <c r="C158" t="s">
        <v>213</v>
      </c>
      <c r="D158" s="118">
        <f t="shared" ref="D158:I158" si="30">(D155-D157)*D156</f>
        <v>42.261067749072538</v>
      </c>
      <c r="E158" s="118">
        <f t="shared" si="30"/>
        <v>51.826536572462139</v>
      </c>
      <c r="F158" s="118">
        <f t="shared" si="30"/>
        <v>98.144248476398218</v>
      </c>
      <c r="G158" s="118">
        <f t="shared" si="30"/>
        <v>91.181520301622768</v>
      </c>
      <c r="H158" s="118">
        <f t="shared" si="30"/>
        <v>84.983637405439822</v>
      </c>
      <c r="I158" s="118">
        <f t="shared" si="30"/>
        <v>96.567100798004461</v>
      </c>
    </row>
    <row r="159" spans="1:9">
      <c r="B159" t="s">
        <v>217</v>
      </c>
      <c r="C159" t="s">
        <v>213</v>
      </c>
      <c r="D159" s="118">
        <f t="shared" ref="D159:I159" si="31">D158/D153</f>
        <v>42.261067749072538</v>
      </c>
      <c r="E159" s="118">
        <f t="shared" si="31"/>
        <v>51.826536572462139</v>
      </c>
      <c r="F159" s="118">
        <f t="shared" si="31"/>
        <v>98.144248476398218</v>
      </c>
      <c r="G159" s="118">
        <f t="shared" si="31"/>
        <v>91.181520301622768</v>
      </c>
      <c r="H159" s="118">
        <f t="shared" si="31"/>
        <v>84.983637405439822</v>
      </c>
      <c r="I159" s="118">
        <f t="shared" si="31"/>
        <v>96.567100798004461</v>
      </c>
    </row>
    <row r="161" spans="2:9">
      <c r="B161" t="s">
        <v>218</v>
      </c>
      <c r="D161" s="118">
        <f t="shared" ref="D161:I161" si="32">D155*D156</f>
        <v>49.851046894446831</v>
      </c>
      <c r="E161" s="118">
        <f t="shared" si="32"/>
        <v>66.197737663393937</v>
      </c>
      <c r="F161" s="118">
        <f t="shared" si="32"/>
        <v>131.59749768615441</v>
      </c>
      <c r="G161" s="118">
        <f t="shared" si="32"/>
        <v>115.18470052481318</v>
      </c>
      <c r="H161" s="118">
        <f t="shared" si="32"/>
        <v>102.0585389599602</v>
      </c>
      <c r="I161" s="118">
        <f t="shared" si="32"/>
        <v>117.53420120953341</v>
      </c>
    </row>
    <row r="164" spans="2:9">
      <c r="H164" s="176"/>
      <c r="I164" s="176"/>
    </row>
    <row r="166" spans="2:9">
      <c r="H166" s="176"/>
      <c r="I166" s="176"/>
    </row>
    <row r="167" spans="2:9">
      <c r="H167" s="176"/>
      <c r="I167" s="176"/>
    </row>
    <row r="168" spans="2:9">
      <c r="H168" s="176"/>
      <c r="I168" s="176"/>
    </row>
    <row r="170" spans="2:9">
      <c r="D170" s="176"/>
    </row>
  </sheetData>
  <phoneticPr fontId="3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3D86-1B08-496F-95D7-4BE8D6689866}">
  <sheetPr>
    <tabColor theme="9"/>
    <pageSetUpPr fitToPage="1"/>
  </sheetPr>
  <dimension ref="A1:C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baseColWidth="10" defaultColWidth="8.83203125" defaultRowHeight="15"/>
  <cols>
    <col min="1" max="1" width="24.33203125" customWidth="1"/>
    <col min="2" max="3" width="25.5" bestFit="1" customWidth="1"/>
  </cols>
  <sheetData>
    <row r="1" spans="1:3">
      <c r="A1" s="15"/>
      <c r="B1" s="19" t="s">
        <v>219</v>
      </c>
      <c r="C1" s="19" t="s">
        <v>220</v>
      </c>
    </row>
    <row r="3" spans="1:3">
      <c r="A3" s="1" t="s">
        <v>221</v>
      </c>
      <c r="B3" s="156" t="s">
        <v>67</v>
      </c>
      <c r="C3" s="155" t="s">
        <v>67</v>
      </c>
    </row>
    <row r="4" spans="1:3">
      <c r="A4" s="1" t="s">
        <v>222</v>
      </c>
      <c r="B4" s="156" t="s">
        <v>67</v>
      </c>
      <c r="C4" s="155" t="s">
        <v>74</v>
      </c>
    </row>
    <row r="5" spans="1:3">
      <c r="A5" s="1" t="s">
        <v>223</v>
      </c>
      <c r="B5" s="156" t="s">
        <v>67</v>
      </c>
      <c r="C5" s="155" t="s">
        <v>67</v>
      </c>
    </row>
    <row r="6" spans="1:3">
      <c r="A6" s="1" t="s">
        <v>224</v>
      </c>
      <c r="B6" s="156">
        <v>3</v>
      </c>
      <c r="C6" s="155">
        <v>4</v>
      </c>
    </row>
    <row r="7" spans="1:3">
      <c r="A7" s="1" t="s">
        <v>225</v>
      </c>
      <c r="B7" s="156" t="s">
        <v>69</v>
      </c>
      <c r="C7" s="155" t="s">
        <v>76</v>
      </c>
    </row>
    <row r="8" spans="1:3">
      <c r="A8" s="1" t="s">
        <v>226</v>
      </c>
      <c r="B8" s="156" t="s">
        <v>68</v>
      </c>
      <c r="C8" s="155" t="s">
        <v>68</v>
      </c>
    </row>
    <row r="9" spans="1:3">
      <c r="A9" s="1" t="s">
        <v>227</v>
      </c>
      <c r="B9" s="156" t="s">
        <v>70</v>
      </c>
      <c r="C9" s="155" t="s">
        <v>77</v>
      </c>
    </row>
    <row r="10" spans="1:3">
      <c r="A10" s="1" t="s">
        <v>228</v>
      </c>
      <c r="B10" s="156" t="s">
        <v>71</v>
      </c>
      <c r="C10" s="155" t="s">
        <v>78</v>
      </c>
    </row>
  </sheetData>
  <pageMargins left="0.7" right="0.7" top="0.75" bottom="0.75" header="0.3" footer="0.3"/>
  <pageSetup paperSize="8" scale="69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15A4D7F-1907-423C-A1DE-EE03353F3FD6}">
          <x14:formula1>
            <xm:f>List!$C$1:$C$4</xm:f>
          </x14:formula1>
          <xm:sqref>B6:C6</xm:sqref>
        </x14:dataValidation>
        <x14:dataValidation type="list" allowBlank="1" showInputMessage="1" showErrorMessage="1" xr:uid="{E4910760-393C-4B45-869E-B9FEFE0FF19A}">
          <x14:formula1>
            <xm:f>List!$B$1:$B$3</xm:f>
          </x14:formula1>
          <xm:sqref>B3:C5</xm:sqref>
        </x14:dataValidation>
        <x14:dataValidation type="list" allowBlank="1" showInputMessage="1" showErrorMessage="1" xr:uid="{711207E1-C0E7-43B6-8FEB-C98BC6053CE1}">
          <x14:formula1>
            <xm:f>List!$D$1:$D$2</xm:f>
          </x14:formula1>
          <xm:sqref>B8:C8</xm:sqref>
        </x14:dataValidation>
        <x14:dataValidation type="list" allowBlank="1" showInputMessage="1" showErrorMessage="1" xr:uid="{830D7956-ACF3-4FD9-AE59-DA83FF6D03AB}">
          <x14:formula1>
            <xm:f>List!$F$1:$F$2</xm:f>
          </x14:formula1>
          <xm:sqref>B9:C9</xm:sqref>
        </x14:dataValidation>
        <x14:dataValidation type="list" allowBlank="1" showInputMessage="1" showErrorMessage="1" xr:uid="{38B3FE8E-1DE0-41DE-B581-6EBF884B7A92}">
          <x14:formula1>
            <xm:f>List!$G$1:$G$2</xm:f>
          </x14:formula1>
          <xm:sqref>B10:C10</xm:sqref>
        </x14:dataValidation>
        <x14:dataValidation type="list" allowBlank="1" showInputMessage="1" showErrorMessage="1" xr:uid="{08F4B751-3E95-4FF5-880D-A45CBBB374AC}">
          <x14:formula1>
            <xm:f>List!$E$1:$E$2</xm:f>
          </x14:formula1>
          <xm:sqref>B7:C7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  <pageSetUpPr fitToPage="1"/>
  </sheetPr>
  <dimension ref="A1:AI161"/>
  <sheetViews>
    <sheetView topLeftCell="A2" zoomScale="76" zoomScaleNormal="70" workbookViewId="0">
      <pane xSplit="3" ySplit="1" topLeftCell="H75" activePane="bottomRight" state="frozen"/>
      <selection pane="topRight" activeCell="D2" sqref="D2"/>
      <selection pane="bottomLeft" activeCell="A3" sqref="A3"/>
      <selection pane="bottomRight" activeCell="C92" sqref="C92"/>
    </sheetView>
  </sheetViews>
  <sheetFormatPr baseColWidth="10" defaultColWidth="8.83203125" defaultRowHeight="15" outlineLevelRow="1"/>
  <cols>
    <col min="1" max="1" width="40.5" bestFit="1" customWidth="1"/>
    <col min="2" max="2" width="13.6640625" customWidth="1"/>
    <col min="3" max="3" width="17.6640625" bestFit="1" customWidth="1"/>
    <col min="4" max="4" width="15" bestFit="1" customWidth="1"/>
    <col min="5" max="9" width="15.33203125" customWidth="1"/>
    <col min="10" max="10" width="13.6640625" customWidth="1"/>
    <col min="11" max="30" width="10.83203125" customWidth="1"/>
    <col min="31" max="31" width="1.5" customWidth="1"/>
    <col min="32" max="32" width="17.1640625" bestFit="1" customWidth="1"/>
    <col min="34" max="34" width="33.83203125" bestFit="1" customWidth="1"/>
    <col min="35" max="35" width="15.83203125" bestFit="1" customWidth="1"/>
  </cols>
  <sheetData>
    <row r="1" spans="1:35" hidden="1">
      <c r="A1" s="10"/>
      <c r="B1" s="36"/>
      <c r="C1" s="36"/>
      <c r="D1" s="29">
        <v>2</v>
      </c>
      <c r="E1" s="29">
        <f>+D1+1</f>
        <v>3</v>
      </c>
      <c r="F1" s="29">
        <f t="shared" ref="F1:W1" si="0">+E1+1</f>
        <v>4</v>
      </c>
      <c r="G1" s="29">
        <f t="shared" si="0"/>
        <v>5</v>
      </c>
      <c r="H1" s="29">
        <f t="shared" si="0"/>
        <v>6</v>
      </c>
      <c r="I1" s="29">
        <f t="shared" si="0"/>
        <v>7</v>
      </c>
      <c r="J1" s="29">
        <f t="shared" si="0"/>
        <v>8</v>
      </c>
      <c r="K1" s="29">
        <f t="shared" si="0"/>
        <v>9</v>
      </c>
      <c r="L1" s="29">
        <f t="shared" si="0"/>
        <v>10</v>
      </c>
      <c r="M1" s="29">
        <f t="shared" si="0"/>
        <v>11</v>
      </c>
      <c r="N1" s="29">
        <f t="shared" si="0"/>
        <v>12</v>
      </c>
      <c r="O1" s="29">
        <f t="shared" si="0"/>
        <v>13</v>
      </c>
      <c r="P1" s="29">
        <f t="shared" si="0"/>
        <v>14</v>
      </c>
      <c r="Q1" s="29">
        <f t="shared" si="0"/>
        <v>15</v>
      </c>
      <c r="R1" s="29">
        <f t="shared" si="0"/>
        <v>16</v>
      </c>
      <c r="S1" s="29">
        <f t="shared" si="0"/>
        <v>17</v>
      </c>
      <c r="T1" s="29">
        <f t="shared" si="0"/>
        <v>18</v>
      </c>
      <c r="U1" s="29">
        <f t="shared" si="0"/>
        <v>19</v>
      </c>
      <c r="V1" s="29">
        <f t="shared" si="0"/>
        <v>20</v>
      </c>
      <c r="W1" s="29">
        <f t="shared" si="0"/>
        <v>21</v>
      </c>
      <c r="X1" s="29">
        <f t="shared" ref="X1:AD1" si="1">+W1+1</f>
        <v>22</v>
      </c>
      <c r="Y1" s="29">
        <f t="shared" si="1"/>
        <v>23</v>
      </c>
      <c r="Z1" s="29">
        <f t="shared" si="1"/>
        <v>24</v>
      </c>
      <c r="AA1" s="29">
        <f t="shared" si="1"/>
        <v>25</v>
      </c>
      <c r="AB1" s="29">
        <f t="shared" si="1"/>
        <v>26</v>
      </c>
      <c r="AC1" s="29">
        <f t="shared" si="1"/>
        <v>27</v>
      </c>
      <c r="AD1" s="29">
        <f t="shared" si="1"/>
        <v>28</v>
      </c>
      <c r="AE1" s="50"/>
      <c r="AF1" s="3"/>
    </row>
    <row r="2" spans="1:35" ht="16">
      <c r="A2" s="52" t="s">
        <v>229</v>
      </c>
      <c r="B2" s="51"/>
      <c r="C2" s="52"/>
      <c r="D2" s="53">
        <f>Assumptions!J1</f>
        <v>2027</v>
      </c>
      <c r="E2" s="53">
        <f>D2+1</f>
        <v>2028</v>
      </c>
      <c r="F2" s="53">
        <f t="shared" ref="F2:W2" si="2">E2+1</f>
        <v>2029</v>
      </c>
      <c r="G2" s="53">
        <f t="shared" si="2"/>
        <v>2030</v>
      </c>
      <c r="H2" s="53">
        <f t="shared" si="2"/>
        <v>2031</v>
      </c>
      <c r="I2" s="53">
        <f t="shared" si="2"/>
        <v>2032</v>
      </c>
      <c r="J2" s="53">
        <f t="shared" si="2"/>
        <v>2033</v>
      </c>
      <c r="K2" s="53">
        <f t="shared" si="2"/>
        <v>2034</v>
      </c>
      <c r="L2" s="53">
        <f t="shared" si="2"/>
        <v>2035</v>
      </c>
      <c r="M2" s="53">
        <f t="shared" si="2"/>
        <v>2036</v>
      </c>
      <c r="N2" s="53">
        <f t="shared" si="2"/>
        <v>2037</v>
      </c>
      <c r="O2" s="53">
        <f t="shared" si="2"/>
        <v>2038</v>
      </c>
      <c r="P2" s="53">
        <f t="shared" si="2"/>
        <v>2039</v>
      </c>
      <c r="Q2" s="53">
        <f t="shared" si="2"/>
        <v>2040</v>
      </c>
      <c r="R2" s="53">
        <f t="shared" si="2"/>
        <v>2041</v>
      </c>
      <c r="S2" s="53">
        <f t="shared" si="2"/>
        <v>2042</v>
      </c>
      <c r="T2" s="53">
        <f t="shared" si="2"/>
        <v>2043</v>
      </c>
      <c r="U2" s="53">
        <f t="shared" si="2"/>
        <v>2044</v>
      </c>
      <c r="V2" s="53">
        <f t="shared" si="2"/>
        <v>2045</v>
      </c>
      <c r="W2" s="53">
        <f t="shared" si="2"/>
        <v>2046</v>
      </c>
      <c r="X2" s="53">
        <f t="shared" ref="X2:AD2" si="3">W2+1</f>
        <v>2047</v>
      </c>
      <c r="Y2" s="53">
        <f t="shared" si="3"/>
        <v>2048</v>
      </c>
      <c r="Z2" s="53">
        <f t="shared" si="3"/>
        <v>2049</v>
      </c>
      <c r="AA2" s="53">
        <f t="shared" si="3"/>
        <v>2050</v>
      </c>
      <c r="AB2" s="53">
        <f t="shared" si="3"/>
        <v>2051</v>
      </c>
      <c r="AC2" s="53">
        <f t="shared" si="3"/>
        <v>2052</v>
      </c>
      <c r="AD2" s="53">
        <f t="shared" si="3"/>
        <v>2053</v>
      </c>
      <c r="AE2" s="53"/>
      <c r="AF2" s="54" t="s">
        <v>230</v>
      </c>
      <c r="AH2" s="15" t="s">
        <v>231</v>
      </c>
      <c r="AI2" s="16"/>
    </row>
    <row r="3" spans="1:35">
      <c r="A3" s="2" t="s">
        <v>232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"/>
      <c r="AH3" s="4" t="s">
        <v>233</v>
      </c>
      <c r="AI3" s="74">
        <f>AF124/1000</f>
        <v>279.44569496178792</v>
      </c>
    </row>
    <row r="4" spans="1:35" hidden="1">
      <c r="A4" s="28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2">
        <f>V6*5.5*3.55*1.45</f>
        <v>0</v>
      </c>
      <c r="W4" s="82">
        <f>W6*5.5*3.55*1.45</f>
        <v>0</v>
      </c>
      <c r="X4" s="86"/>
      <c r="Y4" s="86"/>
      <c r="Z4" s="82">
        <f>Z6*5.5*3.55*1.45</f>
        <v>0</v>
      </c>
      <c r="AA4" s="82">
        <f>AA6*5.5*3.55*1.45</f>
        <v>0</v>
      </c>
      <c r="AB4" s="86"/>
      <c r="AC4" s="82">
        <f>AC6*5.5*3.55*1.45</f>
        <v>0</v>
      </c>
      <c r="AD4" s="82">
        <f>AD6*5.5*3.55*1.45</f>
        <v>0</v>
      </c>
      <c r="AF4" s="25"/>
      <c r="AH4" s="8"/>
      <c r="AI4" s="73"/>
    </row>
    <row r="5" spans="1:35">
      <c r="A5" s="28" t="s">
        <v>234</v>
      </c>
      <c r="B5" s="84"/>
      <c r="D5" s="139"/>
      <c r="E5" s="140"/>
      <c r="F5" s="140"/>
      <c r="G5" s="140"/>
      <c r="H5" s="140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3"/>
      <c r="W5" s="83"/>
      <c r="X5" s="84"/>
      <c r="Y5" s="84"/>
      <c r="Z5" s="83"/>
      <c r="AA5" s="83"/>
      <c r="AB5" s="84"/>
      <c r="AC5" s="83"/>
      <c r="AD5" s="83"/>
      <c r="AF5" s="25"/>
    </row>
    <row r="6" spans="1:35">
      <c r="A6" s="4" t="s">
        <v>102</v>
      </c>
      <c r="B6" s="17" t="s">
        <v>103</v>
      </c>
      <c r="C6" s="12"/>
      <c r="D6" s="76">
        <v>9000</v>
      </c>
      <c r="E6" s="76">
        <v>15000</v>
      </c>
      <c r="F6" s="76">
        <v>15000</v>
      </c>
      <c r="G6" s="76">
        <v>8000</v>
      </c>
      <c r="H6" s="76">
        <v>2000</v>
      </c>
      <c r="I6" s="76">
        <v>0</v>
      </c>
      <c r="J6" s="76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/>
      <c r="AF6" s="5">
        <f>SUM(D6:AD6)</f>
        <v>49000</v>
      </c>
      <c r="AH6" s="15" t="s">
        <v>235</v>
      </c>
      <c r="AI6" s="16"/>
    </row>
    <row r="7" spans="1:35">
      <c r="A7" s="4" t="s">
        <v>236</v>
      </c>
      <c r="B7" s="17" t="s">
        <v>105</v>
      </c>
      <c r="C7" s="75"/>
      <c r="D7" s="76">
        <f>(3*5.2*1.45*D6)/1000</f>
        <v>203.58</v>
      </c>
      <c r="E7" s="76">
        <f t="shared" ref="E7:AD7" si="4">(3*5.2*1.45*E6)/1000</f>
        <v>339.3</v>
      </c>
      <c r="F7" s="76">
        <f t="shared" si="4"/>
        <v>339.3</v>
      </c>
      <c r="G7" s="76">
        <f t="shared" si="4"/>
        <v>180.96</v>
      </c>
      <c r="H7" s="76">
        <f t="shared" si="4"/>
        <v>45.24</v>
      </c>
      <c r="I7" s="76">
        <f>(3*5.2*1.45*I6)/1000</f>
        <v>0</v>
      </c>
      <c r="J7" s="76">
        <f t="shared" si="4"/>
        <v>0</v>
      </c>
      <c r="K7" s="76">
        <f t="shared" si="4"/>
        <v>0</v>
      </c>
      <c r="L7" s="76">
        <f t="shared" si="4"/>
        <v>0</v>
      </c>
      <c r="M7" s="76">
        <f t="shared" si="4"/>
        <v>0</v>
      </c>
      <c r="N7" s="76">
        <f t="shared" si="4"/>
        <v>0</v>
      </c>
      <c r="O7" s="76">
        <f t="shared" si="4"/>
        <v>0</v>
      </c>
      <c r="P7" s="76">
        <f t="shared" si="4"/>
        <v>0</v>
      </c>
      <c r="Q7" s="76">
        <f t="shared" si="4"/>
        <v>0</v>
      </c>
      <c r="R7" s="76">
        <f t="shared" si="4"/>
        <v>0</v>
      </c>
      <c r="S7" s="76">
        <f t="shared" si="4"/>
        <v>0</v>
      </c>
      <c r="T7" s="76">
        <f t="shared" si="4"/>
        <v>0</v>
      </c>
      <c r="U7" s="76">
        <f t="shared" si="4"/>
        <v>0</v>
      </c>
      <c r="V7" s="76">
        <f t="shared" si="4"/>
        <v>0</v>
      </c>
      <c r="W7" s="76">
        <f t="shared" si="4"/>
        <v>0</v>
      </c>
      <c r="X7" s="76">
        <f t="shared" si="4"/>
        <v>0</v>
      </c>
      <c r="Y7" s="76">
        <f t="shared" si="4"/>
        <v>0</v>
      </c>
      <c r="Z7" s="76">
        <f t="shared" si="4"/>
        <v>0</v>
      </c>
      <c r="AA7" s="76">
        <f t="shared" si="4"/>
        <v>0</v>
      </c>
      <c r="AB7" s="76">
        <f t="shared" si="4"/>
        <v>0</v>
      </c>
      <c r="AC7" s="76">
        <f t="shared" si="4"/>
        <v>0</v>
      </c>
      <c r="AD7" s="76">
        <f t="shared" si="4"/>
        <v>0</v>
      </c>
      <c r="AE7" s="12"/>
      <c r="AF7" s="5">
        <f>SUM(D7:AD7)</f>
        <v>1108.3800000000001</v>
      </c>
      <c r="AH7" s="4" t="s">
        <v>237</v>
      </c>
      <c r="AI7" s="39">
        <v>0</v>
      </c>
    </row>
    <row r="8" spans="1:35">
      <c r="A8" s="4" t="s">
        <v>238</v>
      </c>
      <c r="B8" s="17" t="s">
        <v>105</v>
      </c>
      <c r="C8" s="12"/>
      <c r="D8" s="76">
        <v>4987.7897199999998</v>
      </c>
      <c r="E8" s="76">
        <v>5323.8386300000002</v>
      </c>
      <c r="F8" s="76">
        <v>5648.7439999999997</v>
      </c>
      <c r="G8" s="76">
        <v>5587.8080399999999</v>
      </c>
      <c r="H8" s="76">
        <v>5200.6922419014199</v>
      </c>
      <c r="I8" s="76"/>
      <c r="J8" s="76"/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/>
      <c r="AF8" s="5">
        <f>SUM(D8:AD8)</f>
        <v>26748.872631901417</v>
      </c>
      <c r="AH8" s="4" t="s">
        <v>239</v>
      </c>
      <c r="AI8" s="39">
        <v>0</v>
      </c>
    </row>
    <row r="9" spans="1:35">
      <c r="A9" s="4" t="s">
        <v>240</v>
      </c>
      <c r="B9" s="17" t="s">
        <v>105</v>
      </c>
      <c r="C9" s="12"/>
      <c r="D9" s="76">
        <f>D7+D8</f>
        <v>5191.3697199999997</v>
      </c>
      <c r="E9" s="76">
        <f>E7+E8</f>
        <v>5663.1386300000004</v>
      </c>
      <c r="F9" s="76">
        <f>F7+F8</f>
        <v>5988.0439999999999</v>
      </c>
      <c r="G9" s="76">
        <f>G7+G8</f>
        <v>5768.7680399999999</v>
      </c>
      <c r="H9" s="76">
        <f>H7+H8</f>
        <v>5245.9322419014197</v>
      </c>
      <c r="I9" s="76"/>
      <c r="J9" s="76"/>
      <c r="K9" s="12">
        <f t="shared" ref="K9:V9" si="5">K7+K8</f>
        <v>0</v>
      </c>
      <c r="L9" s="12">
        <f t="shared" si="5"/>
        <v>0</v>
      </c>
      <c r="M9" s="12">
        <f t="shared" si="5"/>
        <v>0</v>
      </c>
      <c r="N9" s="12">
        <f t="shared" si="5"/>
        <v>0</v>
      </c>
      <c r="O9" s="12">
        <f t="shared" si="5"/>
        <v>0</v>
      </c>
      <c r="P9" s="12">
        <f t="shared" si="5"/>
        <v>0</v>
      </c>
      <c r="Q9" s="12">
        <f t="shared" si="5"/>
        <v>0</v>
      </c>
      <c r="R9" s="12">
        <f t="shared" si="5"/>
        <v>0</v>
      </c>
      <c r="S9" s="12">
        <f t="shared" si="5"/>
        <v>0</v>
      </c>
      <c r="T9" s="12">
        <f t="shared" si="5"/>
        <v>0</v>
      </c>
      <c r="U9" s="12">
        <f t="shared" si="5"/>
        <v>0</v>
      </c>
      <c r="V9" s="12">
        <f t="shared" si="5"/>
        <v>0</v>
      </c>
      <c r="W9" s="12">
        <f t="shared" ref="W9:AD9" si="6">W7+W8</f>
        <v>0</v>
      </c>
      <c r="X9" s="12">
        <f t="shared" si="6"/>
        <v>0</v>
      </c>
      <c r="Y9" s="12">
        <f t="shared" si="6"/>
        <v>0</v>
      </c>
      <c r="Z9" s="12">
        <f t="shared" si="6"/>
        <v>0</v>
      </c>
      <c r="AA9" s="12">
        <f t="shared" si="6"/>
        <v>0</v>
      </c>
      <c r="AB9" s="12">
        <f t="shared" si="6"/>
        <v>0</v>
      </c>
      <c r="AC9" s="12">
        <f t="shared" si="6"/>
        <v>0</v>
      </c>
      <c r="AD9" s="12">
        <f t="shared" si="6"/>
        <v>0</v>
      </c>
      <c r="AE9" s="12"/>
      <c r="AF9" s="5">
        <f>SUM(C9:AD9)</f>
        <v>27857.252631901418</v>
      </c>
      <c r="AH9" s="4" t="s">
        <v>241</v>
      </c>
      <c r="AI9" s="39">
        <v>0</v>
      </c>
    </row>
    <row r="10" spans="1:35">
      <c r="A10" s="4"/>
      <c r="B10" s="87"/>
      <c r="C10" s="85"/>
      <c r="D10" s="78">
        <f>D6/D8</f>
        <v>1.8044064616260527</v>
      </c>
      <c r="E10" s="78">
        <f>E6/E8</f>
        <v>2.8175159020550553</v>
      </c>
      <c r="F10" s="78">
        <f>F6/F8</f>
        <v>2.6554575672043201</v>
      </c>
      <c r="G10" s="78">
        <f>G6/G8</f>
        <v>1.4316884085373842</v>
      </c>
      <c r="H10" s="78">
        <f>H6/H8</f>
        <v>0.38456419010650433</v>
      </c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12"/>
      <c r="X10" s="76"/>
      <c r="Y10" s="76"/>
      <c r="Z10" s="76"/>
      <c r="AA10" s="12"/>
      <c r="AB10" s="76"/>
      <c r="AC10" s="76"/>
      <c r="AD10" s="12"/>
      <c r="AE10" s="12"/>
      <c r="AF10" s="5"/>
      <c r="AH10" s="4" t="s">
        <v>242</v>
      </c>
      <c r="AI10" s="39">
        <v>0</v>
      </c>
    </row>
    <row r="11" spans="1:35">
      <c r="A11" s="28" t="s">
        <v>108</v>
      </c>
      <c r="B11" s="87"/>
      <c r="C11" s="12"/>
      <c r="D11" s="137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12"/>
      <c r="X11" s="90"/>
      <c r="Y11" s="90"/>
      <c r="Z11" s="90"/>
      <c r="AA11" s="12"/>
      <c r="AB11" s="90"/>
      <c r="AC11" s="90"/>
      <c r="AD11" s="12"/>
      <c r="AE11" s="12"/>
      <c r="AF11" s="5"/>
      <c r="AH11" s="4" t="s">
        <v>243</v>
      </c>
      <c r="AI11" s="39">
        <v>0</v>
      </c>
    </row>
    <row r="12" spans="1:35">
      <c r="A12" s="4" t="s">
        <v>109</v>
      </c>
      <c r="B12" s="17" t="s">
        <v>105</v>
      </c>
      <c r="C12" s="12"/>
      <c r="D12" s="12">
        <f>D9</f>
        <v>5191.3697199999997</v>
      </c>
      <c r="E12" s="12">
        <f t="shared" ref="E12:AD12" si="7">E9</f>
        <v>5663.1386300000004</v>
      </c>
      <c r="F12" s="12">
        <f t="shared" si="7"/>
        <v>5988.0439999999999</v>
      </c>
      <c r="G12" s="12">
        <f t="shared" si="7"/>
        <v>5768.7680399999999</v>
      </c>
      <c r="H12" s="12">
        <f t="shared" si="7"/>
        <v>5245.9322419014197</v>
      </c>
      <c r="I12" s="12">
        <f>I9</f>
        <v>0</v>
      </c>
      <c r="J12" s="12">
        <f t="shared" si="7"/>
        <v>0</v>
      </c>
      <c r="K12" s="12">
        <f t="shared" si="7"/>
        <v>0</v>
      </c>
      <c r="L12" s="12">
        <f t="shared" si="7"/>
        <v>0</v>
      </c>
      <c r="M12" s="12">
        <f t="shared" si="7"/>
        <v>0</v>
      </c>
      <c r="N12" s="12">
        <f t="shared" si="7"/>
        <v>0</v>
      </c>
      <c r="O12" s="12">
        <f t="shared" si="7"/>
        <v>0</v>
      </c>
      <c r="P12" s="12">
        <f t="shared" si="7"/>
        <v>0</v>
      </c>
      <c r="Q12" s="12">
        <f t="shared" si="7"/>
        <v>0</v>
      </c>
      <c r="R12" s="12">
        <f t="shared" si="7"/>
        <v>0</v>
      </c>
      <c r="S12" s="12">
        <f t="shared" si="7"/>
        <v>0</v>
      </c>
      <c r="T12" s="12">
        <f t="shared" si="7"/>
        <v>0</v>
      </c>
      <c r="U12" s="12">
        <f t="shared" si="7"/>
        <v>0</v>
      </c>
      <c r="V12" s="12">
        <f t="shared" si="7"/>
        <v>0</v>
      </c>
      <c r="W12" s="12">
        <f t="shared" si="7"/>
        <v>0</v>
      </c>
      <c r="X12" s="12">
        <f t="shared" si="7"/>
        <v>0</v>
      </c>
      <c r="Y12" s="12">
        <f t="shared" si="7"/>
        <v>0</v>
      </c>
      <c r="Z12" s="12">
        <f t="shared" si="7"/>
        <v>0</v>
      </c>
      <c r="AA12" s="12">
        <f t="shared" si="7"/>
        <v>0</v>
      </c>
      <c r="AB12" s="12">
        <f t="shared" si="7"/>
        <v>0</v>
      </c>
      <c r="AC12" s="12">
        <f t="shared" si="7"/>
        <v>0</v>
      </c>
      <c r="AD12" s="12">
        <f t="shared" si="7"/>
        <v>0</v>
      </c>
      <c r="AE12" s="12"/>
      <c r="AF12" s="5">
        <f>SUM(C12:AD12)</f>
        <v>27857.252631901418</v>
      </c>
      <c r="AH12" s="4" t="s">
        <v>244</v>
      </c>
      <c r="AI12" s="39">
        <v>0</v>
      </c>
    </row>
    <row r="13" spans="1:35">
      <c r="A13" s="4" t="s">
        <v>110</v>
      </c>
      <c r="B13" s="17" t="s">
        <v>105</v>
      </c>
      <c r="C13" s="12"/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/>
      <c r="AF13" s="5">
        <f>SUM(C13:AD13)</f>
        <v>0</v>
      </c>
      <c r="AH13" s="4" t="s">
        <v>245</v>
      </c>
      <c r="AI13" s="39">
        <v>0</v>
      </c>
    </row>
    <row r="14" spans="1:35">
      <c r="A14" s="4" t="s">
        <v>111</v>
      </c>
      <c r="B14" s="17" t="s">
        <v>105</v>
      </c>
      <c r="C14" s="12"/>
      <c r="D14" s="12">
        <f>D12*$C$15</f>
        <v>3478.2177124</v>
      </c>
      <c r="E14" s="12">
        <f t="shared" ref="E14:AD14" si="8">E12*$C$15</f>
        <v>3794.3028821000003</v>
      </c>
      <c r="F14" s="12">
        <f t="shared" si="8"/>
        <v>4011.9894800000002</v>
      </c>
      <c r="G14" s="12">
        <f t="shared" si="8"/>
        <v>3865.0745868000004</v>
      </c>
      <c r="H14" s="12">
        <f t="shared" si="8"/>
        <v>3514.7746020739514</v>
      </c>
      <c r="I14" s="12">
        <f>I12*$C$15</f>
        <v>0</v>
      </c>
      <c r="J14" s="12">
        <f t="shared" si="8"/>
        <v>0</v>
      </c>
      <c r="K14" s="12">
        <f t="shared" si="8"/>
        <v>0</v>
      </c>
      <c r="L14" s="12">
        <f t="shared" si="8"/>
        <v>0</v>
      </c>
      <c r="M14" s="12">
        <f t="shared" si="8"/>
        <v>0</v>
      </c>
      <c r="N14" s="12">
        <f t="shared" si="8"/>
        <v>0</v>
      </c>
      <c r="O14" s="12">
        <f t="shared" si="8"/>
        <v>0</v>
      </c>
      <c r="P14" s="12">
        <f t="shared" si="8"/>
        <v>0</v>
      </c>
      <c r="Q14" s="12">
        <f t="shared" si="8"/>
        <v>0</v>
      </c>
      <c r="R14" s="12">
        <f t="shared" si="8"/>
        <v>0</v>
      </c>
      <c r="S14" s="12">
        <f t="shared" si="8"/>
        <v>0</v>
      </c>
      <c r="T14" s="12">
        <f t="shared" si="8"/>
        <v>0</v>
      </c>
      <c r="U14" s="12">
        <f t="shared" si="8"/>
        <v>0</v>
      </c>
      <c r="V14" s="12">
        <f t="shared" si="8"/>
        <v>0</v>
      </c>
      <c r="W14" s="12">
        <f t="shared" si="8"/>
        <v>0</v>
      </c>
      <c r="X14" s="12">
        <f t="shared" si="8"/>
        <v>0</v>
      </c>
      <c r="Y14" s="12">
        <f t="shared" si="8"/>
        <v>0</v>
      </c>
      <c r="Z14" s="12">
        <f t="shared" si="8"/>
        <v>0</v>
      </c>
      <c r="AA14" s="12">
        <f t="shared" si="8"/>
        <v>0</v>
      </c>
      <c r="AB14" s="12">
        <f t="shared" si="8"/>
        <v>0</v>
      </c>
      <c r="AC14" s="12">
        <f t="shared" si="8"/>
        <v>0</v>
      </c>
      <c r="AD14" s="12">
        <f t="shared" si="8"/>
        <v>0</v>
      </c>
      <c r="AE14" s="12"/>
      <c r="AF14" s="5">
        <f>SUM(C14:AD14)</f>
        <v>18664.35926337395</v>
      </c>
      <c r="AH14" s="8" t="s">
        <v>246</v>
      </c>
      <c r="AI14" s="40">
        <v>0</v>
      </c>
    </row>
    <row r="15" spans="1:35">
      <c r="A15" s="4" t="s">
        <v>112</v>
      </c>
      <c r="B15" s="17" t="s">
        <v>43</v>
      </c>
      <c r="C15" s="135">
        <v>0.67</v>
      </c>
      <c r="D15" s="150">
        <f>IFERROR(D14/D12,0)</f>
        <v>0.67</v>
      </c>
      <c r="E15" s="14">
        <f t="shared" ref="E15:AF15" si="9">IFERROR(E14/E12,0)</f>
        <v>0.67</v>
      </c>
      <c r="F15" s="14">
        <f t="shared" si="9"/>
        <v>0.67</v>
      </c>
      <c r="G15" s="14">
        <f t="shared" si="9"/>
        <v>0.67</v>
      </c>
      <c r="H15" s="14">
        <f t="shared" si="9"/>
        <v>0.67</v>
      </c>
      <c r="I15" s="14">
        <f>IFERROR(I14/I12,0)</f>
        <v>0</v>
      </c>
      <c r="J15" s="14">
        <f t="shared" si="9"/>
        <v>0</v>
      </c>
      <c r="K15" s="14">
        <f t="shared" si="9"/>
        <v>0</v>
      </c>
      <c r="L15" s="14">
        <f t="shared" si="9"/>
        <v>0</v>
      </c>
      <c r="M15" s="14">
        <f t="shared" si="9"/>
        <v>0</v>
      </c>
      <c r="N15" s="14">
        <f t="shared" si="9"/>
        <v>0</v>
      </c>
      <c r="O15" s="14">
        <f t="shared" si="9"/>
        <v>0</v>
      </c>
      <c r="P15" s="14">
        <f t="shared" si="9"/>
        <v>0</v>
      </c>
      <c r="Q15" s="14">
        <f t="shared" si="9"/>
        <v>0</v>
      </c>
      <c r="R15" s="14">
        <f t="shared" si="9"/>
        <v>0</v>
      </c>
      <c r="S15" s="14">
        <f t="shared" si="9"/>
        <v>0</v>
      </c>
      <c r="T15" s="14">
        <f t="shared" si="9"/>
        <v>0</v>
      </c>
      <c r="U15" s="14">
        <f t="shared" si="9"/>
        <v>0</v>
      </c>
      <c r="V15" s="14">
        <f t="shared" si="9"/>
        <v>0</v>
      </c>
      <c r="W15" s="14">
        <f t="shared" si="9"/>
        <v>0</v>
      </c>
      <c r="X15" s="14">
        <f t="shared" ref="X15:AD15" si="10">IFERROR(X14/X12,0)</f>
        <v>0</v>
      </c>
      <c r="Y15" s="14">
        <f t="shared" si="10"/>
        <v>0</v>
      </c>
      <c r="Z15" s="14">
        <f t="shared" si="10"/>
        <v>0</v>
      </c>
      <c r="AA15" s="14">
        <f t="shared" si="10"/>
        <v>0</v>
      </c>
      <c r="AB15" s="14">
        <f t="shared" si="10"/>
        <v>0</v>
      </c>
      <c r="AC15" s="14">
        <f t="shared" si="10"/>
        <v>0</v>
      </c>
      <c r="AD15" s="14">
        <f t="shared" si="10"/>
        <v>0</v>
      </c>
      <c r="AE15" s="12"/>
      <c r="AF15" s="7">
        <f t="shared" si="9"/>
        <v>0.67</v>
      </c>
    </row>
    <row r="16" spans="1:35">
      <c r="A16" s="4"/>
      <c r="B16" s="17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5"/>
      <c r="AH16" s="15" t="s">
        <v>247</v>
      </c>
      <c r="AI16" s="16"/>
    </row>
    <row r="17" spans="1:35">
      <c r="A17" s="4" t="s">
        <v>248</v>
      </c>
      <c r="B17" s="17"/>
      <c r="C17" s="33"/>
      <c r="D17" s="14">
        <f t="shared" ref="D17:W17" si="11">IFERROR(D19/D9,0)</f>
        <v>0.67</v>
      </c>
      <c r="E17" s="14">
        <f t="shared" si="11"/>
        <v>0.67</v>
      </c>
      <c r="F17" s="14">
        <f t="shared" si="11"/>
        <v>0.67</v>
      </c>
      <c r="G17" s="14">
        <f t="shared" si="11"/>
        <v>0.67</v>
      </c>
      <c r="H17" s="14">
        <f t="shared" si="11"/>
        <v>0.67</v>
      </c>
      <c r="I17" s="14">
        <f>IFERROR(I19/(I9+H9),0)</f>
        <v>0</v>
      </c>
      <c r="J17" s="14">
        <f>IFERROR(J19/(J9+I9),0)</f>
        <v>0</v>
      </c>
      <c r="K17" s="14">
        <f t="shared" si="11"/>
        <v>0</v>
      </c>
      <c r="L17" s="14">
        <f t="shared" si="11"/>
        <v>0</v>
      </c>
      <c r="M17" s="14">
        <f t="shared" si="11"/>
        <v>0</v>
      </c>
      <c r="N17" s="14">
        <f t="shared" si="11"/>
        <v>0</v>
      </c>
      <c r="O17" s="14">
        <f t="shared" si="11"/>
        <v>0</v>
      </c>
      <c r="P17" s="14">
        <f t="shared" si="11"/>
        <v>0</v>
      </c>
      <c r="Q17" s="14">
        <f t="shared" si="11"/>
        <v>0</v>
      </c>
      <c r="R17" s="14">
        <f t="shared" si="11"/>
        <v>0</v>
      </c>
      <c r="S17" s="14">
        <f t="shared" si="11"/>
        <v>0</v>
      </c>
      <c r="T17" s="14">
        <f t="shared" si="11"/>
        <v>0</v>
      </c>
      <c r="U17" s="14">
        <f t="shared" si="11"/>
        <v>0</v>
      </c>
      <c r="V17" s="14">
        <f t="shared" si="11"/>
        <v>0</v>
      </c>
      <c r="W17" s="14">
        <f t="shared" si="11"/>
        <v>0</v>
      </c>
      <c r="X17" s="14">
        <f t="shared" ref="X17:AD17" si="12">IFERROR(X19/X9,0)</f>
        <v>0</v>
      </c>
      <c r="Y17" s="14">
        <f t="shared" si="12"/>
        <v>0</v>
      </c>
      <c r="Z17" s="14">
        <f t="shared" si="12"/>
        <v>0</v>
      </c>
      <c r="AA17" s="14">
        <f t="shared" si="12"/>
        <v>0</v>
      </c>
      <c r="AB17" s="14">
        <f t="shared" si="12"/>
        <v>0</v>
      </c>
      <c r="AC17" s="14">
        <f t="shared" si="12"/>
        <v>0</v>
      </c>
      <c r="AD17" s="14">
        <f t="shared" si="12"/>
        <v>0</v>
      </c>
      <c r="AE17" s="14"/>
      <c r="AF17" s="7">
        <f>IFERROR(AF19/AF9,0)</f>
        <v>0.67</v>
      </c>
      <c r="AH17" s="4" t="s">
        <v>249</v>
      </c>
      <c r="AI17" s="5">
        <f>AF6/1000</f>
        <v>49</v>
      </c>
    </row>
    <row r="18" spans="1:35">
      <c r="A18" s="4"/>
      <c r="B18" s="17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5"/>
      <c r="AH18" s="4" t="s">
        <v>250</v>
      </c>
      <c r="AI18" s="6">
        <f>(AI17*1000)/AI20</f>
        <v>1.8318529036457893</v>
      </c>
    </row>
    <row r="19" spans="1:35">
      <c r="A19" s="4" t="s">
        <v>251</v>
      </c>
      <c r="B19" s="17" t="s">
        <v>105</v>
      </c>
      <c r="C19" s="12"/>
      <c r="D19" s="12">
        <f t="shared" ref="D19:W19" si="13">D13+D14</f>
        <v>3478.2177124</v>
      </c>
      <c r="E19" s="12">
        <f t="shared" si="13"/>
        <v>3794.3028821000003</v>
      </c>
      <c r="F19" s="12">
        <f t="shared" si="13"/>
        <v>4011.9894800000002</v>
      </c>
      <c r="G19" s="12">
        <f t="shared" si="13"/>
        <v>3865.0745868000004</v>
      </c>
      <c r="H19" s="12">
        <f t="shared" si="13"/>
        <v>3514.7746020739514</v>
      </c>
      <c r="I19" s="12">
        <f>I13+I14</f>
        <v>0</v>
      </c>
      <c r="J19" s="12">
        <f t="shared" si="13"/>
        <v>0</v>
      </c>
      <c r="K19" s="12">
        <f t="shared" si="13"/>
        <v>0</v>
      </c>
      <c r="L19" s="12">
        <f t="shared" si="13"/>
        <v>0</v>
      </c>
      <c r="M19" s="12">
        <f t="shared" si="13"/>
        <v>0</v>
      </c>
      <c r="N19" s="12">
        <f t="shared" si="13"/>
        <v>0</v>
      </c>
      <c r="O19" s="12">
        <f t="shared" si="13"/>
        <v>0</v>
      </c>
      <c r="P19" s="12">
        <f t="shared" si="13"/>
        <v>0</v>
      </c>
      <c r="Q19" s="12">
        <f t="shared" si="13"/>
        <v>0</v>
      </c>
      <c r="R19" s="12">
        <f t="shared" si="13"/>
        <v>0</v>
      </c>
      <c r="S19" s="12">
        <f t="shared" si="13"/>
        <v>0</v>
      </c>
      <c r="T19" s="12">
        <f t="shared" si="13"/>
        <v>0</v>
      </c>
      <c r="U19" s="12">
        <f t="shared" si="13"/>
        <v>0</v>
      </c>
      <c r="V19" s="12">
        <f t="shared" si="13"/>
        <v>0</v>
      </c>
      <c r="W19" s="12">
        <f t="shared" si="13"/>
        <v>0</v>
      </c>
      <c r="X19" s="12">
        <f t="shared" ref="X19:AD19" si="14">X13+X14</f>
        <v>0</v>
      </c>
      <c r="Y19" s="12">
        <f t="shared" si="14"/>
        <v>0</v>
      </c>
      <c r="Z19" s="12">
        <f t="shared" si="14"/>
        <v>0</v>
      </c>
      <c r="AA19" s="12">
        <f t="shared" si="14"/>
        <v>0</v>
      </c>
      <c r="AB19" s="12">
        <f t="shared" si="14"/>
        <v>0</v>
      </c>
      <c r="AC19" s="12">
        <f t="shared" si="14"/>
        <v>0</v>
      </c>
      <c r="AD19" s="12">
        <f t="shared" si="14"/>
        <v>0</v>
      </c>
      <c r="AE19" s="12"/>
      <c r="AF19" s="5">
        <f>SUM(C19:AD19)</f>
        <v>18664.35926337395</v>
      </c>
      <c r="AH19" s="4" t="s">
        <v>252</v>
      </c>
      <c r="AI19" s="5">
        <f>AF7</f>
        <v>1108.3800000000001</v>
      </c>
    </row>
    <row r="20" spans="1:35">
      <c r="A20" s="8"/>
      <c r="B20" s="21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7"/>
      <c r="AH20" s="4" t="s">
        <v>253</v>
      </c>
      <c r="AI20" s="5">
        <f>AF8</f>
        <v>26748.872631901417</v>
      </c>
    </row>
    <row r="21" spans="1:35">
      <c r="A21" s="1" t="s">
        <v>254</v>
      </c>
      <c r="D21" s="142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H21" s="4" t="s">
        <v>255</v>
      </c>
      <c r="AI21" s="5">
        <f>AI19+AI20</f>
        <v>27857.252631901418</v>
      </c>
    </row>
    <row r="22" spans="1:35">
      <c r="A22" s="4" t="s">
        <v>256</v>
      </c>
      <c r="B22" s="17" t="s">
        <v>257</v>
      </c>
      <c r="C22" s="91">
        <v>0.12</v>
      </c>
      <c r="D22" s="120">
        <f>IF(D9&gt;0,D9*1000*$C$22+20000,0)</f>
        <v>642964.36639999994</v>
      </c>
      <c r="E22" s="120">
        <f t="shared" ref="E22:AD22" si="15">IF(E9&gt;0,E9*1000*$C$22+20000,0)</f>
        <v>699576.63560000004</v>
      </c>
      <c r="F22" s="120">
        <f t="shared" si="15"/>
        <v>738565.28</v>
      </c>
      <c r="G22" s="120">
        <f t="shared" si="15"/>
        <v>712252.16480000003</v>
      </c>
      <c r="H22" s="120">
        <f t="shared" si="15"/>
        <v>649511.86902817036</v>
      </c>
      <c r="I22" s="120">
        <f t="shared" si="15"/>
        <v>0</v>
      </c>
      <c r="J22" s="120">
        <f t="shared" si="15"/>
        <v>0</v>
      </c>
      <c r="K22" s="120">
        <f t="shared" si="15"/>
        <v>0</v>
      </c>
      <c r="L22" s="120">
        <f t="shared" si="15"/>
        <v>0</v>
      </c>
      <c r="M22" s="120">
        <f t="shared" si="15"/>
        <v>0</v>
      </c>
      <c r="N22" s="120">
        <f t="shared" si="15"/>
        <v>0</v>
      </c>
      <c r="O22" s="120">
        <f t="shared" si="15"/>
        <v>0</v>
      </c>
      <c r="P22" s="120">
        <f t="shared" si="15"/>
        <v>0</v>
      </c>
      <c r="Q22" s="120">
        <f t="shared" si="15"/>
        <v>0</v>
      </c>
      <c r="R22" s="120">
        <f t="shared" si="15"/>
        <v>0</v>
      </c>
      <c r="S22" s="120">
        <f t="shared" si="15"/>
        <v>0</v>
      </c>
      <c r="T22" s="120">
        <f t="shared" si="15"/>
        <v>0</v>
      </c>
      <c r="U22" s="120">
        <f t="shared" si="15"/>
        <v>0</v>
      </c>
      <c r="V22" s="120">
        <f t="shared" si="15"/>
        <v>0</v>
      </c>
      <c r="W22" s="120">
        <f t="shared" si="15"/>
        <v>0</v>
      </c>
      <c r="X22" s="120">
        <f t="shared" si="15"/>
        <v>0</v>
      </c>
      <c r="Y22" s="120">
        <f t="shared" si="15"/>
        <v>0</v>
      </c>
      <c r="Z22" s="120">
        <f t="shared" si="15"/>
        <v>0</v>
      </c>
      <c r="AA22" s="120">
        <f t="shared" si="15"/>
        <v>0</v>
      </c>
      <c r="AB22" s="120">
        <f t="shared" si="15"/>
        <v>0</v>
      </c>
      <c r="AC22" s="120">
        <f t="shared" si="15"/>
        <v>0</v>
      </c>
      <c r="AD22" s="120">
        <f t="shared" si="15"/>
        <v>0</v>
      </c>
      <c r="AF22" s="47">
        <f>SUM(D22:AD22)</f>
        <v>3442870.3158281706</v>
      </c>
      <c r="AH22" s="4"/>
      <c r="AI22" s="5"/>
    </row>
    <row r="23" spans="1:35">
      <c r="A23" s="4" t="s">
        <v>258</v>
      </c>
      <c r="B23" s="17" t="s">
        <v>257</v>
      </c>
      <c r="C23" s="278" t="s">
        <v>259</v>
      </c>
      <c r="D23" s="120">
        <f>IF('Decommissioned Mine'!$B$5="Springbok",'Decommissioned Mine'!E2,IF('Decommissioned Mine'!$B$5="Springbok + Brave Blossom",0,IF('Decommissioned Mine'!$B$5="Springbok Delayed 12 Months",'Decommissioned Mine'!E2,0)))</f>
        <v>0</v>
      </c>
      <c r="E23" s="120">
        <f>IF('Decommissioned Mine'!$B$5="Springbok",'Decommissioned Mine'!F2,IF('Decommissioned Mine'!$B$5="Springbok + Brave Blossom",0,IF('Decommissioned Mine'!$B$5="Springbok Delayed 12 Months",'Decommissioned Mine'!F2,0)))</f>
        <v>0</v>
      </c>
      <c r="F23" s="120">
        <f>IF('Decommissioned Mine'!$B$5="Springbok",'Decommissioned Mine'!G2,IF('Decommissioned Mine'!$B$5="Springbok + Brave Blossom",0,IF('Decommissioned Mine'!$B$5="Springbok Delayed 12 Months",'Decommissioned Mine'!G2,0)))</f>
        <v>0</v>
      </c>
      <c r="G23" s="120">
        <f>IF('Decommissioned Mine'!$B$5="Springbok",'Decommissioned Mine'!H2,IF('Decommissioned Mine'!$B$5="Springbok + Brave Blossom",0,IF('Decommissioned Mine'!$B$5="Springbok Delayed 12 Months",'Decommissioned Mine'!H2,0)))</f>
        <v>0</v>
      </c>
      <c r="H23" s="120">
        <f>IF('Decommissioned Mine'!$B$5="Springbok",'Decommissioned Mine'!I2,IF('Decommissioned Mine'!$B$5="Springbok + Brave Blossom",0,IF('Decommissioned Mine'!$B$5="Springbok Delayed 12 Months",'Decommissioned Mine'!I2,0)))</f>
        <v>0</v>
      </c>
      <c r="I23" s="120">
        <f>IF('Decommissioned Mine'!$B$5="Springbok",'Decommissioned Mine'!J2,IF('Decommissioned Mine'!$B$5="Springbok + Brave Blossom",0,IF('Decommissioned Mine'!$B$5="Springbok Delayed 12 Months",'Decommissioned Mine'!J2,0)))</f>
        <v>0</v>
      </c>
      <c r="J23" s="120">
        <f>IF('Decommissioned Mine'!$B$5="Springbok",'Decommissioned Mine'!K2,IF('Decommissioned Mine'!$B$5="Springbok + Brave Blossom",0,IF('Decommissioned Mine'!$B$5="Springbok Delayed 12 Months",'Decommissioned Mine'!K2,0)))</f>
        <v>0</v>
      </c>
      <c r="K23" s="120">
        <f>IF('Decommissioned Mine'!$B$5="Springbok",'Decommissioned Mine'!L2,IF('Decommissioned Mine'!$B$5="Springbok + Brave Blossom",0,IF('Decommissioned Mine'!$B$5="Springbok Delayed 12 Months",'Decommissioned Mine'!L2,0)))</f>
        <v>0</v>
      </c>
      <c r="L23" s="120">
        <f>IF('Decommissioned Mine'!$B$5="Springbok",'Decommissioned Mine'!M2,IF('Decommissioned Mine'!$B$5="Springbok + Brave Blossom",0,IF('Decommissioned Mine'!$B$5="Springbok Delayed 12 Months",'Decommissioned Mine'!M2,0)))</f>
        <v>0</v>
      </c>
      <c r="M23" s="120">
        <f>IF('Decommissioned Mine'!$B$5="Springbok",'Decommissioned Mine'!N2,IF('Decommissioned Mine'!$B$5="Springbok + Brave Blossom",0,IF('Decommissioned Mine'!$B$5="Springbok Delayed 12 Months",'Decommissioned Mine'!N2,0)))</f>
        <v>0</v>
      </c>
      <c r="N23" s="120">
        <f>IF('Decommissioned Mine'!$B$5="Springbok",'Decommissioned Mine'!O2,IF('Decommissioned Mine'!$B$5="Springbok + Brave Blossom",0,IF('Decommissioned Mine'!$B$5="Springbok Delayed 12 Months",'Decommissioned Mine'!O2,0)))</f>
        <v>0</v>
      </c>
      <c r="O23" s="120">
        <f>IF('Decommissioned Mine'!$B$5="Springbok",'Decommissioned Mine'!P2,IF('Decommissioned Mine'!$B$5="Springbok + Brave Blossom",0,IF('Decommissioned Mine'!$B$5="Springbok Delayed 12 Months",'Decommissioned Mine'!P2,0)))</f>
        <v>0</v>
      </c>
      <c r="P23" s="120">
        <f>IF('Decommissioned Mine'!$B$5="Springbok",'Decommissioned Mine'!Q2,IF('Decommissioned Mine'!$B$5="Springbok + Brave Blossom",0,IF('Decommissioned Mine'!$B$5="Springbok Delayed 12 Months",'Decommissioned Mine'!Q2,0)))</f>
        <v>0</v>
      </c>
      <c r="Q23" s="120">
        <f>IF('Decommissioned Mine'!$B$5="Springbok",'Decommissioned Mine'!R2,IF('Decommissioned Mine'!$B$5="Springbok + Brave Blossom",0,IF('Decommissioned Mine'!$B$5="Springbok Delayed 12 Months",'Decommissioned Mine'!R2,0)))</f>
        <v>0</v>
      </c>
      <c r="R23" s="120">
        <f>IF('Decommissioned Mine'!$B$5="Springbok",'Decommissioned Mine'!S2,IF('Decommissioned Mine'!$B$5="Springbok + Brave Blossom",0,IF('Decommissioned Mine'!$B$5="Springbok Delayed 12 Months",'Decommissioned Mine'!S2,0)))</f>
        <v>0</v>
      </c>
      <c r="S23" s="120">
        <f>IF('Decommissioned Mine'!$B$5="Springbok",'Decommissioned Mine'!T2,IF('Decommissioned Mine'!$B$5="Springbok + Brave Blossom",0,IF('Decommissioned Mine'!$B$5="Springbok Delayed 12 Months",'Decommissioned Mine'!T2,0)))</f>
        <v>0</v>
      </c>
      <c r="T23" s="120">
        <f>IF('Decommissioned Mine'!$B$5="Springbok",'Decommissioned Mine'!U2,IF('Decommissioned Mine'!$B$5="Springbok + Brave Blossom",0,IF('Decommissioned Mine'!$B$5="Springbok Delayed 12 Months",'Decommissioned Mine'!U2,0)))</f>
        <v>0</v>
      </c>
      <c r="U23" s="120">
        <f>IF('Decommissioned Mine'!$B$5="Springbok",'Decommissioned Mine'!V2,IF('Decommissioned Mine'!$B$5="Springbok + Brave Blossom",0,IF('Decommissioned Mine'!$B$5="Springbok Delayed 12 Months",'Decommissioned Mine'!V2,0)))</f>
        <v>0</v>
      </c>
      <c r="V23" s="120">
        <f>IF('Decommissioned Mine'!$B$5="Springbok",'Decommissioned Mine'!W2,IF('Decommissioned Mine'!$B$5="Springbok + Brave Blossom",0,IF('Decommissioned Mine'!$B$5="Springbok Delayed 12 Months",'Decommissioned Mine'!W2,0)))</f>
        <v>0</v>
      </c>
      <c r="W23" s="120">
        <f>IF('Decommissioned Mine'!$B$5="Springbok",'Decommissioned Mine'!X2,IF('Decommissioned Mine'!$B$5="Springbok + Brave Blossom",0,IF('Decommissioned Mine'!$B$5="Springbok Delayed 12 Months",'Decommissioned Mine'!X2,0)))</f>
        <v>0</v>
      </c>
      <c r="X23" s="120">
        <f>IF('Decommissioned Mine'!$B$5="Springbok",'Decommissioned Mine'!Y2,IF('Decommissioned Mine'!$B$5="Springbok + Brave Blossom",0,IF('Decommissioned Mine'!$B$5="Springbok Delayed 12 Months",'Decommissioned Mine'!Y2,0)))</f>
        <v>0</v>
      </c>
      <c r="Y23" s="120">
        <f>IF('Decommissioned Mine'!$B$5="Springbok",'Decommissioned Mine'!Z2,IF('Decommissioned Mine'!$B$5="Springbok + Brave Blossom",0,IF('Decommissioned Mine'!$B$5="Springbok Delayed 12 Months",'Decommissioned Mine'!Z2,0)))</f>
        <v>0</v>
      </c>
      <c r="Z23" s="120">
        <f>IF('Decommissioned Mine'!$B$5="Springbok",'Decommissioned Mine'!AA2,IF('Decommissioned Mine'!$B$5="Springbok + Brave Blossom",0,IF('Decommissioned Mine'!$B$5="Springbok Delayed 12 Months",'Decommissioned Mine'!AA2,0)))</f>
        <v>0</v>
      </c>
      <c r="AA23" s="120">
        <f>IF('Decommissioned Mine'!$B$5="Springbok",'Decommissioned Mine'!AB2,IF('Decommissioned Mine'!$B$5="Springbok + Brave Blossom",0,IF('Decommissioned Mine'!$B$5="Springbok Delayed 12 Months",'Decommissioned Mine'!AB2,0)))</f>
        <v>0</v>
      </c>
      <c r="AB23" s="120">
        <f>IF('Decommissioned Mine'!$B$5="Springbok",'Decommissioned Mine'!AC2,IF('Decommissioned Mine'!$B$5="Springbok + Brave Blossom",0,IF('Decommissioned Mine'!$B$5="Springbok Delayed 12 Months",'Decommissioned Mine'!AC2,0)))</f>
        <v>0</v>
      </c>
      <c r="AC23" s="120">
        <f>IF('Decommissioned Mine'!$B$5="Springbok",'Decommissioned Mine'!AD2,IF('Decommissioned Mine'!$B$5="Springbok + Brave Blossom",0,IF('Decommissioned Mine'!$B$5="Springbok Delayed 12 Months",'Decommissioned Mine'!AD2,0)))</f>
        <v>0</v>
      </c>
      <c r="AD23" s="120">
        <f>IF('Decommissioned Mine'!$B$5="Springbok",'Decommissioned Mine'!AE2,IF('Decommissioned Mine'!$B$5="Springbok + Brave Blossom",0,IF('Decommissioned Mine'!$B$5="Springbok Delayed 12 Months",'Decommissioned Mine'!AE2,0)))</f>
        <v>0</v>
      </c>
      <c r="AF23" s="47">
        <f>SUM(D23:AD23)</f>
        <v>0</v>
      </c>
      <c r="AH23" s="8" t="s">
        <v>260</v>
      </c>
      <c r="AI23" s="9">
        <v>5</v>
      </c>
    </row>
    <row r="24" spans="1:35">
      <c r="A24" t="s">
        <v>261</v>
      </c>
      <c r="B24" s="17" t="s">
        <v>257</v>
      </c>
      <c r="C24" s="91"/>
      <c r="D24" s="120">
        <f>D23+D22</f>
        <v>642964.36639999994</v>
      </c>
      <c r="E24" s="120">
        <f t="shared" ref="E24:AD24" si="16">E23+E22</f>
        <v>699576.63560000004</v>
      </c>
      <c r="F24" s="120">
        <f t="shared" si="16"/>
        <v>738565.28</v>
      </c>
      <c r="G24" s="120">
        <f t="shared" si="16"/>
        <v>712252.16480000003</v>
      </c>
      <c r="H24" s="120">
        <f t="shared" si="16"/>
        <v>649511.86902817036</v>
      </c>
      <c r="I24" s="120">
        <f t="shared" si="16"/>
        <v>0</v>
      </c>
      <c r="J24" s="120">
        <f t="shared" si="16"/>
        <v>0</v>
      </c>
      <c r="K24" s="120">
        <f t="shared" si="16"/>
        <v>0</v>
      </c>
      <c r="L24" s="120">
        <f t="shared" si="16"/>
        <v>0</v>
      </c>
      <c r="M24" s="120">
        <f t="shared" si="16"/>
        <v>0</v>
      </c>
      <c r="N24" s="120">
        <f t="shared" si="16"/>
        <v>0</v>
      </c>
      <c r="O24" s="120">
        <f t="shared" si="16"/>
        <v>0</v>
      </c>
      <c r="P24" s="120">
        <f t="shared" si="16"/>
        <v>0</v>
      </c>
      <c r="Q24" s="120">
        <f t="shared" si="16"/>
        <v>0</v>
      </c>
      <c r="R24" s="120">
        <f t="shared" si="16"/>
        <v>0</v>
      </c>
      <c r="S24" s="120">
        <f t="shared" si="16"/>
        <v>0</v>
      </c>
      <c r="T24" s="120">
        <f t="shared" si="16"/>
        <v>0</v>
      </c>
      <c r="U24" s="120">
        <f t="shared" si="16"/>
        <v>0</v>
      </c>
      <c r="V24" s="120">
        <f t="shared" si="16"/>
        <v>0</v>
      </c>
      <c r="W24" s="120">
        <f t="shared" si="16"/>
        <v>0</v>
      </c>
      <c r="X24" s="120">
        <f t="shared" si="16"/>
        <v>0</v>
      </c>
      <c r="Y24" s="120">
        <f t="shared" si="16"/>
        <v>0</v>
      </c>
      <c r="Z24" s="120">
        <f t="shared" si="16"/>
        <v>0</v>
      </c>
      <c r="AA24" s="120">
        <f t="shared" si="16"/>
        <v>0</v>
      </c>
      <c r="AB24" s="120">
        <f t="shared" si="16"/>
        <v>0</v>
      </c>
      <c r="AC24" s="120">
        <f t="shared" si="16"/>
        <v>0</v>
      </c>
      <c r="AD24" s="120">
        <f t="shared" si="16"/>
        <v>0</v>
      </c>
      <c r="AF24" s="47">
        <f>SUM(D24:AD24)</f>
        <v>3442870.3158281706</v>
      </c>
      <c r="AI24" s="76"/>
    </row>
    <row r="25" spans="1:35">
      <c r="A25" t="s">
        <v>262</v>
      </c>
      <c r="B25" s="17" t="s">
        <v>257</v>
      </c>
      <c r="C25" s="138"/>
      <c r="D25" s="120">
        <f>(D9*1000*'Decommissioned Mine'!E22)+'Decommissioned Mine'!E21*D23</f>
        <v>426048.28926170029</v>
      </c>
      <c r="E25" s="120">
        <f>(E9*1000*'Decommissioned Mine'!F22)+'Decommissioned Mine'!F21*E23</f>
        <v>413564.9129337112</v>
      </c>
      <c r="F25" s="120">
        <f>(F9*1000*'Decommissioned Mine'!G22)+'Decommissioned Mine'!G21*F23</f>
        <v>386275.60462363984</v>
      </c>
      <c r="G25" s="120">
        <f>(G9*1000*'Decommissioned Mine'!H22)+'Decommissioned Mine'!H21*G23</f>
        <v>339600.69716579356</v>
      </c>
      <c r="H25" s="120">
        <f>(H9*1000*'Decommissioned Mine'!I22)+'Decommissioned Mine'!I21*H23</f>
        <v>292984.93538010668</v>
      </c>
      <c r="I25" s="120">
        <f>(I9*1000*'Decommissioned Mine'!J22)+'Decommissioned Mine'!J21*I23</f>
        <v>0</v>
      </c>
      <c r="J25" s="120">
        <f>(J9*1000*'Decommissioned Mine'!K22)+'Decommissioned Mine'!K21*J23</f>
        <v>0</v>
      </c>
      <c r="K25" s="120">
        <f>(K9*1000*'Decommissioned Mine'!L22)+'Decommissioned Mine'!L21*K23</f>
        <v>0</v>
      </c>
      <c r="L25" s="120">
        <f>(L9*1000*'Decommissioned Mine'!M22)+'Decommissioned Mine'!M21*L23</f>
        <v>0</v>
      </c>
      <c r="M25" s="120">
        <f>(M9*1000*'Decommissioned Mine'!N22)+'Decommissioned Mine'!N21*M23</f>
        <v>0</v>
      </c>
      <c r="N25" s="120">
        <f>(N9*1000*'Decommissioned Mine'!O22)+'Decommissioned Mine'!O21*N23</f>
        <v>0</v>
      </c>
      <c r="O25" s="120">
        <f>(O9*1000*'Decommissioned Mine'!P22)+'Decommissioned Mine'!P21*O23</f>
        <v>0</v>
      </c>
      <c r="P25" s="120">
        <f>(P9*1000*'Decommissioned Mine'!Q22)+'Decommissioned Mine'!Q21*P23</f>
        <v>0</v>
      </c>
      <c r="Q25" s="120">
        <f>(Q9*1000*'Decommissioned Mine'!R22)+'Decommissioned Mine'!R21*Q23</f>
        <v>0</v>
      </c>
      <c r="R25" s="120">
        <f>(R9*1000*'Decommissioned Mine'!S22)+'Decommissioned Mine'!S21*R23</f>
        <v>0</v>
      </c>
      <c r="S25" s="120">
        <f>(S9*1000*'Decommissioned Mine'!T22)+'Decommissioned Mine'!T21*S23</f>
        <v>0</v>
      </c>
      <c r="T25" s="120">
        <f>(T9*1000*'Decommissioned Mine'!U22)+'Decommissioned Mine'!U21*T23</f>
        <v>0</v>
      </c>
      <c r="U25" s="120">
        <f>(U9*1000*'Decommissioned Mine'!V22)+'Decommissioned Mine'!V21*U23</f>
        <v>0</v>
      </c>
      <c r="V25" s="120">
        <f>(V9*1000*'Decommissioned Mine'!W22)+'Decommissioned Mine'!W21*V23</f>
        <v>0</v>
      </c>
      <c r="W25" s="120">
        <f>(W9*1000*'Decommissioned Mine'!X22)+'Decommissioned Mine'!X21*W23</f>
        <v>0</v>
      </c>
      <c r="X25" s="120">
        <f>(X9*1000*'Decommissioned Mine'!Y22)+'Decommissioned Mine'!Y21*X23</f>
        <v>0</v>
      </c>
      <c r="Y25" s="120">
        <f>(Y9*1000*'Decommissioned Mine'!Z22)+'Decommissioned Mine'!Z21*Y23</f>
        <v>0</v>
      </c>
      <c r="Z25" s="120">
        <f>(Z9*1000*'Decommissioned Mine'!AA22)+'Decommissioned Mine'!AA21*Z23</f>
        <v>0</v>
      </c>
      <c r="AA25" s="120">
        <f>(AA9*1000*'Decommissioned Mine'!AB22)+'Decommissioned Mine'!AB21*AA23</f>
        <v>0</v>
      </c>
      <c r="AB25" s="120">
        <f>(AB9*1000*'Decommissioned Mine'!AC22)+'Decommissioned Mine'!AC21*AB23</f>
        <v>0</v>
      </c>
      <c r="AC25" s="120">
        <f>(AC9*1000*'Decommissioned Mine'!AD22)+'Decommissioned Mine'!AD21*AC23</f>
        <v>0</v>
      </c>
      <c r="AD25" s="120">
        <f>(AD9*1000*'Decommissioned Mine'!AE22)+'Decommissioned Mine'!AE21*AD23</f>
        <v>0</v>
      </c>
      <c r="AF25" s="47"/>
      <c r="AI25" s="76"/>
    </row>
    <row r="26" spans="1:35">
      <c r="A26" t="s">
        <v>263</v>
      </c>
      <c r="B26" s="17" t="s">
        <v>257</v>
      </c>
      <c r="D26" s="120">
        <f>D24-D25</f>
        <v>216916.07713829965</v>
      </c>
      <c r="E26" s="120">
        <f t="shared" ref="E26:AD26" si="17">E24-E25</f>
        <v>286011.72266628884</v>
      </c>
      <c r="F26" s="120">
        <f t="shared" si="17"/>
        <v>352289.67537636019</v>
      </c>
      <c r="G26" s="120">
        <f t="shared" si="17"/>
        <v>372651.46763420646</v>
      </c>
      <c r="H26" s="120">
        <f t="shared" si="17"/>
        <v>356526.93364806368</v>
      </c>
      <c r="I26" s="120">
        <f t="shared" si="17"/>
        <v>0</v>
      </c>
      <c r="J26" s="120">
        <f t="shared" si="17"/>
        <v>0</v>
      </c>
      <c r="K26" s="120">
        <f t="shared" si="17"/>
        <v>0</v>
      </c>
      <c r="L26" s="120">
        <f t="shared" si="17"/>
        <v>0</v>
      </c>
      <c r="M26" s="120">
        <f t="shared" si="17"/>
        <v>0</v>
      </c>
      <c r="N26" s="120">
        <f t="shared" si="17"/>
        <v>0</v>
      </c>
      <c r="O26" s="120">
        <f t="shared" si="17"/>
        <v>0</v>
      </c>
      <c r="P26" s="120">
        <f t="shared" si="17"/>
        <v>0</v>
      </c>
      <c r="Q26" s="120">
        <f t="shared" si="17"/>
        <v>0</v>
      </c>
      <c r="R26" s="120">
        <f t="shared" si="17"/>
        <v>0</v>
      </c>
      <c r="S26" s="120">
        <f t="shared" si="17"/>
        <v>0</v>
      </c>
      <c r="T26" s="120">
        <f t="shared" si="17"/>
        <v>0</v>
      </c>
      <c r="U26" s="120">
        <f t="shared" si="17"/>
        <v>0</v>
      </c>
      <c r="V26" s="120">
        <f t="shared" si="17"/>
        <v>0</v>
      </c>
      <c r="W26" s="120">
        <f t="shared" si="17"/>
        <v>0</v>
      </c>
      <c r="X26" s="120">
        <f t="shared" si="17"/>
        <v>0</v>
      </c>
      <c r="Y26" s="120">
        <f t="shared" si="17"/>
        <v>0</v>
      </c>
      <c r="Z26" s="120">
        <f t="shared" si="17"/>
        <v>0</v>
      </c>
      <c r="AA26" s="120">
        <f t="shared" si="17"/>
        <v>0</v>
      </c>
      <c r="AB26" s="120">
        <f t="shared" si="17"/>
        <v>0</v>
      </c>
      <c r="AC26" s="120">
        <f t="shared" si="17"/>
        <v>0</v>
      </c>
      <c r="AD26" s="120">
        <f t="shared" si="17"/>
        <v>0</v>
      </c>
      <c r="AF26" s="47"/>
      <c r="AI26" s="76"/>
    </row>
    <row r="27" spans="1:35"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>
        <f>AE23/1000</f>
        <v>0</v>
      </c>
    </row>
    <row r="28" spans="1:35">
      <c r="A28" s="2" t="s">
        <v>113</v>
      </c>
      <c r="B28" s="29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95"/>
      <c r="V28" s="36"/>
      <c r="W28" s="36"/>
      <c r="X28" s="36"/>
      <c r="Y28" s="95"/>
      <c r="Z28" s="36"/>
      <c r="AA28" s="36"/>
      <c r="AB28" s="95"/>
      <c r="AC28" s="36"/>
      <c r="AD28" s="36"/>
      <c r="AE28" s="36"/>
      <c r="AF28" s="3"/>
    </row>
    <row r="29" spans="1:35">
      <c r="A29" s="28"/>
      <c r="B29" s="17"/>
      <c r="AF29" s="25"/>
    </row>
    <row r="30" spans="1:35">
      <c r="A30" s="28" t="s">
        <v>264</v>
      </c>
      <c r="B30" s="17"/>
      <c r="AF30" s="25"/>
    </row>
    <row r="31" spans="1:35">
      <c r="A31" s="236" t="s">
        <v>114</v>
      </c>
      <c r="B31" s="17" t="s">
        <v>105</v>
      </c>
      <c r="D31" s="37">
        <f>D19</f>
        <v>3478.2177124</v>
      </c>
      <c r="E31" s="37">
        <f t="shared" ref="E31:W31" si="18">E19</f>
        <v>3794.3028821000003</v>
      </c>
      <c r="F31" s="37">
        <f t="shared" si="18"/>
        <v>4011.9894800000002</v>
      </c>
      <c r="G31" s="37">
        <f t="shared" si="18"/>
        <v>3865.0745868000004</v>
      </c>
      <c r="H31" s="37">
        <f t="shared" si="18"/>
        <v>3514.7746020739514</v>
      </c>
      <c r="I31" s="37">
        <f>I19</f>
        <v>0</v>
      </c>
      <c r="J31" s="37">
        <f t="shared" si="18"/>
        <v>0</v>
      </c>
      <c r="K31" s="37">
        <f t="shared" si="18"/>
        <v>0</v>
      </c>
      <c r="L31" s="37">
        <f t="shared" si="18"/>
        <v>0</v>
      </c>
      <c r="M31" s="37">
        <f t="shared" si="18"/>
        <v>0</v>
      </c>
      <c r="N31" s="37">
        <f t="shared" si="18"/>
        <v>0</v>
      </c>
      <c r="O31" s="37">
        <f t="shared" si="18"/>
        <v>0</v>
      </c>
      <c r="P31" s="37">
        <f t="shared" si="18"/>
        <v>0</v>
      </c>
      <c r="Q31" s="37">
        <f t="shared" si="18"/>
        <v>0</v>
      </c>
      <c r="R31" s="37">
        <f t="shared" si="18"/>
        <v>0</v>
      </c>
      <c r="S31" s="37">
        <f t="shared" si="18"/>
        <v>0</v>
      </c>
      <c r="T31" s="37">
        <f t="shared" si="18"/>
        <v>0</v>
      </c>
      <c r="U31" s="37">
        <f t="shared" si="18"/>
        <v>0</v>
      </c>
      <c r="V31" s="37">
        <f t="shared" si="18"/>
        <v>0</v>
      </c>
      <c r="W31" s="37">
        <f t="shared" si="18"/>
        <v>0</v>
      </c>
      <c r="X31" s="37">
        <f t="shared" ref="X31:AD31" si="19">X19</f>
        <v>0</v>
      </c>
      <c r="Y31" s="37">
        <f t="shared" si="19"/>
        <v>0</v>
      </c>
      <c r="Z31" s="37">
        <f t="shared" si="19"/>
        <v>0</v>
      </c>
      <c r="AA31" s="37">
        <f t="shared" si="19"/>
        <v>0</v>
      </c>
      <c r="AB31" s="37">
        <f t="shared" si="19"/>
        <v>0</v>
      </c>
      <c r="AC31" s="37">
        <f t="shared" si="19"/>
        <v>0</v>
      </c>
      <c r="AD31" s="37">
        <f t="shared" si="19"/>
        <v>0</v>
      </c>
      <c r="AE31" s="37"/>
      <c r="AF31" s="5">
        <f>SUM(C31:AD31)</f>
        <v>18664.35926337395</v>
      </c>
    </row>
    <row r="32" spans="1:35">
      <c r="A32" s="94" t="s">
        <v>9</v>
      </c>
      <c r="B32" s="17" t="s">
        <v>105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  <c r="AE32" s="37"/>
      <c r="AF32" s="5">
        <f>SUM(C32:AD32)</f>
        <v>0</v>
      </c>
    </row>
    <row r="33" spans="1:32">
      <c r="A33" s="94" t="s">
        <v>265</v>
      </c>
      <c r="B33" s="17" t="s">
        <v>105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37"/>
      <c r="AF33" s="5">
        <f>SUM(C33:AD33)</f>
        <v>0</v>
      </c>
    </row>
    <row r="34" spans="1:32">
      <c r="A34" s="4" t="s">
        <v>115</v>
      </c>
      <c r="B34" s="17" t="s">
        <v>105</v>
      </c>
      <c r="D34" s="35">
        <f>SUM(D31:D33)</f>
        <v>3478.2177124</v>
      </c>
      <c r="E34" s="35">
        <f t="shared" ref="E34:AD34" si="20">SUM(E31:E33)</f>
        <v>3794.3028821000003</v>
      </c>
      <c r="F34" s="35">
        <f t="shared" si="20"/>
        <v>4011.9894800000002</v>
      </c>
      <c r="G34" s="35">
        <f t="shared" si="20"/>
        <v>3865.0745868000004</v>
      </c>
      <c r="H34" s="35">
        <f t="shared" si="20"/>
        <v>3514.7746020739514</v>
      </c>
      <c r="I34" s="35">
        <f t="shared" si="20"/>
        <v>0</v>
      </c>
      <c r="J34" s="35">
        <f t="shared" si="20"/>
        <v>0</v>
      </c>
      <c r="K34" s="35">
        <f t="shared" si="20"/>
        <v>0</v>
      </c>
      <c r="L34" s="35">
        <f t="shared" si="20"/>
        <v>0</v>
      </c>
      <c r="M34" s="35">
        <f t="shared" si="20"/>
        <v>0</v>
      </c>
      <c r="N34" s="35">
        <f t="shared" si="20"/>
        <v>0</v>
      </c>
      <c r="O34" s="35">
        <f t="shared" si="20"/>
        <v>0</v>
      </c>
      <c r="P34" s="35">
        <f t="shared" si="20"/>
        <v>0</v>
      </c>
      <c r="Q34" s="35">
        <f t="shared" si="20"/>
        <v>0</v>
      </c>
      <c r="R34" s="35">
        <f t="shared" si="20"/>
        <v>0</v>
      </c>
      <c r="S34" s="35">
        <f t="shared" si="20"/>
        <v>0</v>
      </c>
      <c r="T34" s="35">
        <f t="shared" si="20"/>
        <v>0</v>
      </c>
      <c r="U34" s="35">
        <f t="shared" si="20"/>
        <v>0</v>
      </c>
      <c r="V34" s="35">
        <f t="shared" si="20"/>
        <v>0</v>
      </c>
      <c r="W34" s="35">
        <f t="shared" si="20"/>
        <v>0</v>
      </c>
      <c r="X34" s="35">
        <f t="shared" si="20"/>
        <v>0</v>
      </c>
      <c r="Y34" s="35">
        <f t="shared" si="20"/>
        <v>0</v>
      </c>
      <c r="Z34" s="35">
        <f t="shared" si="20"/>
        <v>0</v>
      </c>
      <c r="AA34" s="35">
        <f t="shared" si="20"/>
        <v>0</v>
      </c>
      <c r="AB34" s="35">
        <f t="shared" si="20"/>
        <v>0</v>
      </c>
      <c r="AC34" s="35">
        <f t="shared" si="20"/>
        <v>0</v>
      </c>
      <c r="AD34" s="35">
        <f t="shared" si="20"/>
        <v>0</v>
      </c>
      <c r="AE34" s="35">
        <f>SUM(AE31:AE32)</f>
        <v>0</v>
      </c>
      <c r="AF34" s="35">
        <f>SUM(AF31:AF32)</f>
        <v>18664.35926337395</v>
      </c>
    </row>
    <row r="35" spans="1:32">
      <c r="A35" s="4"/>
      <c r="B35" s="17"/>
      <c r="AF35" s="25"/>
    </row>
    <row r="36" spans="1:32">
      <c r="A36" s="28" t="s">
        <v>266</v>
      </c>
      <c r="B36" s="17"/>
      <c r="AF36" s="25"/>
    </row>
    <row r="37" spans="1:32">
      <c r="A37" s="4" t="str">
        <f>$A$31</f>
        <v>PHCC</v>
      </c>
      <c r="B37" s="17" t="s">
        <v>43</v>
      </c>
      <c r="D37" s="14">
        <v>9.5000000000000001E-2</v>
      </c>
      <c r="E37" s="14">
        <v>9.5000000000000001E-2</v>
      </c>
      <c r="F37" s="14">
        <v>9.5000000000000001E-2</v>
      </c>
      <c r="G37" s="14">
        <v>9.5000000000000001E-2</v>
      </c>
      <c r="H37" s="14">
        <v>9.5000000000000001E-2</v>
      </c>
      <c r="I37" s="14">
        <v>9.5000000000000001E-2</v>
      </c>
      <c r="J37" s="14">
        <v>9.5000000000000001E-2</v>
      </c>
      <c r="K37" s="14">
        <v>9.5000000000000001E-2</v>
      </c>
      <c r="L37" s="14">
        <v>9.5000000000000001E-2</v>
      </c>
      <c r="M37" s="14">
        <v>9.5000000000000001E-2</v>
      </c>
      <c r="N37" s="14">
        <v>9.5000000000000001E-2</v>
      </c>
      <c r="O37" s="14">
        <v>9.5000000000000001E-2</v>
      </c>
      <c r="P37" s="14">
        <v>9.5000000000000001E-2</v>
      </c>
      <c r="Q37" s="14">
        <v>9.5000000000000001E-2</v>
      </c>
      <c r="R37" s="14">
        <v>9.5000000000000001E-2</v>
      </c>
      <c r="S37" s="14">
        <v>9.5000000000000001E-2</v>
      </c>
      <c r="T37" s="14">
        <v>9.5000000000000001E-2</v>
      </c>
      <c r="U37" s="14">
        <v>9.5000000000000001E-2</v>
      </c>
      <c r="V37" s="14">
        <v>9.5000000000000001E-2</v>
      </c>
      <c r="W37" s="14">
        <v>9.5000000000000001E-2</v>
      </c>
      <c r="X37" s="14">
        <v>9.5000000000000001E-2</v>
      </c>
      <c r="Y37" s="14">
        <v>9.5000000000000001E-2</v>
      </c>
      <c r="Z37" s="14">
        <v>9.5000000000000001E-2</v>
      </c>
      <c r="AA37" s="14">
        <v>9.5000000000000001E-2</v>
      </c>
      <c r="AB37" s="14">
        <v>9.5000000000000001E-2</v>
      </c>
      <c r="AC37" s="14">
        <v>9.5000000000000001E-2</v>
      </c>
      <c r="AD37" s="14">
        <v>9.5000000000000001E-2</v>
      </c>
      <c r="AE37" s="14"/>
      <c r="AF37" s="5"/>
    </row>
    <row r="38" spans="1:32">
      <c r="A38" s="4" t="str">
        <f>$A$32</f>
        <v>88% PHCC</v>
      </c>
      <c r="B38" s="17" t="s">
        <v>43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/>
      <c r="AF38" s="5"/>
    </row>
    <row r="39" spans="1:32">
      <c r="A39" s="4" t="s">
        <v>265</v>
      </c>
      <c r="B39" s="17" t="s">
        <v>43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/>
      <c r="AF39" s="5"/>
    </row>
    <row r="40" spans="1:32">
      <c r="A40" s="4"/>
      <c r="B40" s="17"/>
      <c r="AF40" s="25"/>
    </row>
    <row r="41" spans="1:32">
      <c r="A41" s="28" t="s">
        <v>267</v>
      </c>
      <c r="B41" s="17"/>
      <c r="AF41" s="25"/>
    </row>
    <row r="42" spans="1:32">
      <c r="A42" s="4" t="str">
        <f>$A$31</f>
        <v>PHCC</v>
      </c>
      <c r="B42" s="17" t="s">
        <v>268</v>
      </c>
      <c r="D42" s="144">
        <v>6314.0455973729704</v>
      </c>
      <c r="E42" s="144">
        <v>6296.3228631415304</v>
      </c>
      <c r="F42" s="144">
        <v>6328.7077018598366</v>
      </c>
      <c r="G42" s="144">
        <v>6280.3565652050529</v>
      </c>
      <c r="H42" s="144">
        <v>6305.4267399131577</v>
      </c>
      <c r="I42" s="144"/>
      <c r="J42" s="144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5"/>
    </row>
    <row r="43" spans="1:32">
      <c r="A43" s="4" t="str">
        <f>$A$32</f>
        <v>88% PHCC</v>
      </c>
      <c r="B43" s="17" t="s">
        <v>268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/>
      <c r="AF43" s="5"/>
    </row>
    <row r="44" spans="1:32">
      <c r="A44" s="4" t="s">
        <v>265</v>
      </c>
      <c r="B44" s="17" t="s">
        <v>268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/>
      <c r="AF44" s="5"/>
    </row>
    <row r="45" spans="1:32">
      <c r="A45" s="4"/>
      <c r="B45" s="17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5"/>
    </row>
    <row r="46" spans="1:32">
      <c r="A46" s="4" t="s">
        <v>20</v>
      </c>
      <c r="B46" s="17"/>
      <c r="D46" s="12">
        <f>Assumptions!$B$16</f>
        <v>260</v>
      </c>
      <c r="E46" s="12">
        <f>Assumptions!$B$16</f>
        <v>260</v>
      </c>
      <c r="F46" s="12">
        <f>Assumptions!$B$16</f>
        <v>260</v>
      </c>
      <c r="G46" s="12">
        <f>Assumptions!$B$16</f>
        <v>260</v>
      </c>
      <c r="H46" s="12">
        <f>Assumptions!$B$16</f>
        <v>260</v>
      </c>
      <c r="I46" s="12">
        <f>Assumptions!$B$16</f>
        <v>260</v>
      </c>
      <c r="J46" s="12">
        <f>Assumptions!$B$16</f>
        <v>260</v>
      </c>
      <c r="K46" s="12">
        <f>Assumptions!$B$16</f>
        <v>260</v>
      </c>
      <c r="L46" s="12">
        <f>Assumptions!$B$16</f>
        <v>260</v>
      </c>
      <c r="M46" s="12">
        <f>Assumptions!$B$16</f>
        <v>260</v>
      </c>
      <c r="N46" s="12">
        <f>Assumptions!$B$16</f>
        <v>260</v>
      </c>
      <c r="O46" s="12">
        <f>Assumptions!$B$16</f>
        <v>260</v>
      </c>
      <c r="P46" s="12">
        <f>Assumptions!$B$16</f>
        <v>260</v>
      </c>
      <c r="Q46" s="12">
        <f>Assumptions!$B$16</f>
        <v>260</v>
      </c>
      <c r="R46" s="12">
        <f>Assumptions!$B$16</f>
        <v>260</v>
      </c>
      <c r="S46" s="12">
        <f>Assumptions!$B$16</f>
        <v>260</v>
      </c>
      <c r="T46" s="12">
        <f>Assumptions!$B$16</f>
        <v>260</v>
      </c>
      <c r="U46" s="12">
        <f>Assumptions!$B$16</f>
        <v>260</v>
      </c>
      <c r="V46" s="12">
        <f>Assumptions!$B$16</f>
        <v>260</v>
      </c>
      <c r="W46" s="12">
        <f>Assumptions!$B$16</f>
        <v>260</v>
      </c>
      <c r="X46" s="12">
        <f>Assumptions!$B$16</f>
        <v>260</v>
      </c>
      <c r="Y46" s="12">
        <f>Assumptions!$B$16</f>
        <v>260</v>
      </c>
      <c r="Z46" s="12">
        <f>Assumptions!$B$16</f>
        <v>260</v>
      </c>
      <c r="AA46" s="12">
        <f>Assumptions!$B$16</f>
        <v>260</v>
      </c>
      <c r="AB46" s="12">
        <f>Assumptions!$B$16</f>
        <v>260</v>
      </c>
      <c r="AC46" s="12">
        <f>Assumptions!$B$16</f>
        <v>260</v>
      </c>
      <c r="AD46" s="12">
        <f>Assumptions!$B$16</f>
        <v>260</v>
      </c>
      <c r="AE46" s="12"/>
      <c r="AF46" s="5"/>
    </row>
    <row r="47" spans="1:32">
      <c r="A47" t="s">
        <v>22</v>
      </c>
      <c r="B47" s="17"/>
      <c r="D47" s="12">
        <f>Assumptions!$B$17</f>
        <v>6000</v>
      </c>
      <c r="E47" s="12">
        <f>Assumptions!$B$17</f>
        <v>6000</v>
      </c>
      <c r="F47" s="12">
        <f>Assumptions!$B$17</f>
        <v>6000</v>
      </c>
      <c r="G47" s="12">
        <f>Assumptions!$B$17</f>
        <v>6000</v>
      </c>
      <c r="H47" s="12">
        <f>Assumptions!$B$17</f>
        <v>6000</v>
      </c>
      <c r="I47" s="12">
        <f>Assumptions!$B$17</f>
        <v>6000</v>
      </c>
      <c r="J47" s="12">
        <f>Assumptions!$B$17</f>
        <v>6000</v>
      </c>
      <c r="K47" s="12">
        <f>Assumptions!$B$17</f>
        <v>6000</v>
      </c>
      <c r="L47" s="12">
        <f>Assumptions!$B$17</f>
        <v>6000</v>
      </c>
      <c r="M47" s="12">
        <f>Assumptions!$B$17</f>
        <v>6000</v>
      </c>
      <c r="N47" s="12">
        <f>Assumptions!$B$17</f>
        <v>6000</v>
      </c>
      <c r="O47" s="12">
        <f>Assumptions!$B$17</f>
        <v>6000</v>
      </c>
      <c r="P47" s="12">
        <f>Assumptions!$B$17</f>
        <v>6000</v>
      </c>
      <c r="Q47" s="12">
        <f>Assumptions!$B$17</f>
        <v>6000</v>
      </c>
      <c r="R47" s="12">
        <f>Assumptions!$B$17</f>
        <v>6000</v>
      </c>
      <c r="S47" s="12">
        <f>Assumptions!$B$17</f>
        <v>6000</v>
      </c>
      <c r="T47" s="12">
        <f>Assumptions!$B$17</f>
        <v>6000</v>
      </c>
      <c r="U47" s="12">
        <f>Assumptions!$B$17</f>
        <v>6000</v>
      </c>
      <c r="V47" s="12">
        <f>Assumptions!$B$17</f>
        <v>6000</v>
      </c>
      <c r="W47" s="12">
        <f>Assumptions!$B$17</f>
        <v>6000</v>
      </c>
      <c r="X47" s="12">
        <f>Assumptions!$B$17</f>
        <v>6000</v>
      </c>
      <c r="Y47" s="12">
        <f>Assumptions!$B$17</f>
        <v>6000</v>
      </c>
      <c r="Z47" s="12">
        <f>Assumptions!$B$17</f>
        <v>6000</v>
      </c>
      <c r="AA47" s="12">
        <f>Assumptions!$B$17</f>
        <v>6000</v>
      </c>
      <c r="AB47" s="12">
        <f>Assumptions!$B$17</f>
        <v>6000</v>
      </c>
      <c r="AC47" s="12">
        <f>Assumptions!$B$17</f>
        <v>6000</v>
      </c>
      <c r="AD47" s="12">
        <f>Assumptions!$B$17</f>
        <v>6000</v>
      </c>
      <c r="AE47" s="12"/>
      <c r="AF47" s="5"/>
    </row>
    <row r="48" spans="1:32">
      <c r="B48" s="17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5"/>
    </row>
    <row r="49" spans="1:32">
      <c r="A49" s="28" t="s">
        <v>269</v>
      </c>
      <c r="B49" s="1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5"/>
    </row>
    <row r="50" spans="1:32">
      <c r="A50" s="4" t="str">
        <f>$A$31</f>
        <v>PHCC</v>
      </c>
      <c r="B50" s="17" t="s">
        <v>18</v>
      </c>
      <c r="D50" s="12">
        <f t="shared" ref="D50:AD50" si="21">IF(D31&gt;0,D42-D$46,0)</f>
        <v>6054.0455973729704</v>
      </c>
      <c r="E50" s="12">
        <f t="shared" si="21"/>
        <v>6036.3228631415304</v>
      </c>
      <c r="F50" s="12">
        <f t="shared" si="21"/>
        <v>6068.7077018598366</v>
      </c>
      <c r="G50" s="12">
        <f t="shared" si="21"/>
        <v>6020.3565652050529</v>
      </c>
      <c r="H50" s="12">
        <f t="shared" si="21"/>
        <v>6045.4267399131577</v>
      </c>
      <c r="I50" s="12">
        <f t="shared" si="21"/>
        <v>0</v>
      </c>
      <c r="J50" s="12">
        <f t="shared" si="21"/>
        <v>0</v>
      </c>
      <c r="K50" s="12">
        <f t="shared" si="21"/>
        <v>0</v>
      </c>
      <c r="L50" s="12">
        <f t="shared" si="21"/>
        <v>0</v>
      </c>
      <c r="M50" s="12">
        <f t="shared" si="21"/>
        <v>0</v>
      </c>
      <c r="N50" s="12">
        <f t="shared" si="21"/>
        <v>0</v>
      </c>
      <c r="O50" s="12">
        <f t="shared" si="21"/>
        <v>0</v>
      </c>
      <c r="P50" s="12">
        <f t="shared" si="21"/>
        <v>0</v>
      </c>
      <c r="Q50" s="12">
        <f t="shared" si="21"/>
        <v>0</v>
      </c>
      <c r="R50" s="12">
        <f t="shared" si="21"/>
        <v>0</v>
      </c>
      <c r="S50" s="12">
        <f t="shared" si="21"/>
        <v>0</v>
      </c>
      <c r="T50" s="12">
        <f t="shared" si="21"/>
        <v>0</v>
      </c>
      <c r="U50" s="12">
        <f t="shared" si="21"/>
        <v>0</v>
      </c>
      <c r="V50" s="12">
        <f t="shared" si="21"/>
        <v>0</v>
      </c>
      <c r="W50" s="12">
        <f t="shared" si="21"/>
        <v>0</v>
      </c>
      <c r="X50" s="12">
        <f t="shared" si="21"/>
        <v>0</v>
      </c>
      <c r="Y50" s="12">
        <f t="shared" si="21"/>
        <v>0</v>
      </c>
      <c r="Z50" s="12">
        <f t="shared" si="21"/>
        <v>0</v>
      </c>
      <c r="AA50" s="12">
        <f t="shared" si="21"/>
        <v>0</v>
      </c>
      <c r="AB50" s="12">
        <f t="shared" si="21"/>
        <v>0</v>
      </c>
      <c r="AC50" s="12">
        <f t="shared" si="21"/>
        <v>0</v>
      </c>
      <c r="AD50" s="12">
        <f t="shared" si="21"/>
        <v>0</v>
      </c>
      <c r="AE50" s="12"/>
      <c r="AF50" s="5"/>
    </row>
    <row r="51" spans="1:32">
      <c r="A51" s="4" t="str">
        <f>$A$32</f>
        <v>88% PHCC</v>
      </c>
      <c r="B51" s="17" t="s">
        <v>18</v>
      </c>
      <c r="D51" s="12">
        <f t="shared" ref="D51:AD51" si="22">IF(D32&gt;0,D43-D$46,0)</f>
        <v>0</v>
      </c>
      <c r="E51" s="12">
        <f t="shared" si="22"/>
        <v>0</v>
      </c>
      <c r="F51" s="12">
        <f t="shared" si="22"/>
        <v>0</v>
      </c>
      <c r="G51" s="12">
        <f t="shared" si="22"/>
        <v>0</v>
      </c>
      <c r="H51" s="12">
        <f t="shared" si="22"/>
        <v>0</v>
      </c>
      <c r="I51" s="12">
        <f t="shared" si="22"/>
        <v>0</v>
      </c>
      <c r="J51" s="12">
        <f t="shared" si="22"/>
        <v>0</v>
      </c>
      <c r="K51" s="12">
        <f t="shared" si="22"/>
        <v>0</v>
      </c>
      <c r="L51" s="12">
        <f t="shared" si="22"/>
        <v>0</v>
      </c>
      <c r="M51" s="12">
        <f t="shared" si="22"/>
        <v>0</v>
      </c>
      <c r="N51" s="12">
        <f t="shared" si="22"/>
        <v>0</v>
      </c>
      <c r="O51" s="12">
        <f t="shared" si="22"/>
        <v>0</v>
      </c>
      <c r="P51" s="12">
        <f t="shared" si="22"/>
        <v>0</v>
      </c>
      <c r="Q51" s="12">
        <f t="shared" si="22"/>
        <v>0</v>
      </c>
      <c r="R51" s="12">
        <f t="shared" si="22"/>
        <v>0</v>
      </c>
      <c r="S51" s="12">
        <f t="shared" si="22"/>
        <v>0</v>
      </c>
      <c r="T51" s="12">
        <f t="shared" si="22"/>
        <v>0</v>
      </c>
      <c r="U51" s="12">
        <f t="shared" si="22"/>
        <v>0</v>
      </c>
      <c r="V51" s="12">
        <f t="shared" si="22"/>
        <v>0</v>
      </c>
      <c r="W51" s="12">
        <f t="shared" si="22"/>
        <v>0</v>
      </c>
      <c r="X51" s="12">
        <f t="shared" si="22"/>
        <v>0</v>
      </c>
      <c r="Y51" s="12">
        <f t="shared" si="22"/>
        <v>0</v>
      </c>
      <c r="Z51" s="12">
        <f t="shared" si="22"/>
        <v>0</v>
      </c>
      <c r="AA51" s="12">
        <f t="shared" si="22"/>
        <v>0</v>
      </c>
      <c r="AB51" s="12">
        <f t="shared" si="22"/>
        <v>0</v>
      </c>
      <c r="AC51" s="12">
        <f t="shared" si="22"/>
        <v>0</v>
      </c>
      <c r="AD51" s="12">
        <f t="shared" si="22"/>
        <v>0</v>
      </c>
      <c r="AE51" s="12"/>
      <c r="AF51" s="5"/>
    </row>
    <row r="52" spans="1:32">
      <c r="A52" s="4" t="s">
        <v>265</v>
      </c>
      <c r="B52" s="17" t="s">
        <v>18</v>
      </c>
      <c r="D52" s="12">
        <f>IF(D33&gt;0,D44-D$46,0)</f>
        <v>0</v>
      </c>
      <c r="E52" s="12">
        <f t="shared" ref="E52:AD52" si="23">IF(E33&gt;0,E44-E$46,0)</f>
        <v>0</v>
      </c>
      <c r="F52" s="12">
        <f t="shared" si="23"/>
        <v>0</v>
      </c>
      <c r="G52" s="12">
        <f t="shared" si="23"/>
        <v>0</v>
      </c>
      <c r="H52" s="12">
        <f t="shared" si="23"/>
        <v>0</v>
      </c>
      <c r="I52" s="12">
        <f t="shared" si="23"/>
        <v>0</v>
      </c>
      <c r="J52" s="12">
        <f t="shared" si="23"/>
        <v>0</v>
      </c>
      <c r="K52" s="12">
        <f t="shared" si="23"/>
        <v>0</v>
      </c>
      <c r="L52" s="12">
        <f t="shared" si="23"/>
        <v>0</v>
      </c>
      <c r="M52" s="12">
        <f t="shared" si="23"/>
        <v>0</v>
      </c>
      <c r="N52" s="12">
        <f t="shared" si="23"/>
        <v>0</v>
      </c>
      <c r="O52" s="12">
        <f t="shared" si="23"/>
        <v>0</v>
      </c>
      <c r="P52" s="12">
        <f t="shared" si="23"/>
        <v>0</v>
      </c>
      <c r="Q52" s="12">
        <f t="shared" si="23"/>
        <v>0</v>
      </c>
      <c r="R52" s="12">
        <f t="shared" si="23"/>
        <v>0</v>
      </c>
      <c r="S52" s="12">
        <f t="shared" si="23"/>
        <v>0</v>
      </c>
      <c r="T52" s="12">
        <f t="shared" si="23"/>
        <v>0</v>
      </c>
      <c r="U52" s="12">
        <f t="shared" si="23"/>
        <v>0</v>
      </c>
      <c r="V52" s="12">
        <f t="shared" si="23"/>
        <v>0</v>
      </c>
      <c r="W52" s="12">
        <f t="shared" si="23"/>
        <v>0</v>
      </c>
      <c r="X52" s="12">
        <f t="shared" si="23"/>
        <v>0</v>
      </c>
      <c r="Y52" s="12">
        <f t="shared" si="23"/>
        <v>0</v>
      </c>
      <c r="Z52" s="12">
        <f t="shared" si="23"/>
        <v>0</v>
      </c>
      <c r="AA52" s="12">
        <f t="shared" si="23"/>
        <v>0</v>
      </c>
      <c r="AB52" s="12">
        <f t="shared" si="23"/>
        <v>0</v>
      </c>
      <c r="AC52" s="12">
        <f t="shared" si="23"/>
        <v>0</v>
      </c>
      <c r="AD52" s="12">
        <f t="shared" si="23"/>
        <v>0</v>
      </c>
      <c r="AE52" s="12"/>
      <c r="AF52" s="5"/>
    </row>
    <row r="53" spans="1:32">
      <c r="A53" s="4"/>
      <c r="B53" s="17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5"/>
    </row>
    <row r="54" spans="1:32">
      <c r="A54" s="28" t="s">
        <v>116</v>
      </c>
      <c r="B54" s="17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5"/>
    </row>
    <row r="55" spans="1:32">
      <c r="A55" s="4" t="str">
        <f>$A$31</f>
        <v>PHCC</v>
      </c>
      <c r="B55" s="17" t="s">
        <v>7</v>
      </c>
      <c r="D55" s="12">
        <f>IF(D31&gt;0,Assumptions!J6,0)</f>
        <v>240</v>
      </c>
      <c r="E55" s="12">
        <f>IF(E31&gt;0,Assumptions!K6,0)</f>
        <v>240</v>
      </c>
      <c r="F55" s="12">
        <f>IF(F31&gt;0,Assumptions!L6,0)</f>
        <v>240</v>
      </c>
      <c r="G55" s="12">
        <f>IF(G31&gt;0,Assumptions!M6,0)</f>
        <v>240</v>
      </c>
      <c r="H55" s="12">
        <f>IF(H31&gt;0,Assumptions!N6,0)</f>
        <v>240</v>
      </c>
      <c r="I55" s="12">
        <f>IF(I31&gt;0,Assumptions!O6,0)</f>
        <v>0</v>
      </c>
      <c r="J55" s="12">
        <f>IF(J31&gt;0,Assumptions!P6,0)</f>
        <v>0</v>
      </c>
      <c r="K55" s="12">
        <f>IF(K31&gt;0,Assumptions!Q6,0)</f>
        <v>0</v>
      </c>
      <c r="L55" s="12">
        <f>IF(L31&gt;0,Assumptions!R6,0)</f>
        <v>0</v>
      </c>
      <c r="M55" s="12">
        <f>IF(M31&gt;0,Assumptions!S6,0)</f>
        <v>0</v>
      </c>
      <c r="N55" s="12">
        <f>IF(N31&gt;0,Assumptions!T6,0)</f>
        <v>0</v>
      </c>
      <c r="O55" s="12">
        <f>IF(O31&gt;0,Assumptions!U6,0)</f>
        <v>0</v>
      </c>
      <c r="P55" s="12">
        <f>IF(P31&gt;0,Assumptions!V6,0)</f>
        <v>0</v>
      </c>
      <c r="Q55" s="12">
        <f>IF(Q31&gt;0,Assumptions!W6,0)</f>
        <v>0</v>
      </c>
      <c r="R55" s="12">
        <f>IF(R31&gt;0,Assumptions!X6,0)</f>
        <v>0</v>
      </c>
      <c r="S55" s="12">
        <f>IF(S31&gt;0,Assumptions!Y6,0)</f>
        <v>0</v>
      </c>
      <c r="T55" s="12">
        <f>IF(T31&gt;0,Assumptions!Z6,0)</f>
        <v>0</v>
      </c>
      <c r="U55" s="12">
        <f>IF(U31&gt;0,Assumptions!AA6,0)</f>
        <v>0</v>
      </c>
      <c r="V55" s="12">
        <f>IF(V31&gt;0,Assumptions!AB6,0)</f>
        <v>0</v>
      </c>
      <c r="W55" s="12">
        <f>IF(W31&gt;0,Assumptions!AC6,0)</f>
        <v>0</v>
      </c>
      <c r="X55" s="12">
        <f>IF(X31&gt;0,Assumptions!AD6,0)</f>
        <v>0</v>
      </c>
      <c r="Y55" s="12">
        <f>IF(Y31&gt;0,Assumptions!AE6,0)</f>
        <v>0</v>
      </c>
      <c r="Z55" s="12">
        <f>IF(Z31&gt;0,Assumptions!AF6,0)</f>
        <v>0</v>
      </c>
      <c r="AA55" s="12">
        <f>IF(AA31&gt;0,Assumptions!AG6,0)</f>
        <v>0</v>
      </c>
      <c r="AB55" s="12">
        <f>IF(AB31&gt;0,Assumptions!AH6,0)</f>
        <v>0</v>
      </c>
      <c r="AC55" s="12">
        <f>IF(AC31&gt;0,Assumptions!AI6,0)</f>
        <v>0</v>
      </c>
      <c r="AD55" s="12">
        <f>IF(AD31&gt;0,Assumptions!AJ6,0)</f>
        <v>0</v>
      </c>
      <c r="AE55" s="13"/>
      <c r="AF55" s="25"/>
    </row>
    <row r="56" spans="1:32">
      <c r="A56" s="4" t="str">
        <f>$A$32</f>
        <v>88% PHCC</v>
      </c>
      <c r="B56" s="17" t="s">
        <v>7</v>
      </c>
      <c r="D56" s="12">
        <f>IF(D32&gt;0,Assumptions!J$7,0)</f>
        <v>0</v>
      </c>
      <c r="E56" s="12">
        <f>IF(E32&gt;0,Assumptions!K$7,0)</f>
        <v>0</v>
      </c>
      <c r="F56" s="12">
        <f>IF(F32&gt;0,Assumptions!L$7,0)</f>
        <v>0</v>
      </c>
      <c r="G56" s="12">
        <f>IF(G32&gt;0,Assumptions!M$7,0)</f>
        <v>0</v>
      </c>
      <c r="H56" s="12">
        <f>IF(H32&gt;0,Assumptions!N$7,0)</f>
        <v>0</v>
      </c>
      <c r="I56" s="12">
        <f>IF(I32&gt;0,Assumptions!O$7,0)</f>
        <v>0</v>
      </c>
      <c r="J56" s="12">
        <f>IF(J32&gt;0,Assumptions!P$7,0)</f>
        <v>0</v>
      </c>
      <c r="K56" s="12">
        <f>IF(K32&gt;0,Assumptions!Q$7,0)</f>
        <v>0</v>
      </c>
      <c r="L56" s="12">
        <f>IF(L32&gt;0,Assumptions!R$7,0)</f>
        <v>0</v>
      </c>
      <c r="M56" s="12">
        <f>IF(M32&gt;0,Assumptions!S$7,0)</f>
        <v>0</v>
      </c>
      <c r="N56" s="12">
        <f>IF(N32&gt;0,Assumptions!T$7,0)</f>
        <v>0</v>
      </c>
      <c r="O56" s="12">
        <f>IF(O32&gt;0,Assumptions!U$7,0)</f>
        <v>0</v>
      </c>
      <c r="P56" s="12">
        <f>IF(P32&gt;0,Assumptions!V$7,0)</f>
        <v>0</v>
      </c>
      <c r="Q56" s="12">
        <f>IF(Q32&gt;0,Assumptions!W$7,0)</f>
        <v>0</v>
      </c>
      <c r="R56" s="12">
        <f>IF(R32&gt;0,Assumptions!X$7,0)</f>
        <v>0</v>
      </c>
      <c r="S56" s="12">
        <f>IF(S32&gt;0,Assumptions!Y$7,0)</f>
        <v>0</v>
      </c>
      <c r="T56" s="12">
        <f>IF(T32&gt;0,Assumptions!Z$7,0)</f>
        <v>0</v>
      </c>
      <c r="U56" s="12">
        <f>IF(U32&gt;0,Assumptions!AA$7,0)</f>
        <v>0</v>
      </c>
      <c r="V56" s="12">
        <f>IF(V32&gt;0,Assumptions!AB$7,0)</f>
        <v>0</v>
      </c>
      <c r="W56" s="12">
        <f>IF(W32&gt;0,Assumptions!AC$7,0)</f>
        <v>0</v>
      </c>
      <c r="X56" s="12">
        <f>IF(X32&gt;0,Assumptions!AD$7,0)</f>
        <v>0</v>
      </c>
      <c r="Y56" s="12">
        <f>IF(Y32&gt;0,Assumptions!AE$7,0)</f>
        <v>0</v>
      </c>
      <c r="Z56" s="12">
        <f>IF(Z32&gt;0,Assumptions!AF$7,0)</f>
        <v>0</v>
      </c>
      <c r="AA56" s="12">
        <f>IF(AA32&gt;0,Assumptions!AG$7,0)</f>
        <v>0</v>
      </c>
      <c r="AB56" s="12">
        <f>IF(AB32&gt;0,Assumptions!AH$7,0)</f>
        <v>0</v>
      </c>
      <c r="AC56" s="12">
        <f>IF(AC32&gt;0,Assumptions!AI$7,0)</f>
        <v>0</v>
      </c>
      <c r="AD56" s="12">
        <f>IF(AD32&gt;0,Assumptions!AJ$7,0)</f>
        <v>0</v>
      </c>
      <c r="AE56" s="13"/>
      <c r="AF56" s="25"/>
    </row>
    <row r="57" spans="1:32">
      <c r="A57" s="4" t="s">
        <v>265</v>
      </c>
      <c r="B57" s="17" t="s">
        <v>7</v>
      </c>
      <c r="D57" s="12">
        <f>IF(D33&gt;0,IF(D52&gt;Assumptions!J$12,Assumptions!J$8,IF(D52&gt;Assumptions!J$13,Assumptions!J$8,Assumptions!J$9))*(D52/D$47),0)</f>
        <v>0</v>
      </c>
      <c r="E57" s="12">
        <f>IF(E33&gt;0,IF(E52&gt;Assumptions!K$12,Assumptions!K$8,IF(E52&gt;Assumptions!K$13,Assumptions!K$8,Assumptions!K$9))*(E52/E$47),0)</f>
        <v>0</v>
      </c>
      <c r="F57" s="12">
        <f>IF(F33&gt;0,IF(F52&gt;Assumptions!L$12,Assumptions!L$8,IF(F52&gt;Assumptions!L$13,Assumptions!L$8,Assumptions!L$9))*(F52/F$47),0)</f>
        <v>0</v>
      </c>
      <c r="G57" s="12">
        <f>IF(G33&gt;0,IF(G52&gt;Assumptions!M$12,Assumptions!M$8,IF(G52&gt;Assumptions!M$13,Assumptions!M$8,Assumptions!M$9))*(G52/G$47),0)</f>
        <v>0</v>
      </c>
      <c r="H57" s="12">
        <f>IF(H33&gt;0,IF(H52&gt;Assumptions!N$12,Assumptions!N$8,IF(H52&gt;Assumptions!N$13,Assumptions!N$8,Assumptions!N$9))*(H52/H$47),0)</f>
        <v>0</v>
      </c>
      <c r="I57" s="12">
        <f>IF(I33&gt;0,IF(I52&gt;Assumptions!O$12,Assumptions!O$8,IF(I52&gt;Assumptions!O$13,Assumptions!O$8,Assumptions!O$9))*(I52/I$47),0)</f>
        <v>0</v>
      </c>
      <c r="J57" s="12">
        <f>IF(J33&gt;0,IF(J52&gt;Assumptions!P$12,Assumptions!P$8,IF(J52&gt;Assumptions!P$13,Assumptions!P$8,Assumptions!P$9))*(J52/J$47),0)</f>
        <v>0</v>
      </c>
      <c r="K57" s="12">
        <f>IF(K33&gt;0,IF(K52&gt;Assumptions!Q$12,Assumptions!Q$8,IF(K52&gt;Assumptions!Q$13,Assumptions!Q$8,Assumptions!Q$9))*(K52/K$47),0)</f>
        <v>0</v>
      </c>
      <c r="L57" s="12">
        <f>IF(L33&gt;0,IF(L52&gt;Assumptions!R$12,Assumptions!R$8,IF(L52&gt;Assumptions!R$13,Assumptions!R$8,Assumptions!R$9))*(L52/L$47),0)</f>
        <v>0</v>
      </c>
      <c r="M57" s="12">
        <f>IF(M33&gt;0,IF(M52&gt;Assumptions!S$12,Assumptions!S$8,IF(M52&gt;Assumptions!S$13,Assumptions!S$8,Assumptions!S$9))*(M52/M$47),0)</f>
        <v>0</v>
      </c>
      <c r="N57" s="12">
        <f>IF(N33&gt;0,IF(N52&gt;Assumptions!T$12,Assumptions!T$8,IF(N52&gt;Assumptions!T$13,Assumptions!T$8,Assumptions!T$9))*(N52/N$47),0)</f>
        <v>0</v>
      </c>
      <c r="O57" s="12">
        <f>IF(O33&gt;0,IF(O52&gt;Assumptions!U$12,Assumptions!U$8,IF(O52&gt;Assumptions!U$13,Assumptions!U$8,Assumptions!U$9))*(O52/O$47),0)</f>
        <v>0</v>
      </c>
      <c r="P57" s="12">
        <f>IF(P33&gt;0,IF(P52&gt;Assumptions!V$12,Assumptions!V$8,IF(P52&gt;Assumptions!V$13,Assumptions!V$8,Assumptions!V$9))*(P52/P$47),0)</f>
        <v>0</v>
      </c>
      <c r="Q57" s="12">
        <f>IF(Q33&gt;0,IF(Q52&gt;Assumptions!W$12,Assumptions!W$8,IF(Q52&gt;Assumptions!W$13,Assumptions!W$8,Assumptions!W$9))*(Q52/Q$47),0)</f>
        <v>0</v>
      </c>
      <c r="R57" s="12">
        <f>IF(R33&gt;0,IF(R52&gt;Assumptions!X$12,Assumptions!X$8,IF(R52&gt;Assumptions!X$13,Assumptions!X$8,Assumptions!X$9))*(R52/R$47),0)</f>
        <v>0</v>
      </c>
      <c r="S57" s="12">
        <f>IF(S33&gt;0,IF(S52&gt;Assumptions!Y$12,Assumptions!Y$8,IF(S52&gt;Assumptions!Y$13,Assumptions!Y$8,Assumptions!Y$9))*(S52/S$47),0)</f>
        <v>0</v>
      </c>
      <c r="T57" s="12">
        <f>IF(T33&gt;0,IF(T52&gt;Assumptions!Z$12,Assumptions!Z$8,IF(T52&gt;Assumptions!Z$13,Assumptions!Z$8,Assumptions!Z$9))*(T52/T$47),0)</f>
        <v>0</v>
      </c>
      <c r="U57" s="12">
        <f>IF(U33&gt;0,IF(U52&gt;Assumptions!AA$12,Assumptions!AA$8,IF(U52&gt;Assumptions!AA$13,Assumptions!AA$8,Assumptions!AA$9))*(U52/U$47),0)</f>
        <v>0</v>
      </c>
      <c r="V57" s="12">
        <f>IF(V33&gt;0,IF(V52&gt;Assumptions!AB$12,Assumptions!AB$8,IF(V52&gt;Assumptions!AB$13,Assumptions!AB$8,Assumptions!AB$9))*(V52/V$47),0)</f>
        <v>0</v>
      </c>
      <c r="W57" s="12">
        <f>IF(W33&gt;0,IF(W52&gt;Assumptions!AC$12,Assumptions!AC$8,IF(W52&gt;Assumptions!AC$13,Assumptions!AC$8,Assumptions!AC$9))*(W52/W$47),0)</f>
        <v>0</v>
      </c>
      <c r="X57" s="12">
        <f>IF(X33&gt;0,IF(X52&gt;Assumptions!AD$12,Assumptions!AD$8,IF(X52&gt;Assumptions!AD$13,Assumptions!AD$8,Assumptions!AD$9))*(X52/X$47),0)</f>
        <v>0</v>
      </c>
      <c r="Y57" s="12">
        <f>IF(Y33&gt;0,IF(Y52&gt;Assumptions!AE$12,Assumptions!AE$8,IF(Y52&gt;Assumptions!AE$13,Assumptions!AE$8,Assumptions!AE$9))*(Y52/Y$47),0)</f>
        <v>0</v>
      </c>
      <c r="Z57" s="12">
        <f>IF(Z33&gt;0,IF(Z52&gt;Assumptions!AF$12,Assumptions!AF$8,IF(Z52&gt;Assumptions!AF$13,Assumptions!AF$8,Assumptions!AF$9))*(Z52/Z$47),0)</f>
        <v>0</v>
      </c>
      <c r="AA57" s="12">
        <f>IF(AA33&gt;0,IF(AA52&gt;Assumptions!AG$12,Assumptions!AG$8,IF(AA52&gt;Assumptions!AG$13,Assumptions!AG$8,Assumptions!AG$9))*(AA52/AA$47),0)</f>
        <v>0</v>
      </c>
      <c r="AB57" s="12">
        <f>IF(AB33&gt;0,IF(AB52&gt;Assumptions!AH$12,Assumptions!AH$8,IF(AB52&gt;Assumptions!AH$13,Assumptions!AH$8,Assumptions!AH$9))*(AB52/AB$47),0)</f>
        <v>0</v>
      </c>
      <c r="AC57" s="12">
        <f>IF(AC33&gt;0,IF(AC52&gt;Assumptions!AI$12,Assumptions!AI$8,IF(AC52&gt;Assumptions!AI$13,Assumptions!AI$8,Assumptions!AI$9))*(AC52/AC$47),0)</f>
        <v>0</v>
      </c>
      <c r="AD57" s="12">
        <f>IF(AD33&gt;0,IF(AD52&gt;Assumptions!AJ$12,Assumptions!AJ$8,IF(AD52&gt;Assumptions!AJ$13,Assumptions!AJ$8,Assumptions!AJ$9))*(AD52/AD$47),0)</f>
        <v>0</v>
      </c>
      <c r="AE57" s="13"/>
      <c r="AF57" s="25"/>
    </row>
    <row r="58" spans="1:32">
      <c r="A58" s="4" t="s">
        <v>117</v>
      </c>
      <c r="B58" s="17" t="s">
        <v>7</v>
      </c>
      <c r="D58" s="300">
        <f>IFERROR(SUMPRODUCT(D31:D33,D55:D57)/D34,0)</f>
        <v>240</v>
      </c>
      <c r="E58" s="300">
        <f t="shared" ref="E58:AD58" si="24">IFERROR(SUMPRODUCT(E31:E33,E55:E57)/E34,0)</f>
        <v>240</v>
      </c>
      <c r="F58" s="300">
        <f t="shared" si="24"/>
        <v>239.99999999999997</v>
      </c>
      <c r="G58" s="300">
        <f t="shared" si="24"/>
        <v>240</v>
      </c>
      <c r="H58" s="300">
        <f t="shared" si="24"/>
        <v>240</v>
      </c>
      <c r="I58" s="300">
        <f t="shared" si="24"/>
        <v>0</v>
      </c>
      <c r="J58" s="300">
        <f t="shared" si="24"/>
        <v>0</v>
      </c>
      <c r="K58" s="300">
        <f t="shared" si="24"/>
        <v>0</v>
      </c>
      <c r="L58" s="300">
        <f t="shared" si="24"/>
        <v>0</v>
      </c>
      <c r="M58" s="300">
        <f t="shared" si="24"/>
        <v>0</v>
      </c>
      <c r="N58" s="300">
        <f t="shared" si="24"/>
        <v>0</v>
      </c>
      <c r="O58" s="300">
        <f t="shared" si="24"/>
        <v>0</v>
      </c>
      <c r="P58" s="300">
        <f t="shared" si="24"/>
        <v>0</v>
      </c>
      <c r="Q58" s="300">
        <f t="shared" si="24"/>
        <v>0</v>
      </c>
      <c r="R58" s="300">
        <f t="shared" si="24"/>
        <v>0</v>
      </c>
      <c r="S58" s="300">
        <f t="shared" si="24"/>
        <v>0</v>
      </c>
      <c r="T58" s="300">
        <f t="shared" si="24"/>
        <v>0</v>
      </c>
      <c r="U58" s="300">
        <f t="shared" si="24"/>
        <v>0</v>
      </c>
      <c r="V58" s="300">
        <f t="shared" si="24"/>
        <v>0</v>
      </c>
      <c r="W58" s="300">
        <f t="shared" si="24"/>
        <v>0</v>
      </c>
      <c r="X58" s="300">
        <f t="shared" si="24"/>
        <v>0</v>
      </c>
      <c r="Y58" s="300">
        <f t="shared" si="24"/>
        <v>0</v>
      </c>
      <c r="Z58" s="300">
        <f t="shared" si="24"/>
        <v>0</v>
      </c>
      <c r="AA58" s="300">
        <f t="shared" si="24"/>
        <v>0</v>
      </c>
      <c r="AB58" s="300">
        <f t="shared" si="24"/>
        <v>0</v>
      </c>
      <c r="AC58" s="300">
        <f t="shared" si="24"/>
        <v>0</v>
      </c>
      <c r="AD58" s="300">
        <f t="shared" si="24"/>
        <v>0</v>
      </c>
      <c r="AE58" s="13"/>
      <c r="AF58" s="25"/>
    </row>
    <row r="59" spans="1:32">
      <c r="A59" s="4"/>
      <c r="B59" s="17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25"/>
    </row>
    <row r="60" spans="1:32">
      <c r="A60" s="4" t="s">
        <v>118</v>
      </c>
      <c r="B60" s="17" t="s">
        <v>119</v>
      </c>
      <c r="D60" s="12">
        <f t="shared" ref="D60:AF60" si="25">SUMPRODUCT(D31:D32,D55:D56)</f>
        <v>834772.25097599998</v>
      </c>
      <c r="E60" s="12">
        <f t="shared" si="25"/>
        <v>910632.69170400011</v>
      </c>
      <c r="F60" s="12">
        <f t="shared" si="25"/>
        <v>962877.47519999999</v>
      </c>
      <c r="G60" s="12">
        <f t="shared" si="25"/>
        <v>927617.90083200007</v>
      </c>
      <c r="H60" s="12">
        <f t="shared" si="25"/>
        <v>843545.90449774836</v>
      </c>
      <c r="I60" s="12">
        <f t="shared" si="25"/>
        <v>0</v>
      </c>
      <c r="J60" s="12">
        <f t="shared" si="25"/>
        <v>0</v>
      </c>
      <c r="K60" s="12">
        <f t="shared" si="25"/>
        <v>0</v>
      </c>
      <c r="L60" s="12">
        <f t="shared" si="25"/>
        <v>0</v>
      </c>
      <c r="M60" s="12">
        <f t="shared" si="25"/>
        <v>0</v>
      </c>
      <c r="N60" s="12">
        <f t="shared" si="25"/>
        <v>0</v>
      </c>
      <c r="O60" s="12">
        <f t="shared" si="25"/>
        <v>0</v>
      </c>
      <c r="P60" s="12">
        <f t="shared" si="25"/>
        <v>0</v>
      </c>
      <c r="Q60" s="12">
        <f t="shared" si="25"/>
        <v>0</v>
      </c>
      <c r="R60" s="12">
        <f t="shared" si="25"/>
        <v>0</v>
      </c>
      <c r="S60" s="12">
        <f t="shared" si="25"/>
        <v>0</v>
      </c>
      <c r="T60" s="12">
        <f t="shared" si="25"/>
        <v>0</v>
      </c>
      <c r="U60" s="12">
        <f t="shared" si="25"/>
        <v>0</v>
      </c>
      <c r="V60" s="12">
        <f t="shared" si="25"/>
        <v>0</v>
      </c>
      <c r="W60" s="12">
        <f t="shared" si="25"/>
        <v>0</v>
      </c>
      <c r="X60" s="12">
        <f t="shared" si="25"/>
        <v>0</v>
      </c>
      <c r="Y60" s="12">
        <f t="shared" si="25"/>
        <v>0</v>
      </c>
      <c r="Z60" s="12">
        <f t="shared" si="25"/>
        <v>0</v>
      </c>
      <c r="AA60" s="12">
        <f t="shared" si="25"/>
        <v>0</v>
      </c>
      <c r="AB60" s="12">
        <f t="shared" si="25"/>
        <v>0</v>
      </c>
      <c r="AC60" s="12">
        <f t="shared" si="25"/>
        <v>0</v>
      </c>
      <c r="AD60" s="12">
        <f t="shared" si="25"/>
        <v>0</v>
      </c>
      <c r="AE60" s="12">
        <f t="shared" si="25"/>
        <v>0</v>
      </c>
      <c r="AF60" s="12">
        <f t="shared" si="25"/>
        <v>0</v>
      </c>
    </row>
    <row r="61" spans="1:32">
      <c r="A61" s="4" t="s">
        <v>120</v>
      </c>
      <c r="B61" s="17" t="s">
        <v>4</v>
      </c>
      <c r="D61" s="24">
        <f>Assumptions!I4</f>
        <v>0.69</v>
      </c>
      <c r="E61" s="24">
        <f>Assumptions!J4</f>
        <v>0.69</v>
      </c>
      <c r="F61" s="24">
        <f>Assumptions!K4</f>
        <v>0.69</v>
      </c>
      <c r="G61" s="24">
        <f>Assumptions!L4</f>
        <v>0.69</v>
      </c>
      <c r="H61" s="24">
        <f>Assumptions!M4</f>
        <v>0.69</v>
      </c>
      <c r="I61" s="24">
        <f>Assumptions!N4</f>
        <v>0.69</v>
      </c>
      <c r="J61" s="24">
        <f>Assumptions!O4</f>
        <v>0.69</v>
      </c>
      <c r="K61" s="24">
        <f>Assumptions!P4</f>
        <v>0.69</v>
      </c>
      <c r="L61" s="24">
        <f>Assumptions!Q4</f>
        <v>0.69</v>
      </c>
      <c r="M61" s="24">
        <f>Assumptions!R4</f>
        <v>0.69</v>
      </c>
      <c r="N61" s="24">
        <f>Assumptions!S4</f>
        <v>0.69</v>
      </c>
      <c r="O61" s="24">
        <f>Assumptions!T4</f>
        <v>0.69</v>
      </c>
      <c r="P61" s="24">
        <f>Assumptions!U4</f>
        <v>0.69</v>
      </c>
      <c r="Q61" s="24">
        <f>Assumptions!V4</f>
        <v>0.69</v>
      </c>
      <c r="R61" s="24">
        <f>Assumptions!W4</f>
        <v>0.69</v>
      </c>
      <c r="S61" s="24">
        <f>Assumptions!X4</f>
        <v>0.69</v>
      </c>
      <c r="T61" s="24">
        <f>Assumptions!Y4</f>
        <v>0.69</v>
      </c>
      <c r="U61" s="24">
        <f>Assumptions!Z4</f>
        <v>0.69</v>
      </c>
      <c r="V61" s="24">
        <f>Assumptions!AA4</f>
        <v>0.69</v>
      </c>
      <c r="W61" s="24">
        <f>Assumptions!AB4</f>
        <v>0.69</v>
      </c>
      <c r="X61" s="24">
        <f>Assumptions!AC4</f>
        <v>0.69</v>
      </c>
      <c r="Y61" s="24">
        <f>Assumptions!AD4</f>
        <v>0.69</v>
      </c>
      <c r="Z61" s="24">
        <f>Assumptions!AE4</f>
        <v>0.69</v>
      </c>
      <c r="AA61" s="24">
        <f>Assumptions!AF4</f>
        <v>0.69</v>
      </c>
      <c r="AB61" s="24">
        <f>Assumptions!AG4</f>
        <v>0.69</v>
      </c>
      <c r="AC61" s="24">
        <f>Assumptions!AH4</f>
        <v>0.69</v>
      </c>
      <c r="AD61" s="24">
        <f>Assumptions!AI4</f>
        <v>0.69</v>
      </c>
      <c r="AE61" s="13"/>
      <c r="AF61" s="25"/>
    </row>
    <row r="62" spans="1:32">
      <c r="A62" s="4" t="s">
        <v>118</v>
      </c>
      <c r="B62" s="17" t="s">
        <v>121</v>
      </c>
      <c r="D62" s="47">
        <f>(D60/D61)*(1+$AI$7)</f>
        <v>1209814.8564869566</v>
      </c>
      <c r="E62" s="47">
        <f t="shared" ref="E62:AD62" si="26">(E60/E61)*(1+$AI$7)</f>
        <v>1319757.5242086959</v>
      </c>
      <c r="F62" s="47">
        <f t="shared" si="26"/>
        <v>1395474.6017391304</v>
      </c>
      <c r="G62" s="47">
        <f t="shared" si="26"/>
        <v>1344373.7693217394</v>
      </c>
      <c r="H62" s="47">
        <f t="shared" si="26"/>
        <v>1222530.2963735485</v>
      </c>
      <c r="I62" s="47">
        <f>(I60/I61)*(1+$AI$7)</f>
        <v>0</v>
      </c>
      <c r="J62" s="47">
        <f t="shared" si="26"/>
        <v>0</v>
      </c>
      <c r="K62" s="47">
        <f t="shared" si="26"/>
        <v>0</v>
      </c>
      <c r="L62" s="47">
        <f t="shared" si="26"/>
        <v>0</v>
      </c>
      <c r="M62" s="47">
        <f t="shared" si="26"/>
        <v>0</v>
      </c>
      <c r="N62" s="47">
        <f t="shared" si="26"/>
        <v>0</v>
      </c>
      <c r="O62" s="47">
        <f t="shared" si="26"/>
        <v>0</v>
      </c>
      <c r="P62" s="47">
        <f t="shared" si="26"/>
        <v>0</v>
      </c>
      <c r="Q62" s="47">
        <f t="shared" si="26"/>
        <v>0</v>
      </c>
      <c r="R62" s="47">
        <f t="shared" si="26"/>
        <v>0</v>
      </c>
      <c r="S62" s="47">
        <f t="shared" si="26"/>
        <v>0</v>
      </c>
      <c r="T62" s="47">
        <f t="shared" si="26"/>
        <v>0</v>
      </c>
      <c r="U62" s="47">
        <f t="shared" si="26"/>
        <v>0</v>
      </c>
      <c r="V62" s="47">
        <f t="shared" si="26"/>
        <v>0</v>
      </c>
      <c r="W62" s="47">
        <f t="shared" si="26"/>
        <v>0</v>
      </c>
      <c r="X62" s="47">
        <f t="shared" si="26"/>
        <v>0</v>
      </c>
      <c r="Y62" s="47">
        <f t="shared" si="26"/>
        <v>0</v>
      </c>
      <c r="Z62" s="47">
        <f t="shared" si="26"/>
        <v>0</v>
      </c>
      <c r="AA62" s="47">
        <f t="shared" si="26"/>
        <v>0</v>
      </c>
      <c r="AB62" s="47">
        <f t="shared" si="26"/>
        <v>0</v>
      </c>
      <c r="AC62" s="47">
        <f t="shared" si="26"/>
        <v>0</v>
      </c>
      <c r="AD62" s="47">
        <f t="shared" si="26"/>
        <v>0</v>
      </c>
      <c r="AE62" s="48"/>
      <c r="AF62" s="49">
        <f>SUM(C62:AD62)</f>
        <v>6491951.0481300708</v>
      </c>
    </row>
    <row r="63" spans="1:32">
      <c r="A63" s="4" t="s">
        <v>122</v>
      </c>
      <c r="B63" s="17" t="s">
        <v>53</v>
      </c>
      <c r="D63" s="67">
        <f>IFERROR(D62/D19,0)</f>
        <v>347.82608695652175</v>
      </c>
      <c r="E63" s="67">
        <f t="shared" ref="E63:AD63" si="27">IFERROR(E62/E19,0)</f>
        <v>347.82608695652175</v>
      </c>
      <c r="F63" s="67">
        <f t="shared" si="27"/>
        <v>347.82608695652175</v>
      </c>
      <c r="G63" s="67">
        <f t="shared" si="27"/>
        <v>347.82608695652181</v>
      </c>
      <c r="H63" s="67">
        <f t="shared" si="27"/>
        <v>347.82608695652175</v>
      </c>
      <c r="I63" s="67">
        <f t="shared" si="27"/>
        <v>0</v>
      </c>
      <c r="J63" s="67">
        <f t="shared" si="27"/>
        <v>0</v>
      </c>
      <c r="K63" s="67">
        <f t="shared" si="27"/>
        <v>0</v>
      </c>
      <c r="L63" s="67">
        <f t="shared" si="27"/>
        <v>0</v>
      </c>
      <c r="M63" s="67">
        <f t="shared" si="27"/>
        <v>0</v>
      </c>
      <c r="N63" s="67">
        <f t="shared" si="27"/>
        <v>0</v>
      </c>
      <c r="O63" s="67">
        <f t="shared" si="27"/>
        <v>0</v>
      </c>
      <c r="P63" s="67">
        <f t="shared" si="27"/>
        <v>0</v>
      </c>
      <c r="Q63" s="67">
        <f t="shared" si="27"/>
        <v>0</v>
      </c>
      <c r="R63" s="67">
        <f t="shared" si="27"/>
        <v>0</v>
      </c>
      <c r="S63" s="67">
        <f t="shared" si="27"/>
        <v>0</v>
      </c>
      <c r="T63" s="67">
        <f t="shared" si="27"/>
        <v>0</v>
      </c>
      <c r="U63" s="67">
        <f t="shared" si="27"/>
        <v>0</v>
      </c>
      <c r="V63" s="67">
        <f t="shared" si="27"/>
        <v>0</v>
      </c>
      <c r="W63" s="67">
        <f t="shared" si="27"/>
        <v>0</v>
      </c>
      <c r="X63" s="67">
        <f t="shared" si="27"/>
        <v>0</v>
      </c>
      <c r="Y63" s="67">
        <f t="shared" si="27"/>
        <v>0</v>
      </c>
      <c r="Z63" s="67">
        <f t="shared" si="27"/>
        <v>0</v>
      </c>
      <c r="AA63" s="67">
        <f t="shared" si="27"/>
        <v>0</v>
      </c>
      <c r="AB63" s="67">
        <f t="shared" si="27"/>
        <v>0</v>
      </c>
      <c r="AC63" s="67">
        <f t="shared" si="27"/>
        <v>0</v>
      </c>
      <c r="AD63" s="67">
        <f t="shared" si="27"/>
        <v>0</v>
      </c>
      <c r="AE63" s="48"/>
      <c r="AF63" s="68">
        <f>IFERROR(AF62/AF19,0)</f>
        <v>347.82608695652181</v>
      </c>
    </row>
    <row r="64" spans="1:32">
      <c r="A64" s="8"/>
      <c r="B64" s="21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7"/>
    </row>
    <row r="65" spans="1:32">
      <c r="A65" s="2" t="s">
        <v>270</v>
      </c>
      <c r="B65" s="29"/>
      <c r="C65" s="36"/>
      <c r="D65" s="55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"/>
    </row>
    <row r="66" spans="1:32">
      <c r="A66" s="28"/>
      <c r="B66" s="17"/>
      <c r="D66" s="13"/>
      <c r="AF66" s="25"/>
    </row>
    <row r="67" spans="1:32">
      <c r="A67" s="28" t="s">
        <v>271</v>
      </c>
      <c r="B67" s="17"/>
      <c r="D67" s="13"/>
      <c r="AF67" s="25"/>
    </row>
    <row r="68" spans="1:32">
      <c r="A68" s="28"/>
      <c r="B68" s="17"/>
      <c r="D68" s="13"/>
      <c r="AF68" s="25"/>
    </row>
    <row r="69" spans="1:32">
      <c r="A69" s="4" t="s">
        <v>239</v>
      </c>
      <c r="B69" s="17" t="s">
        <v>272</v>
      </c>
      <c r="C69" s="65">
        <v>5500</v>
      </c>
      <c r="D69" s="42">
        <f t="shared" ref="D69:AD69" si="28">IF(D6&gt;0,$C$69*(1+$AI$8),0)</f>
        <v>5500</v>
      </c>
      <c r="E69" s="42">
        <f t="shared" si="28"/>
        <v>5500</v>
      </c>
      <c r="F69" s="42">
        <f t="shared" si="28"/>
        <v>5500</v>
      </c>
      <c r="G69" s="42">
        <f t="shared" si="28"/>
        <v>5500</v>
      </c>
      <c r="H69" s="42">
        <f t="shared" si="28"/>
        <v>5500</v>
      </c>
      <c r="I69" s="42">
        <f t="shared" si="28"/>
        <v>0</v>
      </c>
      <c r="J69" s="42">
        <f t="shared" si="28"/>
        <v>0</v>
      </c>
      <c r="K69" s="42">
        <f t="shared" si="28"/>
        <v>0</v>
      </c>
      <c r="L69" s="42">
        <f t="shared" si="28"/>
        <v>0</v>
      </c>
      <c r="M69" s="42">
        <f t="shared" si="28"/>
        <v>0</v>
      </c>
      <c r="N69" s="42">
        <f t="shared" si="28"/>
        <v>0</v>
      </c>
      <c r="O69" s="42">
        <f t="shared" si="28"/>
        <v>0</v>
      </c>
      <c r="P69" s="42">
        <f t="shared" si="28"/>
        <v>0</v>
      </c>
      <c r="Q69" s="42">
        <f t="shared" si="28"/>
        <v>0</v>
      </c>
      <c r="R69" s="42">
        <f t="shared" si="28"/>
        <v>0</v>
      </c>
      <c r="S69" s="42">
        <f t="shared" si="28"/>
        <v>0</v>
      </c>
      <c r="T69" s="42">
        <f t="shared" si="28"/>
        <v>0</v>
      </c>
      <c r="U69" s="42">
        <f t="shared" si="28"/>
        <v>0</v>
      </c>
      <c r="V69" s="42">
        <f t="shared" si="28"/>
        <v>0</v>
      </c>
      <c r="W69" s="42">
        <f t="shared" si="28"/>
        <v>0</v>
      </c>
      <c r="X69" s="42">
        <f t="shared" si="28"/>
        <v>0</v>
      </c>
      <c r="Y69" s="42">
        <f t="shared" si="28"/>
        <v>0</v>
      </c>
      <c r="Z69" s="42">
        <f t="shared" si="28"/>
        <v>0</v>
      </c>
      <c r="AA69" s="42">
        <f t="shared" si="28"/>
        <v>0</v>
      </c>
      <c r="AB69" s="42">
        <f t="shared" si="28"/>
        <v>0</v>
      </c>
      <c r="AC69" s="42">
        <f t="shared" si="28"/>
        <v>0</v>
      </c>
      <c r="AD69" s="42">
        <f t="shared" si="28"/>
        <v>0</v>
      </c>
      <c r="AE69" s="26"/>
      <c r="AF69" s="27"/>
    </row>
    <row r="70" spans="1:32">
      <c r="A70" s="4" t="s">
        <v>273</v>
      </c>
      <c r="B70" s="17" t="s">
        <v>56</v>
      </c>
      <c r="D70" s="12">
        <f t="shared" ref="D70:AD70" si="29">D6*D69/1000</f>
        <v>49500</v>
      </c>
      <c r="E70" s="12">
        <f t="shared" si="29"/>
        <v>82500</v>
      </c>
      <c r="F70" s="12">
        <f t="shared" si="29"/>
        <v>82500</v>
      </c>
      <c r="G70" s="12">
        <f t="shared" si="29"/>
        <v>44000</v>
      </c>
      <c r="H70" s="12">
        <f t="shared" si="29"/>
        <v>11000</v>
      </c>
      <c r="I70" s="12">
        <f t="shared" si="29"/>
        <v>0</v>
      </c>
      <c r="J70" s="12">
        <f t="shared" si="29"/>
        <v>0</v>
      </c>
      <c r="K70" s="12">
        <f t="shared" si="29"/>
        <v>0</v>
      </c>
      <c r="L70" s="12">
        <f t="shared" si="29"/>
        <v>0</v>
      </c>
      <c r="M70" s="12">
        <f t="shared" si="29"/>
        <v>0</v>
      </c>
      <c r="N70" s="12">
        <f t="shared" si="29"/>
        <v>0</v>
      </c>
      <c r="O70" s="12">
        <f t="shared" si="29"/>
        <v>0</v>
      </c>
      <c r="P70" s="12">
        <f t="shared" si="29"/>
        <v>0</v>
      </c>
      <c r="Q70" s="12">
        <f t="shared" si="29"/>
        <v>0</v>
      </c>
      <c r="R70" s="12">
        <f t="shared" si="29"/>
        <v>0</v>
      </c>
      <c r="S70" s="12">
        <f t="shared" si="29"/>
        <v>0</v>
      </c>
      <c r="T70" s="12">
        <f t="shared" si="29"/>
        <v>0</v>
      </c>
      <c r="U70" s="12">
        <f t="shared" si="29"/>
        <v>0</v>
      </c>
      <c r="V70" s="12">
        <f t="shared" si="29"/>
        <v>0</v>
      </c>
      <c r="W70" s="12">
        <f t="shared" si="29"/>
        <v>0</v>
      </c>
      <c r="X70" s="12">
        <f t="shared" si="29"/>
        <v>0</v>
      </c>
      <c r="Y70" s="12">
        <f t="shared" si="29"/>
        <v>0</v>
      </c>
      <c r="Z70" s="12">
        <f t="shared" si="29"/>
        <v>0</v>
      </c>
      <c r="AA70" s="12">
        <f t="shared" si="29"/>
        <v>0</v>
      </c>
      <c r="AB70" s="12">
        <f t="shared" si="29"/>
        <v>0</v>
      </c>
      <c r="AC70" s="12">
        <f t="shared" si="29"/>
        <v>0</v>
      </c>
      <c r="AD70" s="12">
        <f t="shared" si="29"/>
        <v>0</v>
      </c>
      <c r="AF70" s="5">
        <f>SUM(C70:AD70)</f>
        <v>269500</v>
      </c>
    </row>
    <row r="71" spans="1:32">
      <c r="A71" s="4"/>
      <c r="B71" s="17"/>
      <c r="AF71" s="25"/>
    </row>
    <row r="72" spans="1:32">
      <c r="A72" s="4" t="s">
        <v>241</v>
      </c>
      <c r="B72" s="17" t="s">
        <v>274</v>
      </c>
      <c r="C72" s="64">
        <v>14.5</v>
      </c>
      <c r="D72" s="42">
        <f t="shared" ref="D72:AD72" si="30">IF(D8&gt;0,$C$72*(1+$AI$9),0)</f>
        <v>14.5</v>
      </c>
      <c r="E72" s="42">
        <f t="shared" si="30"/>
        <v>14.5</v>
      </c>
      <c r="F72" s="42">
        <f t="shared" si="30"/>
        <v>14.5</v>
      </c>
      <c r="G72" s="42">
        <f t="shared" si="30"/>
        <v>14.5</v>
      </c>
      <c r="H72" s="42">
        <f t="shared" si="30"/>
        <v>14.5</v>
      </c>
      <c r="I72" s="77">
        <f t="shared" si="30"/>
        <v>0</v>
      </c>
      <c r="J72" s="77">
        <f t="shared" si="30"/>
        <v>0</v>
      </c>
      <c r="K72" s="42">
        <f t="shared" si="30"/>
        <v>0</v>
      </c>
      <c r="L72" s="42">
        <f t="shared" si="30"/>
        <v>0</v>
      </c>
      <c r="M72" s="42">
        <f t="shared" si="30"/>
        <v>0</v>
      </c>
      <c r="N72" s="42">
        <f t="shared" si="30"/>
        <v>0</v>
      </c>
      <c r="O72" s="42">
        <f t="shared" si="30"/>
        <v>0</v>
      </c>
      <c r="P72" s="42">
        <f t="shared" si="30"/>
        <v>0</v>
      </c>
      <c r="Q72" s="42">
        <f t="shared" si="30"/>
        <v>0</v>
      </c>
      <c r="R72" s="42">
        <f t="shared" si="30"/>
        <v>0</v>
      </c>
      <c r="S72" s="42">
        <f t="shared" si="30"/>
        <v>0</v>
      </c>
      <c r="T72" s="42">
        <f t="shared" si="30"/>
        <v>0</v>
      </c>
      <c r="U72" s="42">
        <f t="shared" si="30"/>
        <v>0</v>
      </c>
      <c r="V72" s="42">
        <f t="shared" si="30"/>
        <v>0</v>
      </c>
      <c r="W72" s="42">
        <f t="shared" si="30"/>
        <v>0</v>
      </c>
      <c r="X72" s="42">
        <f t="shared" si="30"/>
        <v>0</v>
      </c>
      <c r="Y72" s="42">
        <f t="shared" si="30"/>
        <v>0</v>
      </c>
      <c r="Z72" s="42">
        <f t="shared" si="30"/>
        <v>0</v>
      </c>
      <c r="AA72" s="42">
        <f t="shared" si="30"/>
        <v>0</v>
      </c>
      <c r="AB72" s="42">
        <f t="shared" si="30"/>
        <v>0</v>
      </c>
      <c r="AC72" s="42">
        <f t="shared" si="30"/>
        <v>0</v>
      </c>
      <c r="AD72" s="42">
        <f t="shared" si="30"/>
        <v>0</v>
      </c>
      <c r="AE72" s="26"/>
      <c r="AF72" s="27"/>
    </row>
    <row r="73" spans="1:32">
      <c r="A73" s="4" t="s">
        <v>275</v>
      </c>
      <c r="B73" s="17" t="s">
        <v>56</v>
      </c>
      <c r="D73" s="12">
        <f t="shared" ref="D73:AD73" si="31">D8*D72</f>
        <v>72322.950939999995</v>
      </c>
      <c r="E73" s="12">
        <f t="shared" si="31"/>
        <v>77195.660134999998</v>
      </c>
      <c r="F73" s="12">
        <f t="shared" si="31"/>
        <v>81906.788</v>
      </c>
      <c r="G73" s="12">
        <f t="shared" si="31"/>
        <v>81023.216579999993</v>
      </c>
      <c r="H73" s="12">
        <f t="shared" si="31"/>
        <v>75410.037507570596</v>
      </c>
      <c r="I73" s="76">
        <f t="shared" si="31"/>
        <v>0</v>
      </c>
      <c r="J73" s="76">
        <f t="shared" si="31"/>
        <v>0</v>
      </c>
      <c r="K73" s="12">
        <f t="shared" si="31"/>
        <v>0</v>
      </c>
      <c r="L73" s="12">
        <f t="shared" si="31"/>
        <v>0</v>
      </c>
      <c r="M73" s="12">
        <f t="shared" si="31"/>
        <v>0</v>
      </c>
      <c r="N73" s="12">
        <f t="shared" si="31"/>
        <v>0</v>
      </c>
      <c r="O73" s="12">
        <f t="shared" si="31"/>
        <v>0</v>
      </c>
      <c r="P73" s="12">
        <f t="shared" si="31"/>
        <v>0</v>
      </c>
      <c r="Q73" s="12">
        <f t="shared" si="31"/>
        <v>0</v>
      </c>
      <c r="R73" s="12">
        <f t="shared" si="31"/>
        <v>0</v>
      </c>
      <c r="S73" s="12">
        <f t="shared" si="31"/>
        <v>0</v>
      </c>
      <c r="T73" s="12">
        <f t="shared" si="31"/>
        <v>0</v>
      </c>
      <c r="U73" s="12">
        <f t="shared" si="31"/>
        <v>0</v>
      </c>
      <c r="V73" s="12">
        <f t="shared" si="31"/>
        <v>0</v>
      </c>
      <c r="W73" s="12">
        <f t="shared" si="31"/>
        <v>0</v>
      </c>
      <c r="X73" s="12">
        <f t="shared" si="31"/>
        <v>0</v>
      </c>
      <c r="Y73" s="12">
        <f t="shared" si="31"/>
        <v>0</v>
      </c>
      <c r="Z73" s="12">
        <f t="shared" si="31"/>
        <v>0</v>
      </c>
      <c r="AA73" s="12">
        <f t="shared" si="31"/>
        <v>0</v>
      </c>
      <c r="AB73" s="12">
        <f t="shared" si="31"/>
        <v>0</v>
      </c>
      <c r="AC73" s="12">
        <f t="shared" si="31"/>
        <v>0</v>
      </c>
      <c r="AD73" s="12">
        <f t="shared" si="31"/>
        <v>0</v>
      </c>
      <c r="AF73" s="5">
        <f>SUM(C73:AD73)</f>
        <v>387858.65316257055</v>
      </c>
    </row>
    <row r="74" spans="1:32">
      <c r="A74" s="4"/>
      <c r="B74" s="17"/>
      <c r="AF74" s="25"/>
    </row>
    <row r="75" spans="1:32">
      <c r="A75" s="4" t="s">
        <v>276</v>
      </c>
      <c r="B75" s="17" t="s">
        <v>56</v>
      </c>
      <c r="C75" s="65">
        <v>240000</v>
      </c>
      <c r="D75" s="12">
        <f t="shared" ref="D75:AD75" si="32">IF(D9&gt;0,$C$75)*(1+$AI$10)</f>
        <v>240000</v>
      </c>
      <c r="E75" s="12">
        <f t="shared" si="32"/>
        <v>240000</v>
      </c>
      <c r="F75" s="12">
        <f t="shared" si="32"/>
        <v>240000</v>
      </c>
      <c r="G75" s="12">
        <f t="shared" si="32"/>
        <v>240000</v>
      </c>
      <c r="H75" s="12">
        <f t="shared" si="32"/>
        <v>240000</v>
      </c>
      <c r="I75" s="12">
        <f t="shared" si="32"/>
        <v>0</v>
      </c>
      <c r="J75" s="12">
        <f t="shared" si="32"/>
        <v>0</v>
      </c>
      <c r="K75" s="12">
        <f t="shared" si="32"/>
        <v>0</v>
      </c>
      <c r="L75" s="12">
        <f t="shared" si="32"/>
        <v>0</v>
      </c>
      <c r="M75" s="12">
        <f t="shared" si="32"/>
        <v>0</v>
      </c>
      <c r="N75" s="12">
        <f t="shared" si="32"/>
        <v>0</v>
      </c>
      <c r="O75" s="12">
        <f t="shared" si="32"/>
        <v>0</v>
      </c>
      <c r="P75" s="12">
        <f t="shared" si="32"/>
        <v>0</v>
      </c>
      <c r="Q75" s="12">
        <f t="shared" si="32"/>
        <v>0</v>
      </c>
      <c r="R75" s="12">
        <f t="shared" si="32"/>
        <v>0</v>
      </c>
      <c r="S75" s="12">
        <f t="shared" si="32"/>
        <v>0</v>
      </c>
      <c r="T75" s="12">
        <f t="shared" si="32"/>
        <v>0</v>
      </c>
      <c r="U75" s="12">
        <f t="shared" si="32"/>
        <v>0</v>
      </c>
      <c r="V75" s="12">
        <f t="shared" si="32"/>
        <v>0</v>
      </c>
      <c r="W75" s="12">
        <f t="shared" si="32"/>
        <v>0</v>
      </c>
      <c r="X75" s="12">
        <f t="shared" si="32"/>
        <v>0</v>
      </c>
      <c r="Y75" s="12">
        <f t="shared" si="32"/>
        <v>0</v>
      </c>
      <c r="Z75" s="12">
        <f t="shared" si="32"/>
        <v>0</v>
      </c>
      <c r="AA75" s="12">
        <f t="shared" si="32"/>
        <v>0</v>
      </c>
      <c r="AB75" s="12">
        <f t="shared" si="32"/>
        <v>0</v>
      </c>
      <c r="AC75" s="12">
        <f t="shared" si="32"/>
        <v>0</v>
      </c>
      <c r="AD75" s="12">
        <f t="shared" si="32"/>
        <v>0</v>
      </c>
      <c r="AF75" s="5">
        <f>SUM(C75:AD75)</f>
        <v>1440000</v>
      </c>
    </row>
    <row r="76" spans="1:32">
      <c r="A76" s="4"/>
      <c r="B76" s="17"/>
      <c r="C76" s="13"/>
      <c r="AF76" s="25"/>
    </row>
    <row r="77" spans="1:32">
      <c r="A77" s="4" t="s">
        <v>243</v>
      </c>
      <c r="B77" s="17" t="s">
        <v>53</v>
      </c>
      <c r="C77" s="64">
        <v>8</v>
      </c>
      <c r="D77" s="42">
        <f t="shared" ref="D77:AD77" si="33">IF(D9&gt;0,$C$77*(1+$AI$11),0)</f>
        <v>8</v>
      </c>
      <c r="E77" s="42">
        <f t="shared" si="33"/>
        <v>8</v>
      </c>
      <c r="F77" s="42">
        <f t="shared" si="33"/>
        <v>8</v>
      </c>
      <c r="G77" s="42">
        <f t="shared" si="33"/>
        <v>8</v>
      </c>
      <c r="H77" s="42">
        <f t="shared" si="33"/>
        <v>8</v>
      </c>
      <c r="I77" s="42">
        <f t="shared" si="33"/>
        <v>0</v>
      </c>
      <c r="J77" s="42">
        <f t="shared" si="33"/>
        <v>0</v>
      </c>
      <c r="K77" s="42">
        <f t="shared" si="33"/>
        <v>0</v>
      </c>
      <c r="L77" s="42">
        <f t="shared" si="33"/>
        <v>0</v>
      </c>
      <c r="M77" s="42">
        <f t="shared" si="33"/>
        <v>0</v>
      </c>
      <c r="N77" s="42">
        <f t="shared" si="33"/>
        <v>0</v>
      </c>
      <c r="O77" s="42">
        <f t="shared" si="33"/>
        <v>0</v>
      </c>
      <c r="P77" s="42">
        <f t="shared" si="33"/>
        <v>0</v>
      </c>
      <c r="Q77" s="42">
        <f t="shared" si="33"/>
        <v>0</v>
      </c>
      <c r="R77" s="42">
        <f t="shared" si="33"/>
        <v>0</v>
      </c>
      <c r="S77" s="42">
        <f t="shared" si="33"/>
        <v>0</v>
      </c>
      <c r="T77" s="42">
        <f t="shared" si="33"/>
        <v>0</v>
      </c>
      <c r="U77" s="42">
        <f t="shared" si="33"/>
        <v>0</v>
      </c>
      <c r="V77" s="42">
        <f t="shared" si="33"/>
        <v>0</v>
      </c>
      <c r="W77" s="42">
        <f t="shared" si="33"/>
        <v>0</v>
      </c>
      <c r="X77" s="42">
        <f t="shared" si="33"/>
        <v>0</v>
      </c>
      <c r="Y77" s="42">
        <f t="shared" si="33"/>
        <v>0</v>
      </c>
      <c r="Z77" s="42">
        <f t="shared" si="33"/>
        <v>0</v>
      </c>
      <c r="AA77" s="42">
        <f t="shared" si="33"/>
        <v>0</v>
      </c>
      <c r="AB77" s="42">
        <f t="shared" si="33"/>
        <v>0</v>
      </c>
      <c r="AC77" s="42">
        <f t="shared" si="33"/>
        <v>0</v>
      </c>
      <c r="AD77" s="42">
        <f t="shared" si="33"/>
        <v>0</v>
      </c>
      <c r="AE77" s="26"/>
      <c r="AF77" s="27"/>
    </row>
    <row r="78" spans="1:32">
      <c r="A78" s="4" t="s">
        <v>277</v>
      </c>
      <c r="B78" s="17" t="s">
        <v>56</v>
      </c>
      <c r="D78" s="12">
        <f t="shared" ref="D78:AD78" si="34">D77*D9</f>
        <v>41530.957759999998</v>
      </c>
      <c r="E78" s="12">
        <f t="shared" si="34"/>
        <v>45305.109040000003</v>
      </c>
      <c r="F78" s="12">
        <f t="shared" si="34"/>
        <v>47904.351999999999</v>
      </c>
      <c r="G78" s="12">
        <f t="shared" si="34"/>
        <v>46150.144319999999</v>
      </c>
      <c r="H78" s="12">
        <f t="shared" si="34"/>
        <v>41967.457935211358</v>
      </c>
      <c r="I78" s="12">
        <f t="shared" si="34"/>
        <v>0</v>
      </c>
      <c r="J78" s="12">
        <f t="shared" si="34"/>
        <v>0</v>
      </c>
      <c r="K78" s="12">
        <f t="shared" si="34"/>
        <v>0</v>
      </c>
      <c r="L78" s="12">
        <f t="shared" si="34"/>
        <v>0</v>
      </c>
      <c r="M78" s="12">
        <f t="shared" si="34"/>
        <v>0</v>
      </c>
      <c r="N78" s="12">
        <f t="shared" si="34"/>
        <v>0</v>
      </c>
      <c r="O78" s="12">
        <f t="shared" si="34"/>
        <v>0</v>
      </c>
      <c r="P78" s="12">
        <f t="shared" si="34"/>
        <v>0</v>
      </c>
      <c r="Q78" s="12">
        <f t="shared" si="34"/>
        <v>0</v>
      </c>
      <c r="R78" s="12">
        <f t="shared" si="34"/>
        <v>0</v>
      </c>
      <c r="S78" s="12">
        <f t="shared" si="34"/>
        <v>0</v>
      </c>
      <c r="T78" s="12">
        <f t="shared" si="34"/>
        <v>0</v>
      </c>
      <c r="U78" s="12">
        <f t="shared" si="34"/>
        <v>0</v>
      </c>
      <c r="V78" s="12">
        <f t="shared" si="34"/>
        <v>0</v>
      </c>
      <c r="W78" s="12">
        <f t="shared" si="34"/>
        <v>0</v>
      </c>
      <c r="X78" s="12">
        <f t="shared" si="34"/>
        <v>0</v>
      </c>
      <c r="Y78" s="12">
        <f t="shared" si="34"/>
        <v>0</v>
      </c>
      <c r="Z78" s="12">
        <f t="shared" si="34"/>
        <v>0</v>
      </c>
      <c r="AA78" s="12">
        <f t="shared" si="34"/>
        <v>0</v>
      </c>
      <c r="AB78" s="12">
        <f t="shared" si="34"/>
        <v>0</v>
      </c>
      <c r="AC78" s="12">
        <f t="shared" si="34"/>
        <v>0</v>
      </c>
      <c r="AD78" s="12">
        <f t="shared" si="34"/>
        <v>0</v>
      </c>
      <c r="AF78" s="5">
        <f>SUM(C78:AD78)</f>
        <v>222858.02105521134</v>
      </c>
    </row>
    <row r="79" spans="1:32">
      <c r="A79" s="4"/>
      <c r="B79" s="17"/>
      <c r="AF79" s="25"/>
    </row>
    <row r="80" spans="1:32">
      <c r="A80" s="4" t="s">
        <v>278</v>
      </c>
      <c r="B80" s="17" t="s">
        <v>56</v>
      </c>
      <c r="C80" s="282">
        <v>20000</v>
      </c>
      <c r="D80" s="41">
        <f>IF(D6&gt;0,$C$80,0)</f>
        <v>20000</v>
      </c>
      <c r="E80" s="41">
        <f t="shared" ref="E80:AD80" si="35">IF(E6&gt;0,$C$80,0)</f>
        <v>20000</v>
      </c>
      <c r="F80" s="41">
        <f t="shared" si="35"/>
        <v>20000</v>
      </c>
      <c r="G80" s="41">
        <f t="shared" si="35"/>
        <v>20000</v>
      </c>
      <c r="H80" s="41">
        <f t="shared" si="35"/>
        <v>20000</v>
      </c>
      <c r="I80" s="41">
        <f t="shared" si="35"/>
        <v>0</v>
      </c>
      <c r="J80" s="41">
        <f t="shared" si="35"/>
        <v>0</v>
      </c>
      <c r="K80" s="41">
        <f t="shared" si="35"/>
        <v>0</v>
      </c>
      <c r="L80" s="41">
        <f t="shared" si="35"/>
        <v>0</v>
      </c>
      <c r="M80" s="41">
        <f t="shared" si="35"/>
        <v>0</v>
      </c>
      <c r="N80" s="41">
        <f t="shared" si="35"/>
        <v>0</v>
      </c>
      <c r="O80" s="41">
        <f t="shared" si="35"/>
        <v>0</v>
      </c>
      <c r="P80" s="41">
        <f t="shared" si="35"/>
        <v>0</v>
      </c>
      <c r="Q80" s="41">
        <f t="shared" si="35"/>
        <v>0</v>
      </c>
      <c r="R80" s="41">
        <f t="shared" si="35"/>
        <v>0</v>
      </c>
      <c r="S80" s="41">
        <f t="shared" si="35"/>
        <v>0</v>
      </c>
      <c r="T80" s="41">
        <f t="shared" si="35"/>
        <v>0</v>
      </c>
      <c r="U80" s="41">
        <f t="shared" si="35"/>
        <v>0</v>
      </c>
      <c r="V80" s="41">
        <f t="shared" si="35"/>
        <v>0</v>
      </c>
      <c r="W80" s="41">
        <f t="shared" si="35"/>
        <v>0</v>
      </c>
      <c r="X80" s="41">
        <f t="shared" si="35"/>
        <v>0</v>
      </c>
      <c r="Y80" s="41">
        <f t="shared" si="35"/>
        <v>0</v>
      </c>
      <c r="Z80" s="41">
        <f t="shared" si="35"/>
        <v>0</v>
      </c>
      <c r="AA80" s="41">
        <f t="shared" si="35"/>
        <v>0</v>
      </c>
      <c r="AB80" s="41">
        <f t="shared" si="35"/>
        <v>0</v>
      </c>
      <c r="AC80" s="41">
        <f t="shared" si="35"/>
        <v>0</v>
      </c>
      <c r="AD80" s="41">
        <f t="shared" si="35"/>
        <v>0</v>
      </c>
      <c r="AF80" s="25"/>
    </row>
    <row r="81" spans="1:32">
      <c r="A81" s="4" t="s">
        <v>279</v>
      </c>
      <c r="B81" s="17" t="s">
        <v>280</v>
      </c>
      <c r="C81" s="91">
        <v>9.5</v>
      </c>
      <c r="D81" s="42">
        <f t="shared" ref="D81:AD81" si="36">IF(D12&gt;0,$C$81*(1+$AI$12),0)</f>
        <v>9.5</v>
      </c>
      <c r="E81" s="42">
        <f t="shared" si="36"/>
        <v>9.5</v>
      </c>
      <c r="F81" s="42">
        <f t="shared" si="36"/>
        <v>9.5</v>
      </c>
      <c r="G81" s="42">
        <f t="shared" si="36"/>
        <v>9.5</v>
      </c>
      <c r="H81" s="42">
        <f t="shared" si="36"/>
        <v>9.5</v>
      </c>
      <c r="I81" s="42">
        <f t="shared" si="36"/>
        <v>0</v>
      </c>
      <c r="J81" s="42">
        <f t="shared" si="36"/>
        <v>0</v>
      </c>
      <c r="K81" s="42">
        <f t="shared" si="36"/>
        <v>0</v>
      </c>
      <c r="L81" s="42">
        <f t="shared" si="36"/>
        <v>0</v>
      </c>
      <c r="M81" s="42">
        <f t="shared" si="36"/>
        <v>0</v>
      </c>
      <c r="N81" s="42">
        <f t="shared" si="36"/>
        <v>0</v>
      </c>
      <c r="O81" s="42">
        <f t="shared" si="36"/>
        <v>0</v>
      </c>
      <c r="P81" s="42">
        <f t="shared" si="36"/>
        <v>0</v>
      </c>
      <c r="Q81" s="42">
        <f t="shared" si="36"/>
        <v>0</v>
      </c>
      <c r="R81" s="42">
        <f t="shared" si="36"/>
        <v>0</v>
      </c>
      <c r="S81" s="42">
        <f t="shared" si="36"/>
        <v>0</v>
      </c>
      <c r="T81" s="42">
        <f t="shared" si="36"/>
        <v>0</v>
      </c>
      <c r="U81" s="42">
        <f t="shared" si="36"/>
        <v>0</v>
      </c>
      <c r="V81" s="42">
        <f t="shared" si="36"/>
        <v>0</v>
      </c>
      <c r="W81" s="42">
        <f t="shared" si="36"/>
        <v>0</v>
      </c>
      <c r="X81" s="42">
        <f t="shared" si="36"/>
        <v>0</v>
      </c>
      <c r="Y81" s="42">
        <f t="shared" si="36"/>
        <v>0</v>
      </c>
      <c r="Z81" s="42">
        <f t="shared" si="36"/>
        <v>0</v>
      </c>
      <c r="AA81" s="42">
        <f t="shared" si="36"/>
        <v>0</v>
      </c>
      <c r="AB81" s="42">
        <f t="shared" si="36"/>
        <v>0</v>
      </c>
      <c r="AC81" s="42">
        <f t="shared" si="36"/>
        <v>0</v>
      </c>
      <c r="AD81" s="42">
        <f t="shared" si="36"/>
        <v>0</v>
      </c>
      <c r="AE81" s="26"/>
      <c r="AF81" s="27"/>
    </row>
    <row r="82" spans="1:32">
      <c r="A82" s="4" t="s">
        <v>281</v>
      </c>
      <c r="B82" s="17" t="s">
        <v>56</v>
      </c>
      <c r="D82" s="12">
        <f>D9*D81+D80</f>
        <v>69318.012339999987</v>
      </c>
      <c r="E82" s="12">
        <f t="shared" ref="E82:AD82" si="37">E9*E81+E80</f>
        <v>73799.816985000012</v>
      </c>
      <c r="F82" s="12">
        <f t="shared" si="37"/>
        <v>76886.418000000005</v>
      </c>
      <c r="G82" s="12">
        <f t="shared" si="37"/>
        <v>74803.29638</v>
      </c>
      <c r="H82" s="12">
        <f t="shared" si="37"/>
        <v>69836.356298063489</v>
      </c>
      <c r="I82" s="12">
        <f t="shared" si="37"/>
        <v>0</v>
      </c>
      <c r="J82" s="12">
        <f t="shared" si="37"/>
        <v>0</v>
      </c>
      <c r="K82" s="12">
        <f t="shared" si="37"/>
        <v>0</v>
      </c>
      <c r="L82" s="12">
        <f t="shared" si="37"/>
        <v>0</v>
      </c>
      <c r="M82" s="12">
        <f t="shared" si="37"/>
        <v>0</v>
      </c>
      <c r="N82" s="12">
        <f t="shared" si="37"/>
        <v>0</v>
      </c>
      <c r="O82" s="12">
        <f t="shared" si="37"/>
        <v>0</v>
      </c>
      <c r="P82" s="12">
        <f t="shared" si="37"/>
        <v>0</v>
      </c>
      <c r="Q82" s="12">
        <f t="shared" si="37"/>
        <v>0</v>
      </c>
      <c r="R82" s="12">
        <f t="shared" si="37"/>
        <v>0</v>
      </c>
      <c r="S82" s="12">
        <f t="shared" si="37"/>
        <v>0</v>
      </c>
      <c r="T82" s="12">
        <f t="shared" si="37"/>
        <v>0</v>
      </c>
      <c r="U82" s="12">
        <f t="shared" si="37"/>
        <v>0</v>
      </c>
      <c r="V82" s="12">
        <f t="shared" si="37"/>
        <v>0</v>
      </c>
      <c r="W82" s="12">
        <f t="shared" si="37"/>
        <v>0</v>
      </c>
      <c r="X82" s="12">
        <f t="shared" si="37"/>
        <v>0</v>
      </c>
      <c r="Y82" s="12">
        <f t="shared" si="37"/>
        <v>0</v>
      </c>
      <c r="Z82" s="12">
        <f t="shared" si="37"/>
        <v>0</v>
      </c>
      <c r="AA82" s="12">
        <f t="shared" si="37"/>
        <v>0</v>
      </c>
      <c r="AB82" s="12">
        <f t="shared" si="37"/>
        <v>0</v>
      </c>
      <c r="AC82" s="12">
        <f t="shared" si="37"/>
        <v>0</v>
      </c>
      <c r="AD82" s="12">
        <f t="shared" si="37"/>
        <v>0</v>
      </c>
      <c r="AF82" s="5">
        <f>SUM(C82:AD82)</f>
        <v>364643.90000306349</v>
      </c>
    </row>
    <row r="83" spans="1:32">
      <c r="A83" s="4"/>
      <c r="B83" s="17"/>
      <c r="D83" s="118"/>
      <c r="E83" s="118"/>
      <c r="F83" s="118"/>
      <c r="G83" s="118"/>
      <c r="H83" s="118"/>
      <c r="AF83" s="25"/>
    </row>
    <row r="84" spans="1:32">
      <c r="A84" s="4" t="s">
        <v>282</v>
      </c>
      <c r="B84" s="17" t="s">
        <v>56</v>
      </c>
      <c r="C84" s="65">
        <v>45000</v>
      </c>
      <c r="D84" s="12">
        <f>IF(D$19&gt;0,$C84,0)</f>
        <v>45000</v>
      </c>
      <c r="E84" s="12">
        <f t="shared" ref="E84:AD86" si="38">IF(E$19&gt;0,$C84,0)</f>
        <v>45000</v>
      </c>
      <c r="F84" s="12">
        <f t="shared" si="38"/>
        <v>45000</v>
      </c>
      <c r="G84" s="12">
        <f t="shared" si="38"/>
        <v>45000</v>
      </c>
      <c r="H84" s="12">
        <f t="shared" si="38"/>
        <v>45000</v>
      </c>
      <c r="I84" s="12">
        <f t="shared" si="38"/>
        <v>0</v>
      </c>
      <c r="J84" s="12">
        <f t="shared" si="38"/>
        <v>0</v>
      </c>
      <c r="K84" s="12">
        <f t="shared" si="38"/>
        <v>0</v>
      </c>
      <c r="L84" s="12">
        <f t="shared" si="38"/>
        <v>0</v>
      </c>
      <c r="M84" s="12">
        <f t="shared" si="38"/>
        <v>0</v>
      </c>
      <c r="N84" s="12">
        <f t="shared" si="38"/>
        <v>0</v>
      </c>
      <c r="O84" s="12">
        <f t="shared" si="38"/>
        <v>0</v>
      </c>
      <c r="P84" s="12">
        <f t="shared" si="38"/>
        <v>0</v>
      </c>
      <c r="Q84" s="12">
        <f t="shared" si="38"/>
        <v>0</v>
      </c>
      <c r="R84" s="12">
        <f t="shared" si="38"/>
        <v>0</v>
      </c>
      <c r="S84" s="12">
        <f t="shared" si="38"/>
        <v>0</v>
      </c>
      <c r="T84" s="12">
        <f t="shared" si="38"/>
        <v>0</v>
      </c>
      <c r="U84" s="12">
        <f t="shared" si="38"/>
        <v>0</v>
      </c>
      <c r="V84" s="12">
        <f t="shared" si="38"/>
        <v>0</v>
      </c>
      <c r="W84" s="12">
        <f t="shared" si="38"/>
        <v>0</v>
      </c>
      <c r="X84" s="12">
        <f t="shared" si="38"/>
        <v>0</v>
      </c>
      <c r="Y84" s="12">
        <f t="shared" si="38"/>
        <v>0</v>
      </c>
      <c r="Z84" s="12">
        <f t="shared" si="38"/>
        <v>0</v>
      </c>
      <c r="AA84" s="12">
        <f t="shared" si="38"/>
        <v>0</v>
      </c>
      <c r="AB84" s="12">
        <f t="shared" si="38"/>
        <v>0</v>
      </c>
      <c r="AC84" s="12">
        <f t="shared" si="38"/>
        <v>0</v>
      </c>
      <c r="AD84" s="12">
        <f t="shared" si="38"/>
        <v>0</v>
      </c>
      <c r="AF84" s="25"/>
    </row>
    <row r="85" spans="1:32">
      <c r="A85" s="4" t="s">
        <v>283</v>
      </c>
      <c r="B85" s="17" t="s">
        <v>56</v>
      </c>
      <c r="C85" s="65">
        <v>9000</v>
      </c>
      <c r="D85" s="12">
        <f>IF(D$19&gt;0,$C85,0)</f>
        <v>9000</v>
      </c>
      <c r="E85" s="12">
        <f t="shared" ref="E85:S85" si="39">IF(E$19&gt;0,$C85,0)</f>
        <v>9000</v>
      </c>
      <c r="F85" s="12">
        <f t="shared" si="39"/>
        <v>9000</v>
      </c>
      <c r="G85" s="12">
        <f t="shared" si="39"/>
        <v>9000</v>
      </c>
      <c r="H85" s="12">
        <f t="shared" si="39"/>
        <v>9000</v>
      </c>
      <c r="I85" s="12">
        <f t="shared" si="39"/>
        <v>0</v>
      </c>
      <c r="J85" s="12">
        <f t="shared" si="39"/>
        <v>0</v>
      </c>
      <c r="K85" s="12">
        <f t="shared" si="39"/>
        <v>0</v>
      </c>
      <c r="L85" s="12">
        <f t="shared" si="39"/>
        <v>0</v>
      </c>
      <c r="M85" s="12">
        <f t="shared" si="39"/>
        <v>0</v>
      </c>
      <c r="N85" s="12">
        <f t="shared" si="39"/>
        <v>0</v>
      </c>
      <c r="O85" s="12">
        <f t="shared" si="39"/>
        <v>0</v>
      </c>
      <c r="P85" s="12">
        <f t="shared" si="39"/>
        <v>0</v>
      </c>
      <c r="Q85" s="12">
        <f t="shared" si="39"/>
        <v>0</v>
      </c>
      <c r="R85" s="12">
        <f t="shared" si="39"/>
        <v>0</v>
      </c>
      <c r="S85" s="12">
        <f t="shared" si="39"/>
        <v>0</v>
      </c>
      <c r="T85" s="12">
        <f t="shared" si="38"/>
        <v>0</v>
      </c>
      <c r="U85" s="12">
        <f t="shared" si="38"/>
        <v>0</v>
      </c>
      <c r="V85" s="12">
        <f t="shared" si="38"/>
        <v>0</v>
      </c>
      <c r="W85" s="12">
        <f t="shared" si="38"/>
        <v>0</v>
      </c>
      <c r="X85" s="12">
        <f t="shared" si="38"/>
        <v>0</v>
      </c>
      <c r="Y85" s="12">
        <f t="shared" si="38"/>
        <v>0</v>
      </c>
      <c r="Z85" s="12">
        <f t="shared" si="38"/>
        <v>0</v>
      </c>
      <c r="AA85" s="12">
        <f t="shared" si="38"/>
        <v>0</v>
      </c>
      <c r="AB85" s="12">
        <f t="shared" si="38"/>
        <v>0</v>
      </c>
      <c r="AC85" s="12">
        <f t="shared" si="38"/>
        <v>0</v>
      </c>
      <c r="AD85" s="12">
        <f t="shared" si="38"/>
        <v>0</v>
      </c>
      <c r="AF85" s="25"/>
    </row>
    <row r="86" spans="1:32">
      <c r="A86" s="4" t="s">
        <v>284</v>
      </c>
      <c r="B86" s="17" t="s">
        <v>56</v>
      </c>
      <c r="C86" s="65">
        <v>15000</v>
      </c>
      <c r="D86" s="12">
        <f>IF(D$19&gt;0,$C86,0)</f>
        <v>15000</v>
      </c>
      <c r="E86" s="12">
        <f t="shared" si="38"/>
        <v>15000</v>
      </c>
      <c r="F86" s="12">
        <f t="shared" si="38"/>
        <v>15000</v>
      </c>
      <c r="G86" s="12">
        <f t="shared" si="38"/>
        <v>15000</v>
      </c>
      <c r="H86" s="12">
        <f t="shared" si="38"/>
        <v>15000</v>
      </c>
      <c r="I86" s="12">
        <f t="shared" si="38"/>
        <v>0</v>
      </c>
      <c r="J86" s="12">
        <f t="shared" si="38"/>
        <v>0</v>
      </c>
      <c r="K86" s="12">
        <f t="shared" si="38"/>
        <v>0</v>
      </c>
      <c r="L86" s="12">
        <f t="shared" si="38"/>
        <v>0</v>
      </c>
      <c r="M86" s="12">
        <f t="shared" si="38"/>
        <v>0</v>
      </c>
      <c r="N86" s="12">
        <f t="shared" si="38"/>
        <v>0</v>
      </c>
      <c r="O86" s="12">
        <f t="shared" si="38"/>
        <v>0</v>
      </c>
      <c r="P86" s="12">
        <f t="shared" si="38"/>
        <v>0</v>
      </c>
      <c r="Q86" s="12">
        <f t="shared" si="38"/>
        <v>0</v>
      </c>
      <c r="R86" s="12">
        <f t="shared" si="38"/>
        <v>0</v>
      </c>
      <c r="S86" s="12">
        <f t="shared" si="38"/>
        <v>0</v>
      </c>
      <c r="T86" s="12">
        <f t="shared" si="38"/>
        <v>0</v>
      </c>
      <c r="U86" s="12">
        <f t="shared" si="38"/>
        <v>0</v>
      </c>
      <c r="V86" s="12">
        <f t="shared" si="38"/>
        <v>0</v>
      </c>
      <c r="W86" s="12">
        <f t="shared" si="38"/>
        <v>0</v>
      </c>
      <c r="X86" s="12">
        <f t="shared" si="38"/>
        <v>0</v>
      </c>
      <c r="Y86" s="12">
        <f t="shared" si="38"/>
        <v>0</v>
      </c>
      <c r="Z86" s="12">
        <f t="shared" si="38"/>
        <v>0</v>
      </c>
      <c r="AA86" s="12">
        <f t="shared" si="38"/>
        <v>0</v>
      </c>
      <c r="AB86" s="12">
        <f t="shared" si="38"/>
        <v>0</v>
      </c>
      <c r="AC86" s="12">
        <f t="shared" si="38"/>
        <v>0</v>
      </c>
      <c r="AD86" s="12">
        <f t="shared" si="38"/>
        <v>0</v>
      </c>
      <c r="AF86" s="25"/>
    </row>
    <row r="87" spans="1:32">
      <c r="A87" s="4" t="s">
        <v>245</v>
      </c>
      <c r="B87" s="17" t="s">
        <v>56</v>
      </c>
      <c r="C87" s="76"/>
      <c r="D87" s="69">
        <f t="shared" ref="D87:AD87" si="40">IF(D9&gt;0,SUM(D84:D86)*(1+$AI$13),0)</f>
        <v>69000</v>
      </c>
      <c r="E87" s="69">
        <f t="shared" si="40"/>
        <v>69000</v>
      </c>
      <c r="F87" s="69">
        <f t="shared" si="40"/>
        <v>69000</v>
      </c>
      <c r="G87" s="69">
        <f t="shared" si="40"/>
        <v>69000</v>
      </c>
      <c r="H87" s="69">
        <f t="shared" si="40"/>
        <v>69000</v>
      </c>
      <c r="I87" s="69">
        <f t="shared" si="40"/>
        <v>0</v>
      </c>
      <c r="J87" s="69">
        <f t="shared" si="40"/>
        <v>0</v>
      </c>
      <c r="K87" s="69">
        <f t="shared" si="40"/>
        <v>0</v>
      </c>
      <c r="L87" s="69">
        <f t="shared" si="40"/>
        <v>0</v>
      </c>
      <c r="M87" s="69">
        <f t="shared" si="40"/>
        <v>0</v>
      </c>
      <c r="N87" s="69">
        <f t="shared" si="40"/>
        <v>0</v>
      </c>
      <c r="O87" s="69">
        <f t="shared" si="40"/>
        <v>0</v>
      </c>
      <c r="P87" s="69">
        <f t="shared" si="40"/>
        <v>0</v>
      </c>
      <c r="Q87" s="69">
        <f t="shared" si="40"/>
        <v>0</v>
      </c>
      <c r="R87" s="69">
        <f t="shared" si="40"/>
        <v>0</v>
      </c>
      <c r="S87" s="69">
        <f t="shared" si="40"/>
        <v>0</v>
      </c>
      <c r="T87" s="69">
        <f t="shared" si="40"/>
        <v>0</v>
      </c>
      <c r="U87" s="69">
        <f t="shared" si="40"/>
        <v>0</v>
      </c>
      <c r="V87" s="69">
        <f t="shared" si="40"/>
        <v>0</v>
      </c>
      <c r="W87" s="69">
        <f t="shared" si="40"/>
        <v>0</v>
      </c>
      <c r="X87" s="69">
        <f t="shared" si="40"/>
        <v>0</v>
      </c>
      <c r="Y87" s="69">
        <f t="shared" si="40"/>
        <v>0</v>
      </c>
      <c r="Z87" s="69">
        <f t="shared" si="40"/>
        <v>0</v>
      </c>
      <c r="AA87" s="69">
        <f t="shared" si="40"/>
        <v>0</v>
      </c>
      <c r="AB87" s="69">
        <f t="shared" si="40"/>
        <v>0</v>
      </c>
      <c r="AC87" s="69">
        <f t="shared" si="40"/>
        <v>0</v>
      </c>
      <c r="AD87" s="69">
        <f t="shared" si="40"/>
        <v>0</v>
      </c>
      <c r="AE87" s="36"/>
      <c r="AF87" s="11">
        <f>SUM(C87:AD87)</f>
        <v>345000</v>
      </c>
    </row>
    <row r="88" spans="1:32">
      <c r="A88" s="4"/>
      <c r="B88" s="17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F88" s="5"/>
    </row>
    <row r="89" spans="1:32">
      <c r="A89" s="28" t="s">
        <v>285</v>
      </c>
      <c r="B89" s="56"/>
      <c r="C89" s="47"/>
      <c r="D89" s="47">
        <f t="shared" ref="D89:AD89" si="41">SUM(D70,D73,D75,D78,D82,D87)</f>
        <v>541671.92104000004</v>
      </c>
      <c r="E89" s="47">
        <f t="shared" si="41"/>
        <v>587800.58616000006</v>
      </c>
      <c r="F89" s="47">
        <f t="shared" si="41"/>
        <v>598197.55799999996</v>
      </c>
      <c r="G89" s="47">
        <f t="shared" si="41"/>
        <v>554976.65728000004</v>
      </c>
      <c r="H89" s="47">
        <f t="shared" si="41"/>
        <v>507213.85174084542</v>
      </c>
      <c r="I89" s="47">
        <f t="shared" si="41"/>
        <v>0</v>
      </c>
      <c r="J89" s="47">
        <f t="shared" si="41"/>
        <v>0</v>
      </c>
      <c r="K89" s="47">
        <f t="shared" si="41"/>
        <v>0</v>
      </c>
      <c r="L89" s="47">
        <f t="shared" si="41"/>
        <v>0</v>
      </c>
      <c r="M89" s="47">
        <f t="shared" si="41"/>
        <v>0</v>
      </c>
      <c r="N89" s="47">
        <f t="shared" si="41"/>
        <v>0</v>
      </c>
      <c r="O89" s="47">
        <f t="shared" si="41"/>
        <v>0</v>
      </c>
      <c r="P89" s="47">
        <f t="shared" si="41"/>
        <v>0</v>
      </c>
      <c r="Q89" s="47">
        <f t="shared" si="41"/>
        <v>0</v>
      </c>
      <c r="R89" s="47">
        <f t="shared" si="41"/>
        <v>0</v>
      </c>
      <c r="S89" s="47">
        <f t="shared" si="41"/>
        <v>0</v>
      </c>
      <c r="T89" s="47">
        <f t="shared" si="41"/>
        <v>0</v>
      </c>
      <c r="U89" s="47">
        <f t="shared" si="41"/>
        <v>0</v>
      </c>
      <c r="V89" s="47">
        <f t="shared" si="41"/>
        <v>0</v>
      </c>
      <c r="W89" s="47">
        <f t="shared" si="41"/>
        <v>0</v>
      </c>
      <c r="X89" s="47">
        <f t="shared" si="41"/>
        <v>0</v>
      </c>
      <c r="Y89" s="47">
        <f t="shared" si="41"/>
        <v>0</v>
      </c>
      <c r="Z89" s="47">
        <f t="shared" si="41"/>
        <v>0</v>
      </c>
      <c r="AA89" s="47">
        <f t="shared" si="41"/>
        <v>0</v>
      </c>
      <c r="AB89" s="47">
        <f t="shared" si="41"/>
        <v>0</v>
      </c>
      <c r="AC89" s="47">
        <f t="shared" si="41"/>
        <v>0</v>
      </c>
      <c r="AD89" s="47">
        <f t="shared" si="41"/>
        <v>0</v>
      </c>
      <c r="AE89" s="1"/>
      <c r="AF89" s="49">
        <f>SUM(C89:AD89)</f>
        <v>2789860.5742208455</v>
      </c>
    </row>
    <row r="90" spans="1:32">
      <c r="A90" s="28" t="s">
        <v>185</v>
      </c>
      <c r="B90" s="56" t="s">
        <v>53</v>
      </c>
      <c r="C90" s="47"/>
      <c r="D90" s="48">
        <f t="shared" ref="D90:AD90" si="42">IFERROR(D89/D19,0)</f>
        <v>155.73260958016391</v>
      </c>
      <c r="E90" s="48">
        <f t="shared" si="42"/>
        <v>154.91662221616718</v>
      </c>
      <c r="F90" s="48">
        <f t="shared" si="42"/>
        <v>149.10247421685659</v>
      </c>
      <c r="G90" s="48">
        <f t="shared" si="42"/>
        <v>143.5875672814584</v>
      </c>
      <c r="H90" s="48">
        <f t="shared" si="42"/>
        <v>144.30906933308196</v>
      </c>
      <c r="I90" s="48">
        <f t="shared" si="42"/>
        <v>0</v>
      </c>
      <c r="J90" s="48">
        <f t="shared" si="42"/>
        <v>0</v>
      </c>
      <c r="K90" s="48">
        <f t="shared" si="42"/>
        <v>0</v>
      </c>
      <c r="L90" s="48">
        <f t="shared" si="42"/>
        <v>0</v>
      </c>
      <c r="M90" s="48">
        <f t="shared" si="42"/>
        <v>0</v>
      </c>
      <c r="N90" s="48">
        <f t="shared" si="42"/>
        <v>0</v>
      </c>
      <c r="O90" s="48">
        <f t="shared" si="42"/>
        <v>0</v>
      </c>
      <c r="P90" s="48">
        <f t="shared" si="42"/>
        <v>0</v>
      </c>
      <c r="Q90" s="48">
        <f t="shared" si="42"/>
        <v>0</v>
      </c>
      <c r="R90" s="48">
        <f t="shared" si="42"/>
        <v>0</v>
      </c>
      <c r="S90" s="48">
        <f t="shared" si="42"/>
        <v>0</v>
      </c>
      <c r="T90" s="48">
        <f t="shared" si="42"/>
        <v>0</v>
      </c>
      <c r="U90" s="48">
        <f t="shared" si="42"/>
        <v>0</v>
      </c>
      <c r="V90" s="48">
        <f t="shared" si="42"/>
        <v>0</v>
      </c>
      <c r="W90" s="48">
        <f t="shared" si="42"/>
        <v>0</v>
      </c>
      <c r="X90" s="48">
        <f t="shared" si="42"/>
        <v>0</v>
      </c>
      <c r="Y90" s="48">
        <f t="shared" si="42"/>
        <v>0</v>
      </c>
      <c r="Z90" s="48">
        <f t="shared" si="42"/>
        <v>0</v>
      </c>
      <c r="AA90" s="48">
        <f t="shared" si="42"/>
        <v>0</v>
      </c>
      <c r="AB90" s="48">
        <f t="shared" si="42"/>
        <v>0</v>
      </c>
      <c r="AC90" s="48">
        <f t="shared" si="42"/>
        <v>0</v>
      </c>
      <c r="AD90" s="48">
        <f t="shared" si="42"/>
        <v>0</v>
      </c>
      <c r="AE90" s="57"/>
      <c r="AF90" s="58">
        <f>IFERROR(AF89/AF19,0)</f>
        <v>149.47529325025022</v>
      </c>
    </row>
    <row r="91" spans="1:32">
      <c r="A91" s="4"/>
      <c r="B91" s="17"/>
      <c r="D91" s="37"/>
      <c r="AF91" s="25"/>
    </row>
    <row r="92" spans="1:32">
      <c r="A92" s="28" t="s">
        <v>286</v>
      </c>
      <c r="B92" s="17"/>
      <c r="C92" t="s">
        <v>287</v>
      </c>
      <c r="D92" s="17" t="s">
        <v>288</v>
      </c>
      <c r="E92" s="17" t="s">
        <v>288</v>
      </c>
      <c r="F92" s="17" t="s">
        <v>289</v>
      </c>
      <c r="G92" s="17" t="s">
        <v>289</v>
      </c>
      <c r="H92" s="17" t="s">
        <v>289</v>
      </c>
      <c r="AF92" s="25"/>
    </row>
    <row r="93" spans="1:32">
      <c r="A93" s="4" t="s">
        <v>186</v>
      </c>
      <c r="B93" s="17" t="s">
        <v>53</v>
      </c>
      <c r="C93" s="64">
        <v>24</v>
      </c>
      <c r="D93" s="12">
        <f t="shared" ref="D93:AD93" si="43">$C$93*D34</f>
        <v>83477.225097599992</v>
      </c>
      <c r="E93" s="12">
        <f t="shared" si="43"/>
        <v>91063.269170400003</v>
      </c>
      <c r="F93" s="12">
        <f t="shared" si="43"/>
        <v>96287.747520000004</v>
      </c>
      <c r="G93" s="12">
        <f t="shared" si="43"/>
        <v>92761.790083200001</v>
      </c>
      <c r="H93" s="12">
        <f t="shared" si="43"/>
        <v>84354.590449774842</v>
      </c>
      <c r="I93" s="12">
        <f t="shared" si="43"/>
        <v>0</v>
      </c>
      <c r="J93" s="12">
        <f t="shared" si="43"/>
        <v>0</v>
      </c>
      <c r="K93" s="12">
        <f t="shared" si="43"/>
        <v>0</v>
      </c>
      <c r="L93" s="12">
        <f t="shared" si="43"/>
        <v>0</v>
      </c>
      <c r="M93" s="12">
        <f t="shared" si="43"/>
        <v>0</v>
      </c>
      <c r="N93" s="12">
        <f t="shared" si="43"/>
        <v>0</v>
      </c>
      <c r="O93" s="12">
        <f t="shared" si="43"/>
        <v>0</v>
      </c>
      <c r="P93" s="12">
        <f t="shared" si="43"/>
        <v>0</v>
      </c>
      <c r="Q93" s="12">
        <f t="shared" si="43"/>
        <v>0</v>
      </c>
      <c r="R93" s="12">
        <f t="shared" si="43"/>
        <v>0</v>
      </c>
      <c r="S93" s="12">
        <f t="shared" si="43"/>
        <v>0</v>
      </c>
      <c r="T93" s="12">
        <f t="shared" si="43"/>
        <v>0</v>
      </c>
      <c r="U93" s="12">
        <f t="shared" si="43"/>
        <v>0</v>
      </c>
      <c r="V93" s="12">
        <f t="shared" si="43"/>
        <v>0</v>
      </c>
      <c r="W93" s="12">
        <f t="shared" si="43"/>
        <v>0</v>
      </c>
      <c r="X93" s="12">
        <f t="shared" si="43"/>
        <v>0</v>
      </c>
      <c r="Y93" s="12">
        <f t="shared" si="43"/>
        <v>0</v>
      </c>
      <c r="Z93" s="12">
        <f t="shared" si="43"/>
        <v>0</v>
      </c>
      <c r="AA93" s="12">
        <f t="shared" si="43"/>
        <v>0</v>
      </c>
      <c r="AB93" s="12">
        <f t="shared" si="43"/>
        <v>0</v>
      </c>
      <c r="AC93" s="12">
        <f t="shared" si="43"/>
        <v>0</v>
      </c>
      <c r="AD93" s="12">
        <f t="shared" si="43"/>
        <v>0</v>
      </c>
      <c r="AF93" s="5">
        <f>SUM(C93:AD93)</f>
        <v>447968.62232097483</v>
      </c>
    </row>
    <row r="94" spans="1:32">
      <c r="A94" s="4" t="s">
        <v>290</v>
      </c>
      <c r="B94" s="17" t="s">
        <v>53</v>
      </c>
      <c r="C94" s="64">
        <v>10</v>
      </c>
      <c r="D94" s="12">
        <f>IF(D$92="Y",$C$94*D34,0)</f>
        <v>34782.177124000002</v>
      </c>
      <c r="E94" s="12">
        <f>IF(E$92="Y",$C$94*E34,0)</f>
        <v>37943.028821</v>
      </c>
      <c r="F94" s="12">
        <f t="shared" ref="F94:AD94" si="44">IF(F$92="Y",$C$94*F34,0)</f>
        <v>0</v>
      </c>
      <c r="G94" s="12">
        <f t="shared" si="44"/>
        <v>0</v>
      </c>
      <c r="H94" s="12">
        <f t="shared" si="44"/>
        <v>0</v>
      </c>
      <c r="I94" s="12">
        <f t="shared" si="44"/>
        <v>0</v>
      </c>
      <c r="J94" s="12">
        <f t="shared" si="44"/>
        <v>0</v>
      </c>
      <c r="K94" s="12">
        <f t="shared" si="44"/>
        <v>0</v>
      </c>
      <c r="L94" s="12">
        <f t="shared" si="44"/>
        <v>0</v>
      </c>
      <c r="M94" s="12">
        <f t="shared" si="44"/>
        <v>0</v>
      </c>
      <c r="N94" s="12">
        <f t="shared" si="44"/>
        <v>0</v>
      </c>
      <c r="O94" s="12">
        <f t="shared" si="44"/>
        <v>0</v>
      </c>
      <c r="P94" s="12">
        <f t="shared" si="44"/>
        <v>0</v>
      </c>
      <c r="Q94" s="12">
        <f t="shared" si="44"/>
        <v>0</v>
      </c>
      <c r="R94" s="12">
        <f t="shared" si="44"/>
        <v>0</v>
      </c>
      <c r="S94" s="12">
        <f t="shared" si="44"/>
        <v>0</v>
      </c>
      <c r="T94" s="12">
        <f t="shared" si="44"/>
        <v>0</v>
      </c>
      <c r="U94" s="12">
        <f t="shared" si="44"/>
        <v>0</v>
      </c>
      <c r="V94" s="12">
        <f t="shared" si="44"/>
        <v>0</v>
      </c>
      <c r="W94" s="12">
        <f t="shared" si="44"/>
        <v>0</v>
      </c>
      <c r="X94" s="12">
        <f t="shared" si="44"/>
        <v>0</v>
      </c>
      <c r="Y94" s="12">
        <f t="shared" si="44"/>
        <v>0</v>
      </c>
      <c r="Z94" s="12">
        <f t="shared" si="44"/>
        <v>0</v>
      </c>
      <c r="AA94" s="12">
        <f t="shared" si="44"/>
        <v>0</v>
      </c>
      <c r="AB94" s="12">
        <f t="shared" si="44"/>
        <v>0</v>
      </c>
      <c r="AC94" s="12">
        <f t="shared" si="44"/>
        <v>0</v>
      </c>
      <c r="AD94" s="12">
        <f t="shared" si="44"/>
        <v>0</v>
      </c>
      <c r="AF94" s="5"/>
    </row>
    <row r="95" spans="1:32" s="113" customFormat="1">
      <c r="A95" s="94" t="s">
        <v>187</v>
      </c>
      <c r="B95" s="121" t="s">
        <v>56</v>
      </c>
      <c r="D95" s="152">
        <f t="shared" ref="D95:AD95" si="45">D148*D34</f>
        <v>215377.53556973315</v>
      </c>
      <c r="E95" s="152">
        <f t="shared" si="45"/>
        <v>241855.33209840124</v>
      </c>
      <c r="F95" s="152">
        <f t="shared" si="45"/>
        <v>270785.41525526519</v>
      </c>
      <c r="G95" s="152">
        <f t="shared" si="45"/>
        <v>267591.55320410221</v>
      </c>
      <c r="H95" s="152">
        <f t="shared" si="45"/>
        <v>249313.87681155268</v>
      </c>
      <c r="I95" s="152">
        <f t="shared" si="45"/>
        <v>0</v>
      </c>
      <c r="J95" s="152">
        <f t="shared" si="45"/>
        <v>0</v>
      </c>
      <c r="K95" s="152">
        <f t="shared" si="45"/>
        <v>0</v>
      </c>
      <c r="L95" s="152">
        <f t="shared" si="45"/>
        <v>0</v>
      </c>
      <c r="M95" s="152">
        <f t="shared" si="45"/>
        <v>0</v>
      </c>
      <c r="N95" s="152">
        <f t="shared" si="45"/>
        <v>0</v>
      </c>
      <c r="O95" s="152">
        <f t="shared" si="45"/>
        <v>0</v>
      </c>
      <c r="P95" s="152">
        <f t="shared" si="45"/>
        <v>0</v>
      </c>
      <c r="Q95" s="152">
        <f t="shared" si="45"/>
        <v>0</v>
      </c>
      <c r="R95" s="152">
        <f t="shared" si="45"/>
        <v>0</v>
      </c>
      <c r="S95" s="152">
        <f t="shared" si="45"/>
        <v>0</v>
      </c>
      <c r="T95" s="152">
        <f t="shared" si="45"/>
        <v>0</v>
      </c>
      <c r="U95" s="152">
        <f t="shared" si="45"/>
        <v>0</v>
      </c>
      <c r="V95" s="152">
        <f t="shared" si="45"/>
        <v>0</v>
      </c>
      <c r="W95" s="152">
        <f t="shared" si="45"/>
        <v>0</v>
      </c>
      <c r="X95" s="152">
        <f t="shared" si="45"/>
        <v>0</v>
      </c>
      <c r="Y95" s="152">
        <f t="shared" si="45"/>
        <v>0</v>
      </c>
      <c r="Z95" s="152">
        <f t="shared" si="45"/>
        <v>0</v>
      </c>
      <c r="AA95" s="152">
        <f t="shared" si="45"/>
        <v>0</v>
      </c>
      <c r="AB95" s="152">
        <f t="shared" si="45"/>
        <v>0</v>
      </c>
      <c r="AC95" s="152">
        <f t="shared" si="45"/>
        <v>0</v>
      </c>
      <c r="AD95" s="152">
        <f t="shared" si="45"/>
        <v>0</v>
      </c>
      <c r="AF95" s="178">
        <f>SUM(C95:AD95)</f>
        <v>1244923.7129390545</v>
      </c>
    </row>
    <row r="96" spans="1:32">
      <c r="A96" s="4" t="s">
        <v>188</v>
      </c>
      <c r="B96" s="17" t="s">
        <v>56</v>
      </c>
      <c r="D96" s="35">
        <f t="shared" ref="D96:AD96" si="46">SUM(D93:D95)</f>
        <v>333636.93779133318</v>
      </c>
      <c r="E96" s="35">
        <f t="shared" si="46"/>
        <v>370861.63008980127</v>
      </c>
      <c r="F96" s="35">
        <f t="shared" si="46"/>
        <v>367073.16277526517</v>
      </c>
      <c r="G96" s="35">
        <f t="shared" si="46"/>
        <v>360353.34328730218</v>
      </c>
      <c r="H96" s="35">
        <f t="shared" si="46"/>
        <v>333668.46726132755</v>
      </c>
      <c r="I96" s="35">
        <f>SUM(I93:I95)</f>
        <v>0</v>
      </c>
      <c r="J96" s="35">
        <f t="shared" si="46"/>
        <v>0</v>
      </c>
      <c r="K96" s="35">
        <f t="shared" si="46"/>
        <v>0</v>
      </c>
      <c r="L96" s="35">
        <f t="shared" si="46"/>
        <v>0</v>
      </c>
      <c r="M96" s="35">
        <f t="shared" si="46"/>
        <v>0</v>
      </c>
      <c r="N96" s="35">
        <f t="shared" si="46"/>
        <v>0</v>
      </c>
      <c r="O96" s="35">
        <f t="shared" si="46"/>
        <v>0</v>
      </c>
      <c r="P96" s="35">
        <f t="shared" si="46"/>
        <v>0</v>
      </c>
      <c r="Q96" s="35">
        <f t="shared" si="46"/>
        <v>0</v>
      </c>
      <c r="R96" s="35">
        <f t="shared" si="46"/>
        <v>0</v>
      </c>
      <c r="S96" s="35">
        <f t="shared" si="46"/>
        <v>0</v>
      </c>
      <c r="T96" s="35">
        <f t="shared" si="46"/>
        <v>0</v>
      </c>
      <c r="U96" s="35">
        <f t="shared" si="46"/>
        <v>0</v>
      </c>
      <c r="V96" s="35">
        <f t="shared" si="46"/>
        <v>0</v>
      </c>
      <c r="W96" s="35">
        <f t="shared" si="46"/>
        <v>0</v>
      </c>
      <c r="X96" s="35">
        <f t="shared" si="46"/>
        <v>0</v>
      </c>
      <c r="Y96" s="35">
        <f t="shared" si="46"/>
        <v>0</v>
      </c>
      <c r="Z96" s="35">
        <f t="shared" si="46"/>
        <v>0</v>
      </c>
      <c r="AA96" s="35">
        <f t="shared" si="46"/>
        <v>0</v>
      </c>
      <c r="AB96" s="35">
        <f t="shared" si="46"/>
        <v>0</v>
      </c>
      <c r="AC96" s="35">
        <f t="shared" si="46"/>
        <v>0</v>
      </c>
      <c r="AD96" s="35">
        <f t="shared" si="46"/>
        <v>0</v>
      </c>
      <c r="AE96" s="35"/>
      <c r="AF96" s="38">
        <f>SUM(AF93:AF95)</f>
        <v>1692892.3352600294</v>
      </c>
    </row>
    <row r="97" spans="1:34">
      <c r="A97" s="4"/>
      <c r="B97" s="17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F97" s="5"/>
    </row>
    <row r="98" spans="1:34">
      <c r="A98" s="28" t="s">
        <v>189</v>
      </c>
      <c r="B98" s="56" t="s">
        <v>56</v>
      </c>
      <c r="C98" s="47"/>
      <c r="D98" s="47">
        <f t="shared" ref="D98:AD98" si="47">D89+D96</f>
        <v>875308.85883133323</v>
      </c>
      <c r="E98" s="47">
        <f t="shared" si="47"/>
        <v>958662.21624980133</v>
      </c>
      <c r="F98" s="47">
        <f t="shared" si="47"/>
        <v>965270.72077526513</v>
      </c>
      <c r="G98" s="47">
        <f t="shared" si="47"/>
        <v>915330.00056730222</v>
      </c>
      <c r="H98" s="47">
        <f t="shared" si="47"/>
        <v>840882.31900217291</v>
      </c>
      <c r="I98" s="47">
        <f>I89+I96</f>
        <v>0</v>
      </c>
      <c r="J98" s="47">
        <f t="shared" si="47"/>
        <v>0</v>
      </c>
      <c r="K98" s="47">
        <f t="shared" si="47"/>
        <v>0</v>
      </c>
      <c r="L98" s="47">
        <f t="shared" si="47"/>
        <v>0</v>
      </c>
      <c r="M98" s="47">
        <f t="shared" si="47"/>
        <v>0</v>
      </c>
      <c r="N98" s="47">
        <f t="shared" si="47"/>
        <v>0</v>
      </c>
      <c r="O98" s="47">
        <f t="shared" si="47"/>
        <v>0</v>
      </c>
      <c r="P98" s="47">
        <f t="shared" si="47"/>
        <v>0</v>
      </c>
      <c r="Q98" s="47">
        <f t="shared" si="47"/>
        <v>0</v>
      </c>
      <c r="R98" s="47">
        <f t="shared" si="47"/>
        <v>0</v>
      </c>
      <c r="S98" s="47">
        <f t="shared" si="47"/>
        <v>0</v>
      </c>
      <c r="T98" s="47">
        <f t="shared" si="47"/>
        <v>0</v>
      </c>
      <c r="U98" s="47">
        <f t="shared" si="47"/>
        <v>0</v>
      </c>
      <c r="V98" s="47">
        <f t="shared" si="47"/>
        <v>0</v>
      </c>
      <c r="W98" s="47">
        <f t="shared" si="47"/>
        <v>0</v>
      </c>
      <c r="X98" s="47">
        <f t="shared" si="47"/>
        <v>0</v>
      </c>
      <c r="Y98" s="47">
        <f t="shared" si="47"/>
        <v>0</v>
      </c>
      <c r="Z98" s="47">
        <f t="shared" si="47"/>
        <v>0</v>
      </c>
      <c r="AA98" s="47">
        <f t="shared" si="47"/>
        <v>0</v>
      </c>
      <c r="AB98" s="47">
        <f t="shared" si="47"/>
        <v>0</v>
      </c>
      <c r="AC98" s="47">
        <f t="shared" si="47"/>
        <v>0</v>
      </c>
      <c r="AD98" s="47">
        <f t="shared" si="47"/>
        <v>0</v>
      </c>
      <c r="AE98" s="1"/>
      <c r="AF98" s="49">
        <f>SUM(C98:AD98)</f>
        <v>4555454.1154258754</v>
      </c>
    </row>
    <row r="99" spans="1:34">
      <c r="A99" s="28" t="s">
        <v>190</v>
      </c>
      <c r="B99" s="56" t="s">
        <v>53</v>
      </c>
      <c r="C99" s="47"/>
      <c r="D99" s="48">
        <f t="shared" ref="D99:AD99" si="48">IFERROR(D98/D19,0)</f>
        <v>251.65441936277261</v>
      </c>
      <c r="E99" s="48">
        <f t="shared" si="48"/>
        <v>252.65832645369071</v>
      </c>
      <c r="F99" s="48">
        <f t="shared" si="48"/>
        <v>240.5965233924953</v>
      </c>
      <c r="G99" s="48">
        <f t="shared" si="48"/>
        <v>236.82078573420978</v>
      </c>
      <c r="H99" s="48">
        <f t="shared" si="48"/>
        <v>239.24217459236112</v>
      </c>
      <c r="I99" s="48">
        <f t="shared" si="48"/>
        <v>0</v>
      </c>
      <c r="J99" s="48">
        <f t="shared" si="48"/>
        <v>0</v>
      </c>
      <c r="K99" s="48">
        <f t="shared" si="48"/>
        <v>0</v>
      </c>
      <c r="L99" s="48">
        <f t="shared" si="48"/>
        <v>0</v>
      </c>
      <c r="M99" s="48">
        <f t="shared" si="48"/>
        <v>0</v>
      </c>
      <c r="N99" s="48">
        <f t="shared" si="48"/>
        <v>0</v>
      </c>
      <c r="O99" s="48">
        <f t="shared" si="48"/>
        <v>0</v>
      </c>
      <c r="P99" s="48">
        <f t="shared" si="48"/>
        <v>0</v>
      </c>
      <c r="Q99" s="48">
        <f t="shared" si="48"/>
        <v>0</v>
      </c>
      <c r="R99" s="48">
        <f t="shared" si="48"/>
        <v>0</v>
      </c>
      <c r="S99" s="48">
        <f t="shared" si="48"/>
        <v>0</v>
      </c>
      <c r="T99" s="48">
        <f t="shared" si="48"/>
        <v>0</v>
      </c>
      <c r="U99" s="48">
        <f t="shared" si="48"/>
        <v>0</v>
      </c>
      <c r="V99" s="48">
        <f t="shared" si="48"/>
        <v>0</v>
      </c>
      <c r="W99" s="48">
        <f t="shared" si="48"/>
        <v>0</v>
      </c>
      <c r="X99" s="48">
        <f t="shared" si="48"/>
        <v>0</v>
      </c>
      <c r="Y99" s="48">
        <f t="shared" si="48"/>
        <v>0</v>
      </c>
      <c r="Z99" s="48">
        <f t="shared" si="48"/>
        <v>0</v>
      </c>
      <c r="AA99" s="48">
        <f t="shared" si="48"/>
        <v>0</v>
      </c>
      <c r="AB99" s="48">
        <f t="shared" si="48"/>
        <v>0</v>
      </c>
      <c r="AC99" s="48">
        <f t="shared" si="48"/>
        <v>0</v>
      </c>
      <c r="AD99" s="48">
        <f t="shared" si="48"/>
        <v>0</v>
      </c>
      <c r="AE99" s="57"/>
      <c r="AF99" s="58">
        <f>IFERROR(AF98/AF19,0)</f>
        <v>244.07235475611969</v>
      </c>
    </row>
    <row r="100" spans="1:34">
      <c r="A100" s="4"/>
      <c r="B100" s="1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59"/>
    </row>
    <row r="101" spans="1:34">
      <c r="A101" s="28" t="s">
        <v>191</v>
      </c>
      <c r="B101" s="17" t="s">
        <v>56</v>
      </c>
      <c r="D101" s="46">
        <f t="shared" ref="D101:AD101" si="49">D62-D98</f>
        <v>334505.99765562336</v>
      </c>
      <c r="E101" s="46">
        <f t="shared" si="49"/>
        <v>361095.30795889453</v>
      </c>
      <c r="F101" s="46">
        <f t="shared" si="49"/>
        <v>430203.88096386532</v>
      </c>
      <c r="G101" s="46">
        <f t="shared" si="49"/>
        <v>429043.76875443722</v>
      </c>
      <c r="H101" s="46">
        <f t="shared" si="49"/>
        <v>381647.97737137554</v>
      </c>
      <c r="I101" s="46">
        <f t="shared" si="49"/>
        <v>0</v>
      </c>
      <c r="J101" s="46">
        <f t="shared" si="49"/>
        <v>0</v>
      </c>
      <c r="K101" s="46">
        <f t="shared" si="49"/>
        <v>0</v>
      </c>
      <c r="L101" s="46">
        <f t="shared" si="49"/>
        <v>0</v>
      </c>
      <c r="M101" s="46">
        <f t="shared" si="49"/>
        <v>0</v>
      </c>
      <c r="N101" s="46">
        <f t="shared" si="49"/>
        <v>0</v>
      </c>
      <c r="O101" s="46">
        <f t="shared" si="49"/>
        <v>0</v>
      </c>
      <c r="P101" s="46">
        <f t="shared" si="49"/>
        <v>0</v>
      </c>
      <c r="Q101" s="46">
        <f t="shared" si="49"/>
        <v>0</v>
      </c>
      <c r="R101" s="46">
        <f t="shared" si="49"/>
        <v>0</v>
      </c>
      <c r="S101" s="46">
        <f t="shared" si="49"/>
        <v>0</v>
      </c>
      <c r="T101" s="46">
        <f t="shared" si="49"/>
        <v>0</v>
      </c>
      <c r="U101" s="46">
        <f t="shared" si="49"/>
        <v>0</v>
      </c>
      <c r="V101" s="46">
        <f t="shared" si="49"/>
        <v>0</v>
      </c>
      <c r="W101" s="46">
        <f t="shared" si="49"/>
        <v>0</v>
      </c>
      <c r="X101" s="46">
        <f t="shared" si="49"/>
        <v>0</v>
      </c>
      <c r="Y101" s="46">
        <f t="shared" si="49"/>
        <v>0</v>
      </c>
      <c r="Z101" s="46">
        <f t="shared" si="49"/>
        <v>0</v>
      </c>
      <c r="AA101" s="46">
        <f t="shared" si="49"/>
        <v>0</v>
      </c>
      <c r="AB101" s="46">
        <f t="shared" si="49"/>
        <v>0</v>
      </c>
      <c r="AC101" s="46">
        <f t="shared" si="49"/>
        <v>0</v>
      </c>
      <c r="AD101" s="46">
        <f t="shared" si="49"/>
        <v>0</v>
      </c>
      <c r="AE101" s="46"/>
      <c r="AF101" s="60">
        <f>AF62-AF98</f>
        <v>1936496.9327041954</v>
      </c>
    </row>
    <row r="102" spans="1:34">
      <c r="A102" s="4"/>
      <c r="B102" s="17"/>
      <c r="AF102" s="25"/>
    </row>
    <row r="103" spans="1:34">
      <c r="A103" s="28" t="s">
        <v>192</v>
      </c>
      <c r="B103" s="17"/>
      <c r="AF103" s="25"/>
    </row>
    <row r="104" spans="1:34">
      <c r="A104" s="4" t="s">
        <v>291</v>
      </c>
      <c r="B104" s="17" t="s">
        <v>56</v>
      </c>
      <c r="C104" s="65">
        <v>2500</v>
      </c>
      <c r="D104" s="12">
        <f t="shared" ref="D104:AD104" si="50">IF(D9&gt;0,$C$104,0)</f>
        <v>2500</v>
      </c>
      <c r="E104" s="12">
        <f t="shared" si="50"/>
        <v>2500</v>
      </c>
      <c r="F104" s="12">
        <f t="shared" si="50"/>
        <v>2500</v>
      </c>
      <c r="G104" s="12">
        <f t="shared" si="50"/>
        <v>2500</v>
      </c>
      <c r="H104" s="12">
        <f t="shared" si="50"/>
        <v>2500</v>
      </c>
      <c r="I104" s="12">
        <f t="shared" si="50"/>
        <v>0</v>
      </c>
      <c r="J104" s="12">
        <f t="shared" si="50"/>
        <v>0</v>
      </c>
      <c r="K104" s="12">
        <f t="shared" si="50"/>
        <v>0</v>
      </c>
      <c r="L104" s="12">
        <f t="shared" si="50"/>
        <v>0</v>
      </c>
      <c r="M104" s="12">
        <f t="shared" si="50"/>
        <v>0</v>
      </c>
      <c r="N104" s="12">
        <f t="shared" si="50"/>
        <v>0</v>
      </c>
      <c r="O104" s="12">
        <f t="shared" si="50"/>
        <v>0</v>
      </c>
      <c r="P104" s="12">
        <f t="shared" si="50"/>
        <v>0</v>
      </c>
      <c r="Q104" s="12">
        <f t="shared" si="50"/>
        <v>0</v>
      </c>
      <c r="R104" s="12">
        <f t="shared" si="50"/>
        <v>0</v>
      </c>
      <c r="S104" s="12">
        <f t="shared" si="50"/>
        <v>0</v>
      </c>
      <c r="T104" s="12">
        <f t="shared" si="50"/>
        <v>0</v>
      </c>
      <c r="U104" s="12">
        <f t="shared" si="50"/>
        <v>0</v>
      </c>
      <c r="V104" s="12">
        <f t="shared" si="50"/>
        <v>0</v>
      </c>
      <c r="W104" s="12">
        <f t="shared" si="50"/>
        <v>0</v>
      </c>
      <c r="X104" s="12">
        <f t="shared" si="50"/>
        <v>0</v>
      </c>
      <c r="Y104" s="12">
        <f t="shared" si="50"/>
        <v>0</v>
      </c>
      <c r="Z104" s="12">
        <f t="shared" si="50"/>
        <v>0</v>
      </c>
      <c r="AA104" s="12">
        <f t="shared" si="50"/>
        <v>0</v>
      </c>
      <c r="AB104" s="12">
        <f t="shared" si="50"/>
        <v>0</v>
      </c>
      <c r="AC104" s="12">
        <f t="shared" si="50"/>
        <v>0</v>
      </c>
      <c r="AD104" s="12">
        <f t="shared" si="50"/>
        <v>0</v>
      </c>
      <c r="AF104" s="5">
        <f>SUM(C104:AD104)</f>
        <v>15000</v>
      </c>
    </row>
    <row r="105" spans="1:34">
      <c r="A105" s="4" t="s">
        <v>194</v>
      </c>
      <c r="B105" s="17" t="s">
        <v>56</v>
      </c>
      <c r="C105" s="65">
        <v>900000</v>
      </c>
      <c r="D105" s="12"/>
      <c r="E105" s="12"/>
      <c r="F105" s="12"/>
      <c r="G105" s="12"/>
      <c r="H105" s="12"/>
      <c r="I105" s="12">
        <f>C105</f>
        <v>900000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76"/>
      <c r="X105" s="12"/>
      <c r="Y105" s="12"/>
      <c r="Z105" s="12"/>
      <c r="AA105" s="76"/>
      <c r="AB105" s="12"/>
      <c r="AC105" s="12"/>
      <c r="AD105" s="76"/>
      <c r="AF105" s="5">
        <f>SUM(C105:AD105)</f>
        <v>1800000</v>
      </c>
      <c r="AH105" s="37"/>
    </row>
    <row r="106" spans="1:34">
      <c r="A106" s="4" t="s">
        <v>195</v>
      </c>
      <c r="B106" s="17" t="s">
        <v>56</v>
      </c>
      <c r="D106" s="12">
        <f>IF(Assumptions!$C$20="Zero Carbon Liability",Springbok!D26*Carbon!B2,Springbok!D26*Carbon!B3)/1000</f>
        <v>9761.223471223484</v>
      </c>
      <c r="E106" s="12">
        <f>IF(Assumptions!$C$20="Zero Carbon Liability",Springbok!E26*Carbon!C2,Springbok!E26*Carbon!C3)/1000</f>
        <v>14300.586133314442</v>
      </c>
      <c r="F106" s="12">
        <f>IF(Assumptions!$C$20="Zero Carbon Liability",Springbok!F26*Carbon!D2,Springbok!F26*Carbon!D3)/1000</f>
        <v>19375.932145699811</v>
      </c>
      <c r="G106" s="12">
        <f>IF(Assumptions!$C$20="Zero Carbon Liability",Springbok!G26*Carbon!E2,Springbok!G26*Carbon!E3)/1000</f>
        <v>24222.34539622342</v>
      </c>
      <c r="H106" s="12">
        <f>IF(Assumptions!$C$20="Zero Carbon Liability",Springbok!H26*Carbon!F2,Springbok!H26*Carbon!F3)/1000</f>
        <v>28522.154691845095</v>
      </c>
      <c r="I106" s="12">
        <f>IF(Assumptions!$C$20="Zero Carbon Liability",Springbok!I26*Carbon!G2,Springbok!I26*Carbon!G3)/1000</f>
        <v>0</v>
      </c>
      <c r="J106" s="12">
        <f>IF(Assumptions!$C$20="Zero Carbon Liability",Springbok!J26*Carbon!H2,Springbok!J26*Carbon!H3)/1000</f>
        <v>0</v>
      </c>
      <c r="K106" s="12">
        <f>IF(Assumptions!$C$20="Zero Carbon Liability",Springbok!K26*Carbon!I2,Springbok!K26*Carbon!I3)/1000</f>
        <v>0</v>
      </c>
      <c r="L106" s="12">
        <f>IF(Assumptions!$C$20="Zero Carbon Liability",Springbok!L26*Carbon!J2,Springbok!L26*Carbon!J3)/1000</f>
        <v>0</v>
      </c>
      <c r="M106" s="12">
        <f>IF(Assumptions!$C$20="Zero Carbon Liability",Springbok!M26*Carbon!K2,Springbok!M26*Carbon!K3)/1000</f>
        <v>0</v>
      </c>
      <c r="N106" s="12">
        <f>IF(Assumptions!$C$20="Zero Carbon Liability",Springbok!N26*Carbon!L2,Springbok!N26*Carbon!L3)/1000</f>
        <v>0</v>
      </c>
      <c r="O106" s="12">
        <f>IF(Assumptions!$C$20="Zero Carbon Liability",Springbok!O26*Carbon!M2,Springbok!O26*Carbon!M3)/1000</f>
        <v>0</v>
      </c>
      <c r="P106" s="12">
        <f>IF(Assumptions!$C$20="Zero Carbon Liability",Springbok!P26*Carbon!N2,Springbok!P26*Carbon!N3)/1000</f>
        <v>0</v>
      </c>
      <c r="Q106" s="12">
        <f>IF(Assumptions!$C$20="Zero Carbon Liability",Springbok!Q26*Carbon!O2,Springbok!Q26*Carbon!O3)/1000</f>
        <v>0</v>
      </c>
      <c r="R106" s="12">
        <f>IF(Assumptions!$C$20="Zero Carbon Liability",Springbok!R26*Carbon!P2,Springbok!R26*Carbon!P3)/1000</f>
        <v>0</v>
      </c>
      <c r="S106" s="12">
        <f>IF(Assumptions!$C$20="Zero Carbon Liability",Springbok!S26*Carbon!Q2,Springbok!S26*Carbon!Q3)/1000</f>
        <v>0</v>
      </c>
      <c r="T106" s="12">
        <f>IF(Assumptions!$C$20="Zero Carbon Liability",Springbok!T26*Carbon!R2,Springbok!T26*Carbon!R3)/1000</f>
        <v>0</v>
      </c>
      <c r="U106" s="12">
        <f>IF(Assumptions!$C$20="Zero Carbon Liability",Springbok!U26*Carbon!S2,Springbok!U26*Carbon!S3)/1000</f>
        <v>0</v>
      </c>
      <c r="V106" s="12">
        <f>IF(Assumptions!$C$20="Zero Carbon Liability",Springbok!V26*Carbon!T2,Springbok!V26*Carbon!T3)/1000</f>
        <v>0</v>
      </c>
      <c r="W106" s="12">
        <f>IF(Assumptions!$C$20="Zero Carbon Liability",Springbok!W26*Carbon!U2,Springbok!W26*Carbon!U3)/1000</f>
        <v>0</v>
      </c>
      <c r="X106" s="12">
        <f>IF(Assumptions!$C$20="Zero Carbon Liability",Springbok!X26*Carbon!V2,Springbok!X26*Carbon!V3)/1000</f>
        <v>0</v>
      </c>
      <c r="Y106" s="12">
        <f>IF(Assumptions!$C$20="Zero Carbon Liability",Springbok!Y26*Carbon!W2,Springbok!Y26*Carbon!W3)/1000</f>
        <v>0</v>
      </c>
      <c r="Z106" s="12">
        <f>IF(Assumptions!$C$20="Zero Carbon Liability",Springbok!Z26*Carbon!X2,Springbok!Z26*Carbon!X3)/1000</f>
        <v>0</v>
      </c>
      <c r="AA106" s="12">
        <f>IF(Assumptions!$C$20="Zero Carbon Liability",Springbok!AA26*Carbon!Y2,Springbok!AA26*Carbon!Y3)/1000</f>
        <v>0</v>
      </c>
      <c r="AB106" s="12">
        <f>IF(Assumptions!$C$20="Zero Carbon Liability",Springbok!AB26*Carbon!Z2,Springbok!AB26*Carbon!Z3)/1000</f>
        <v>0</v>
      </c>
      <c r="AC106" s="12">
        <f>IF(Assumptions!$C$20="Zero Carbon Liability",Springbok!AC26*Carbon!AA2,Springbok!AC26*Carbon!AA3)/1000</f>
        <v>0</v>
      </c>
      <c r="AD106" s="12">
        <f>IF(Assumptions!$C$20="Zero Carbon Liability",Springbok!AD26*Carbon!AB2,Springbok!AD26*Carbon!AB3)/1000</f>
        <v>0</v>
      </c>
      <c r="AF106" s="5"/>
    </row>
    <row r="107" spans="1:34">
      <c r="A107" s="4" t="s">
        <v>196</v>
      </c>
      <c r="B107" s="17" t="s">
        <v>56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f>-5000</f>
        <v>-5000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F107" s="5"/>
    </row>
    <row r="108" spans="1:34">
      <c r="A108" s="4" t="s">
        <v>197</v>
      </c>
      <c r="B108" s="17" t="s">
        <v>56</v>
      </c>
      <c r="D108" s="35">
        <f>SUM(D104:D107)</f>
        <v>12261.223471223484</v>
      </c>
      <c r="E108" s="35">
        <f t="shared" ref="E108:AD108" si="51">SUM(E104:E107)</f>
        <v>16800.586133314442</v>
      </c>
      <c r="F108" s="35">
        <f t="shared" si="51"/>
        <v>21875.932145699811</v>
      </c>
      <c r="G108" s="35">
        <f t="shared" si="51"/>
        <v>26722.34539622342</v>
      </c>
      <c r="H108" s="35">
        <f t="shared" si="51"/>
        <v>31022.154691845095</v>
      </c>
      <c r="I108" s="35">
        <f>SUM(I104:I107)</f>
        <v>895000</v>
      </c>
      <c r="J108" s="35">
        <f t="shared" si="51"/>
        <v>0</v>
      </c>
      <c r="K108" s="35">
        <f t="shared" si="51"/>
        <v>0</v>
      </c>
      <c r="L108" s="35">
        <f t="shared" si="51"/>
        <v>0</v>
      </c>
      <c r="M108" s="35">
        <f t="shared" si="51"/>
        <v>0</v>
      </c>
      <c r="N108" s="35">
        <f t="shared" si="51"/>
        <v>0</v>
      </c>
      <c r="O108" s="35">
        <f t="shared" si="51"/>
        <v>0</v>
      </c>
      <c r="P108" s="35">
        <f t="shared" si="51"/>
        <v>0</v>
      </c>
      <c r="Q108" s="35">
        <f t="shared" si="51"/>
        <v>0</v>
      </c>
      <c r="R108" s="35">
        <f t="shared" si="51"/>
        <v>0</v>
      </c>
      <c r="S108" s="35">
        <f t="shared" si="51"/>
        <v>0</v>
      </c>
      <c r="T108" s="35">
        <f t="shared" si="51"/>
        <v>0</v>
      </c>
      <c r="U108" s="35">
        <f t="shared" si="51"/>
        <v>0</v>
      </c>
      <c r="V108" s="35">
        <f t="shared" si="51"/>
        <v>0</v>
      </c>
      <c r="W108" s="35">
        <f t="shared" si="51"/>
        <v>0</v>
      </c>
      <c r="X108" s="35">
        <f t="shared" si="51"/>
        <v>0</v>
      </c>
      <c r="Y108" s="35">
        <f t="shared" si="51"/>
        <v>0</v>
      </c>
      <c r="Z108" s="35">
        <f t="shared" si="51"/>
        <v>0</v>
      </c>
      <c r="AA108" s="35">
        <f t="shared" si="51"/>
        <v>0</v>
      </c>
      <c r="AB108" s="35">
        <f t="shared" si="51"/>
        <v>0</v>
      </c>
      <c r="AC108" s="35">
        <f t="shared" si="51"/>
        <v>0</v>
      </c>
      <c r="AD108" s="35">
        <f t="shared" si="51"/>
        <v>0</v>
      </c>
      <c r="AF108" s="38">
        <f>SUM(AF104:AF105)</f>
        <v>1815000</v>
      </c>
    </row>
    <row r="109" spans="1:34">
      <c r="A109" s="119" t="s">
        <v>198</v>
      </c>
      <c r="B109" s="17"/>
      <c r="D109" s="37">
        <f t="shared" ref="D109:W109" si="52">IF(D105&lt;=0,(D104+D106),D108)</f>
        <v>12261.223471223484</v>
      </c>
      <c r="E109" s="37">
        <f t="shared" si="52"/>
        <v>16800.586133314442</v>
      </c>
      <c r="F109" s="37">
        <f t="shared" si="52"/>
        <v>21875.932145699811</v>
      </c>
      <c r="G109" s="37">
        <f t="shared" si="52"/>
        <v>26722.34539622342</v>
      </c>
      <c r="H109" s="37">
        <f t="shared" si="52"/>
        <v>31022.154691845095</v>
      </c>
      <c r="I109" s="37">
        <f>IF(I105&lt;=0,(I104+I106),I108)</f>
        <v>895000</v>
      </c>
      <c r="J109" s="37">
        <f t="shared" si="52"/>
        <v>0</v>
      </c>
      <c r="K109" s="37">
        <f t="shared" si="52"/>
        <v>0</v>
      </c>
      <c r="L109" s="37">
        <f t="shared" si="52"/>
        <v>0</v>
      </c>
      <c r="M109" s="37">
        <f t="shared" si="52"/>
        <v>0</v>
      </c>
      <c r="N109" s="37">
        <f t="shared" si="52"/>
        <v>0</v>
      </c>
      <c r="O109" s="37">
        <f t="shared" si="52"/>
        <v>0</v>
      </c>
      <c r="P109" s="37">
        <f t="shared" si="52"/>
        <v>0</v>
      </c>
      <c r="Q109" s="37">
        <f t="shared" si="52"/>
        <v>0</v>
      </c>
      <c r="R109" s="37">
        <f t="shared" si="52"/>
        <v>0</v>
      </c>
      <c r="S109" s="37">
        <f t="shared" si="52"/>
        <v>0</v>
      </c>
      <c r="T109" s="37">
        <f t="shared" si="52"/>
        <v>0</v>
      </c>
      <c r="U109" s="37">
        <f t="shared" si="52"/>
        <v>0</v>
      </c>
      <c r="V109" s="37">
        <f t="shared" si="52"/>
        <v>0</v>
      </c>
      <c r="W109" s="37">
        <f t="shared" si="52"/>
        <v>0</v>
      </c>
      <c r="X109" s="37">
        <f t="shared" ref="X109:AD109" si="53">IF(X105&lt;=0,(X104+X106),X108)</f>
        <v>0</v>
      </c>
      <c r="Y109" s="37">
        <f t="shared" si="53"/>
        <v>0</v>
      </c>
      <c r="Z109" s="37">
        <f t="shared" si="53"/>
        <v>0</v>
      </c>
      <c r="AA109" s="37">
        <f t="shared" si="53"/>
        <v>0</v>
      </c>
      <c r="AB109" s="37">
        <f>IF(AB105&lt;=0,(AB104+AB106),AB108)</f>
        <v>0</v>
      </c>
      <c r="AC109" s="37">
        <f t="shared" si="53"/>
        <v>0</v>
      </c>
      <c r="AD109" s="37">
        <f t="shared" si="53"/>
        <v>0</v>
      </c>
      <c r="AE109" s="37">
        <f>IF(AE105&gt;=0,(AE104+AE106),AE108)</f>
        <v>0</v>
      </c>
      <c r="AF109" s="59"/>
    </row>
    <row r="110" spans="1:34">
      <c r="A110" s="4"/>
      <c r="B110" s="1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F110" s="25"/>
    </row>
    <row r="111" spans="1:34">
      <c r="A111" s="28" t="s">
        <v>199</v>
      </c>
      <c r="B111" s="17"/>
      <c r="AF111" s="25"/>
    </row>
    <row r="112" spans="1:34">
      <c r="A112" s="4" t="s">
        <v>200</v>
      </c>
      <c r="B112" s="17" t="s">
        <v>56</v>
      </c>
      <c r="D112" s="76">
        <v>0</v>
      </c>
      <c r="E112" s="76">
        <v>0</v>
      </c>
      <c r="F112" s="76">
        <v>0</v>
      </c>
      <c r="G112" s="76">
        <v>0</v>
      </c>
      <c r="H112" s="76">
        <v>0</v>
      </c>
      <c r="I112" s="76">
        <v>0</v>
      </c>
      <c r="J112" s="76">
        <v>0</v>
      </c>
      <c r="K112" s="76">
        <v>0</v>
      </c>
      <c r="L112" s="76">
        <v>0</v>
      </c>
      <c r="M112" s="76">
        <v>0</v>
      </c>
      <c r="N112" s="76">
        <v>0</v>
      </c>
      <c r="O112" s="76">
        <v>0</v>
      </c>
      <c r="P112" s="76">
        <v>0</v>
      </c>
      <c r="Q112" s="76">
        <v>0</v>
      </c>
      <c r="R112" s="76">
        <v>0</v>
      </c>
      <c r="S112" s="76">
        <v>0</v>
      </c>
      <c r="T112" s="76">
        <v>0</v>
      </c>
      <c r="U112" s="76">
        <v>0</v>
      </c>
      <c r="V112" s="76">
        <v>0</v>
      </c>
      <c r="W112" s="76">
        <v>0</v>
      </c>
      <c r="X112" s="76">
        <v>0</v>
      </c>
      <c r="Y112" s="76">
        <v>0</v>
      </c>
      <c r="Z112" s="76">
        <v>0</v>
      </c>
      <c r="AA112" s="76">
        <v>0</v>
      </c>
      <c r="AB112" s="76">
        <v>0</v>
      </c>
      <c r="AC112" s="76">
        <v>0</v>
      </c>
      <c r="AD112" s="76">
        <v>0</v>
      </c>
      <c r="AF112" s="5">
        <f>SUM(C112:AD112)</f>
        <v>0</v>
      </c>
    </row>
    <row r="113" spans="1:32">
      <c r="A113" s="4" t="s">
        <v>201</v>
      </c>
      <c r="B113" s="17" t="s">
        <v>56</v>
      </c>
      <c r="D113" s="76">
        <f>SpringbokCapital!D39</f>
        <v>75360</v>
      </c>
      <c r="E113" s="76">
        <f>SpringbokCapital!E39</f>
        <v>34560</v>
      </c>
      <c r="F113" s="76">
        <f>SpringbokCapital!F39</f>
        <v>4560</v>
      </c>
      <c r="G113" s="76">
        <f>SpringbokCapital!G39</f>
        <v>4560</v>
      </c>
      <c r="H113" s="76">
        <f>SpringbokCapital!H39</f>
        <v>4560</v>
      </c>
      <c r="I113" s="76">
        <f>SpringbokCapital!I39</f>
        <v>0</v>
      </c>
      <c r="J113" s="76">
        <f>SpringbokCapital!J39</f>
        <v>0</v>
      </c>
      <c r="K113" s="76">
        <f>SpringbokCapital!K39</f>
        <v>0</v>
      </c>
      <c r="L113" s="76">
        <f>SpringbokCapital!L39</f>
        <v>0</v>
      </c>
      <c r="M113" s="76">
        <f>SpringbokCapital!M39</f>
        <v>0</v>
      </c>
      <c r="N113" s="76">
        <f>SpringbokCapital!N39</f>
        <v>0</v>
      </c>
      <c r="O113" s="76">
        <f>SpringbokCapital!O39</f>
        <v>0</v>
      </c>
      <c r="P113" s="76">
        <f>SpringbokCapital!P39</f>
        <v>0</v>
      </c>
      <c r="Q113" s="76">
        <f>SpringbokCapital!Q39</f>
        <v>0</v>
      </c>
      <c r="R113" s="76">
        <f>SpringbokCapital!R39</f>
        <v>0</v>
      </c>
      <c r="S113" s="76">
        <f>SpringbokCapital!S39</f>
        <v>0</v>
      </c>
      <c r="T113" s="76">
        <f>SpringbokCapital!T39</f>
        <v>0</v>
      </c>
      <c r="U113" s="76">
        <f>SpringbokCapital!U39</f>
        <v>0</v>
      </c>
      <c r="V113" s="76">
        <f>SpringbokCapital!V39</f>
        <v>0</v>
      </c>
      <c r="W113" s="76">
        <f>SpringbokCapital!W39</f>
        <v>0</v>
      </c>
      <c r="X113" s="76">
        <f>SpringbokCapital!X39</f>
        <v>0</v>
      </c>
      <c r="Y113" s="76">
        <f>SpringbokCapital!Y39</f>
        <v>0</v>
      </c>
      <c r="Z113" s="76">
        <f>SpringbokCapital!Z39</f>
        <v>0</v>
      </c>
      <c r="AA113" s="76">
        <f>SpringbokCapital!AA39</f>
        <v>0</v>
      </c>
      <c r="AB113" s="76">
        <f>SpringbokCapital!AB39</f>
        <v>0</v>
      </c>
      <c r="AC113" s="76">
        <f>SpringbokCapital!AC39</f>
        <v>0</v>
      </c>
      <c r="AD113" s="76">
        <f>SpringbokCapital!AD39</f>
        <v>0</v>
      </c>
      <c r="AF113" s="5">
        <f>SUM(C113:AD113)</f>
        <v>123600</v>
      </c>
    </row>
    <row r="114" spans="1:32">
      <c r="A114" s="4" t="s">
        <v>202</v>
      </c>
      <c r="B114" s="17" t="s">
        <v>203</v>
      </c>
      <c r="C114" s="64">
        <v>4</v>
      </c>
      <c r="D114" s="44">
        <f t="shared" ref="D114:AD114" si="54">$C$114*D9</f>
        <v>20765.478879999999</v>
      </c>
      <c r="E114" s="44">
        <f t="shared" si="54"/>
        <v>22652.554520000002</v>
      </c>
      <c r="F114" s="44">
        <f t="shared" si="54"/>
        <v>23952.175999999999</v>
      </c>
      <c r="G114" s="44">
        <f t="shared" si="54"/>
        <v>23075.07216</v>
      </c>
      <c r="H114" s="44">
        <f t="shared" si="54"/>
        <v>20983.728967605679</v>
      </c>
      <c r="I114" s="44">
        <f t="shared" si="54"/>
        <v>0</v>
      </c>
      <c r="J114" s="44">
        <f t="shared" si="54"/>
        <v>0</v>
      </c>
      <c r="K114" s="44">
        <f t="shared" si="54"/>
        <v>0</v>
      </c>
      <c r="L114" s="44">
        <f t="shared" si="54"/>
        <v>0</v>
      </c>
      <c r="M114" s="44">
        <f t="shared" si="54"/>
        <v>0</v>
      </c>
      <c r="N114" s="44">
        <f t="shared" si="54"/>
        <v>0</v>
      </c>
      <c r="O114" s="44">
        <f t="shared" si="54"/>
        <v>0</v>
      </c>
      <c r="P114" s="44">
        <f t="shared" si="54"/>
        <v>0</v>
      </c>
      <c r="Q114" s="44">
        <f t="shared" si="54"/>
        <v>0</v>
      </c>
      <c r="R114" s="44">
        <f t="shared" si="54"/>
        <v>0</v>
      </c>
      <c r="S114" s="44">
        <f t="shared" si="54"/>
        <v>0</v>
      </c>
      <c r="T114" s="44">
        <f t="shared" si="54"/>
        <v>0</v>
      </c>
      <c r="U114" s="44">
        <f t="shared" si="54"/>
        <v>0</v>
      </c>
      <c r="V114" s="44">
        <f t="shared" si="54"/>
        <v>0</v>
      </c>
      <c r="W114" s="44">
        <f t="shared" si="54"/>
        <v>0</v>
      </c>
      <c r="X114" s="44">
        <f t="shared" si="54"/>
        <v>0</v>
      </c>
      <c r="Y114" s="44">
        <f t="shared" si="54"/>
        <v>0</v>
      </c>
      <c r="Z114" s="44">
        <f t="shared" si="54"/>
        <v>0</v>
      </c>
      <c r="AA114" s="44">
        <f t="shared" si="54"/>
        <v>0</v>
      </c>
      <c r="AB114" s="44">
        <f t="shared" si="54"/>
        <v>0</v>
      </c>
      <c r="AC114" s="44">
        <f t="shared" si="54"/>
        <v>0</v>
      </c>
      <c r="AD114" s="44">
        <f t="shared" si="54"/>
        <v>0</v>
      </c>
      <c r="AE114" s="26"/>
      <c r="AF114" s="45">
        <f>SUM(C114:AD114)</f>
        <v>111433.01052760567</v>
      </c>
    </row>
    <row r="115" spans="1:32">
      <c r="A115" s="4" t="s">
        <v>204</v>
      </c>
      <c r="B115" s="17" t="s">
        <v>56</v>
      </c>
      <c r="D115" s="37">
        <f>SUM(D112:D114)*(1+$AI$14)</f>
        <v>96125.478879999995</v>
      </c>
      <c r="E115" s="37">
        <f t="shared" ref="E115:AD115" si="55">SUM(E112:E114)*(1+$AI$14)</f>
        <v>57212.554520000005</v>
      </c>
      <c r="F115" s="37">
        <f t="shared" si="55"/>
        <v>28512.175999999999</v>
      </c>
      <c r="G115" s="37">
        <f t="shared" si="55"/>
        <v>27635.07216</v>
      </c>
      <c r="H115" s="37">
        <f t="shared" si="55"/>
        <v>25543.728967605679</v>
      </c>
      <c r="I115" s="37">
        <f>SUM(I112:I114)*(1+$AI$14)</f>
        <v>0</v>
      </c>
      <c r="J115" s="37">
        <f t="shared" si="55"/>
        <v>0</v>
      </c>
      <c r="K115" s="37">
        <f t="shared" si="55"/>
        <v>0</v>
      </c>
      <c r="L115" s="37">
        <f t="shared" si="55"/>
        <v>0</v>
      </c>
      <c r="M115" s="37">
        <f t="shared" si="55"/>
        <v>0</v>
      </c>
      <c r="N115" s="37">
        <f t="shared" si="55"/>
        <v>0</v>
      </c>
      <c r="O115" s="37">
        <f t="shared" si="55"/>
        <v>0</v>
      </c>
      <c r="P115" s="37">
        <f t="shared" si="55"/>
        <v>0</v>
      </c>
      <c r="Q115" s="37">
        <f t="shared" si="55"/>
        <v>0</v>
      </c>
      <c r="R115" s="37">
        <f t="shared" si="55"/>
        <v>0</v>
      </c>
      <c r="S115" s="37">
        <f t="shared" si="55"/>
        <v>0</v>
      </c>
      <c r="T115" s="37">
        <f t="shared" si="55"/>
        <v>0</v>
      </c>
      <c r="U115" s="37">
        <f t="shared" si="55"/>
        <v>0</v>
      </c>
      <c r="V115" s="37">
        <f t="shared" si="55"/>
        <v>0</v>
      </c>
      <c r="W115" s="37">
        <f t="shared" si="55"/>
        <v>0</v>
      </c>
      <c r="X115" s="37">
        <f t="shared" si="55"/>
        <v>0</v>
      </c>
      <c r="Y115" s="37">
        <f t="shared" si="55"/>
        <v>0</v>
      </c>
      <c r="Z115" s="37">
        <f t="shared" si="55"/>
        <v>0</v>
      </c>
      <c r="AA115" s="37">
        <f t="shared" si="55"/>
        <v>0</v>
      </c>
      <c r="AB115" s="37">
        <f t="shared" si="55"/>
        <v>0</v>
      </c>
      <c r="AC115" s="37">
        <f t="shared" si="55"/>
        <v>0</v>
      </c>
      <c r="AD115" s="37">
        <f t="shared" si="55"/>
        <v>0</v>
      </c>
      <c r="AF115" s="5">
        <f>SUM(C115:AD115)</f>
        <v>235029.01052760571</v>
      </c>
    </row>
    <row r="116" spans="1:32">
      <c r="A116" s="4" t="s">
        <v>205</v>
      </c>
      <c r="B116" s="17" t="s">
        <v>56</v>
      </c>
      <c r="D116" s="37">
        <f>D132</f>
        <v>53048.004601040564</v>
      </c>
      <c r="E116" s="37">
        <f t="shared" ref="E116:W116" si="56">E132</f>
        <v>26524.002300520282</v>
      </c>
      <c r="F116" s="37">
        <f t="shared" si="56"/>
        <v>45594.853807186948</v>
      </c>
      <c r="G116" s="37">
        <f t="shared" si="56"/>
        <v>59850.941807186959</v>
      </c>
      <c r="H116" s="37">
        <f t="shared" si="56"/>
        <v>113029.74293479265</v>
      </c>
      <c r="I116" s="37">
        <f>I132</f>
        <v>0</v>
      </c>
      <c r="J116" s="37">
        <f t="shared" si="56"/>
        <v>0</v>
      </c>
      <c r="K116" s="37">
        <f t="shared" si="56"/>
        <v>0</v>
      </c>
      <c r="L116" s="37">
        <f t="shared" si="56"/>
        <v>0</v>
      </c>
      <c r="M116" s="37">
        <f t="shared" si="56"/>
        <v>0</v>
      </c>
      <c r="N116" s="37">
        <f t="shared" si="56"/>
        <v>0</v>
      </c>
      <c r="O116" s="37">
        <f t="shared" si="56"/>
        <v>0</v>
      </c>
      <c r="P116" s="37">
        <f t="shared" si="56"/>
        <v>0</v>
      </c>
      <c r="Q116" s="37">
        <f t="shared" si="56"/>
        <v>0</v>
      </c>
      <c r="R116" s="37">
        <f t="shared" si="56"/>
        <v>0</v>
      </c>
      <c r="S116" s="37">
        <f t="shared" si="56"/>
        <v>0</v>
      </c>
      <c r="T116" s="37">
        <f t="shared" si="56"/>
        <v>0</v>
      </c>
      <c r="U116" s="37">
        <f t="shared" si="56"/>
        <v>0</v>
      </c>
      <c r="V116" s="37">
        <f t="shared" si="56"/>
        <v>0</v>
      </c>
      <c r="W116" s="37">
        <f t="shared" si="56"/>
        <v>0</v>
      </c>
      <c r="X116" s="37">
        <f t="shared" ref="X116:AD116" si="57">X132</f>
        <v>0</v>
      </c>
      <c r="Y116" s="37">
        <f t="shared" si="57"/>
        <v>0</v>
      </c>
      <c r="Z116" s="37">
        <f t="shared" si="57"/>
        <v>0</v>
      </c>
      <c r="AA116" s="37">
        <f t="shared" si="57"/>
        <v>0</v>
      </c>
      <c r="AB116" s="37">
        <f t="shared" si="57"/>
        <v>0</v>
      </c>
      <c r="AC116" s="37">
        <f t="shared" si="57"/>
        <v>0</v>
      </c>
      <c r="AD116" s="37">
        <f t="shared" si="57"/>
        <v>0</v>
      </c>
      <c r="AF116" s="5"/>
    </row>
    <row r="117" spans="1:32">
      <c r="A117" s="4"/>
      <c r="B117" s="1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F117" s="5"/>
    </row>
    <row r="118" spans="1:32">
      <c r="A118" s="28" t="s">
        <v>55</v>
      </c>
      <c r="B118" s="56" t="s">
        <v>56</v>
      </c>
      <c r="C118" s="1"/>
      <c r="D118" s="61">
        <f>D101-D108-D115</f>
        <v>226119.29530439986</v>
      </c>
      <c r="E118" s="61">
        <f t="shared" ref="E118:AF118" si="58">E101-E108-E115</f>
        <v>287082.16730558011</v>
      </c>
      <c r="F118" s="61">
        <f t="shared" si="58"/>
        <v>379815.77281816554</v>
      </c>
      <c r="G118" s="61">
        <f t="shared" si="58"/>
        <v>374686.35119821382</v>
      </c>
      <c r="H118" s="61">
        <f t="shared" si="58"/>
        <v>325082.09371192474</v>
      </c>
      <c r="I118" s="61">
        <f>I101-I108-I115</f>
        <v>-895000</v>
      </c>
      <c r="J118" s="61">
        <f t="shared" si="58"/>
        <v>0</v>
      </c>
      <c r="K118" s="61">
        <f t="shared" si="58"/>
        <v>0</v>
      </c>
      <c r="L118" s="61">
        <f t="shared" si="58"/>
        <v>0</v>
      </c>
      <c r="M118" s="61">
        <f t="shared" si="58"/>
        <v>0</v>
      </c>
      <c r="N118" s="61">
        <f t="shared" si="58"/>
        <v>0</v>
      </c>
      <c r="O118" s="61">
        <f t="shared" si="58"/>
        <v>0</v>
      </c>
      <c r="P118" s="61">
        <f t="shared" si="58"/>
        <v>0</v>
      </c>
      <c r="Q118" s="61">
        <f t="shared" si="58"/>
        <v>0</v>
      </c>
      <c r="R118" s="61">
        <f t="shared" si="58"/>
        <v>0</v>
      </c>
      <c r="S118" s="61">
        <f t="shared" si="58"/>
        <v>0</v>
      </c>
      <c r="T118" s="61">
        <f t="shared" si="58"/>
        <v>0</v>
      </c>
      <c r="U118" s="61">
        <f t="shared" si="58"/>
        <v>0</v>
      </c>
      <c r="V118" s="61">
        <f t="shared" si="58"/>
        <v>0</v>
      </c>
      <c r="W118" s="61">
        <f t="shared" ref="W118:AD118" si="59">W101-W108-W115</f>
        <v>0</v>
      </c>
      <c r="X118" s="61">
        <f t="shared" si="59"/>
        <v>0</v>
      </c>
      <c r="Y118" s="61">
        <f t="shared" si="59"/>
        <v>0</v>
      </c>
      <c r="Z118" s="61">
        <f t="shared" si="59"/>
        <v>0</v>
      </c>
      <c r="AA118" s="61">
        <f t="shared" si="59"/>
        <v>0</v>
      </c>
      <c r="AB118" s="61">
        <f t="shared" si="59"/>
        <v>0</v>
      </c>
      <c r="AC118" s="61">
        <f t="shared" si="59"/>
        <v>0</v>
      </c>
      <c r="AD118" s="61">
        <f t="shared" si="59"/>
        <v>0</v>
      </c>
      <c r="AE118" s="1"/>
      <c r="AF118" s="60">
        <f t="shared" si="58"/>
        <v>-113532.07782341033</v>
      </c>
    </row>
    <row r="119" spans="1:32">
      <c r="A119" s="4" t="s">
        <v>206</v>
      </c>
      <c r="B119" s="17" t="s">
        <v>56</v>
      </c>
      <c r="C119" s="43">
        <v>0.3</v>
      </c>
      <c r="D119" s="12">
        <f>IF((D101-D109-D116)*$C$119&gt;0,(D101-D109-D116)*$C$119,0)</f>
        <v>80759.030875007782</v>
      </c>
      <c r="E119" s="12">
        <f t="shared" ref="E119:AD119" si="60">IF((E101-E109-E116)*$C$119&gt;0,(E101-E109-E116)*$C$119,0)</f>
        <v>95331.215857517935</v>
      </c>
      <c r="F119" s="12">
        <f t="shared" si="60"/>
        <v>108819.92850329357</v>
      </c>
      <c r="G119" s="12">
        <f t="shared" si="60"/>
        <v>102741.14446530804</v>
      </c>
      <c r="H119" s="12">
        <f t="shared" si="60"/>
        <v>71278.823923421325</v>
      </c>
      <c r="I119" s="12">
        <f>IF((I101-I109-I116)*$C$119&gt;0,(I101-I109-I116)*$C$119,0)</f>
        <v>0</v>
      </c>
      <c r="J119" s="12">
        <f t="shared" si="60"/>
        <v>0</v>
      </c>
      <c r="K119" s="12">
        <f t="shared" si="60"/>
        <v>0</v>
      </c>
      <c r="L119" s="12">
        <f t="shared" si="60"/>
        <v>0</v>
      </c>
      <c r="M119" s="12">
        <f t="shared" si="60"/>
        <v>0</v>
      </c>
      <c r="N119" s="12">
        <f t="shared" si="60"/>
        <v>0</v>
      </c>
      <c r="O119" s="12">
        <f t="shared" si="60"/>
        <v>0</v>
      </c>
      <c r="P119" s="12">
        <f t="shared" si="60"/>
        <v>0</v>
      </c>
      <c r="Q119" s="12">
        <f t="shared" si="60"/>
        <v>0</v>
      </c>
      <c r="R119" s="12">
        <f t="shared" si="60"/>
        <v>0</v>
      </c>
      <c r="S119" s="12">
        <f t="shared" si="60"/>
        <v>0</v>
      </c>
      <c r="T119" s="12">
        <f t="shared" si="60"/>
        <v>0</v>
      </c>
      <c r="U119" s="12">
        <f t="shared" si="60"/>
        <v>0</v>
      </c>
      <c r="V119" s="12">
        <f t="shared" si="60"/>
        <v>0</v>
      </c>
      <c r="W119" s="12">
        <f t="shared" si="60"/>
        <v>0</v>
      </c>
      <c r="X119" s="12">
        <f t="shared" si="60"/>
        <v>0</v>
      </c>
      <c r="Y119" s="12">
        <f t="shared" si="60"/>
        <v>0</v>
      </c>
      <c r="Z119" s="12">
        <f t="shared" si="60"/>
        <v>0</v>
      </c>
      <c r="AA119" s="12">
        <f t="shared" si="60"/>
        <v>0</v>
      </c>
      <c r="AB119" s="12">
        <f t="shared" si="60"/>
        <v>0</v>
      </c>
      <c r="AC119" s="12">
        <f t="shared" si="60"/>
        <v>0</v>
      </c>
      <c r="AD119" s="12">
        <f t="shared" si="60"/>
        <v>0</v>
      </c>
      <c r="AF119" s="5">
        <f>SUM(D119:AD119)</f>
        <v>458930.14362454868</v>
      </c>
    </row>
    <row r="120" spans="1:32" hidden="1">
      <c r="A120" s="4"/>
      <c r="B120" s="17"/>
      <c r="D120" s="37">
        <v>1</v>
      </c>
      <c r="E120" s="37">
        <v>1</v>
      </c>
      <c r="F120" s="37">
        <v>1</v>
      </c>
      <c r="G120" s="37">
        <v>1</v>
      </c>
      <c r="H120" s="37">
        <v>1</v>
      </c>
      <c r="I120" s="37">
        <v>0</v>
      </c>
      <c r="J120" s="37">
        <v>1</v>
      </c>
      <c r="K120" s="37">
        <v>1</v>
      </c>
      <c r="L120" s="37">
        <v>1</v>
      </c>
      <c r="M120" s="37">
        <v>1</v>
      </c>
      <c r="N120" s="37">
        <v>1</v>
      </c>
      <c r="O120" s="37">
        <v>1</v>
      </c>
      <c r="P120" s="37">
        <v>1</v>
      </c>
      <c r="Q120" s="37">
        <v>1</v>
      </c>
      <c r="R120" s="37">
        <v>1</v>
      </c>
      <c r="S120" s="37">
        <v>1</v>
      </c>
      <c r="T120" s="37">
        <v>1</v>
      </c>
      <c r="U120" s="37">
        <v>1</v>
      </c>
      <c r="V120" s="37">
        <v>1</v>
      </c>
      <c r="W120" s="37">
        <v>1</v>
      </c>
      <c r="X120" s="37">
        <v>1</v>
      </c>
      <c r="Y120" s="37">
        <v>1</v>
      </c>
      <c r="Z120" s="37">
        <v>1</v>
      </c>
      <c r="AA120" s="37">
        <v>1</v>
      </c>
      <c r="AB120" s="37">
        <v>1</v>
      </c>
      <c r="AC120" s="37">
        <v>1</v>
      </c>
      <c r="AD120" s="37">
        <v>1</v>
      </c>
      <c r="AF120" s="5"/>
    </row>
    <row r="121" spans="1:32">
      <c r="A121" s="4"/>
      <c r="B121" s="1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F121" s="5"/>
    </row>
    <row r="122" spans="1:32">
      <c r="A122" s="28" t="s">
        <v>207</v>
      </c>
      <c r="B122" s="56" t="s">
        <v>56</v>
      </c>
      <c r="C122" s="1"/>
      <c r="D122" s="61">
        <f>D118-D119</f>
        <v>145360.26442939206</v>
      </c>
      <c r="E122" s="61">
        <f t="shared" ref="E122:AD122" si="61">E118-E119</f>
        <v>191750.95144806217</v>
      </c>
      <c r="F122" s="61">
        <f t="shared" si="61"/>
        <v>270995.84431487194</v>
      </c>
      <c r="G122" s="61">
        <f t="shared" si="61"/>
        <v>271945.20673290576</v>
      </c>
      <c r="H122" s="61">
        <f t="shared" si="61"/>
        <v>253803.26978850341</v>
      </c>
      <c r="I122" s="61">
        <f>I118-I119</f>
        <v>-895000</v>
      </c>
      <c r="J122" s="61">
        <f t="shared" si="61"/>
        <v>0</v>
      </c>
      <c r="K122" s="61">
        <f t="shared" si="61"/>
        <v>0</v>
      </c>
      <c r="L122" s="61">
        <f t="shared" si="61"/>
        <v>0</v>
      </c>
      <c r="M122" s="61">
        <f t="shared" si="61"/>
        <v>0</v>
      </c>
      <c r="N122" s="61">
        <f t="shared" si="61"/>
        <v>0</v>
      </c>
      <c r="O122" s="61">
        <f t="shared" si="61"/>
        <v>0</v>
      </c>
      <c r="P122" s="61">
        <f t="shared" si="61"/>
        <v>0</v>
      </c>
      <c r="Q122" s="61">
        <f t="shared" si="61"/>
        <v>0</v>
      </c>
      <c r="R122" s="61">
        <f t="shared" si="61"/>
        <v>0</v>
      </c>
      <c r="S122" s="61">
        <f t="shared" si="61"/>
        <v>0</v>
      </c>
      <c r="T122" s="61">
        <f t="shared" si="61"/>
        <v>0</v>
      </c>
      <c r="U122" s="61">
        <f t="shared" si="61"/>
        <v>0</v>
      </c>
      <c r="V122" s="61">
        <f t="shared" si="61"/>
        <v>0</v>
      </c>
      <c r="W122" s="61">
        <f t="shared" si="61"/>
        <v>0</v>
      </c>
      <c r="X122" s="61">
        <f t="shared" si="61"/>
        <v>0</v>
      </c>
      <c r="Y122" s="61">
        <f t="shared" si="61"/>
        <v>0</v>
      </c>
      <c r="Z122" s="61">
        <f t="shared" si="61"/>
        <v>0</v>
      </c>
      <c r="AA122" s="61">
        <f t="shared" si="61"/>
        <v>0</v>
      </c>
      <c r="AB122" s="61">
        <f t="shared" si="61"/>
        <v>0</v>
      </c>
      <c r="AC122" s="61">
        <f t="shared" si="61"/>
        <v>0</v>
      </c>
      <c r="AD122" s="61">
        <f t="shared" si="61"/>
        <v>0</v>
      </c>
      <c r="AE122" s="1"/>
      <c r="AF122" s="62">
        <f>AF118-AF119</f>
        <v>-572462.22144795908</v>
      </c>
    </row>
    <row r="123" spans="1:32">
      <c r="A123" s="28" t="s">
        <v>208</v>
      </c>
      <c r="B123" s="56" t="s">
        <v>56</v>
      </c>
      <c r="C123" s="141">
        <v>0.6</v>
      </c>
      <c r="D123" s="61">
        <f>IFERROR(D122*$C$123,0)</f>
        <v>87216.158657635227</v>
      </c>
      <c r="E123" s="61">
        <f t="shared" ref="E123:AD123" si="62">IFERROR(E122*$C$123,0)</f>
        <v>115050.5708688373</v>
      </c>
      <c r="F123" s="61">
        <f t="shared" si="62"/>
        <v>162597.50658892316</v>
      </c>
      <c r="G123" s="61">
        <f t="shared" si="62"/>
        <v>163167.12403974344</v>
      </c>
      <c r="H123" s="61">
        <f t="shared" si="62"/>
        <v>152281.96187310203</v>
      </c>
      <c r="I123" s="61">
        <f>IFERROR(I122*$C$123,0)</f>
        <v>-537000</v>
      </c>
      <c r="J123" s="61">
        <f>IFERROR(J122*$C$123,0)</f>
        <v>0</v>
      </c>
      <c r="K123" s="61">
        <f>IFERROR(K122*$C$123,0)</f>
        <v>0</v>
      </c>
      <c r="L123" s="61">
        <f t="shared" si="62"/>
        <v>0</v>
      </c>
      <c r="M123" s="61">
        <f t="shared" si="62"/>
        <v>0</v>
      </c>
      <c r="N123" s="61">
        <f t="shared" si="62"/>
        <v>0</v>
      </c>
      <c r="O123" s="61">
        <f t="shared" si="62"/>
        <v>0</v>
      </c>
      <c r="P123" s="61">
        <f t="shared" si="62"/>
        <v>0</v>
      </c>
      <c r="Q123" s="61">
        <f t="shared" si="62"/>
        <v>0</v>
      </c>
      <c r="R123" s="61">
        <f t="shared" si="62"/>
        <v>0</v>
      </c>
      <c r="S123" s="61">
        <f t="shared" si="62"/>
        <v>0</v>
      </c>
      <c r="T123" s="61">
        <f t="shared" si="62"/>
        <v>0</v>
      </c>
      <c r="U123" s="61">
        <f t="shared" si="62"/>
        <v>0</v>
      </c>
      <c r="V123" s="61">
        <f t="shared" si="62"/>
        <v>0</v>
      </c>
      <c r="W123" s="61">
        <f t="shared" si="62"/>
        <v>0</v>
      </c>
      <c r="X123" s="61">
        <f t="shared" si="62"/>
        <v>0</v>
      </c>
      <c r="Y123" s="61">
        <f t="shared" si="62"/>
        <v>0</v>
      </c>
      <c r="Z123" s="61">
        <f t="shared" si="62"/>
        <v>0</v>
      </c>
      <c r="AA123" s="61">
        <f t="shared" si="62"/>
        <v>0</v>
      </c>
      <c r="AB123" s="61">
        <f t="shared" si="62"/>
        <v>0</v>
      </c>
      <c r="AC123" s="61">
        <f t="shared" si="62"/>
        <v>0</v>
      </c>
      <c r="AD123" s="61">
        <f t="shared" si="62"/>
        <v>0</v>
      </c>
      <c r="AE123" s="1"/>
      <c r="AF123" s="62"/>
    </row>
    <row r="124" spans="1:32">
      <c r="A124" s="28" t="s">
        <v>292</v>
      </c>
      <c r="B124" s="56" t="s">
        <v>56</v>
      </c>
      <c r="C124" s="1"/>
      <c r="D124" s="61">
        <f>D123*Assumptions!I2</f>
        <v>83923.787797784666</v>
      </c>
      <c r="E124" s="61">
        <f>E122*Assumptions!J2</f>
        <v>170844.85098133574</v>
      </c>
      <c r="F124" s="61">
        <f>F122*Assumptions!K2</f>
        <v>223564.7057391135</v>
      </c>
      <c r="G124" s="61">
        <f>G122*Assumptions!L2</f>
        <v>207729.54229759332</v>
      </c>
      <c r="H124" s="61">
        <f>H122*Assumptions!M2</f>
        <v>179510.68873257597</v>
      </c>
      <c r="I124" s="61">
        <f>I122*Assumptions!N2</f>
        <v>-586127.8805866153</v>
      </c>
      <c r="J124" s="61">
        <f>J122*Assumptions!O2</f>
        <v>0</v>
      </c>
      <c r="K124" s="61">
        <f>K122*Assumptions!P2</f>
        <v>0</v>
      </c>
      <c r="L124" s="61">
        <f>L122*Assumptions!Q2</f>
        <v>0</v>
      </c>
      <c r="M124" s="61">
        <f>M122*Assumptions!R2</f>
        <v>0</v>
      </c>
      <c r="N124" s="61">
        <f>N122*Assumptions!S2</f>
        <v>0</v>
      </c>
      <c r="O124" s="61">
        <f>O122*Assumptions!T2</f>
        <v>0</v>
      </c>
      <c r="P124" s="61">
        <f>P122*Assumptions!U2</f>
        <v>0</v>
      </c>
      <c r="Q124" s="61">
        <f>Q122*Assumptions!V2</f>
        <v>0</v>
      </c>
      <c r="R124" s="61">
        <f>R122*Assumptions!W2</f>
        <v>0</v>
      </c>
      <c r="S124" s="61">
        <f>S122*Assumptions!X2</f>
        <v>0</v>
      </c>
      <c r="T124" s="61">
        <f>T122*Assumptions!Y2</f>
        <v>0</v>
      </c>
      <c r="U124" s="61">
        <f>U122*Assumptions!Z2</f>
        <v>0</v>
      </c>
      <c r="V124" s="61">
        <f>V122*Assumptions!AA2</f>
        <v>0</v>
      </c>
      <c r="W124" s="61">
        <f>W122*Assumptions!AB2</f>
        <v>0</v>
      </c>
      <c r="X124" s="61">
        <f>X122*Assumptions!AC2</f>
        <v>0</v>
      </c>
      <c r="Y124" s="61">
        <f>Y122*Assumptions!AD2</f>
        <v>0</v>
      </c>
      <c r="Z124" s="61">
        <f>Z122*Assumptions!AE2</f>
        <v>0</v>
      </c>
      <c r="AA124" s="61">
        <f>AA122*Assumptions!AF2</f>
        <v>0</v>
      </c>
      <c r="AB124" s="61">
        <f>AB122*Assumptions!AG2</f>
        <v>0</v>
      </c>
      <c r="AC124" s="61">
        <f>AC122*Assumptions!AH2</f>
        <v>0</v>
      </c>
      <c r="AD124" s="61">
        <f>AD122*Assumptions!AI2</f>
        <v>0</v>
      </c>
      <c r="AE124" s="1"/>
      <c r="AF124" s="49">
        <f>SUM(D124:AD124)</f>
        <v>279445.6949617879</v>
      </c>
    </row>
    <row r="125" spans="1:32">
      <c r="A125" s="28" t="s">
        <v>293</v>
      </c>
      <c r="B125" s="56"/>
      <c r="C125" s="1"/>
      <c r="D125" s="61">
        <f>IFERROR(IF(SUM($D$122:D122)/ABS(D122)&gt;1,0,IF(SUM($D$122:D122)&lt;=0,1*D120,1-(SUM($D$122:D122)/D122)*D120)),0)</f>
        <v>0</v>
      </c>
      <c r="E125" s="61">
        <f>IFERROR(IF(SUM($D$122:E122)/ABS(E122)&gt;1,0,IF(SUM($D$122:E122)&lt;=0,1*E120,1-(SUM($D$122:E122)/E122)*E120)),0)</f>
        <v>0</v>
      </c>
      <c r="F125" s="61">
        <f>IFERROR(IF(SUM($D$122:F122)/ABS(F122)&gt;1,0,IF(SUM($D$122:F122)&lt;=0,1*F120,1-(SUM($D$122:F122)/F122)*F120)),0)</f>
        <v>0</v>
      </c>
      <c r="G125" s="61">
        <f>IFERROR(IF(SUM($D$122:G122)/ABS(G122)&gt;1,0,IF(SUM($D$122:G122)&lt;=0,1*G120,1-(SUM($D$122:G122)/G122)*G120)),0)</f>
        <v>0</v>
      </c>
      <c r="H125" s="61">
        <f>IFERROR(IF(SUM($D$122:H122)/ABS(H122)&gt;1,0,IF(SUM($D$122:H122)&lt;=0,1*H120,1-(SUM($D$122:H122)/H122)*H120)),0)</f>
        <v>0</v>
      </c>
      <c r="I125" s="61">
        <f>IFERROR(IF(SUM($D$122:I122)/ABS(I122)&gt;1,0,IF(SUM($D$122:I122)&lt;=0,1*I120,1-(SUM($D$122:I122)/I122)*I120)),0)</f>
        <v>1</v>
      </c>
      <c r="J125" s="61">
        <f>IFERROR(IF(SUM($D$122:J122)/ABS(J122)&gt;1,0,IF(SUM($D$122:J122)&lt;=0,1*J120,1-(SUM($D$122:J122)/J122)*J120)),0)</f>
        <v>0</v>
      </c>
      <c r="K125" s="61">
        <f>IFERROR(IF(SUM($D$122:K122)/ABS(K122)&gt;1,0,IF(SUM($D$122:K122)&lt;=0,1*K120,1-(SUM($D$122:K122)/K122)*K120)),0)</f>
        <v>0</v>
      </c>
      <c r="L125" s="61">
        <f>IFERROR(IF(SUM($D$122:L122)/ABS(L122)&gt;1,0,IF(SUM($D$122:L122)&lt;=0,1*L120,1-(SUM($D$122:L122)/L122)*L120)),0)</f>
        <v>0</v>
      </c>
      <c r="M125" s="61">
        <f>IFERROR(IF(SUM($D$122:M122)/ABS(M122)&gt;1,0,IF(SUM($D$122:M122)&lt;=0,1*M120,1-(SUM($D$122:M122)/M122)*M120)),0)</f>
        <v>0</v>
      </c>
      <c r="N125" s="61">
        <f>IFERROR(IF(SUM($D$122:N122)/ABS(N122)&gt;1,0,IF(SUM($D$122:N122)&lt;=0,1*N120,1-(SUM($D$122:N122)/N122)*N120)),0)</f>
        <v>0</v>
      </c>
      <c r="O125" s="61">
        <f>IFERROR(IF(SUM($D$122:O122)/ABS(O122)&gt;1,0,IF(SUM($D$122:O122)&lt;=0,1*O120,1-(SUM($D$122:O122)/O122)*O120)),0)</f>
        <v>0</v>
      </c>
      <c r="P125" s="61">
        <f>IFERROR(IF(SUM($D$122:P122)/ABS(P122)&gt;1,0,IF(SUM($D$122:P122)&lt;=0,1*P120,1-(SUM($D$122:P122)/P122)*P120)),0)</f>
        <v>0</v>
      </c>
      <c r="Q125" s="61">
        <f>IFERROR(IF(SUM($D$122:Q122)/ABS(Q122)&gt;1,0,IF(SUM($D$122:Q122)&lt;=0,1*Q120,1-(SUM($D$122:Q122)/Q122)*Q120)),0)</f>
        <v>0</v>
      </c>
      <c r="R125" s="61">
        <f>IFERROR(IF(SUM($D$122:R122)/ABS(R122)&gt;1,0,IF(SUM($D$122:R122)&lt;=0,1*R120,1-(SUM($D$122:R122)/R122)*R120)),0)</f>
        <v>0</v>
      </c>
      <c r="S125" s="61">
        <f>IFERROR(IF(SUM($D$122:S122)/ABS(S122)&gt;1,0,IF(SUM($D$122:S122)&lt;=0,1*S120,1-(SUM($D$122:S122)/S122)*S120)),0)</f>
        <v>0</v>
      </c>
      <c r="T125" s="61">
        <f>IFERROR(IF(SUM($D$122:T122)/ABS(T122)&gt;1,0,IF(SUM($D$122:T122)&lt;=0,1*T120,1-(SUM($D$122:T122)/T122)*T120)),0)</f>
        <v>0</v>
      </c>
      <c r="U125" s="61">
        <f>IFERROR(IF(SUM($D$122:U122)/ABS(U122)&gt;1,0,IF(SUM($D$122:U122)&lt;=0,1*U120,1-(SUM($D$122:U122)/U122)*U120)),0)</f>
        <v>0</v>
      </c>
      <c r="V125" s="61">
        <f>IFERROR(IF(SUM($D$122:V122)/ABS(V122)&gt;1,0,IF(SUM($D$122:V122)&lt;=0,1*V120,1-(SUM($D$122:V122)/V122)*V120)),0)</f>
        <v>0</v>
      </c>
      <c r="W125" s="61">
        <f>IFERROR(IF(SUM($D$122:W122)/ABS(W122)&gt;1,0,IF(SUM($D$122:W122)&lt;=0,1*W120,1-(SUM($D$122:W122)/W122)*W120)),0)</f>
        <v>0</v>
      </c>
      <c r="X125" s="61">
        <f>IFERROR(IF(SUM($D$122:X122)/ABS(X122)&gt;1,0,IF(SUM($D$122:X122)&lt;=0,1*X120,1-(SUM($D$122:X122)/X122)*X120)),0)</f>
        <v>0</v>
      </c>
      <c r="Y125" s="61">
        <f>IFERROR(IF(SUM($D$122:Y122)/ABS(Y122)&gt;1,0,IF(SUM($D$122:Y122)&lt;=0,1*Y120,1-(SUM($D$122:Y122)/Y122)*Y120)),0)</f>
        <v>0</v>
      </c>
      <c r="Z125" s="61">
        <f>IFERROR(IF(SUM($D$122:Z122)/ABS(Z122)&gt;1,0,IF(SUM($D$122:Z122)&lt;=0,1*Z120,1-(SUM($D$122:Z122)/Z122)*Z120)),0)</f>
        <v>0</v>
      </c>
      <c r="AA125" s="61">
        <f>IFERROR(IF(SUM($D$122:AA122)/ABS(AA122)&gt;1,0,IF(SUM($D$122:AA122)&lt;=0,1*AA120,1-(SUM($D$122:AA122)/AA122)*AA120)),0)</f>
        <v>0</v>
      </c>
      <c r="AB125" s="61">
        <f>IFERROR(IF(SUM($D$122:AB122)/ABS(AB122)&gt;1,0,IF(SUM($D$122:AB122)&lt;=0,1*AB120,1-(SUM($D$122:AB122)/AB122)*AB120)),0)</f>
        <v>0</v>
      </c>
      <c r="AC125" s="61">
        <f>IFERROR(IF(SUM($D$122:AC122)/ABS(AC122)&gt;1,0,IF(SUM($D$122:AC122)&lt;=0,1*AC120,1-(SUM($D$122:AC122)/AC122)*AC120)),0)</f>
        <v>0</v>
      </c>
      <c r="AD125" s="61">
        <f>IFERROR(IF(SUM($D$122:AD122)/ABS(AD122)&gt;1,0,IF(SUM($D$122:AD122)&lt;=0,1*AD120,1-(SUM($D$122:AD122)/AD122)*AD120)),0)</f>
        <v>0</v>
      </c>
      <c r="AE125" s="1"/>
      <c r="AF125" s="49"/>
    </row>
    <row r="126" spans="1:32">
      <c r="A126" s="28" t="s">
        <v>294</v>
      </c>
      <c r="B126" s="56" t="s">
        <v>56</v>
      </c>
      <c r="C126" s="61">
        <f>SUM(D124:AD124)</f>
        <v>279445.6949617879</v>
      </c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1"/>
      <c r="AF126" s="62"/>
    </row>
    <row r="127" spans="1:32">
      <c r="A127" s="28" t="s">
        <v>295</v>
      </c>
      <c r="B127" s="56" t="s">
        <v>296</v>
      </c>
      <c r="C127" s="126">
        <f>SUM(D125:AD125)</f>
        <v>1</v>
      </c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1"/>
      <c r="AF127" s="62"/>
    </row>
    <row r="128" spans="1:32">
      <c r="A128" s="71" t="s">
        <v>297</v>
      </c>
      <c r="B128" s="92" t="s">
        <v>43</v>
      </c>
      <c r="C128" s="93">
        <f>IRR(D124:AD124)</f>
        <v>-0.1382485383302321</v>
      </c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26"/>
      <c r="AF128" s="45"/>
    </row>
    <row r="129" spans="1:32">
      <c r="A129" s="2" t="s">
        <v>298</v>
      </c>
      <c r="B129" s="36"/>
      <c r="C129" s="36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6"/>
      <c r="AF129" s="11"/>
    </row>
    <row r="130" spans="1:32">
      <c r="A130" s="4" t="s">
        <v>299</v>
      </c>
      <c r="B130" s="17" t="s">
        <v>56</v>
      </c>
      <c r="D130" s="148">
        <f>'Historical Performance'!H140-'Historical Performance'!H141</f>
        <v>63018.53492312169</v>
      </c>
      <c r="E130" s="12">
        <f>D133</f>
        <v>106096.00920208113</v>
      </c>
      <c r="F130" s="12">
        <f t="shared" ref="F130:W130" si="63">E133</f>
        <v>136784.56142156085</v>
      </c>
      <c r="G130" s="12">
        <f t="shared" si="63"/>
        <v>119701.88361437392</v>
      </c>
      <c r="H130" s="12">
        <f t="shared" si="63"/>
        <v>87486.013967186969</v>
      </c>
      <c r="I130" s="12">
        <f t="shared" si="63"/>
        <v>0</v>
      </c>
      <c r="J130" s="12">
        <f t="shared" si="63"/>
        <v>0</v>
      </c>
      <c r="K130" s="12">
        <f t="shared" si="63"/>
        <v>0</v>
      </c>
      <c r="L130" s="12">
        <f t="shared" si="63"/>
        <v>0</v>
      </c>
      <c r="M130" s="12">
        <f t="shared" si="63"/>
        <v>0</v>
      </c>
      <c r="N130" s="12">
        <f t="shared" si="63"/>
        <v>0</v>
      </c>
      <c r="O130" s="12">
        <f t="shared" si="63"/>
        <v>0</v>
      </c>
      <c r="P130" s="12">
        <f t="shared" si="63"/>
        <v>0</v>
      </c>
      <c r="Q130" s="12">
        <f t="shared" si="63"/>
        <v>0</v>
      </c>
      <c r="R130" s="12">
        <f t="shared" si="63"/>
        <v>0</v>
      </c>
      <c r="S130" s="12">
        <f t="shared" si="63"/>
        <v>0</v>
      </c>
      <c r="T130" s="12">
        <f t="shared" si="63"/>
        <v>0</v>
      </c>
      <c r="U130" s="12">
        <f t="shared" si="63"/>
        <v>0</v>
      </c>
      <c r="V130" s="12">
        <f t="shared" si="63"/>
        <v>0</v>
      </c>
      <c r="W130" s="12">
        <f t="shared" si="63"/>
        <v>0</v>
      </c>
      <c r="X130" s="12">
        <f t="shared" ref="X130:AD130" si="64">W133</f>
        <v>0</v>
      </c>
      <c r="Y130" s="12">
        <f t="shared" si="64"/>
        <v>0</v>
      </c>
      <c r="Z130" s="12">
        <f t="shared" si="64"/>
        <v>0</v>
      </c>
      <c r="AA130" s="12">
        <f t="shared" si="64"/>
        <v>0</v>
      </c>
      <c r="AB130" s="12">
        <f t="shared" si="64"/>
        <v>0</v>
      </c>
      <c r="AC130" s="12">
        <f t="shared" si="64"/>
        <v>0</v>
      </c>
      <c r="AD130" s="12">
        <f t="shared" si="64"/>
        <v>0</v>
      </c>
      <c r="AE130" s="12"/>
      <c r="AF130" s="5"/>
    </row>
    <row r="131" spans="1:32">
      <c r="A131" s="4" t="s">
        <v>300</v>
      </c>
      <c r="B131" s="17" t="s">
        <v>56</v>
      </c>
      <c r="D131" s="12">
        <f t="shared" ref="D131:W131" si="65">D115</f>
        <v>96125.478879999995</v>
      </c>
      <c r="E131" s="12">
        <f t="shared" si="65"/>
        <v>57212.554520000005</v>
      </c>
      <c r="F131" s="12">
        <f t="shared" si="65"/>
        <v>28512.175999999999</v>
      </c>
      <c r="G131" s="12">
        <f t="shared" si="65"/>
        <v>27635.07216</v>
      </c>
      <c r="H131" s="12">
        <f t="shared" si="65"/>
        <v>25543.728967605679</v>
      </c>
      <c r="I131" s="12">
        <f>I115</f>
        <v>0</v>
      </c>
      <c r="J131" s="12">
        <f t="shared" si="65"/>
        <v>0</v>
      </c>
      <c r="K131" s="12">
        <f t="shared" si="65"/>
        <v>0</v>
      </c>
      <c r="L131" s="12">
        <f t="shared" si="65"/>
        <v>0</v>
      </c>
      <c r="M131" s="12">
        <f t="shared" si="65"/>
        <v>0</v>
      </c>
      <c r="N131" s="12">
        <f t="shared" si="65"/>
        <v>0</v>
      </c>
      <c r="O131" s="12">
        <f t="shared" si="65"/>
        <v>0</v>
      </c>
      <c r="P131" s="12">
        <f t="shared" si="65"/>
        <v>0</v>
      </c>
      <c r="Q131" s="12">
        <f t="shared" si="65"/>
        <v>0</v>
      </c>
      <c r="R131" s="12">
        <f t="shared" si="65"/>
        <v>0</v>
      </c>
      <c r="S131" s="12">
        <f t="shared" si="65"/>
        <v>0</v>
      </c>
      <c r="T131" s="12">
        <f t="shared" si="65"/>
        <v>0</v>
      </c>
      <c r="U131" s="12">
        <f t="shared" si="65"/>
        <v>0</v>
      </c>
      <c r="V131" s="12">
        <f t="shared" si="65"/>
        <v>0</v>
      </c>
      <c r="W131" s="12">
        <f t="shared" si="65"/>
        <v>0</v>
      </c>
      <c r="X131" s="12">
        <f t="shared" ref="X131:AD131" si="66">X115</f>
        <v>0</v>
      </c>
      <c r="Y131" s="12">
        <f t="shared" si="66"/>
        <v>0</v>
      </c>
      <c r="Z131" s="12">
        <f t="shared" si="66"/>
        <v>0</v>
      </c>
      <c r="AA131" s="12">
        <f t="shared" si="66"/>
        <v>0</v>
      </c>
      <c r="AB131" s="12">
        <f t="shared" si="66"/>
        <v>0</v>
      </c>
      <c r="AC131" s="12">
        <f t="shared" si="66"/>
        <v>0</v>
      </c>
      <c r="AD131" s="12">
        <f t="shared" si="66"/>
        <v>0</v>
      </c>
      <c r="AE131" s="12"/>
      <c r="AF131" s="5"/>
    </row>
    <row r="132" spans="1:32">
      <c r="A132" s="4" t="s">
        <v>301</v>
      </c>
      <c r="B132" s="17" t="s">
        <v>56</v>
      </c>
      <c r="D132" s="152">
        <f>IF(D2=$B$135,D130+D131,(D130+D131)/($B$135-1-D2))</f>
        <v>53048.004601040564</v>
      </c>
      <c r="E132" s="12">
        <f t="shared" ref="E132:AD132" si="67">IFERROR(IF(E2=$B$135,E130+E131,E130/($B$135+1-E2)),0)</f>
        <v>26524.002300520282</v>
      </c>
      <c r="F132" s="12">
        <f t="shared" si="67"/>
        <v>45594.853807186948</v>
      </c>
      <c r="G132" s="12">
        <f t="shared" si="67"/>
        <v>59850.941807186959</v>
      </c>
      <c r="H132" s="12">
        <f t="shared" si="67"/>
        <v>113029.74293479265</v>
      </c>
      <c r="I132" s="12">
        <f t="shared" si="67"/>
        <v>0</v>
      </c>
      <c r="J132" s="12">
        <f t="shared" si="67"/>
        <v>0</v>
      </c>
      <c r="K132" s="12">
        <f t="shared" si="67"/>
        <v>0</v>
      </c>
      <c r="L132" s="12">
        <f t="shared" si="67"/>
        <v>0</v>
      </c>
      <c r="M132" s="12">
        <f t="shared" si="67"/>
        <v>0</v>
      </c>
      <c r="N132" s="12">
        <f t="shared" si="67"/>
        <v>0</v>
      </c>
      <c r="O132" s="12">
        <f t="shared" si="67"/>
        <v>0</v>
      </c>
      <c r="P132" s="12">
        <f t="shared" si="67"/>
        <v>0</v>
      </c>
      <c r="Q132" s="12">
        <f t="shared" si="67"/>
        <v>0</v>
      </c>
      <c r="R132" s="12">
        <f t="shared" si="67"/>
        <v>0</v>
      </c>
      <c r="S132" s="12">
        <f t="shared" si="67"/>
        <v>0</v>
      </c>
      <c r="T132" s="12">
        <f t="shared" si="67"/>
        <v>0</v>
      </c>
      <c r="U132" s="12">
        <f t="shared" si="67"/>
        <v>0</v>
      </c>
      <c r="V132" s="12">
        <f t="shared" si="67"/>
        <v>0</v>
      </c>
      <c r="W132" s="12">
        <f t="shared" si="67"/>
        <v>0</v>
      </c>
      <c r="X132" s="12">
        <f t="shared" si="67"/>
        <v>0</v>
      </c>
      <c r="Y132" s="12">
        <f t="shared" si="67"/>
        <v>0</v>
      </c>
      <c r="Z132" s="12">
        <f t="shared" si="67"/>
        <v>0</v>
      </c>
      <c r="AA132" s="12">
        <f t="shared" si="67"/>
        <v>0</v>
      </c>
      <c r="AB132" s="12">
        <f t="shared" si="67"/>
        <v>0</v>
      </c>
      <c r="AC132" s="12">
        <f t="shared" si="67"/>
        <v>0</v>
      </c>
      <c r="AD132" s="12">
        <f t="shared" si="67"/>
        <v>0</v>
      </c>
      <c r="AE132" s="12"/>
      <c r="AF132" s="5"/>
    </row>
    <row r="133" spans="1:32">
      <c r="A133" s="4" t="s">
        <v>302</v>
      </c>
      <c r="B133" s="17" t="s">
        <v>56</v>
      </c>
      <c r="D133" s="12">
        <f>D130+D131-D132</f>
        <v>106096.00920208113</v>
      </c>
      <c r="E133" s="12">
        <f>E130+E131-E132</f>
        <v>136784.56142156085</v>
      </c>
      <c r="F133" s="12">
        <f t="shared" ref="F133:W133" si="68">F130+F131-F132</f>
        <v>119701.88361437392</v>
      </c>
      <c r="G133" s="12">
        <f t="shared" si="68"/>
        <v>87486.013967186969</v>
      </c>
      <c r="H133" s="12">
        <f>H130+H131-H132</f>
        <v>0</v>
      </c>
      <c r="I133" s="12">
        <f>I130+I131-I132</f>
        <v>0</v>
      </c>
      <c r="J133" s="12">
        <f t="shared" si="68"/>
        <v>0</v>
      </c>
      <c r="K133" s="12">
        <f t="shared" si="68"/>
        <v>0</v>
      </c>
      <c r="L133" s="12">
        <f t="shared" si="68"/>
        <v>0</v>
      </c>
      <c r="M133" s="12">
        <f t="shared" si="68"/>
        <v>0</v>
      </c>
      <c r="N133" s="12">
        <f t="shared" si="68"/>
        <v>0</v>
      </c>
      <c r="O133" s="12">
        <f t="shared" si="68"/>
        <v>0</v>
      </c>
      <c r="P133" s="12">
        <f t="shared" si="68"/>
        <v>0</v>
      </c>
      <c r="Q133" s="12">
        <f t="shared" si="68"/>
        <v>0</v>
      </c>
      <c r="R133" s="12">
        <f t="shared" si="68"/>
        <v>0</v>
      </c>
      <c r="S133" s="12">
        <f t="shared" si="68"/>
        <v>0</v>
      </c>
      <c r="T133" s="12">
        <f t="shared" si="68"/>
        <v>0</v>
      </c>
      <c r="U133" s="12">
        <f t="shared" si="68"/>
        <v>0</v>
      </c>
      <c r="V133" s="12">
        <f t="shared" si="68"/>
        <v>0</v>
      </c>
      <c r="W133" s="12">
        <f t="shared" si="68"/>
        <v>0</v>
      </c>
      <c r="X133" s="12">
        <f t="shared" ref="X133:AD133" si="69">X130+X131-X132</f>
        <v>0</v>
      </c>
      <c r="Y133" s="12">
        <f t="shared" si="69"/>
        <v>0</v>
      </c>
      <c r="Z133" s="12">
        <f t="shared" si="69"/>
        <v>0</v>
      </c>
      <c r="AA133" s="12">
        <f t="shared" si="69"/>
        <v>0</v>
      </c>
      <c r="AB133" s="12">
        <f t="shared" si="69"/>
        <v>0</v>
      </c>
      <c r="AC133" s="12">
        <f t="shared" si="69"/>
        <v>0</v>
      </c>
      <c r="AD133" s="12">
        <f t="shared" si="69"/>
        <v>0</v>
      </c>
      <c r="AE133" s="12"/>
      <c r="AF133" s="5"/>
    </row>
    <row r="134" spans="1:32">
      <c r="A134" s="4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5"/>
    </row>
    <row r="135" spans="1:32">
      <c r="A135" s="66" t="s">
        <v>303</v>
      </c>
      <c r="B135" s="17">
        <v>2031</v>
      </c>
      <c r="C135" s="17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5"/>
    </row>
    <row r="136" spans="1:32">
      <c r="A136" s="8"/>
      <c r="B136" s="26"/>
      <c r="C136" s="21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5"/>
    </row>
    <row r="137" spans="1:32">
      <c r="C137" s="17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</row>
    <row r="138" spans="1:32">
      <c r="C138" s="17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</row>
    <row r="139" spans="1:32">
      <c r="C139" s="17"/>
    </row>
    <row r="140" spans="1:32">
      <c r="A140" s="202" t="s">
        <v>209</v>
      </c>
      <c r="C140" s="17"/>
    </row>
    <row r="141" spans="1:32" outlineLevel="1">
      <c r="C141" s="17"/>
    </row>
    <row r="142" spans="1:32" outlineLevel="1">
      <c r="A142" t="s">
        <v>210</v>
      </c>
      <c r="C142" s="17"/>
      <c r="D142" s="167">
        <v>1</v>
      </c>
      <c r="E142" s="167">
        <f>D142*(1+Assumptions!J49)</f>
        <v>1.0265</v>
      </c>
      <c r="F142" s="167">
        <f>E142*(1+Assumptions!K49)</f>
        <v>1.05370225</v>
      </c>
      <c r="G142" s="167">
        <f>F142*(1+Assumptions!L49)</f>
        <v>1.0816253596249998</v>
      </c>
      <c r="H142" s="167">
        <f>G142*(1+Assumptions!M49)</f>
        <v>1.1102884316550623</v>
      </c>
      <c r="I142" s="167">
        <f>H142*(1+Assumptions!N49)</f>
        <v>1.1397110750939214</v>
      </c>
      <c r="J142" s="167">
        <f>I142*(1+Assumptions!O49)</f>
        <v>1.1699134185839104</v>
      </c>
      <c r="K142" s="167">
        <f>J142*(1+Assumptions!P49)</f>
        <v>1.2009161241763839</v>
      </c>
      <c r="L142" s="167">
        <f>K142*(1+Assumptions!Q49)</f>
        <v>1.232740401467058</v>
      </c>
      <c r="M142" s="167">
        <f>L142*(1+Assumptions!R49)</f>
        <v>1.2654080221059349</v>
      </c>
      <c r="N142" s="167">
        <f>M142*(1+Assumptions!S49)</f>
        <v>1.2989413346917422</v>
      </c>
      <c r="O142" s="167">
        <f>N142*(1+Assumptions!T49)</f>
        <v>1.3333632800610733</v>
      </c>
      <c r="P142" s="167">
        <f>O142*(1+Assumptions!U49)</f>
        <v>1.3686974069826916</v>
      </c>
      <c r="Q142" s="167">
        <f>P142*(1+Assumptions!V49)</f>
        <v>1.4049678882677328</v>
      </c>
      <c r="R142" s="167">
        <f>Q142*(1+Assumptions!W49)</f>
        <v>1.4421995373068277</v>
      </c>
      <c r="S142" s="167">
        <f>R142*(1+Assumptions!X49)</f>
        <v>1.4804178250454585</v>
      </c>
      <c r="T142" s="167">
        <f>S142*(1+Assumptions!Y49)</f>
        <v>1.5196488974091631</v>
      </c>
      <c r="U142" s="167">
        <f>T142*(1+Assumptions!Z49)</f>
        <v>1.5599195931905059</v>
      </c>
      <c r="V142" s="167">
        <f>U142*(1+Assumptions!AA49)</f>
        <v>1.6012574624100542</v>
      </c>
      <c r="W142" s="167">
        <f>V142*(1+Assumptions!AB49)</f>
        <v>1.6436907851639206</v>
      </c>
      <c r="X142" s="167">
        <f>W142*(1+Assumptions!AC49)</f>
        <v>1.6872485909707644</v>
      </c>
      <c r="Y142" s="167">
        <f>X142*(1+Assumptions!AD49)</f>
        <v>1.7319606786314896</v>
      </c>
      <c r="Z142" s="167">
        <f>Y142*(1+Assumptions!AE49)</f>
        <v>1.7778576366152241</v>
      </c>
      <c r="AA142" s="167">
        <f>Z142*(1+Assumptions!AF49)</f>
        <v>1.8249708639855275</v>
      </c>
      <c r="AB142" s="167">
        <f>AA142*(1+Assumptions!AG49)</f>
        <v>1.8733325918811439</v>
      </c>
      <c r="AC142" s="167">
        <f>AB142*(1+Assumptions!AH49)</f>
        <v>1.9229759055659941</v>
      </c>
      <c r="AD142" s="167">
        <f>AC142*(1+Assumptions!AI49)</f>
        <v>1.9739347670634928</v>
      </c>
    </row>
    <row r="143" spans="1:32" outlineLevel="1">
      <c r="A143" t="s">
        <v>211</v>
      </c>
    </row>
    <row r="144" spans="1:32" outlineLevel="1">
      <c r="A144" t="s">
        <v>212</v>
      </c>
      <c r="B144" t="s">
        <v>213</v>
      </c>
      <c r="D144" s="175">
        <f t="shared" ref="D144:AD144" si="70">D142*D63</f>
        <v>347.82608695652175</v>
      </c>
      <c r="E144" s="175">
        <f t="shared" si="70"/>
        <v>357.04347826086956</v>
      </c>
      <c r="F144" s="175">
        <f t="shared" si="70"/>
        <v>366.50513043478259</v>
      </c>
      <c r="G144" s="175">
        <f t="shared" si="70"/>
        <v>376.21751639130434</v>
      </c>
      <c r="H144" s="175">
        <f t="shared" si="70"/>
        <v>386.18728057567387</v>
      </c>
      <c r="I144" s="175">
        <f t="shared" si="70"/>
        <v>0</v>
      </c>
      <c r="J144" s="175">
        <f t="shared" si="70"/>
        <v>0</v>
      </c>
      <c r="K144" s="175">
        <f t="shared" si="70"/>
        <v>0</v>
      </c>
      <c r="L144" s="175">
        <f t="shared" si="70"/>
        <v>0</v>
      </c>
      <c r="M144" s="175">
        <f t="shared" si="70"/>
        <v>0</v>
      </c>
      <c r="N144" s="175">
        <f t="shared" si="70"/>
        <v>0</v>
      </c>
      <c r="O144" s="175">
        <f t="shared" si="70"/>
        <v>0</v>
      </c>
      <c r="P144" s="175">
        <f t="shared" si="70"/>
        <v>0</v>
      </c>
      <c r="Q144" s="175">
        <f t="shared" si="70"/>
        <v>0</v>
      </c>
      <c r="R144" s="175">
        <f t="shared" si="70"/>
        <v>0</v>
      </c>
      <c r="S144" s="175">
        <f t="shared" si="70"/>
        <v>0</v>
      </c>
      <c r="T144" s="175">
        <f t="shared" si="70"/>
        <v>0</v>
      </c>
      <c r="U144" s="175">
        <f t="shared" si="70"/>
        <v>0</v>
      </c>
      <c r="V144" s="175">
        <f t="shared" si="70"/>
        <v>0</v>
      </c>
      <c r="W144" s="175">
        <f t="shared" si="70"/>
        <v>0</v>
      </c>
      <c r="X144" s="175">
        <f t="shared" si="70"/>
        <v>0</v>
      </c>
      <c r="Y144" s="175">
        <f t="shared" si="70"/>
        <v>0</v>
      </c>
      <c r="Z144" s="175">
        <f t="shared" si="70"/>
        <v>0</v>
      </c>
      <c r="AA144" s="175">
        <f t="shared" si="70"/>
        <v>0</v>
      </c>
      <c r="AB144" s="175">
        <f t="shared" si="70"/>
        <v>0</v>
      </c>
      <c r="AC144" s="175">
        <f t="shared" si="70"/>
        <v>0</v>
      </c>
      <c r="AD144" s="175">
        <f t="shared" si="70"/>
        <v>0</v>
      </c>
    </row>
    <row r="145" spans="1:30" outlineLevel="1">
      <c r="A145" t="s">
        <v>214</v>
      </c>
      <c r="B145" t="s">
        <v>43</v>
      </c>
      <c r="D145" s="177">
        <f>IF(D144&lt;Assumptions!I$29,Assumptions!I$35,IF(D144&lt;Assumptions!I$30,(Assumptions!I$42+(D144-Assumptions!I$29)*Assumptions!I$36)/D144,IF(D144&lt;Assumptions!I$31,(Assumptions!I$43+(D144-Assumptions!I$30)*Assumptions!I$37)/D144,IF(D144&lt;Assumptions!I$32,(Assumptions!I$44+(D144-Assumptions!I$31)*Assumptions!I$38)/D144,IF(D144&lt;Assumptions!I$33,(Assumptions!I$45+(D144-Assumptions!I$32)*Assumptions!I$39)/D144,(Assumptions!I$46+(D144-Assumptions!I$33)*Assumptions!I$40)/D144)))))</f>
        <v>0.1973125</v>
      </c>
      <c r="E145" s="177">
        <f>IF(E144&lt;Assumptions!J$29,Assumptions!J$35,IF(E144&lt;Assumptions!J$30,(Assumptions!J$42+(E144-Assumptions!J$29)*Assumptions!J$36)/E144,IF(E144&lt;Assumptions!J$31,(Assumptions!J$43+(E144-Assumptions!J$30)*Assumptions!J$37)/E144,IF(E144&lt;Assumptions!J$32,(Assumptions!J$44+(E144-Assumptions!J$31)*Assumptions!J$38)/E144,IF(E144&lt;Assumptions!J$33,(Assumptions!J$45+(E144-Assumptions!J$32)*Assumptions!J$39)/E144,(Assumptions!J$46+(E144-Assumptions!J$33)*Assumptions!J$40)/E144)))))</f>
        <v>0.20254505601558695</v>
      </c>
      <c r="F145" s="177">
        <f>IF(F144&lt;Assumptions!K$29,Assumptions!K$35,IF(F144&lt;Assumptions!K$30,(Assumptions!K$42+(F144-Assumptions!K$29)*Assumptions!K$36)/F144,IF(F144&lt;Assumptions!K$31,(Assumptions!K$43+(F144-Assumptions!K$30)*Assumptions!K$37)/F144,IF(F144&lt;Assumptions!K$32,(Assumptions!K$44+(F144-Assumptions!K$31)*Assumptions!K$38)/F144,IF(F144&lt;Assumptions!K$33,(Assumptions!K$45+(F144-Assumptions!K$32)*Assumptions!K$39)/F144,(Assumptions!K$46+(F144-Assumptions!K$33)*Assumptions!K$40)/F144)))))</f>
        <v>0.20764252899716215</v>
      </c>
      <c r="G145" s="177">
        <f>IF(G144&lt;Assumptions!L$29,Assumptions!L$35,IF(G144&lt;Assumptions!L$30,(Assumptions!L$42+(G144-Assumptions!L$29)*Assumptions!L$36)/G144,IF(G144&lt;Assumptions!L$31,(Assumptions!L$43+(G144-Assumptions!L$30)*Assumptions!L$37)/G144,IF(G144&lt;Assumptions!L$32,(Assumptions!L$44+(G144-Assumptions!L$31)*Assumptions!L$38)/G144,IF(G144&lt;Assumptions!L$33,(Assumptions!L$45+(G144-Assumptions!L$32)*Assumptions!L$39)/G144,(Assumptions!L$46+(G144-Assumptions!L$33)*Assumptions!L$40)/G144)))))</f>
        <v>0.21260840623201377</v>
      </c>
      <c r="H145" s="177">
        <f>IF(H144&lt;Assumptions!M$29,Assumptions!M$35,IF(H144&lt;Assumptions!M$30,(Assumptions!M$42+(H144-Assumptions!M$29)*Assumptions!M$36)/H144,IF(H144&lt;Assumptions!M$31,(Assumptions!M$43+(H144-Assumptions!M$30)*Assumptions!M$37)/H144,IF(H144&lt;Assumptions!M$32,(Assumptions!M$44+(H144-Assumptions!M$31)*Assumptions!M$38)/H144,IF(H144&lt;Assumptions!M$33,(Assumptions!M$45+(H144-Assumptions!M$32)*Assumptions!M$39)/H144,(Assumptions!M$46+(H144-Assumptions!M$33)*Assumptions!M$40)/H144)))))</f>
        <v>0.21744608498004264</v>
      </c>
      <c r="I145" s="177">
        <f>IF(I144&lt;Assumptions!N$29,Assumptions!N$35,IF(I144&lt;Assumptions!N$30,(Assumptions!N$42+(I144-Assumptions!N$29)*Assumptions!N$36)/I144,IF(I144&lt;Assumptions!N$31,(Assumptions!N$43+(I144-Assumptions!N$30)*Assumptions!N$37)/I144,IF(I144&lt;Assumptions!N$32,(Assumptions!N$44+(I144-Assumptions!N$31)*Assumptions!N$38)/I144,IF(I144&lt;Assumptions!N$33,(Assumptions!N$45+(I144-Assumptions!N$32)*Assumptions!N$39)/I144,(Assumptions!N$46+(I144-Assumptions!N$33)*Assumptions!N$40)/I144)))))</f>
        <v>7.0000000000000007E-2</v>
      </c>
      <c r="J145" s="177">
        <f>IF(J144&lt;Assumptions!O$29,Assumptions!O$35,IF(J144&lt;Assumptions!O$30,(Assumptions!O$42+(J144-Assumptions!O$29)*Assumptions!O$36)/J144,IF(J144&lt;Assumptions!O$31,(Assumptions!O$43+(J144-Assumptions!O$30)*Assumptions!O$37)/J144,IF(J144&lt;Assumptions!O$32,(Assumptions!O$44+(J144-Assumptions!O$31)*Assumptions!O$38)/J144,IF(J144&lt;Assumptions!O$33,(Assumptions!O$45+(J144-Assumptions!O$32)*Assumptions!O$39)/J144,(Assumptions!O$46+(J144-Assumptions!O$33)*Assumptions!O$40)/J144)))))</f>
        <v>7.0000000000000007E-2</v>
      </c>
      <c r="K145" s="177">
        <f>IF(K144&lt;Assumptions!P$29,Assumptions!P$35,IF(K144&lt;Assumptions!P$30,(Assumptions!P$42+(K144-Assumptions!P$29)*Assumptions!P$36)/K144,IF(K144&lt;Assumptions!P$31,(Assumptions!P$43+(K144-Assumptions!P$30)*Assumptions!P$37)/K144,IF(K144&lt;Assumptions!P$32,(Assumptions!P$44+(K144-Assumptions!P$31)*Assumptions!P$38)/K144,IF(K144&lt;Assumptions!P$33,(Assumptions!P$45+(K144-Assumptions!P$32)*Assumptions!P$39)/K144,(Assumptions!P$46+(K144-Assumptions!P$33)*Assumptions!P$40)/K144)))))</f>
        <v>7.0000000000000007E-2</v>
      </c>
      <c r="L145" s="177">
        <f>IF(L144&lt;Assumptions!Q$29,Assumptions!Q$35,IF(L144&lt;Assumptions!Q$30,(Assumptions!Q$42+(L144-Assumptions!Q$29)*Assumptions!Q$36)/L144,IF(L144&lt;Assumptions!Q$31,(Assumptions!Q$43+(L144-Assumptions!Q$30)*Assumptions!Q$37)/L144,IF(L144&lt;Assumptions!Q$32,(Assumptions!Q$44+(L144-Assumptions!Q$31)*Assumptions!Q$38)/L144,IF(L144&lt;Assumptions!Q$33,(Assumptions!Q$45+(L144-Assumptions!Q$32)*Assumptions!Q$39)/L144,(Assumptions!Q$46+(L144-Assumptions!Q$33)*Assumptions!Q$40)/L144)))))</f>
        <v>7.0000000000000007E-2</v>
      </c>
      <c r="M145" s="177">
        <f>IF(M144&lt;Assumptions!R$29,Assumptions!R$35,IF(M144&lt;Assumptions!R$30,(Assumptions!R$42+(M144-Assumptions!R$29)*Assumptions!R$36)/M144,IF(M144&lt;Assumptions!R$31,(Assumptions!R$43+(M144-Assumptions!R$30)*Assumptions!R$37)/M144,IF(M144&lt;Assumptions!R$32,(Assumptions!R$44+(M144-Assumptions!R$31)*Assumptions!R$38)/M144,IF(M144&lt;Assumptions!R$33,(Assumptions!R$45+(M144-Assumptions!R$32)*Assumptions!R$39)/M144,(Assumptions!R$46+(M144-Assumptions!R$33)*Assumptions!R$40)/M144)))))</f>
        <v>7.0000000000000007E-2</v>
      </c>
      <c r="N145" s="177">
        <f>IF(N144&lt;Assumptions!S$29,Assumptions!S$35,IF(N144&lt;Assumptions!S$30,(Assumptions!S$42+(N144-Assumptions!S$29)*Assumptions!S$36)/N144,IF(N144&lt;Assumptions!S$31,(Assumptions!S$43+(N144-Assumptions!S$30)*Assumptions!S$37)/N144,IF(N144&lt;Assumptions!S$32,(Assumptions!S$44+(N144-Assumptions!S$31)*Assumptions!S$38)/N144,IF(N144&lt;Assumptions!S$33,(Assumptions!S$45+(N144-Assumptions!S$32)*Assumptions!S$39)/N144,(Assumptions!S$46+(N144-Assumptions!S$33)*Assumptions!S$40)/N144)))))</f>
        <v>7.0000000000000007E-2</v>
      </c>
      <c r="O145" s="177">
        <f>IF(O144&lt;Assumptions!T$29,Assumptions!T$35,IF(O144&lt;Assumptions!T$30,(Assumptions!T$42+(O144-Assumptions!T$29)*Assumptions!T$36)/O144,IF(O144&lt;Assumptions!T$31,(Assumptions!T$43+(O144-Assumptions!T$30)*Assumptions!T$37)/O144,IF(O144&lt;Assumptions!T$32,(Assumptions!T$44+(O144-Assumptions!T$31)*Assumptions!T$38)/O144,IF(O144&lt;Assumptions!T$33,(Assumptions!T$45+(O144-Assumptions!T$32)*Assumptions!T$39)/O144,(Assumptions!T$46+(O144-Assumptions!T$33)*Assumptions!T$40)/O144)))))</f>
        <v>7.0000000000000007E-2</v>
      </c>
      <c r="P145" s="177">
        <f>IF(P144&lt;Assumptions!U$29,Assumptions!U$35,IF(P144&lt;Assumptions!U$30,(Assumptions!U$42+(P144-Assumptions!U$29)*Assumptions!U$36)/P144,IF(P144&lt;Assumptions!U$31,(Assumptions!U$43+(P144-Assumptions!U$30)*Assumptions!U$37)/P144,IF(P144&lt;Assumptions!U$32,(Assumptions!U$44+(P144-Assumptions!U$31)*Assumptions!U$38)/P144,IF(P144&lt;Assumptions!U$33,(Assumptions!U$45+(P144-Assumptions!U$32)*Assumptions!U$39)/P144,(Assumptions!U$46+(P144-Assumptions!U$33)*Assumptions!U$40)/P144)))))</f>
        <v>7.0000000000000007E-2</v>
      </c>
      <c r="Q145" s="177">
        <f>IF(Q144&lt;Assumptions!V$29,Assumptions!V$35,IF(Q144&lt;Assumptions!V$30,(Assumptions!V$42+(Q144-Assumptions!V$29)*Assumptions!V$36)/Q144,IF(Q144&lt;Assumptions!V$31,(Assumptions!V$43+(Q144-Assumptions!V$30)*Assumptions!V$37)/Q144,IF(Q144&lt;Assumptions!V$32,(Assumptions!V$44+(Q144-Assumptions!V$31)*Assumptions!V$38)/Q144,IF(Q144&lt;Assumptions!V$33,(Assumptions!V$45+(Q144-Assumptions!V$32)*Assumptions!V$39)/Q144,(Assumptions!V$46+(Q144-Assumptions!V$33)*Assumptions!V$40)/Q144)))))</f>
        <v>7.0000000000000007E-2</v>
      </c>
      <c r="R145" s="177">
        <f>IF(R144&lt;Assumptions!W$29,Assumptions!W$35,IF(R144&lt;Assumptions!W$30,(Assumptions!W$42+(R144-Assumptions!W$29)*Assumptions!W$36)/R144,IF(R144&lt;Assumptions!W$31,(Assumptions!W$43+(R144-Assumptions!W$30)*Assumptions!W$37)/R144,IF(R144&lt;Assumptions!W$32,(Assumptions!W$44+(R144-Assumptions!W$31)*Assumptions!W$38)/R144,IF(R144&lt;Assumptions!W$33,(Assumptions!W$45+(R144-Assumptions!W$32)*Assumptions!W$39)/R144,(Assumptions!W$46+(R144-Assumptions!W$33)*Assumptions!W$40)/R144)))))</f>
        <v>7.0000000000000007E-2</v>
      </c>
      <c r="S145" s="177">
        <f>IF(S144&lt;Assumptions!X$29,Assumptions!X$35,IF(S144&lt;Assumptions!X$30,(Assumptions!X$42+(S144-Assumptions!X$29)*Assumptions!X$36)/S144,IF(S144&lt;Assumptions!X$31,(Assumptions!X$43+(S144-Assumptions!X$30)*Assumptions!X$37)/S144,IF(S144&lt;Assumptions!X$32,(Assumptions!X$44+(S144-Assumptions!X$31)*Assumptions!X$38)/S144,IF(S144&lt;Assumptions!X$33,(Assumptions!X$45+(S144-Assumptions!X$32)*Assumptions!X$39)/S144,(Assumptions!X$46+(S144-Assumptions!X$33)*Assumptions!X$40)/S144)))))</f>
        <v>7.0000000000000007E-2</v>
      </c>
      <c r="T145" s="177">
        <f>IF(T144&lt;Assumptions!Y$29,Assumptions!Y$35,IF(T144&lt;Assumptions!Y$30,(Assumptions!Y$42+(T144-Assumptions!Y$29)*Assumptions!Y$36)/T144,IF(T144&lt;Assumptions!Y$31,(Assumptions!Y$43+(T144-Assumptions!Y$30)*Assumptions!Y$37)/T144,IF(T144&lt;Assumptions!Y$32,(Assumptions!Y$44+(T144-Assumptions!Y$31)*Assumptions!Y$38)/T144,IF(T144&lt;Assumptions!Y$33,(Assumptions!Y$45+(T144-Assumptions!Y$32)*Assumptions!Y$39)/T144,(Assumptions!Y$46+(T144-Assumptions!Y$33)*Assumptions!Y$40)/T144)))))</f>
        <v>7.0000000000000007E-2</v>
      </c>
      <c r="U145" s="177">
        <f>IF(U144&lt;Assumptions!Z$29,Assumptions!Z$35,IF(U144&lt;Assumptions!Z$30,(Assumptions!Z$42+(U144-Assumptions!Z$29)*Assumptions!Z$36)/U144,IF(U144&lt;Assumptions!Z$31,(Assumptions!Z$43+(U144-Assumptions!Z$30)*Assumptions!Z$37)/U144,IF(U144&lt;Assumptions!Z$32,(Assumptions!Z$44+(U144-Assumptions!Z$31)*Assumptions!Z$38)/U144,IF(U144&lt;Assumptions!Z$33,(Assumptions!Z$45+(U144-Assumptions!Z$32)*Assumptions!Z$39)/U144,(Assumptions!Z$46+(U144-Assumptions!Z$33)*Assumptions!Z$40)/U144)))))</f>
        <v>7.0000000000000007E-2</v>
      </c>
      <c r="V145" s="177">
        <f>IF(V144&lt;Assumptions!AA$29,Assumptions!AA$35,IF(V144&lt;Assumptions!AA$30,(Assumptions!AA$42+(V144-Assumptions!AA$29)*Assumptions!AA$36)/V144,IF(V144&lt;Assumptions!AA$31,(Assumptions!AA$43+(V144-Assumptions!AA$30)*Assumptions!AA$37)/V144,IF(V144&lt;Assumptions!AA$32,(Assumptions!AA$44+(V144-Assumptions!AA$31)*Assumptions!AA$38)/V144,IF(V144&lt;Assumptions!AA$33,(Assumptions!AA$45+(V144-Assumptions!AA$32)*Assumptions!AA$39)/V144,(Assumptions!AA$46+(V144-Assumptions!AA$33)*Assumptions!AA$40)/V144)))))</f>
        <v>7.0000000000000007E-2</v>
      </c>
      <c r="W145" s="177">
        <f>IF(W144&lt;Assumptions!AB$29,Assumptions!AB$35,IF(W144&lt;Assumptions!AB$30,(Assumptions!AB$42+(W144-Assumptions!AB$29)*Assumptions!AB$36)/W144,IF(W144&lt;Assumptions!AB$31,(Assumptions!AB$43+(W144-Assumptions!AB$30)*Assumptions!AB$37)/W144,IF(W144&lt;Assumptions!AB$32,(Assumptions!AB$44+(W144-Assumptions!AB$31)*Assumptions!AB$38)/W144,IF(W144&lt;Assumptions!AB$33,(Assumptions!AB$45+(W144-Assumptions!AB$32)*Assumptions!AB$39)/W144,(Assumptions!AB$46+(W144-Assumptions!AB$33)*Assumptions!AB$40)/W144)))))</f>
        <v>7.0000000000000007E-2</v>
      </c>
      <c r="X145" s="177">
        <f>IF(X144&lt;Assumptions!AC$29,Assumptions!AC$35,IF(X144&lt;Assumptions!AC$30,(Assumptions!AC$42+(X144-Assumptions!AC$29)*Assumptions!AC$36)/X144,IF(X144&lt;Assumptions!AC$31,(Assumptions!AC$43+(X144-Assumptions!AC$30)*Assumptions!AC$37)/X144,IF(X144&lt;Assumptions!AC$32,(Assumptions!AC$44+(X144-Assumptions!AC$31)*Assumptions!AC$38)/X144,IF(X144&lt;Assumptions!AC$33,(Assumptions!AC$45+(X144-Assumptions!AC$32)*Assumptions!AC$39)/X144,(Assumptions!AC$46+(X144-Assumptions!AC$33)*Assumptions!AC$40)/X144)))))</f>
        <v>7.0000000000000007E-2</v>
      </c>
      <c r="Y145" s="177">
        <f>IF(Y144&lt;Assumptions!AD$29,Assumptions!AD$35,IF(Y144&lt;Assumptions!AD$30,(Assumptions!AD$42+(Y144-Assumptions!AD$29)*Assumptions!AD$36)/Y144,IF(Y144&lt;Assumptions!AD$31,(Assumptions!AD$43+(Y144-Assumptions!AD$30)*Assumptions!AD$37)/Y144,IF(Y144&lt;Assumptions!AD$32,(Assumptions!AD$44+(Y144-Assumptions!AD$31)*Assumptions!AD$38)/Y144,IF(Y144&lt;Assumptions!AD$33,(Assumptions!AD$45+(Y144-Assumptions!AD$32)*Assumptions!AD$39)/Y144,(Assumptions!AD$46+(Y144-Assumptions!AD$33)*Assumptions!AD$40)/Y144)))))</f>
        <v>7.0000000000000007E-2</v>
      </c>
      <c r="Z145" s="177">
        <f>IF(Z144&lt;Assumptions!AE$29,Assumptions!AE$35,IF(Z144&lt;Assumptions!AE$30,(Assumptions!AE$42+(Z144-Assumptions!AE$29)*Assumptions!AE$36)/Z144,IF(Z144&lt;Assumptions!AE$31,(Assumptions!AE$43+(Z144-Assumptions!AE$30)*Assumptions!AE$37)/Z144,IF(Z144&lt;Assumptions!AE$32,(Assumptions!AE$44+(Z144-Assumptions!AE$31)*Assumptions!AE$38)/Z144,IF(Z144&lt;Assumptions!AE$33,(Assumptions!AE$45+(Z144-Assumptions!AE$32)*Assumptions!AE$39)/Z144,(Assumptions!AE$46+(Z144-Assumptions!AE$33)*Assumptions!AE$40)/Z144)))))</f>
        <v>7.0000000000000007E-2</v>
      </c>
      <c r="AA145" s="177">
        <f>IF(AA144&lt;Assumptions!AF$29,Assumptions!AF$35,IF(AA144&lt;Assumptions!AF$30,(Assumptions!AF$42+(AA144-Assumptions!AF$29)*Assumptions!AF$36)/AA144,IF(AA144&lt;Assumptions!AF$31,(Assumptions!AF$43+(AA144-Assumptions!AF$30)*Assumptions!AF$37)/AA144,IF(AA144&lt;Assumptions!AF$32,(Assumptions!AF$44+(AA144-Assumptions!AF$31)*Assumptions!AF$38)/AA144,IF(AA144&lt;Assumptions!AF$33,(Assumptions!AF$45+(AA144-Assumptions!AF$32)*Assumptions!AF$39)/AA144,(Assumptions!AF$46+(AA144-Assumptions!AF$33)*Assumptions!AF$40)/AA144)))))</f>
        <v>7.0000000000000007E-2</v>
      </c>
      <c r="AB145" s="177">
        <f>IF(AB144&lt;Assumptions!AG$29,Assumptions!AG$35,IF(AB144&lt;Assumptions!AG$30,(Assumptions!AG$42+(AB144-Assumptions!AG$29)*Assumptions!AG$36)/AB144,IF(AB144&lt;Assumptions!AG$31,(Assumptions!AG$43+(AB144-Assumptions!AG$30)*Assumptions!AG$37)/AB144,IF(AB144&lt;Assumptions!AG$32,(Assumptions!AG$44+(AB144-Assumptions!AG$31)*Assumptions!AG$38)/AB144,IF(AB144&lt;Assumptions!AG$33,(Assumptions!AG$45+(AB144-Assumptions!AG$32)*Assumptions!AG$39)/AB144,(Assumptions!AG$46+(AB144-Assumptions!AG$33)*Assumptions!AG$40)/AB144)))))</f>
        <v>7.0000000000000007E-2</v>
      </c>
      <c r="AC145" s="177">
        <f>IF(AC144&lt;Assumptions!AH$29,Assumptions!AH$35,IF(AC144&lt;Assumptions!AH$30,(Assumptions!AH$42+(AC144-Assumptions!AH$29)*Assumptions!AH$36)/AC144,IF(AC144&lt;Assumptions!AH$31,(Assumptions!AH$43+(AC144-Assumptions!AH$30)*Assumptions!AH$37)/AC144,IF(AC144&lt;Assumptions!AH$32,(Assumptions!AH$44+(AC144-Assumptions!AH$31)*Assumptions!AH$38)/AC144,IF(AC144&lt;Assumptions!AH$33,(Assumptions!AH$45+(AC144-Assumptions!AH$32)*Assumptions!AH$39)/AC144,(Assumptions!AH$46+(AC144-Assumptions!AH$33)*Assumptions!AH$40)/AC144)))))</f>
        <v>7.0000000000000007E-2</v>
      </c>
      <c r="AD145" s="177">
        <f>IF(AD144&lt;Assumptions!AI$29,Assumptions!AI$35,IF(AD144&lt;Assumptions!AI$30,(Assumptions!AI$42+(AD144-Assumptions!AI$29)*Assumptions!AI$36)/AD144,IF(AD144&lt;Assumptions!AI$31,(Assumptions!AI$43+(AD144-Assumptions!AI$30)*Assumptions!AI$37)/AD144,IF(AD144&lt;Assumptions!AI$32,(Assumptions!AI$44+(AD144-Assumptions!AI$31)*Assumptions!AI$38)/AD144,IF(AD144&lt;Assumptions!AI$33,(Assumptions!AI$45+(AD144-Assumptions!AI$32)*Assumptions!AI$39)/AD144,(Assumptions!AI$46+(AD144-Assumptions!AI$33)*Assumptions!AI$40)/AD144)))))</f>
        <v>7.0000000000000007E-2</v>
      </c>
    </row>
    <row r="146" spans="1:30" outlineLevel="1">
      <c r="A146" t="s">
        <v>215</v>
      </c>
      <c r="B146" t="s">
        <v>213</v>
      </c>
      <c r="D146">
        <f t="shared" ref="D146:AD146" si="71">IFERROR((D93+D94)/D34,0)</f>
        <v>34</v>
      </c>
      <c r="E146">
        <f t="shared" si="71"/>
        <v>34</v>
      </c>
      <c r="F146">
        <f t="shared" si="71"/>
        <v>24</v>
      </c>
      <c r="G146">
        <f t="shared" si="71"/>
        <v>23.999999999999996</v>
      </c>
      <c r="H146">
        <f t="shared" si="71"/>
        <v>24.000000000000004</v>
      </c>
      <c r="I146">
        <f t="shared" si="71"/>
        <v>0</v>
      </c>
      <c r="J146">
        <f t="shared" si="71"/>
        <v>0</v>
      </c>
      <c r="K146">
        <f t="shared" si="71"/>
        <v>0</v>
      </c>
      <c r="L146">
        <f t="shared" si="71"/>
        <v>0</v>
      </c>
      <c r="M146">
        <f t="shared" si="71"/>
        <v>0</v>
      </c>
      <c r="N146">
        <f t="shared" si="71"/>
        <v>0</v>
      </c>
      <c r="O146">
        <f t="shared" si="71"/>
        <v>0</v>
      </c>
      <c r="P146">
        <f t="shared" si="71"/>
        <v>0</v>
      </c>
      <c r="Q146">
        <f t="shared" si="71"/>
        <v>0</v>
      </c>
      <c r="R146">
        <f t="shared" si="71"/>
        <v>0</v>
      </c>
      <c r="S146">
        <f t="shared" si="71"/>
        <v>0</v>
      </c>
      <c r="T146">
        <f t="shared" si="71"/>
        <v>0</v>
      </c>
      <c r="U146">
        <f t="shared" si="71"/>
        <v>0</v>
      </c>
      <c r="V146">
        <f t="shared" si="71"/>
        <v>0</v>
      </c>
      <c r="W146">
        <f t="shared" si="71"/>
        <v>0</v>
      </c>
      <c r="X146">
        <f t="shared" si="71"/>
        <v>0</v>
      </c>
      <c r="Y146">
        <f t="shared" si="71"/>
        <v>0</v>
      </c>
      <c r="Z146">
        <f t="shared" si="71"/>
        <v>0</v>
      </c>
      <c r="AA146">
        <f t="shared" si="71"/>
        <v>0</v>
      </c>
      <c r="AB146">
        <f t="shared" si="71"/>
        <v>0</v>
      </c>
      <c r="AC146">
        <f t="shared" si="71"/>
        <v>0</v>
      </c>
      <c r="AD146">
        <f t="shared" si="71"/>
        <v>0</v>
      </c>
    </row>
    <row r="147" spans="1:30" outlineLevel="1">
      <c r="A147" t="s">
        <v>216</v>
      </c>
      <c r="B147" t="s">
        <v>213</v>
      </c>
      <c r="D147" s="118">
        <f>(D144-D146)*D145</f>
        <v>61.921809782608698</v>
      </c>
      <c r="E147" s="118">
        <f t="shared" ref="E147:AD147" si="72">(E144-E146)*E145</f>
        <v>65.430859399817876</v>
      </c>
      <c r="F147" s="118">
        <f t="shared" si="72"/>
        <v>71.118631477981154</v>
      </c>
      <c r="G147" s="118">
        <f t="shared" si="72"/>
        <v>74.884404806953398</v>
      </c>
      <c r="H147" s="118">
        <f t="shared" si="72"/>
        <v>78.756206190748529</v>
      </c>
      <c r="I147" s="118">
        <f t="shared" si="72"/>
        <v>0</v>
      </c>
      <c r="J147" s="118">
        <f t="shared" si="72"/>
        <v>0</v>
      </c>
      <c r="K147" s="118">
        <f t="shared" si="72"/>
        <v>0</v>
      </c>
      <c r="L147" s="118">
        <f t="shared" si="72"/>
        <v>0</v>
      </c>
      <c r="M147" s="118">
        <f t="shared" si="72"/>
        <v>0</v>
      </c>
      <c r="N147" s="118">
        <f t="shared" si="72"/>
        <v>0</v>
      </c>
      <c r="O147" s="118">
        <f t="shared" si="72"/>
        <v>0</v>
      </c>
      <c r="P147" s="118">
        <f t="shared" si="72"/>
        <v>0</v>
      </c>
      <c r="Q147" s="118">
        <f t="shared" si="72"/>
        <v>0</v>
      </c>
      <c r="R147" s="118">
        <f t="shared" si="72"/>
        <v>0</v>
      </c>
      <c r="S147" s="118">
        <f t="shared" si="72"/>
        <v>0</v>
      </c>
      <c r="T147" s="118">
        <f t="shared" si="72"/>
        <v>0</v>
      </c>
      <c r="U147" s="118">
        <f t="shared" si="72"/>
        <v>0</v>
      </c>
      <c r="V147" s="118">
        <f t="shared" si="72"/>
        <v>0</v>
      </c>
      <c r="W147" s="118">
        <f t="shared" si="72"/>
        <v>0</v>
      </c>
      <c r="X147" s="118">
        <f t="shared" si="72"/>
        <v>0</v>
      </c>
      <c r="Y147" s="118">
        <f t="shared" si="72"/>
        <v>0</v>
      </c>
      <c r="Z147" s="118">
        <f t="shared" si="72"/>
        <v>0</v>
      </c>
      <c r="AA147" s="118">
        <f t="shared" si="72"/>
        <v>0</v>
      </c>
      <c r="AB147" s="118">
        <f t="shared" si="72"/>
        <v>0</v>
      </c>
      <c r="AC147" s="118">
        <f t="shared" si="72"/>
        <v>0</v>
      </c>
      <c r="AD147" s="118">
        <f t="shared" si="72"/>
        <v>0</v>
      </c>
    </row>
    <row r="148" spans="1:30" outlineLevel="1">
      <c r="A148" t="s">
        <v>217</v>
      </c>
      <c r="B148" t="s">
        <v>213</v>
      </c>
      <c r="D148" s="118">
        <f>D147/D142</f>
        <v>61.921809782608698</v>
      </c>
      <c r="E148" s="118">
        <f t="shared" ref="E148:AD148" si="73">E147/E142</f>
        <v>63.741704237523507</v>
      </c>
      <c r="F148" s="118">
        <f t="shared" si="73"/>
        <v>67.494049175638708</v>
      </c>
      <c r="G148" s="118">
        <f t="shared" si="73"/>
        <v>69.233218452751387</v>
      </c>
      <c r="H148" s="118">
        <f t="shared" si="73"/>
        <v>70.933105259279174</v>
      </c>
      <c r="I148" s="118">
        <f t="shared" si="73"/>
        <v>0</v>
      </c>
      <c r="J148" s="118">
        <f t="shared" si="73"/>
        <v>0</v>
      </c>
      <c r="K148" s="118">
        <f t="shared" si="73"/>
        <v>0</v>
      </c>
      <c r="L148" s="118">
        <f t="shared" si="73"/>
        <v>0</v>
      </c>
      <c r="M148" s="118">
        <f t="shared" si="73"/>
        <v>0</v>
      </c>
      <c r="N148" s="118">
        <f t="shared" si="73"/>
        <v>0</v>
      </c>
      <c r="O148" s="118">
        <f t="shared" si="73"/>
        <v>0</v>
      </c>
      <c r="P148" s="118">
        <f t="shared" si="73"/>
        <v>0</v>
      </c>
      <c r="Q148" s="118">
        <f t="shared" si="73"/>
        <v>0</v>
      </c>
      <c r="R148" s="118">
        <f t="shared" si="73"/>
        <v>0</v>
      </c>
      <c r="S148" s="118">
        <f t="shared" si="73"/>
        <v>0</v>
      </c>
      <c r="T148" s="118">
        <f t="shared" si="73"/>
        <v>0</v>
      </c>
      <c r="U148" s="118">
        <f t="shared" si="73"/>
        <v>0</v>
      </c>
      <c r="V148" s="118">
        <f t="shared" si="73"/>
        <v>0</v>
      </c>
      <c r="W148" s="118">
        <f t="shared" si="73"/>
        <v>0</v>
      </c>
      <c r="X148" s="118">
        <f t="shared" si="73"/>
        <v>0</v>
      </c>
      <c r="Y148" s="118">
        <f t="shared" si="73"/>
        <v>0</v>
      </c>
      <c r="Z148" s="118">
        <f t="shared" si="73"/>
        <v>0</v>
      </c>
      <c r="AA148" s="118">
        <f t="shared" si="73"/>
        <v>0</v>
      </c>
      <c r="AB148" s="118">
        <f t="shared" si="73"/>
        <v>0</v>
      </c>
      <c r="AC148" s="118">
        <f t="shared" si="73"/>
        <v>0</v>
      </c>
      <c r="AD148" s="118">
        <f t="shared" si="73"/>
        <v>0</v>
      </c>
    </row>
    <row r="149" spans="1:30" outlineLevel="1"/>
    <row r="150" spans="1:30" outlineLevel="1">
      <c r="A150" t="s">
        <v>218</v>
      </c>
      <c r="D150" s="118">
        <f>D144*D145</f>
        <v>68.630434782608702</v>
      </c>
      <c r="E150" s="118">
        <f t="shared" ref="E150:AD150" si="74">E144*E145</f>
        <v>72.317391304347822</v>
      </c>
      <c r="F150" s="118">
        <f t="shared" si="74"/>
        <v>76.102052173913037</v>
      </c>
      <c r="G150" s="118">
        <f t="shared" si="74"/>
        <v>79.987006556521735</v>
      </c>
      <c r="H150" s="118">
        <f t="shared" si="74"/>
        <v>83.974912230269553</v>
      </c>
      <c r="I150" s="118">
        <f t="shared" si="74"/>
        <v>0</v>
      </c>
      <c r="J150" s="118">
        <f t="shared" si="74"/>
        <v>0</v>
      </c>
      <c r="K150" s="118">
        <f t="shared" si="74"/>
        <v>0</v>
      </c>
      <c r="L150" s="118">
        <f t="shared" si="74"/>
        <v>0</v>
      </c>
      <c r="M150" s="118">
        <f t="shared" si="74"/>
        <v>0</v>
      </c>
      <c r="N150" s="118">
        <f t="shared" si="74"/>
        <v>0</v>
      </c>
      <c r="O150" s="118">
        <f t="shared" si="74"/>
        <v>0</v>
      </c>
      <c r="P150" s="118">
        <f t="shared" si="74"/>
        <v>0</v>
      </c>
      <c r="Q150" s="118">
        <f t="shared" si="74"/>
        <v>0</v>
      </c>
      <c r="R150" s="118">
        <f t="shared" si="74"/>
        <v>0</v>
      </c>
      <c r="S150" s="118">
        <f t="shared" si="74"/>
        <v>0</v>
      </c>
      <c r="T150" s="118">
        <f t="shared" si="74"/>
        <v>0</v>
      </c>
      <c r="U150" s="118">
        <f t="shared" si="74"/>
        <v>0</v>
      </c>
      <c r="V150" s="118">
        <f t="shared" si="74"/>
        <v>0</v>
      </c>
      <c r="W150" s="118">
        <f t="shared" si="74"/>
        <v>0</v>
      </c>
      <c r="X150" s="118">
        <f t="shared" si="74"/>
        <v>0</v>
      </c>
      <c r="Y150" s="118">
        <f t="shared" si="74"/>
        <v>0</v>
      </c>
      <c r="Z150" s="118">
        <f t="shared" si="74"/>
        <v>0</v>
      </c>
      <c r="AA150" s="118">
        <f t="shared" si="74"/>
        <v>0</v>
      </c>
      <c r="AB150" s="118">
        <f t="shared" si="74"/>
        <v>0</v>
      </c>
      <c r="AC150" s="118">
        <f t="shared" si="74"/>
        <v>0</v>
      </c>
      <c r="AD150" s="118">
        <f t="shared" si="74"/>
        <v>0</v>
      </c>
    </row>
    <row r="155" spans="1:30">
      <c r="D155" s="176"/>
    </row>
    <row r="157" spans="1:30">
      <c r="D157" s="176"/>
    </row>
    <row r="158" spans="1:30">
      <c r="D158" s="176"/>
    </row>
    <row r="159" spans="1:30">
      <c r="D159" s="176"/>
    </row>
    <row r="160" spans="1:30">
      <c r="D160" s="176"/>
    </row>
    <row r="161" spans="4:4">
      <c r="D161" s="176"/>
    </row>
  </sheetData>
  <pageMargins left="0.7" right="0.7" top="0.75" bottom="0.75" header="0.3" footer="0.3"/>
  <pageSetup paperSize="8" scale="3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FC14-130F-4368-828E-CD75EB44C4A6}">
  <sheetPr>
    <tabColor theme="9"/>
  </sheetPr>
  <dimension ref="A1:V4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44" sqref="F44"/>
    </sheetView>
  </sheetViews>
  <sheetFormatPr baseColWidth="10" defaultColWidth="8.83203125" defaultRowHeight="15"/>
  <cols>
    <col min="1" max="1" width="42.5" customWidth="1"/>
    <col min="2" max="2" width="15.83203125" customWidth="1"/>
    <col min="3" max="3" width="12.5" bestFit="1" customWidth="1"/>
  </cols>
  <sheetData>
    <row r="1" spans="1:22">
      <c r="A1" s="307" t="s">
        <v>304</v>
      </c>
      <c r="B1" s="307"/>
      <c r="C1" s="52"/>
      <c r="D1" s="53">
        <f>Springbok!D2</f>
        <v>2027</v>
      </c>
      <c r="E1" s="53">
        <f>D1+1</f>
        <v>2028</v>
      </c>
      <c r="F1" s="53">
        <f t="shared" ref="F1:V1" si="0">E1+1</f>
        <v>2029</v>
      </c>
      <c r="G1" s="53">
        <f t="shared" si="0"/>
        <v>2030</v>
      </c>
      <c r="H1" s="53">
        <f t="shared" si="0"/>
        <v>2031</v>
      </c>
      <c r="I1" s="53">
        <f t="shared" si="0"/>
        <v>2032</v>
      </c>
      <c r="J1" s="53">
        <f t="shared" si="0"/>
        <v>2033</v>
      </c>
      <c r="K1" s="53">
        <f t="shared" si="0"/>
        <v>2034</v>
      </c>
      <c r="L1" s="53">
        <f t="shared" si="0"/>
        <v>2035</v>
      </c>
      <c r="M1" s="53">
        <f t="shared" si="0"/>
        <v>2036</v>
      </c>
      <c r="N1" s="53">
        <f t="shared" si="0"/>
        <v>2037</v>
      </c>
      <c r="O1" s="53">
        <f t="shared" si="0"/>
        <v>2038</v>
      </c>
      <c r="P1" s="53">
        <f t="shared" si="0"/>
        <v>2039</v>
      </c>
      <c r="Q1" s="53">
        <f t="shared" si="0"/>
        <v>2040</v>
      </c>
      <c r="R1" s="53">
        <f t="shared" si="0"/>
        <v>2041</v>
      </c>
      <c r="S1" s="53">
        <f t="shared" si="0"/>
        <v>2042</v>
      </c>
      <c r="T1" s="53">
        <f t="shared" si="0"/>
        <v>2043</v>
      </c>
      <c r="U1" s="53">
        <f t="shared" si="0"/>
        <v>2044</v>
      </c>
      <c r="V1" s="53">
        <f t="shared" si="0"/>
        <v>2045</v>
      </c>
    </row>
    <row r="2" spans="1:22" ht="16" thickBot="1"/>
    <row r="3" spans="1:22">
      <c r="A3" s="96" t="s">
        <v>305</v>
      </c>
      <c r="B3" s="97"/>
      <c r="C3" s="97"/>
      <c r="D3" s="98" t="s">
        <v>306</v>
      </c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9"/>
    </row>
    <row r="4" spans="1:22">
      <c r="A4" s="100" t="s">
        <v>307</v>
      </c>
      <c r="B4" t="s">
        <v>308</v>
      </c>
      <c r="C4" s="101">
        <v>9000</v>
      </c>
      <c r="D4" s="102">
        <v>1</v>
      </c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3"/>
    </row>
    <row r="5" spans="1:22">
      <c r="A5" s="100" t="s">
        <v>309</v>
      </c>
      <c r="B5" t="s">
        <v>308</v>
      </c>
      <c r="C5" s="101">
        <v>20000</v>
      </c>
      <c r="D5" s="102">
        <v>0.5</v>
      </c>
      <c r="E5" s="102">
        <v>0.5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3"/>
    </row>
    <row r="6" spans="1:22">
      <c r="A6" s="100" t="s">
        <v>310</v>
      </c>
      <c r="B6" t="s">
        <v>308</v>
      </c>
      <c r="C6" s="101">
        <v>30000</v>
      </c>
      <c r="D6" s="102">
        <v>0.5</v>
      </c>
      <c r="E6" s="102">
        <v>0.5</v>
      </c>
      <c r="F6" s="102">
        <v>0</v>
      </c>
      <c r="G6" s="102">
        <v>0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3"/>
    </row>
    <row r="7" spans="1:22">
      <c r="A7" s="100" t="s">
        <v>311</v>
      </c>
      <c r="B7" t="s">
        <v>308</v>
      </c>
      <c r="C7" s="101">
        <v>1000</v>
      </c>
      <c r="D7" s="102">
        <v>10</v>
      </c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3"/>
    </row>
    <row r="8" spans="1:22">
      <c r="A8" s="100" t="s">
        <v>312</v>
      </c>
      <c r="B8" t="s">
        <v>308</v>
      </c>
      <c r="C8" s="101">
        <v>3000</v>
      </c>
      <c r="D8" s="102">
        <v>1</v>
      </c>
      <c r="E8" s="102">
        <v>1</v>
      </c>
      <c r="F8" s="102">
        <v>1</v>
      </c>
      <c r="G8" s="102">
        <v>1</v>
      </c>
      <c r="H8" s="102">
        <v>1</v>
      </c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3"/>
    </row>
    <row r="9" spans="1:22" ht="14.25" customHeight="1">
      <c r="A9" s="151" t="s">
        <v>313</v>
      </c>
      <c r="B9" s="113" t="s">
        <v>308</v>
      </c>
      <c r="C9" s="116">
        <v>5000</v>
      </c>
      <c r="D9" s="159">
        <v>1</v>
      </c>
      <c r="E9" s="147"/>
      <c r="F9" s="147"/>
      <c r="G9" s="147"/>
      <c r="H9" s="147"/>
      <c r="I9" s="147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3"/>
    </row>
    <row r="10" spans="1:22">
      <c r="A10" s="151" t="s">
        <v>314</v>
      </c>
      <c r="B10" s="113" t="s">
        <v>308</v>
      </c>
      <c r="C10" s="116">
        <v>10000</v>
      </c>
      <c r="D10" s="159">
        <v>1</v>
      </c>
      <c r="E10" s="147"/>
      <c r="F10" s="147"/>
      <c r="G10" s="147"/>
      <c r="H10" s="147"/>
      <c r="I10" s="147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3"/>
    </row>
    <row r="11" spans="1:22">
      <c r="A11" s="100" t="s">
        <v>315</v>
      </c>
      <c r="B11" t="s">
        <v>308</v>
      </c>
      <c r="C11" s="101">
        <v>800</v>
      </c>
      <c r="D11" s="159">
        <v>1</v>
      </c>
      <c r="E11" s="159">
        <v>1</v>
      </c>
      <c r="F11" s="159">
        <v>1</v>
      </c>
      <c r="G11" s="159">
        <v>1</v>
      </c>
      <c r="H11" s="159">
        <v>1</v>
      </c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3"/>
    </row>
    <row r="12" spans="1:22">
      <c r="A12" s="100"/>
      <c r="B12" t="s">
        <v>308</v>
      </c>
      <c r="C12" s="101"/>
      <c r="D12" s="158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3"/>
    </row>
    <row r="13" spans="1:22">
      <c r="A13" s="100"/>
      <c r="B13" t="s">
        <v>308</v>
      </c>
      <c r="C13" s="101"/>
      <c r="D13" s="158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3"/>
    </row>
    <row r="14" spans="1:22">
      <c r="A14" s="100"/>
      <c r="B14" t="s">
        <v>308</v>
      </c>
      <c r="C14" s="101"/>
      <c r="D14" s="158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3"/>
    </row>
    <row r="15" spans="1:22">
      <c r="A15" s="100"/>
      <c r="B15" t="s">
        <v>308</v>
      </c>
      <c r="C15" s="104"/>
      <c r="D15" s="158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3"/>
    </row>
    <row r="16" spans="1:22">
      <c r="A16" s="100"/>
      <c r="B16" t="s">
        <v>308</v>
      </c>
      <c r="C16" s="104"/>
      <c r="D16" s="158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3"/>
    </row>
    <row r="17" spans="1:22">
      <c r="A17" s="100"/>
      <c r="C17" s="104"/>
      <c r="D17" s="158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</row>
    <row r="18" spans="1:22" ht="16" thickBot="1">
      <c r="A18" s="105"/>
      <c r="B18" s="106"/>
      <c r="C18" s="104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3"/>
    </row>
    <row r="19" spans="1:22">
      <c r="A19" s="97"/>
      <c r="B19" s="97"/>
      <c r="C19" s="10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</row>
    <row r="20" spans="1:22" ht="16" thickBot="1">
      <c r="A20" s="106"/>
      <c r="B20" s="106"/>
      <c r="C20" s="108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</row>
    <row r="21" spans="1:22">
      <c r="A21" s="96" t="s">
        <v>316</v>
      </c>
      <c r="B21" s="97"/>
      <c r="C21" s="107"/>
      <c r="D21" s="98" t="s">
        <v>317</v>
      </c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9"/>
    </row>
    <row r="22" spans="1:22">
      <c r="A22" s="100" t="str">
        <f t="shared" ref="A22:A35" si="1">A4</f>
        <v>Replacement Miner</v>
      </c>
      <c r="B22" t="s">
        <v>308</v>
      </c>
      <c r="C22" s="101">
        <f t="shared" ref="C22:C36" si="2">C4</f>
        <v>9000</v>
      </c>
      <c r="D22" s="109">
        <f t="shared" ref="D22:V22" si="3">$C4*D4</f>
        <v>9000</v>
      </c>
      <c r="E22" s="109">
        <f t="shared" si="3"/>
        <v>0</v>
      </c>
      <c r="F22" s="109">
        <f t="shared" si="3"/>
        <v>0</v>
      </c>
      <c r="G22" s="109">
        <f t="shared" si="3"/>
        <v>0</v>
      </c>
      <c r="H22" s="109">
        <f t="shared" si="3"/>
        <v>0</v>
      </c>
      <c r="I22" s="109">
        <f t="shared" si="3"/>
        <v>0</v>
      </c>
      <c r="J22" s="109">
        <f t="shared" si="3"/>
        <v>0</v>
      </c>
      <c r="K22" s="109">
        <f t="shared" si="3"/>
        <v>0</v>
      </c>
      <c r="L22" s="109">
        <f t="shared" si="3"/>
        <v>0</v>
      </c>
      <c r="M22" s="109">
        <f t="shared" si="3"/>
        <v>0</v>
      </c>
      <c r="N22" s="109">
        <f t="shared" si="3"/>
        <v>0</v>
      </c>
      <c r="O22" s="109">
        <f t="shared" si="3"/>
        <v>0</v>
      </c>
      <c r="P22" s="109">
        <f t="shared" si="3"/>
        <v>0</v>
      </c>
      <c r="Q22" s="109">
        <f t="shared" si="3"/>
        <v>0</v>
      </c>
      <c r="R22" s="109">
        <f t="shared" si="3"/>
        <v>0</v>
      </c>
      <c r="S22" s="109">
        <f t="shared" si="3"/>
        <v>0</v>
      </c>
      <c r="T22" s="109">
        <f t="shared" si="3"/>
        <v>0</v>
      </c>
      <c r="U22" s="109">
        <f t="shared" si="3"/>
        <v>0</v>
      </c>
      <c r="V22" s="110">
        <f t="shared" si="3"/>
        <v>0</v>
      </c>
    </row>
    <row r="23" spans="1:22">
      <c r="A23" s="100" t="str">
        <f t="shared" si="1"/>
        <v>Ventilation Shaft</v>
      </c>
      <c r="B23" t="s">
        <v>308</v>
      </c>
      <c r="C23" s="101">
        <f t="shared" si="2"/>
        <v>20000</v>
      </c>
      <c r="D23" s="109">
        <f t="shared" ref="D23:V23" si="4">$C5*D5</f>
        <v>10000</v>
      </c>
      <c r="E23" s="109">
        <f t="shared" si="4"/>
        <v>10000</v>
      </c>
      <c r="F23" s="109">
        <f t="shared" si="4"/>
        <v>0</v>
      </c>
      <c r="G23" s="109">
        <f t="shared" si="4"/>
        <v>0</v>
      </c>
      <c r="H23" s="109">
        <f t="shared" si="4"/>
        <v>0</v>
      </c>
      <c r="I23" s="109">
        <f t="shared" si="4"/>
        <v>0</v>
      </c>
      <c r="J23" s="109">
        <f t="shared" si="4"/>
        <v>0</v>
      </c>
      <c r="K23" s="109">
        <f t="shared" si="4"/>
        <v>0</v>
      </c>
      <c r="L23" s="109">
        <f t="shared" si="4"/>
        <v>0</v>
      </c>
      <c r="M23" s="109">
        <f t="shared" si="4"/>
        <v>0</v>
      </c>
      <c r="N23" s="109">
        <f t="shared" si="4"/>
        <v>0</v>
      </c>
      <c r="O23" s="109">
        <f t="shared" si="4"/>
        <v>0</v>
      </c>
      <c r="P23" s="109">
        <f t="shared" si="4"/>
        <v>0</v>
      </c>
      <c r="Q23" s="109">
        <f t="shared" si="4"/>
        <v>0</v>
      </c>
      <c r="R23" s="109">
        <f t="shared" si="4"/>
        <v>0</v>
      </c>
      <c r="S23" s="109">
        <f t="shared" si="4"/>
        <v>0</v>
      </c>
      <c r="T23" s="109">
        <f t="shared" si="4"/>
        <v>0</v>
      </c>
      <c r="U23" s="109">
        <f t="shared" si="4"/>
        <v>0</v>
      </c>
      <c r="V23" s="110">
        <f t="shared" si="4"/>
        <v>0</v>
      </c>
    </row>
    <row r="24" spans="1:22">
      <c r="A24" s="100" t="str">
        <f t="shared" si="1"/>
        <v>SIS Drill program</v>
      </c>
      <c r="B24" t="s">
        <v>308</v>
      </c>
      <c r="C24" s="101">
        <f t="shared" si="2"/>
        <v>30000</v>
      </c>
      <c r="D24" s="109">
        <f t="shared" ref="D24:V24" si="5">$C6*D6</f>
        <v>15000</v>
      </c>
      <c r="E24" s="109">
        <f t="shared" si="5"/>
        <v>15000</v>
      </c>
      <c r="F24" s="109">
        <f t="shared" si="5"/>
        <v>0</v>
      </c>
      <c r="G24" s="109">
        <f t="shared" si="5"/>
        <v>0</v>
      </c>
      <c r="H24" s="109">
        <f t="shared" si="5"/>
        <v>0</v>
      </c>
      <c r="I24" s="109">
        <f t="shared" si="5"/>
        <v>0</v>
      </c>
      <c r="J24" s="109">
        <f t="shared" si="5"/>
        <v>0</v>
      </c>
      <c r="K24" s="109">
        <f t="shared" si="5"/>
        <v>0</v>
      </c>
      <c r="L24" s="109">
        <f t="shared" si="5"/>
        <v>0</v>
      </c>
      <c r="M24" s="109">
        <f t="shared" si="5"/>
        <v>0</v>
      </c>
      <c r="N24" s="109">
        <f t="shared" si="5"/>
        <v>0</v>
      </c>
      <c r="O24" s="109">
        <f t="shared" si="5"/>
        <v>0</v>
      </c>
      <c r="P24" s="109">
        <f t="shared" si="5"/>
        <v>0</v>
      </c>
      <c r="Q24" s="109">
        <f t="shared" si="5"/>
        <v>0</v>
      </c>
      <c r="R24" s="109">
        <f t="shared" si="5"/>
        <v>0</v>
      </c>
      <c r="S24" s="109">
        <f t="shared" si="5"/>
        <v>0</v>
      </c>
      <c r="T24" s="109">
        <f t="shared" si="5"/>
        <v>0</v>
      </c>
      <c r="U24" s="109">
        <f t="shared" si="5"/>
        <v>0</v>
      </c>
      <c r="V24" s="110">
        <f t="shared" si="5"/>
        <v>0</v>
      </c>
    </row>
    <row r="25" spans="1:22">
      <c r="A25" s="100" t="str">
        <f t="shared" si="1"/>
        <v>Replacement Roof Supports</v>
      </c>
      <c r="B25" t="s">
        <v>308</v>
      </c>
      <c r="C25" s="101">
        <f t="shared" si="2"/>
        <v>1000</v>
      </c>
      <c r="D25" s="109">
        <f t="shared" ref="D25:V25" si="6">$C7*D7</f>
        <v>10000</v>
      </c>
      <c r="E25" s="109">
        <f t="shared" si="6"/>
        <v>0</v>
      </c>
      <c r="F25" s="109">
        <f t="shared" si="6"/>
        <v>0</v>
      </c>
      <c r="G25" s="109">
        <f t="shared" si="6"/>
        <v>0</v>
      </c>
      <c r="H25" s="109">
        <f t="shared" si="6"/>
        <v>0</v>
      </c>
      <c r="I25" s="109">
        <f t="shared" si="6"/>
        <v>0</v>
      </c>
      <c r="J25" s="109">
        <f t="shared" si="6"/>
        <v>0</v>
      </c>
      <c r="K25" s="109">
        <f t="shared" si="6"/>
        <v>0</v>
      </c>
      <c r="L25" s="109">
        <f t="shared" si="6"/>
        <v>0</v>
      </c>
      <c r="M25" s="109">
        <f t="shared" si="6"/>
        <v>0</v>
      </c>
      <c r="N25" s="109">
        <f t="shared" si="6"/>
        <v>0</v>
      </c>
      <c r="O25" s="109">
        <f t="shared" si="6"/>
        <v>0</v>
      </c>
      <c r="P25" s="109">
        <f t="shared" si="6"/>
        <v>0</v>
      </c>
      <c r="Q25" s="109">
        <f t="shared" si="6"/>
        <v>0</v>
      </c>
      <c r="R25" s="109">
        <f t="shared" si="6"/>
        <v>0</v>
      </c>
      <c r="S25" s="109">
        <f t="shared" si="6"/>
        <v>0</v>
      </c>
      <c r="T25" s="109">
        <f t="shared" si="6"/>
        <v>0</v>
      </c>
      <c r="U25" s="109">
        <f t="shared" si="6"/>
        <v>0</v>
      </c>
      <c r="V25" s="110">
        <f t="shared" si="6"/>
        <v>0</v>
      </c>
    </row>
    <row r="26" spans="1:22">
      <c r="A26" s="100" t="str">
        <f t="shared" si="1"/>
        <v xml:space="preserve">Conveyor Belt Replacement </v>
      </c>
      <c r="B26" t="s">
        <v>308</v>
      </c>
      <c r="C26" s="101">
        <f t="shared" si="2"/>
        <v>3000</v>
      </c>
      <c r="D26" s="109">
        <f t="shared" ref="D26:V26" si="7">$C8*D8</f>
        <v>3000</v>
      </c>
      <c r="E26" s="109">
        <f t="shared" si="7"/>
        <v>3000</v>
      </c>
      <c r="F26" s="109">
        <f t="shared" si="7"/>
        <v>3000</v>
      </c>
      <c r="G26" s="109">
        <f t="shared" si="7"/>
        <v>3000</v>
      </c>
      <c r="H26" s="109">
        <f t="shared" si="7"/>
        <v>3000</v>
      </c>
      <c r="I26" s="109">
        <f t="shared" si="7"/>
        <v>0</v>
      </c>
      <c r="J26" s="109">
        <f t="shared" si="7"/>
        <v>0</v>
      </c>
      <c r="K26" s="109">
        <f t="shared" si="7"/>
        <v>0</v>
      </c>
      <c r="L26" s="109">
        <f t="shared" si="7"/>
        <v>0</v>
      </c>
      <c r="M26" s="109">
        <f t="shared" si="7"/>
        <v>0</v>
      </c>
      <c r="N26" s="109">
        <f t="shared" si="7"/>
        <v>0</v>
      </c>
      <c r="O26" s="109">
        <f t="shared" si="7"/>
        <v>0</v>
      </c>
      <c r="P26" s="109">
        <f t="shared" si="7"/>
        <v>0</v>
      </c>
      <c r="Q26" s="109">
        <f t="shared" si="7"/>
        <v>0</v>
      </c>
      <c r="R26" s="109">
        <f t="shared" si="7"/>
        <v>0</v>
      </c>
      <c r="S26" s="109">
        <f t="shared" si="7"/>
        <v>0</v>
      </c>
      <c r="T26" s="109">
        <f t="shared" si="7"/>
        <v>0</v>
      </c>
      <c r="U26" s="109">
        <f t="shared" si="7"/>
        <v>0</v>
      </c>
      <c r="V26" s="110">
        <f t="shared" si="7"/>
        <v>0</v>
      </c>
    </row>
    <row r="27" spans="1:22">
      <c r="A27" s="100" t="str">
        <f t="shared" si="1"/>
        <v>Barada Community Program</v>
      </c>
      <c r="B27" t="s">
        <v>308</v>
      </c>
      <c r="C27" s="101">
        <f t="shared" si="2"/>
        <v>5000</v>
      </c>
      <c r="D27" s="109">
        <f t="shared" ref="D27:V27" si="8">$C9*D9</f>
        <v>5000</v>
      </c>
      <c r="E27" s="109">
        <f t="shared" si="8"/>
        <v>0</v>
      </c>
      <c r="F27" s="109">
        <f t="shared" si="8"/>
        <v>0</v>
      </c>
      <c r="G27" s="109">
        <f t="shared" si="8"/>
        <v>0</v>
      </c>
      <c r="H27" s="109">
        <f t="shared" si="8"/>
        <v>0</v>
      </c>
      <c r="I27" s="109">
        <f t="shared" si="8"/>
        <v>0</v>
      </c>
      <c r="J27" s="109">
        <f t="shared" si="8"/>
        <v>0</v>
      </c>
      <c r="K27" s="109">
        <f t="shared" si="8"/>
        <v>0</v>
      </c>
      <c r="L27" s="109">
        <f t="shared" si="8"/>
        <v>0</v>
      </c>
      <c r="M27" s="109">
        <f t="shared" si="8"/>
        <v>0</v>
      </c>
      <c r="N27" s="109">
        <f t="shared" si="8"/>
        <v>0</v>
      </c>
      <c r="O27" s="109">
        <f t="shared" si="8"/>
        <v>0</v>
      </c>
      <c r="P27" s="109">
        <f t="shared" si="8"/>
        <v>0</v>
      </c>
      <c r="Q27" s="109">
        <f t="shared" si="8"/>
        <v>0</v>
      </c>
      <c r="R27" s="109">
        <f t="shared" si="8"/>
        <v>0</v>
      </c>
      <c r="S27" s="109">
        <f t="shared" si="8"/>
        <v>0</v>
      </c>
      <c r="T27" s="109">
        <f t="shared" si="8"/>
        <v>0</v>
      </c>
      <c r="U27" s="109">
        <f t="shared" si="8"/>
        <v>0</v>
      </c>
      <c r="V27" s="110">
        <f t="shared" si="8"/>
        <v>0</v>
      </c>
    </row>
    <row r="28" spans="1:22">
      <c r="A28" s="100" t="str">
        <f t="shared" si="1"/>
        <v>Tailings Storage Facility</v>
      </c>
      <c r="B28" t="s">
        <v>308</v>
      </c>
      <c r="C28" s="101">
        <f t="shared" si="2"/>
        <v>10000</v>
      </c>
      <c r="D28" s="109">
        <f t="shared" ref="D28:V28" si="9">$C10*D10</f>
        <v>10000</v>
      </c>
      <c r="E28" s="109">
        <f t="shared" si="9"/>
        <v>0</v>
      </c>
      <c r="F28" s="109">
        <f t="shared" si="9"/>
        <v>0</v>
      </c>
      <c r="G28" s="109">
        <f t="shared" si="9"/>
        <v>0</v>
      </c>
      <c r="H28" s="109">
        <f t="shared" si="9"/>
        <v>0</v>
      </c>
      <c r="I28" s="109">
        <f t="shared" si="9"/>
        <v>0</v>
      </c>
      <c r="J28" s="109">
        <f t="shared" si="9"/>
        <v>0</v>
      </c>
      <c r="K28" s="109">
        <f t="shared" si="9"/>
        <v>0</v>
      </c>
      <c r="L28" s="109">
        <f t="shared" si="9"/>
        <v>0</v>
      </c>
      <c r="M28" s="109">
        <f t="shared" si="9"/>
        <v>0</v>
      </c>
      <c r="N28" s="109">
        <f t="shared" si="9"/>
        <v>0</v>
      </c>
      <c r="O28" s="109">
        <f t="shared" si="9"/>
        <v>0</v>
      </c>
      <c r="P28" s="109">
        <f t="shared" si="9"/>
        <v>0</v>
      </c>
      <c r="Q28" s="109">
        <f t="shared" si="9"/>
        <v>0</v>
      </c>
      <c r="R28" s="109">
        <f t="shared" si="9"/>
        <v>0</v>
      </c>
      <c r="S28" s="109">
        <f t="shared" si="9"/>
        <v>0</v>
      </c>
      <c r="T28" s="109">
        <f t="shared" si="9"/>
        <v>0</v>
      </c>
      <c r="U28" s="109">
        <f t="shared" si="9"/>
        <v>0</v>
      </c>
      <c r="V28" s="110">
        <f t="shared" si="9"/>
        <v>0</v>
      </c>
    </row>
    <row r="29" spans="1:22">
      <c r="A29" s="100" t="str">
        <f t="shared" si="1"/>
        <v xml:space="preserve">Exploration Drilling </v>
      </c>
      <c r="B29" t="s">
        <v>308</v>
      </c>
      <c r="C29" s="101">
        <f t="shared" si="2"/>
        <v>800</v>
      </c>
      <c r="D29" s="109">
        <f t="shared" ref="D29:V29" si="10">$C11*D11</f>
        <v>800</v>
      </c>
      <c r="E29" s="109">
        <f t="shared" si="10"/>
        <v>800</v>
      </c>
      <c r="F29" s="109">
        <f t="shared" si="10"/>
        <v>800</v>
      </c>
      <c r="G29" s="109">
        <f t="shared" si="10"/>
        <v>800</v>
      </c>
      <c r="H29" s="109">
        <f t="shared" si="10"/>
        <v>800</v>
      </c>
      <c r="I29" s="109">
        <f t="shared" si="10"/>
        <v>0</v>
      </c>
      <c r="J29" s="109">
        <f t="shared" si="10"/>
        <v>0</v>
      </c>
      <c r="K29" s="109">
        <f t="shared" si="10"/>
        <v>0</v>
      </c>
      <c r="L29" s="109">
        <f t="shared" si="10"/>
        <v>0</v>
      </c>
      <c r="M29" s="109">
        <f t="shared" si="10"/>
        <v>0</v>
      </c>
      <c r="N29" s="109">
        <f t="shared" si="10"/>
        <v>0</v>
      </c>
      <c r="O29" s="109">
        <f t="shared" si="10"/>
        <v>0</v>
      </c>
      <c r="P29" s="109">
        <f t="shared" si="10"/>
        <v>0</v>
      </c>
      <c r="Q29" s="109">
        <f t="shared" si="10"/>
        <v>0</v>
      </c>
      <c r="R29" s="109">
        <f t="shared" si="10"/>
        <v>0</v>
      </c>
      <c r="S29" s="109">
        <f t="shared" si="10"/>
        <v>0</v>
      </c>
      <c r="T29" s="109">
        <f t="shared" si="10"/>
        <v>0</v>
      </c>
      <c r="U29" s="109">
        <f t="shared" si="10"/>
        <v>0</v>
      </c>
      <c r="V29" s="110">
        <f t="shared" si="10"/>
        <v>0</v>
      </c>
    </row>
    <row r="30" spans="1:22">
      <c r="A30" s="100">
        <f t="shared" si="1"/>
        <v>0</v>
      </c>
      <c r="B30" t="s">
        <v>308</v>
      </c>
      <c r="C30" s="101">
        <f t="shared" si="2"/>
        <v>0</v>
      </c>
      <c r="D30" s="109">
        <f t="shared" ref="D30:V30" si="11">$C12*D12</f>
        <v>0</v>
      </c>
      <c r="E30" s="109">
        <f t="shared" si="11"/>
        <v>0</v>
      </c>
      <c r="F30" s="109">
        <f t="shared" si="11"/>
        <v>0</v>
      </c>
      <c r="G30" s="109">
        <f t="shared" si="11"/>
        <v>0</v>
      </c>
      <c r="H30" s="109">
        <f t="shared" si="11"/>
        <v>0</v>
      </c>
      <c r="I30" s="109">
        <f t="shared" si="11"/>
        <v>0</v>
      </c>
      <c r="J30" s="109">
        <f t="shared" si="11"/>
        <v>0</v>
      </c>
      <c r="K30" s="109">
        <f t="shared" si="11"/>
        <v>0</v>
      </c>
      <c r="L30" s="109">
        <f t="shared" si="11"/>
        <v>0</v>
      </c>
      <c r="M30" s="109">
        <f t="shared" si="11"/>
        <v>0</v>
      </c>
      <c r="N30" s="109">
        <f t="shared" si="11"/>
        <v>0</v>
      </c>
      <c r="O30" s="109">
        <f t="shared" si="11"/>
        <v>0</v>
      </c>
      <c r="P30" s="109">
        <f t="shared" si="11"/>
        <v>0</v>
      </c>
      <c r="Q30" s="109">
        <f t="shared" si="11"/>
        <v>0</v>
      </c>
      <c r="R30" s="109">
        <f t="shared" si="11"/>
        <v>0</v>
      </c>
      <c r="S30" s="109">
        <f t="shared" si="11"/>
        <v>0</v>
      </c>
      <c r="T30" s="109">
        <f t="shared" si="11"/>
        <v>0</v>
      </c>
      <c r="U30" s="109">
        <f t="shared" si="11"/>
        <v>0</v>
      </c>
      <c r="V30" s="110">
        <f t="shared" si="11"/>
        <v>0</v>
      </c>
    </row>
    <row r="31" spans="1:22">
      <c r="A31" s="100">
        <f t="shared" si="1"/>
        <v>0</v>
      </c>
      <c r="B31" t="s">
        <v>308</v>
      </c>
      <c r="C31" s="101">
        <f t="shared" si="2"/>
        <v>0</v>
      </c>
      <c r="D31" s="109">
        <f t="shared" ref="D31:V31" si="12">$C13*D13</f>
        <v>0</v>
      </c>
      <c r="E31" s="109">
        <f t="shared" si="12"/>
        <v>0</v>
      </c>
      <c r="F31" s="109">
        <f t="shared" si="12"/>
        <v>0</v>
      </c>
      <c r="G31" s="109">
        <f t="shared" si="12"/>
        <v>0</v>
      </c>
      <c r="H31" s="109">
        <f t="shared" si="12"/>
        <v>0</v>
      </c>
      <c r="I31" s="109">
        <f t="shared" si="12"/>
        <v>0</v>
      </c>
      <c r="J31" s="109">
        <f t="shared" si="12"/>
        <v>0</v>
      </c>
      <c r="K31" s="109">
        <f t="shared" si="12"/>
        <v>0</v>
      </c>
      <c r="L31" s="109">
        <f t="shared" si="12"/>
        <v>0</v>
      </c>
      <c r="M31" s="109">
        <f t="shared" si="12"/>
        <v>0</v>
      </c>
      <c r="N31" s="109">
        <f t="shared" si="12"/>
        <v>0</v>
      </c>
      <c r="O31" s="109">
        <f t="shared" si="12"/>
        <v>0</v>
      </c>
      <c r="P31" s="109">
        <f t="shared" si="12"/>
        <v>0</v>
      </c>
      <c r="Q31" s="109">
        <f t="shared" si="12"/>
        <v>0</v>
      </c>
      <c r="R31" s="109">
        <f t="shared" si="12"/>
        <v>0</v>
      </c>
      <c r="S31" s="109">
        <f t="shared" si="12"/>
        <v>0</v>
      </c>
      <c r="T31" s="109">
        <f t="shared" si="12"/>
        <v>0</v>
      </c>
      <c r="U31" s="109">
        <f t="shared" si="12"/>
        <v>0</v>
      </c>
      <c r="V31" s="110">
        <f t="shared" si="12"/>
        <v>0</v>
      </c>
    </row>
    <row r="32" spans="1:22">
      <c r="A32" s="100">
        <f t="shared" si="1"/>
        <v>0</v>
      </c>
      <c r="B32" t="s">
        <v>308</v>
      </c>
      <c r="C32" s="101">
        <f t="shared" si="2"/>
        <v>0</v>
      </c>
      <c r="D32" s="109">
        <f t="shared" ref="D32:V32" si="13">$C14*D14</f>
        <v>0</v>
      </c>
      <c r="E32" s="109">
        <f t="shared" si="13"/>
        <v>0</v>
      </c>
      <c r="F32" s="109">
        <f t="shared" si="13"/>
        <v>0</v>
      </c>
      <c r="G32" s="109">
        <f t="shared" si="13"/>
        <v>0</v>
      </c>
      <c r="H32" s="109">
        <f t="shared" si="13"/>
        <v>0</v>
      </c>
      <c r="I32" s="109">
        <f t="shared" si="13"/>
        <v>0</v>
      </c>
      <c r="J32" s="109">
        <f t="shared" si="13"/>
        <v>0</v>
      </c>
      <c r="K32" s="109">
        <f t="shared" si="13"/>
        <v>0</v>
      </c>
      <c r="L32" s="109">
        <f t="shared" si="13"/>
        <v>0</v>
      </c>
      <c r="M32" s="109">
        <f t="shared" si="13"/>
        <v>0</v>
      </c>
      <c r="N32" s="109">
        <f t="shared" si="13"/>
        <v>0</v>
      </c>
      <c r="O32" s="109">
        <f t="shared" si="13"/>
        <v>0</v>
      </c>
      <c r="P32" s="109">
        <f t="shared" si="13"/>
        <v>0</v>
      </c>
      <c r="Q32" s="109">
        <f t="shared" si="13"/>
        <v>0</v>
      </c>
      <c r="R32" s="109">
        <f t="shared" si="13"/>
        <v>0</v>
      </c>
      <c r="S32" s="109">
        <f t="shared" si="13"/>
        <v>0</v>
      </c>
      <c r="T32" s="109">
        <f t="shared" si="13"/>
        <v>0</v>
      </c>
      <c r="U32" s="109">
        <f t="shared" si="13"/>
        <v>0</v>
      </c>
      <c r="V32" s="110">
        <f t="shared" si="13"/>
        <v>0</v>
      </c>
    </row>
    <row r="33" spans="1:22">
      <c r="A33" s="100">
        <f t="shared" si="1"/>
        <v>0</v>
      </c>
      <c r="B33" t="s">
        <v>308</v>
      </c>
      <c r="C33" s="101">
        <f t="shared" si="2"/>
        <v>0</v>
      </c>
      <c r="D33" s="109">
        <f t="shared" ref="D33:V33" si="14">$C15*D15</f>
        <v>0</v>
      </c>
      <c r="E33" s="109">
        <f t="shared" si="14"/>
        <v>0</v>
      </c>
      <c r="F33" s="109">
        <f t="shared" si="14"/>
        <v>0</v>
      </c>
      <c r="G33" s="109">
        <f t="shared" si="14"/>
        <v>0</v>
      </c>
      <c r="H33" s="109">
        <f t="shared" si="14"/>
        <v>0</v>
      </c>
      <c r="I33" s="109">
        <f t="shared" si="14"/>
        <v>0</v>
      </c>
      <c r="J33" s="109">
        <f t="shared" si="14"/>
        <v>0</v>
      </c>
      <c r="K33" s="109">
        <f t="shared" si="14"/>
        <v>0</v>
      </c>
      <c r="L33" s="109">
        <f t="shared" si="14"/>
        <v>0</v>
      </c>
      <c r="M33" s="109">
        <f t="shared" si="14"/>
        <v>0</v>
      </c>
      <c r="N33" s="109">
        <f t="shared" si="14"/>
        <v>0</v>
      </c>
      <c r="O33" s="109">
        <f t="shared" si="14"/>
        <v>0</v>
      </c>
      <c r="P33" s="109">
        <f t="shared" si="14"/>
        <v>0</v>
      </c>
      <c r="Q33" s="109">
        <f t="shared" si="14"/>
        <v>0</v>
      </c>
      <c r="R33" s="109">
        <f t="shared" si="14"/>
        <v>0</v>
      </c>
      <c r="S33" s="109">
        <f t="shared" si="14"/>
        <v>0</v>
      </c>
      <c r="T33" s="109">
        <f t="shared" si="14"/>
        <v>0</v>
      </c>
      <c r="U33" s="109">
        <f t="shared" si="14"/>
        <v>0</v>
      </c>
      <c r="V33" s="110">
        <f t="shared" si="14"/>
        <v>0</v>
      </c>
    </row>
    <row r="34" spans="1:22">
      <c r="A34" s="100">
        <f t="shared" si="1"/>
        <v>0</v>
      </c>
      <c r="B34" t="s">
        <v>308</v>
      </c>
      <c r="C34" s="101">
        <f t="shared" si="2"/>
        <v>0</v>
      </c>
      <c r="D34" s="109">
        <f t="shared" ref="D34:V34" si="15">$C16*D16</f>
        <v>0</v>
      </c>
      <c r="E34" s="109">
        <f t="shared" si="15"/>
        <v>0</v>
      </c>
      <c r="F34" s="109">
        <f t="shared" si="15"/>
        <v>0</v>
      </c>
      <c r="G34" s="109">
        <f t="shared" si="15"/>
        <v>0</v>
      </c>
      <c r="H34" s="109">
        <f t="shared" si="15"/>
        <v>0</v>
      </c>
      <c r="I34" s="109">
        <f t="shared" si="15"/>
        <v>0</v>
      </c>
      <c r="J34" s="109">
        <f t="shared" si="15"/>
        <v>0</v>
      </c>
      <c r="K34" s="109">
        <f t="shared" si="15"/>
        <v>0</v>
      </c>
      <c r="L34" s="109">
        <f t="shared" si="15"/>
        <v>0</v>
      </c>
      <c r="M34" s="109">
        <f t="shared" si="15"/>
        <v>0</v>
      </c>
      <c r="N34" s="109">
        <f t="shared" si="15"/>
        <v>0</v>
      </c>
      <c r="O34" s="109">
        <f t="shared" si="15"/>
        <v>0</v>
      </c>
      <c r="P34" s="109">
        <f t="shared" si="15"/>
        <v>0</v>
      </c>
      <c r="Q34" s="109">
        <f t="shared" si="15"/>
        <v>0</v>
      </c>
      <c r="R34" s="109">
        <f t="shared" si="15"/>
        <v>0</v>
      </c>
      <c r="S34" s="109">
        <f t="shared" si="15"/>
        <v>0</v>
      </c>
      <c r="T34" s="109">
        <f t="shared" si="15"/>
        <v>0</v>
      </c>
      <c r="U34" s="109">
        <f t="shared" si="15"/>
        <v>0</v>
      </c>
      <c r="V34" s="110">
        <f t="shared" si="15"/>
        <v>0</v>
      </c>
    </row>
    <row r="35" spans="1:22">
      <c r="A35" s="100">
        <f t="shared" si="1"/>
        <v>0</v>
      </c>
      <c r="B35" t="s">
        <v>308</v>
      </c>
      <c r="C35" s="101">
        <f t="shared" si="2"/>
        <v>0</v>
      </c>
      <c r="D35" s="109">
        <f t="shared" ref="D35:V35" si="16">$C17*D17</f>
        <v>0</v>
      </c>
      <c r="E35" s="109">
        <f t="shared" si="16"/>
        <v>0</v>
      </c>
      <c r="F35" s="109">
        <f t="shared" si="16"/>
        <v>0</v>
      </c>
      <c r="G35" s="109">
        <f t="shared" si="16"/>
        <v>0</v>
      </c>
      <c r="H35" s="109">
        <f t="shared" si="16"/>
        <v>0</v>
      </c>
      <c r="I35" s="109">
        <f t="shared" si="16"/>
        <v>0</v>
      </c>
      <c r="J35" s="109">
        <f t="shared" si="16"/>
        <v>0</v>
      </c>
      <c r="K35" s="109">
        <f t="shared" si="16"/>
        <v>0</v>
      </c>
      <c r="L35" s="109">
        <f t="shared" si="16"/>
        <v>0</v>
      </c>
      <c r="M35" s="109">
        <f t="shared" si="16"/>
        <v>0</v>
      </c>
      <c r="N35" s="109">
        <f t="shared" si="16"/>
        <v>0</v>
      </c>
      <c r="O35" s="109">
        <f t="shared" si="16"/>
        <v>0</v>
      </c>
      <c r="P35" s="109">
        <f t="shared" si="16"/>
        <v>0</v>
      </c>
      <c r="Q35" s="109">
        <f t="shared" si="16"/>
        <v>0</v>
      </c>
      <c r="R35" s="109">
        <f t="shared" si="16"/>
        <v>0</v>
      </c>
      <c r="S35" s="109">
        <f t="shared" si="16"/>
        <v>0</v>
      </c>
      <c r="T35" s="109">
        <f t="shared" si="16"/>
        <v>0</v>
      </c>
      <c r="U35" s="109">
        <f t="shared" si="16"/>
        <v>0</v>
      </c>
      <c r="V35" s="110">
        <f t="shared" si="16"/>
        <v>0</v>
      </c>
    </row>
    <row r="36" spans="1:22">
      <c r="A36" s="100">
        <f>A17</f>
        <v>0</v>
      </c>
      <c r="B36" t="s">
        <v>308</v>
      </c>
      <c r="C36" s="101">
        <f t="shared" si="2"/>
        <v>0</v>
      </c>
      <c r="D36" s="109">
        <f t="shared" ref="D36:V36" si="17">$C18*D18</f>
        <v>0</v>
      </c>
      <c r="E36" s="109">
        <f t="shared" si="17"/>
        <v>0</v>
      </c>
      <c r="F36" s="109">
        <f t="shared" si="17"/>
        <v>0</v>
      </c>
      <c r="G36" s="109">
        <f t="shared" si="17"/>
        <v>0</v>
      </c>
      <c r="H36" s="109">
        <f t="shared" si="17"/>
        <v>0</v>
      </c>
      <c r="I36" s="109">
        <f t="shared" si="17"/>
        <v>0</v>
      </c>
      <c r="J36" s="109">
        <f t="shared" si="17"/>
        <v>0</v>
      </c>
      <c r="K36" s="109">
        <f t="shared" si="17"/>
        <v>0</v>
      </c>
      <c r="L36" s="109">
        <f t="shared" si="17"/>
        <v>0</v>
      </c>
      <c r="M36" s="109">
        <f t="shared" si="17"/>
        <v>0</v>
      </c>
      <c r="N36" s="109">
        <f t="shared" si="17"/>
        <v>0</v>
      </c>
      <c r="O36" s="109">
        <f t="shared" si="17"/>
        <v>0</v>
      </c>
      <c r="P36" s="109">
        <f t="shared" si="17"/>
        <v>0</v>
      </c>
      <c r="Q36" s="109">
        <f t="shared" si="17"/>
        <v>0</v>
      </c>
      <c r="R36" s="109">
        <f t="shared" si="17"/>
        <v>0</v>
      </c>
      <c r="S36" s="109">
        <f t="shared" si="17"/>
        <v>0</v>
      </c>
      <c r="T36" s="109">
        <f t="shared" si="17"/>
        <v>0</v>
      </c>
      <c r="U36" s="109">
        <f t="shared" si="17"/>
        <v>0</v>
      </c>
      <c r="V36" s="110">
        <f t="shared" si="17"/>
        <v>0</v>
      </c>
    </row>
    <row r="37" spans="1:22">
      <c r="A37" s="100" t="s">
        <v>230</v>
      </c>
      <c r="D37" s="109">
        <f t="shared" ref="D37:V37" si="18">SUM(D22:D36)</f>
        <v>62800</v>
      </c>
      <c r="E37" s="109">
        <f t="shared" si="18"/>
        <v>28800</v>
      </c>
      <c r="F37" s="109">
        <f t="shared" si="18"/>
        <v>3800</v>
      </c>
      <c r="G37" s="109">
        <f t="shared" si="18"/>
        <v>3800</v>
      </c>
      <c r="H37" s="109">
        <f t="shared" si="18"/>
        <v>3800</v>
      </c>
      <c r="I37" s="109">
        <f t="shared" si="18"/>
        <v>0</v>
      </c>
      <c r="J37" s="109">
        <f t="shared" si="18"/>
        <v>0</v>
      </c>
      <c r="K37" s="109">
        <f t="shared" si="18"/>
        <v>0</v>
      </c>
      <c r="L37" s="109">
        <f t="shared" si="18"/>
        <v>0</v>
      </c>
      <c r="M37" s="109">
        <f t="shared" si="18"/>
        <v>0</v>
      </c>
      <c r="N37" s="109">
        <f t="shared" si="18"/>
        <v>0</v>
      </c>
      <c r="O37" s="109">
        <f t="shared" si="18"/>
        <v>0</v>
      </c>
      <c r="P37" s="109">
        <f t="shared" si="18"/>
        <v>0</v>
      </c>
      <c r="Q37" s="109">
        <f t="shared" si="18"/>
        <v>0</v>
      </c>
      <c r="R37" s="109">
        <f t="shared" si="18"/>
        <v>0</v>
      </c>
      <c r="S37" s="109">
        <f t="shared" si="18"/>
        <v>0</v>
      </c>
      <c r="T37" s="109">
        <f t="shared" si="18"/>
        <v>0</v>
      </c>
      <c r="U37" s="109">
        <f t="shared" si="18"/>
        <v>0</v>
      </c>
      <c r="V37" s="110">
        <f t="shared" si="18"/>
        <v>0</v>
      </c>
    </row>
    <row r="38" spans="1:22">
      <c r="A38" s="100" t="s">
        <v>318</v>
      </c>
      <c r="B38" s="34" t="s">
        <v>43</v>
      </c>
      <c r="C38" s="43">
        <v>0.2</v>
      </c>
      <c r="D38" s="109">
        <f>$C$38*D37</f>
        <v>12560</v>
      </c>
      <c r="E38" s="109">
        <f t="shared" ref="E38:V38" si="19">$C$38*E37</f>
        <v>5760</v>
      </c>
      <c r="F38" s="109">
        <f t="shared" si="19"/>
        <v>760</v>
      </c>
      <c r="G38" s="109">
        <f t="shared" si="19"/>
        <v>760</v>
      </c>
      <c r="H38" s="109">
        <f t="shared" si="19"/>
        <v>760</v>
      </c>
      <c r="I38" s="109">
        <f t="shared" si="19"/>
        <v>0</v>
      </c>
      <c r="J38" s="109">
        <f t="shared" si="19"/>
        <v>0</v>
      </c>
      <c r="K38" s="109">
        <f t="shared" si="19"/>
        <v>0</v>
      </c>
      <c r="L38" s="109">
        <f t="shared" si="19"/>
        <v>0</v>
      </c>
      <c r="M38" s="109">
        <f t="shared" si="19"/>
        <v>0</v>
      </c>
      <c r="N38" s="109">
        <f t="shared" si="19"/>
        <v>0</v>
      </c>
      <c r="O38" s="109">
        <f t="shared" si="19"/>
        <v>0</v>
      </c>
      <c r="P38" s="109">
        <f t="shared" si="19"/>
        <v>0</v>
      </c>
      <c r="Q38" s="109">
        <f t="shared" si="19"/>
        <v>0</v>
      </c>
      <c r="R38" s="109">
        <f t="shared" si="19"/>
        <v>0</v>
      </c>
      <c r="S38" s="109">
        <f t="shared" si="19"/>
        <v>0</v>
      </c>
      <c r="T38" s="109">
        <f t="shared" si="19"/>
        <v>0</v>
      </c>
      <c r="U38" s="109">
        <f t="shared" si="19"/>
        <v>0</v>
      </c>
      <c r="V38" s="110">
        <f t="shared" si="19"/>
        <v>0</v>
      </c>
    </row>
    <row r="39" spans="1:22" ht="16" thickBot="1">
      <c r="A39" s="105" t="s">
        <v>319</v>
      </c>
      <c r="B39" s="106"/>
      <c r="C39" s="106"/>
      <c r="D39" s="111">
        <f>D38+D37</f>
        <v>75360</v>
      </c>
      <c r="E39" s="111">
        <f t="shared" ref="E39:V39" si="20">E38+E37</f>
        <v>34560</v>
      </c>
      <c r="F39" s="111">
        <f t="shared" si="20"/>
        <v>4560</v>
      </c>
      <c r="G39" s="111">
        <f t="shared" si="20"/>
        <v>4560</v>
      </c>
      <c r="H39" s="111">
        <f t="shared" si="20"/>
        <v>4560</v>
      </c>
      <c r="I39" s="111">
        <f t="shared" si="20"/>
        <v>0</v>
      </c>
      <c r="J39" s="111">
        <f t="shared" si="20"/>
        <v>0</v>
      </c>
      <c r="K39" s="111">
        <f t="shared" si="20"/>
        <v>0</v>
      </c>
      <c r="L39" s="111">
        <f t="shared" si="20"/>
        <v>0</v>
      </c>
      <c r="M39" s="111">
        <f t="shared" si="20"/>
        <v>0</v>
      </c>
      <c r="N39" s="111">
        <f t="shared" si="20"/>
        <v>0</v>
      </c>
      <c r="O39" s="111">
        <f t="shared" si="20"/>
        <v>0</v>
      </c>
      <c r="P39" s="111">
        <f t="shared" si="20"/>
        <v>0</v>
      </c>
      <c r="Q39" s="111">
        <f t="shared" si="20"/>
        <v>0</v>
      </c>
      <c r="R39" s="111">
        <f t="shared" si="20"/>
        <v>0</v>
      </c>
      <c r="S39" s="111">
        <f t="shared" si="20"/>
        <v>0</v>
      </c>
      <c r="T39" s="111">
        <f t="shared" si="20"/>
        <v>0</v>
      </c>
      <c r="U39" s="111">
        <f t="shared" si="20"/>
        <v>0</v>
      </c>
      <c r="V39" s="112">
        <f t="shared" si="20"/>
        <v>0</v>
      </c>
    </row>
    <row r="44" spans="1:22">
      <c r="B44" s="89"/>
    </row>
    <row r="45" spans="1:22">
      <c r="B45" s="89"/>
    </row>
    <row r="46" spans="1:22">
      <c r="B46" s="89"/>
    </row>
    <row r="47" spans="1:22">
      <c r="B47" s="89"/>
    </row>
    <row r="48" spans="1:22">
      <c r="B48" s="89"/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59C48-A1EA-4975-B918-0F6257180572}">
  <sheetPr>
    <tabColor rgb="FF00B0F0"/>
    <pageSetUpPr fitToPage="1"/>
  </sheetPr>
  <dimension ref="A1:BT151"/>
  <sheetViews>
    <sheetView topLeftCell="A2" zoomScale="85" zoomScaleNormal="85" workbookViewId="0">
      <pane xSplit="3" ySplit="1" topLeftCell="D3" activePane="bottomRight" state="frozen"/>
      <selection pane="topRight" activeCell="D2" sqref="D2"/>
      <selection pane="bottomLeft" activeCell="A3" sqref="A3"/>
      <selection pane="bottomRight" activeCell="H14" sqref="H14"/>
    </sheetView>
  </sheetViews>
  <sheetFormatPr baseColWidth="10" defaultColWidth="8.83203125" defaultRowHeight="15" outlineLevelRow="1"/>
  <cols>
    <col min="1" max="1" width="40.5" bestFit="1" customWidth="1"/>
    <col min="2" max="2" width="13.6640625" customWidth="1"/>
    <col min="3" max="3" width="17" customWidth="1"/>
    <col min="4" max="4" width="13.6640625" customWidth="1"/>
    <col min="5" max="68" width="10.83203125" customWidth="1"/>
    <col min="69" max="69" width="17.1640625" bestFit="1" customWidth="1"/>
    <col min="71" max="71" width="33.83203125" bestFit="1" customWidth="1"/>
    <col min="72" max="72" width="15.83203125" bestFit="1" customWidth="1"/>
  </cols>
  <sheetData>
    <row r="1" spans="1:72" hidden="1">
      <c r="A1" s="10"/>
      <c r="B1" s="36"/>
      <c r="C1" s="36"/>
      <c r="D1" s="29">
        <v>2</v>
      </c>
      <c r="E1" s="29">
        <f>+D1+1</f>
        <v>3</v>
      </c>
      <c r="F1" s="29">
        <f t="shared" ref="F1:AD1" si="0">+E1+1</f>
        <v>4</v>
      </c>
      <c r="G1" s="29">
        <f t="shared" si="0"/>
        <v>5</v>
      </c>
      <c r="H1" s="29">
        <f t="shared" si="0"/>
        <v>6</v>
      </c>
      <c r="I1" s="29">
        <f t="shared" si="0"/>
        <v>7</v>
      </c>
      <c r="J1" s="29">
        <f t="shared" si="0"/>
        <v>8</v>
      </c>
      <c r="K1" s="29">
        <f t="shared" si="0"/>
        <v>9</v>
      </c>
      <c r="L1" s="29">
        <f t="shared" si="0"/>
        <v>10</v>
      </c>
      <c r="M1" s="29">
        <f t="shared" si="0"/>
        <v>11</v>
      </c>
      <c r="N1" s="29">
        <f t="shared" si="0"/>
        <v>12</v>
      </c>
      <c r="O1" s="29">
        <f t="shared" si="0"/>
        <v>13</v>
      </c>
      <c r="P1" s="29">
        <f t="shared" si="0"/>
        <v>14</v>
      </c>
      <c r="Q1" s="29">
        <f t="shared" si="0"/>
        <v>15</v>
      </c>
      <c r="R1" s="29">
        <f t="shared" si="0"/>
        <v>16</v>
      </c>
      <c r="S1" s="29">
        <f t="shared" si="0"/>
        <v>17</v>
      </c>
      <c r="T1" s="29">
        <f t="shared" si="0"/>
        <v>18</v>
      </c>
      <c r="U1" s="29">
        <f t="shared" si="0"/>
        <v>19</v>
      </c>
      <c r="V1" s="29">
        <f t="shared" si="0"/>
        <v>20</v>
      </c>
      <c r="W1" s="29">
        <f t="shared" si="0"/>
        <v>21</v>
      </c>
      <c r="X1" s="29">
        <f t="shared" si="0"/>
        <v>22</v>
      </c>
      <c r="Y1" s="29">
        <f t="shared" si="0"/>
        <v>23</v>
      </c>
      <c r="Z1" s="29">
        <f t="shared" si="0"/>
        <v>24</v>
      </c>
      <c r="AA1" s="29">
        <f t="shared" si="0"/>
        <v>25</v>
      </c>
      <c r="AB1" s="29">
        <f t="shared" si="0"/>
        <v>26</v>
      </c>
      <c r="AC1" s="29">
        <f t="shared" si="0"/>
        <v>27</v>
      </c>
      <c r="AD1" s="29">
        <f t="shared" si="0"/>
        <v>28</v>
      </c>
      <c r="AE1" s="29">
        <f>+AC1+1</f>
        <v>28</v>
      </c>
      <c r="AF1" s="29">
        <f>+AD1+1</f>
        <v>29</v>
      </c>
      <c r="AG1" s="29">
        <f t="shared" ref="AG1:BO1" si="1">+AE1+1</f>
        <v>29</v>
      </c>
      <c r="AH1" s="29">
        <f t="shared" si="1"/>
        <v>30</v>
      </c>
      <c r="AI1" s="29">
        <f t="shared" si="1"/>
        <v>30</v>
      </c>
      <c r="AJ1" s="29">
        <f t="shared" si="1"/>
        <v>31</v>
      </c>
      <c r="AK1" s="29">
        <f t="shared" si="1"/>
        <v>31</v>
      </c>
      <c r="AL1" s="29">
        <f t="shared" si="1"/>
        <v>32</v>
      </c>
      <c r="AM1" s="29">
        <f t="shared" si="1"/>
        <v>32</v>
      </c>
      <c r="AN1" s="29">
        <f t="shared" si="1"/>
        <v>33</v>
      </c>
      <c r="AO1" s="29">
        <f t="shared" si="1"/>
        <v>33</v>
      </c>
      <c r="AP1" s="29">
        <f t="shared" si="1"/>
        <v>34</v>
      </c>
      <c r="AQ1" s="29">
        <f t="shared" si="1"/>
        <v>34</v>
      </c>
      <c r="AR1" s="29">
        <f t="shared" si="1"/>
        <v>35</v>
      </c>
      <c r="AS1" s="29">
        <f t="shared" si="1"/>
        <v>35</v>
      </c>
      <c r="AT1" s="29">
        <f t="shared" si="1"/>
        <v>36</v>
      </c>
      <c r="AU1" s="29">
        <f t="shared" si="1"/>
        <v>36</v>
      </c>
      <c r="AV1" s="29">
        <f t="shared" si="1"/>
        <v>37</v>
      </c>
      <c r="AW1" s="29">
        <f t="shared" si="1"/>
        <v>37</v>
      </c>
      <c r="AX1" s="29">
        <f t="shared" si="1"/>
        <v>38</v>
      </c>
      <c r="AY1" s="29">
        <f t="shared" si="1"/>
        <v>38</v>
      </c>
      <c r="AZ1" s="29">
        <f t="shared" si="1"/>
        <v>39</v>
      </c>
      <c r="BA1" s="29">
        <f t="shared" si="1"/>
        <v>39</v>
      </c>
      <c r="BB1" s="29">
        <f t="shared" si="1"/>
        <v>40</v>
      </c>
      <c r="BC1" s="29">
        <f t="shared" si="1"/>
        <v>40</v>
      </c>
      <c r="BD1" s="29">
        <f t="shared" si="1"/>
        <v>41</v>
      </c>
      <c r="BE1" s="29">
        <f t="shared" si="1"/>
        <v>41</v>
      </c>
      <c r="BF1" s="29">
        <f t="shared" si="1"/>
        <v>42</v>
      </c>
      <c r="BG1" s="29">
        <f t="shared" si="1"/>
        <v>42</v>
      </c>
      <c r="BH1" s="29">
        <f t="shared" si="1"/>
        <v>43</v>
      </c>
      <c r="BI1" s="29">
        <f t="shared" si="1"/>
        <v>43</v>
      </c>
      <c r="BJ1" s="29">
        <f t="shared" si="1"/>
        <v>44</v>
      </c>
      <c r="BK1" s="29">
        <f t="shared" si="1"/>
        <v>44</v>
      </c>
      <c r="BL1" s="29">
        <f t="shared" si="1"/>
        <v>45</v>
      </c>
      <c r="BM1" s="29">
        <f t="shared" si="1"/>
        <v>45</v>
      </c>
      <c r="BN1" s="29">
        <f t="shared" si="1"/>
        <v>46</v>
      </c>
      <c r="BO1" s="29">
        <f t="shared" si="1"/>
        <v>46</v>
      </c>
      <c r="BP1" s="29"/>
      <c r="BQ1" s="3"/>
    </row>
    <row r="2" spans="1:72" ht="16">
      <c r="A2" s="52" t="s">
        <v>54</v>
      </c>
      <c r="B2" s="51"/>
      <c r="C2" s="52"/>
      <c r="D2" s="53">
        <f>Assumptions!J1</f>
        <v>2027</v>
      </c>
      <c r="E2" s="53">
        <f>D2+1</f>
        <v>2028</v>
      </c>
      <c r="F2" s="53">
        <f t="shared" ref="F2:AD2" si="2">E2+1</f>
        <v>2029</v>
      </c>
      <c r="G2" s="53">
        <f t="shared" si="2"/>
        <v>2030</v>
      </c>
      <c r="H2" s="53">
        <f t="shared" si="2"/>
        <v>2031</v>
      </c>
      <c r="I2" s="53">
        <f t="shared" si="2"/>
        <v>2032</v>
      </c>
      <c r="J2" s="53">
        <f t="shared" si="2"/>
        <v>2033</v>
      </c>
      <c r="K2" s="53">
        <f t="shared" si="2"/>
        <v>2034</v>
      </c>
      <c r="L2" s="53">
        <f t="shared" si="2"/>
        <v>2035</v>
      </c>
      <c r="M2" s="53">
        <f t="shared" si="2"/>
        <v>2036</v>
      </c>
      <c r="N2" s="53">
        <f t="shared" si="2"/>
        <v>2037</v>
      </c>
      <c r="O2" s="53">
        <f t="shared" si="2"/>
        <v>2038</v>
      </c>
      <c r="P2" s="53">
        <f t="shared" si="2"/>
        <v>2039</v>
      </c>
      <c r="Q2" s="53">
        <f t="shared" si="2"/>
        <v>2040</v>
      </c>
      <c r="R2" s="53">
        <f t="shared" si="2"/>
        <v>2041</v>
      </c>
      <c r="S2" s="53">
        <f t="shared" si="2"/>
        <v>2042</v>
      </c>
      <c r="T2" s="53">
        <f t="shared" si="2"/>
        <v>2043</v>
      </c>
      <c r="U2" s="53">
        <f t="shared" si="2"/>
        <v>2044</v>
      </c>
      <c r="V2" s="53">
        <f t="shared" si="2"/>
        <v>2045</v>
      </c>
      <c r="W2" s="53">
        <f t="shared" si="2"/>
        <v>2046</v>
      </c>
      <c r="X2" s="53">
        <f t="shared" si="2"/>
        <v>2047</v>
      </c>
      <c r="Y2" s="53">
        <f t="shared" si="2"/>
        <v>2048</v>
      </c>
      <c r="Z2" s="53">
        <f t="shared" si="2"/>
        <v>2049</v>
      </c>
      <c r="AA2" s="53">
        <f t="shared" si="2"/>
        <v>2050</v>
      </c>
      <c r="AB2" s="53">
        <f t="shared" si="2"/>
        <v>2051</v>
      </c>
      <c r="AC2" s="53">
        <f t="shared" si="2"/>
        <v>2052</v>
      </c>
      <c r="AD2" s="53">
        <f t="shared" si="2"/>
        <v>2053</v>
      </c>
      <c r="AE2" s="53">
        <f>AC2+1</f>
        <v>2053</v>
      </c>
      <c r="AF2" s="53">
        <f>AD2+1</f>
        <v>2054</v>
      </c>
      <c r="AG2" s="53">
        <f t="shared" ref="AG2:BO2" si="3">AE2+1</f>
        <v>2054</v>
      </c>
      <c r="AH2" s="53">
        <f t="shared" si="3"/>
        <v>2055</v>
      </c>
      <c r="AI2" s="53">
        <f t="shared" si="3"/>
        <v>2055</v>
      </c>
      <c r="AJ2" s="53">
        <f t="shared" si="3"/>
        <v>2056</v>
      </c>
      <c r="AK2" s="53">
        <f t="shared" si="3"/>
        <v>2056</v>
      </c>
      <c r="AL2" s="53">
        <f t="shared" si="3"/>
        <v>2057</v>
      </c>
      <c r="AM2" s="53">
        <f t="shared" si="3"/>
        <v>2057</v>
      </c>
      <c r="AN2" s="53">
        <f t="shared" si="3"/>
        <v>2058</v>
      </c>
      <c r="AO2" s="53">
        <f t="shared" si="3"/>
        <v>2058</v>
      </c>
      <c r="AP2" s="53">
        <f t="shared" si="3"/>
        <v>2059</v>
      </c>
      <c r="AQ2" s="53">
        <f t="shared" si="3"/>
        <v>2059</v>
      </c>
      <c r="AR2" s="53">
        <f t="shared" si="3"/>
        <v>2060</v>
      </c>
      <c r="AS2" s="53">
        <f t="shared" si="3"/>
        <v>2060</v>
      </c>
      <c r="AT2" s="53">
        <f t="shared" si="3"/>
        <v>2061</v>
      </c>
      <c r="AU2" s="53">
        <f t="shared" si="3"/>
        <v>2061</v>
      </c>
      <c r="AV2" s="53">
        <f t="shared" si="3"/>
        <v>2062</v>
      </c>
      <c r="AW2" s="53">
        <f t="shared" si="3"/>
        <v>2062</v>
      </c>
      <c r="AX2" s="53">
        <f t="shared" si="3"/>
        <v>2063</v>
      </c>
      <c r="AY2" s="53">
        <f t="shared" si="3"/>
        <v>2063</v>
      </c>
      <c r="AZ2" s="53">
        <f t="shared" si="3"/>
        <v>2064</v>
      </c>
      <c r="BA2" s="53">
        <f t="shared" si="3"/>
        <v>2064</v>
      </c>
      <c r="BB2" s="53">
        <f t="shared" si="3"/>
        <v>2065</v>
      </c>
      <c r="BC2" s="53">
        <f t="shared" si="3"/>
        <v>2065</v>
      </c>
      <c r="BD2" s="53">
        <f t="shared" si="3"/>
        <v>2066</v>
      </c>
      <c r="BE2" s="53">
        <f t="shared" si="3"/>
        <v>2066</v>
      </c>
      <c r="BF2" s="53">
        <f t="shared" si="3"/>
        <v>2067</v>
      </c>
      <c r="BG2" s="53">
        <f t="shared" si="3"/>
        <v>2067</v>
      </c>
      <c r="BH2" s="53">
        <f t="shared" si="3"/>
        <v>2068</v>
      </c>
      <c r="BI2" s="53">
        <f t="shared" si="3"/>
        <v>2068</v>
      </c>
      <c r="BJ2" s="53">
        <f t="shared" si="3"/>
        <v>2069</v>
      </c>
      <c r="BK2" s="53">
        <f t="shared" si="3"/>
        <v>2069</v>
      </c>
      <c r="BL2" s="53">
        <f t="shared" si="3"/>
        <v>2070</v>
      </c>
      <c r="BM2" s="53">
        <f t="shared" si="3"/>
        <v>2070</v>
      </c>
      <c r="BN2" s="53">
        <f t="shared" si="3"/>
        <v>2071</v>
      </c>
      <c r="BO2" s="53">
        <f t="shared" si="3"/>
        <v>2071</v>
      </c>
      <c r="BP2" s="53"/>
      <c r="BQ2" s="54" t="s">
        <v>230</v>
      </c>
      <c r="BS2" s="15" t="s">
        <v>231</v>
      </c>
      <c r="BT2" s="16"/>
    </row>
    <row r="3" spans="1:72">
      <c r="A3" s="2" t="s">
        <v>232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"/>
      <c r="BS3" s="4" t="s">
        <v>233</v>
      </c>
      <c r="BT3" s="74">
        <f>BQ124/1000</f>
        <v>1320.0777893757813</v>
      </c>
    </row>
    <row r="4" spans="1:72" hidden="1">
      <c r="A4" s="28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2">
        <f>V6*5.5*3.55*1.45</f>
        <v>424668.75</v>
      </c>
      <c r="W4" s="82">
        <f>W6*5.5*3.55*1.45</f>
        <v>424668.75</v>
      </c>
      <c r="X4" s="86"/>
      <c r="Y4" s="86"/>
      <c r="Z4" s="82">
        <f>Z6*5.5*3.55*1.45</f>
        <v>0</v>
      </c>
      <c r="AA4" s="82">
        <f>AA6*5.5*3.55*1.45</f>
        <v>0</v>
      </c>
      <c r="AB4" s="86"/>
      <c r="AC4" s="82">
        <f>AC6*5.5*3.55*1.45</f>
        <v>0</v>
      </c>
      <c r="AD4" s="82">
        <f>AD6*5.5*3.55*1.45</f>
        <v>0</v>
      </c>
      <c r="AE4" s="82">
        <f>AE6*5.5*3.55*1.45</f>
        <v>0</v>
      </c>
      <c r="AF4" s="82">
        <f>AF6*5.5*3.55*1.45</f>
        <v>0</v>
      </c>
      <c r="AG4" s="82">
        <f t="shared" ref="AG4:BO4" si="4">AG6*5.5*3.55*1.45</f>
        <v>0</v>
      </c>
      <c r="AH4" s="82">
        <f t="shared" si="4"/>
        <v>0</v>
      </c>
      <c r="AI4" s="82">
        <f t="shared" si="4"/>
        <v>0</v>
      </c>
      <c r="AJ4" s="82">
        <f t="shared" si="4"/>
        <v>0</v>
      </c>
      <c r="AK4" s="82">
        <f t="shared" si="4"/>
        <v>0</v>
      </c>
      <c r="AL4" s="82">
        <f t="shared" si="4"/>
        <v>0</v>
      </c>
      <c r="AM4" s="82">
        <f t="shared" si="4"/>
        <v>0</v>
      </c>
      <c r="AN4" s="82">
        <f t="shared" si="4"/>
        <v>0</v>
      </c>
      <c r="AO4" s="82">
        <f t="shared" si="4"/>
        <v>0</v>
      </c>
      <c r="AP4" s="82">
        <f t="shared" si="4"/>
        <v>0</v>
      </c>
      <c r="AQ4" s="82">
        <f t="shared" si="4"/>
        <v>0</v>
      </c>
      <c r="AR4" s="82">
        <f t="shared" si="4"/>
        <v>0</v>
      </c>
      <c r="AS4" s="82">
        <f t="shared" si="4"/>
        <v>0</v>
      </c>
      <c r="AT4" s="82">
        <f t="shared" si="4"/>
        <v>0</v>
      </c>
      <c r="AU4" s="82">
        <f t="shared" si="4"/>
        <v>0</v>
      </c>
      <c r="AV4" s="82">
        <f t="shared" si="4"/>
        <v>0</v>
      </c>
      <c r="AW4" s="82">
        <f t="shared" si="4"/>
        <v>0</v>
      </c>
      <c r="AX4" s="82">
        <f t="shared" si="4"/>
        <v>0</v>
      </c>
      <c r="AY4" s="82">
        <f t="shared" si="4"/>
        <v>0</v>
      </c>
      <c r="AZ4" s="82">
        <f t="shared" si="4"/>
        <v>0</v>
      </c>
      <c r="BA4" s="82">
        <f t="shared" si="4"/>
        <v>0</v>
      </c>
      <c r="BB4" s="82">
        <f t="shared" si="4"/>
        <v>0</v>
      </c>
      <c r="BC4" s="82">
        <f t="shared" si="4"/>
        <v>0</v>
      </c>
      <c r="BD4" s="82">
        <f t="shared" si="4"/>
        <v>0</v>
      </c>
      <c r="BE4" s="82">
        <f t="shared" si="4"/>
        <v>0</v>
      </c>
      <c r="BF4" s="82">
        <f t="shared" si="4"/>
        <v>0</v>
      </c>
      <c r="BG4" s="82">
        <f t="shared" si="4"/>
        <v>0</v>
      </c>
      <c r="BH4" s="82">
        <f t="shared" si="4"/>
        <v>0</v>
      </c>
      <c r="BI4" s="82">
        <f t="shared" si="4"/>
        <v>0</v>
      </c>
      <c r="BJ4" s="82">
        <f t="shared" si="4"/>
        <v>0</v>
      </c>
      <c r="BK4" s="82">
        <f t="shared" si="4"/>
        <v>0</v>
      </c>
      <c r="BL4" s="82">
        <f t="shared" si="4"/>
        <v>0</v>
      </c>
      <c r="BM4" s="82">
        <f t="shared" si="4"/>
        <v>0</v>
      </c>
      <c r="BN4" s="82">
        <f t="shared" si="4"/>
        <v>0</v>
      </c>
      <c r="BO4" s="82">
        <f t="shared" si="4"/>
        <v>0</v>
      </c>
      <c r="BP4" s="82"/>
      <c r="BQ4" s="25"/>
      <c r="BS4" s="8"/>
      <c r="BT4" s="73"/>
    </row>
    <row r="5" spans="1:72">
      <c r="A5" s="28" t="s">
        <v>234</v>
      </c>
      <c r="B5" s="84"/>
      <c r="D5" s="139"/>
      <c r="E5" s="140"/>
      <c r="F5" s="140"/>
      <c r="G5" s="140"/>
      <c r="H5" s="140"/>
      <c r="I5" s="140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3"/>
      <c r="W5" s="83"/>
      <c r="X5" s="84"/>
      <c r="Y5" s="84"/>
      <c r="Z5" s="83"/>
      <c r="AA5" s="83"/>
      <c r="AB5" s="84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25"/>
    </row>
    <row r="6" spans="1:72">
      <c r="A6" s="4" t="s">
        <v>102</v>
      </c>
      <c r="B6" s="17" t="s">
        <v>103</v>
      </c>
      <c r="C6" s="12"/>
      <c r="D6" s="76">
        <v>0</v>
      </c>
      <c r="E6" s="76">
        <v>0</v>
      </c>
      <c r="F6" s="76">
        <v>0</v>
      </c>
      <c r="G6" s="76">
        <v>0</v>
      </c>
      <c r="H6" s="76">
        <v>7500</v>
      </c>
      <c r="I6" s="76">
        <v>15000</v>
      </c>
      <c r="J6" s="76">
        <v>15000</v>
      </c>
      <c r="K6" s="76">
        <v>15000</v>
      </c>
      <c r="L6" s="76">
        <v>15000</v>
      </c>
      <c r="M6" s="76">
        <v>15000</v>
      </c>
      <c r="N6" s="76">
        <v>15000</v>
      </c>
      <c r="O6" s="76">
        <v>15000</v>
      </c>
      <c r="P6" s="76">
        <v>15000</v>
      </c>
      <c r="Q6" s="76">
        <v>15000</v>
      </c>
      <c r="R6" s="76">
        <v>15000</v>
      </c>
      <c r="S6" s="76">
        <v>15000</v>
      </c>
      <c r="T6" s="76">
        <v>15000</v>
      </c>
      <c r="U6" s="76">
        <v>15000</v>
      </c>
      <c r="V6" s="76">
        <v>15000</v>
      </c>
      <c r="W6" s="76">
        <v>15000</v>
      </c>
      <c r="X6" s="76">
        <v>15000</v>
      </c>
      <c r="Y6" s="76">
        <v>7500</v>
      </c>
      <c r="Z6" s="76"/>
      <c r="AA6" s="76"/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/>
      <c r="BQ6" s="5">
        <f>SUM(D6:BO6)</f>
        <v>255000</v>
      </c>
      <c r="BS6" s="15" t="s">
        <v>235</v>
      </c>
      <c r="BT6" s="16"/>
    </row>
    <row r="7" spans="1:72">
      <c r="A7" s="4" t="s">
        <v>236</v>
      </c>
      <c r="B7" s="17" t="s">
        <v>105</v>
      </c>
      <c r="C7" s="75"/>
      <c r="D7" s="76">
        <f>(3*5.2*1.45*D6)/1000</f>
        <v>0</v>
      </c>
      <c r="E7" s="76">
        <f t="shared" ref="E7:AD7" si="5">(3*5.2*1.45*E6)/1000</f>
        <v>0</v>
      </c>
      <c r="F7" s="76">
        <f t="shared" si="5"/>
        <v>0</v>
      </c>
      <c r="G7" s="76">
        <f t="shared" si="5"/>
        <v>0</v>
      </c>
      <c r="H7" s="76">
        <f>(3*5.2*1.45*H6)/1000</f>
        <v>169.65</v>
      </c>
      <c r="I7" s="76">
        <f t="shared" si="5"/>
        <v>339.3</v>
      </c>
      <c r="J7" s="76">
        <f t="shared" si="5"/>
        <v>339.3</v>
      </c>
      <c r="K7" s="76">
        <f t="shared" si="5"/>
        <v>339.3</v>
      </c>
      <c r="L7" s="76">
        <f t="shared" si="5"/>
        <v>339.3</v>
      </c>
      <c r="M7" s="76">
        <f t="shared" si="5"/>
        <v>339.3</v>
      </c>
      <c r="N7" s="76">
        <f t="shared" si="5"/>
        <v>339.3</v>
      </c>
      <c r="O7" s="76">
        <f t="shared" si="5"/>
        <v>339.3</v>
      </c>
      <c r="P7" s="76">
        <f t="shared" si="5"/>
        <v>339.3</v>
      </c>
      <c r="Q7" s="76">
        <f t="shared" si="5"/>
        <v>339.3</v>
      </c>
      <c r="R7" s="76">
        <f t="shared" si="5"/>
        <v>339.3</v>
      </c>
      <c r="S7" s="76">
        <f t="shared" si="5"/>
        <v>339.3</v>
      </c>
      <c r="T7" s="76">
        <f t="shared" si="5"/>
        <v>339.3</v>
      </c>
      <c r="U7" s="76">
        <f t="shared" si="5"/>
        <v>339.3</v>
      </c>
      <c r="V7" s="76">
        <f t="shared" si="5"/>
        <v>339.3</v>
      </c>
      <c r="W7" s="76">
        <f t="shared" si="5"/>
        <v>339.3</v>
      </c>
      <c r="X7" s="76">
        <f t="shared" si="5"/>
        <v>339.3</v>
      </c>
      <c r="Y7" s="76">
        <f t="shared" si="5"/>
        <v>169.65</v>
      </c>
      <c r="Z7" s="76">
        <f t="shared" si="5"/>
        <v>0</v>
      </c>
      <c r="AA7" s="76">
        <f t="shared" si="5"/>
        <v>0</v>
      </c>
      <c r="AB7" s="76">
        <f t="shared" si="5"/>
        <v>0</v>
      </c>
      <c r="AC7" s="76">
        <f t="shared" si="5"/>
        <v>0</v>
      </c>
      <c r="AD7" s="76">
        <f t="shared" si="5"/>
        <v>0</v>
      </c>
      <c r="AE7" s="76">
        <f t="shared" ref="AE7:AF7" si="6">(3*5.2*1.45*AE6)/1000</f>
        <v>0</v>
      </c>
      <c r="AF7" s="76">
        <f t="shared" si="6"/>
        <v>0</v>
      </c>
      <c r="AG7" s="76">
        <f t="shared" ref="AG7:BO7" si="7">(3*5.2*1.45*AG6)/1000</f>
        <v>0</v>
      </c>
      <c r="AH7" s="76">
        <f t="shared" si="7"/>
        <v>0</v>
      </c>
      <c r="AI7" s="76">
        <f t="shared" si="7"/>
        <v>0</v>
      </c>
      <c r="AJ7" s="76">
        <f t="shared" si="7"/>
        <v>0</v>
      </c>
      <c r="AK7" s="76">
        <f t="shared" si="7"/>
        <v>0</v>
      </c>
      <c r="AL7" s="76">
        <f t="shared" si="7"/>
        <v>0</v>
      </c>
      <c r="AM7" s="76">
        <f t="shared" si="7"/>
        <v>0</v>
      </c>
      <c r="AN7" s="76">
        <f t="shared" si="7"/>
        <v>0</v>
      </c>
      <c r="AO7" s="76">
        <f t="shared" si="7"/>
        <v>0</v>
      </c>
      <c r="AP7" s="76">
        <f t="shared" si="7"/>
        <v>0</v>
      </c>
      <c r="AQ7" s="76">
        <f t="shared" si="7"/>
        <v>0</v>
      </c>
      <c r="AR7" s="76">
        <f t="shared" si="7"/>
        <v>0</v>
      </c>
      <c r="AS7" s="76">
        <f t="shared" si="7"/>
        <v>0</v>
      </c>
      <c r="AT7" s="76">
        <f t="shared" si="7"/>
        <v>0</v>
      </c>
      <c r="AU7" s="76">
        <f t="shared" si="7"/>
        <v>0</v>
      </c>
      <c r="AV7" s="76">
        <f t="shared" si="7"/>
        <v>0</v>
      </c>
      <c r="AW7" s="76">
        <f t="shared" si="7"/>
        <v>0</v>
      </c>
      <c r="AX7" s="76">
        <f t="shared" si="7"/>
        <v>0</v>
      </c>
      <c r="AY7" s="76">
        <f t="shared" si="7"/>
        <v>0</v>
      </c>
      <c r="AZ7" s="76">
        <f t="shared" si="7"/>
        <v>0</v>
      </c>
      <c r="BA7" s="76">
        <f t="shared" si="7"/>
        <v>0</v>
      </c>
      <c r="BB7" s="76">
        <f t="shared" si="7"/>
        <v>0</v>
      </c>
      <c r="BC7" s="76">
        <f t="shared" si="7"/>
        <v>0</v>
      </c>
      <c r="BD7" s="76">
        <f t="shared" si="7"/>
        <v>0</v>
      </c>
      <c r="BE7" s="76">
        <f t="shared" si="7"/>
        <v>0</v>
      </c>
      <c r="BF7" s="76">
        <f t="shared" si="7"/>
        <v>0</v>
      </c>
      <c r="BG7" s="76">
        <f t="shared" si="7"/>
        <v>0</v>
      </c>
      <c r="BH7" s="76">
        <f t="shared" si="7"/>
        <v>0</v>
      </c>
      <c r="BI7" s="76">
        <f t="shared" si="7"/>
        <v>0</v>
      </c>
      <c r="BJ7" s="76">
        <f t="shared" si="7"/>
        <v>0</v>
      </c>
      <c r="BK7" s="76">
        <f t="shared" si="7"/>
        <v>0</v>
      </c>
      <c r="BL7" s="76">
        <f t="shared" si="7"/>
        <v>0</v>
      </c>
      <c r="BM7" s="76">
        <f t="shared" si="7"/>
        <v>0</v>
      </c>
      <c r="BN7" s="76">
        <f t="shared" si="7"/>
        <v>0</v>
      </c>
      <c r="BO7" s="76">
        <f t="shared" si="7"/>
        <v>0</v>
      </c>
      <c r="BP7" s="76"/>
      <c r="BQ7" s="5">
        <f>SUM(D7:BO7)</f>
        <v>5768.1000000000013</v>
      </c>
      <c r="BS7" s="4" t="s">
        <v>237</v>
      </c>
      <c r="BT7" s="39">
        <v>0</v>
      </c>
    </row>
    <row r="8" spans="1:72">
      <c r="A8" s="4" t="s">
        <v>238</v>
      </c>
      <c r="B8" s="17" t="s">
        <v>105</v>
      </c>
      <c r="C8" s="12"/>
      <c r="D8" s="76"/>
      <c r="E8" s="76"/>
      <c r="F8" s="76"/>
      <c r="G8" s="76"/>
      <c r="H8" s="76"/>
      <c r="I8" s="76"/>
      <c r="J8" s="76">
        <v>7600</v>
      </c>
      <c r="K8" s="76">
        <v>7600</v>
      </c>
      <c r="L8" s="76">
        <v>7600</v>
      </c>
      <c r="M8" s="76">
        <v>7600</v>
      </c>
      <c r="N8" s="76">
        <v>7600</v>
      </c>
      <c r="O8" s="76">
        <v>7600</v>
      </c>
      <c r="P8" s="76">
        <v>7600</v>
      </c>
      <c r="Q8" s="76">
        <v>7600</v>
      </c>
      <c r="R8" s="76">
        <v>7600</v>
      </c>
      <c r="S8" s="76">
        <v>7600</v>
      </c>
      <c r="T8" s="76">
        <v>7600</v>
      </c>
      <c r="U8" s="76">
        <v>7600</v>
      </c>
      <c r="V8" s="76">
        <v>7600</v>
      </c>
      <c r="W8" s="76">
        <v>7600</v>
      </c>
      <c r="X8" s="76">
        <v>7600</v>
      </c>
      <c r="Y8" s="76">
        <v>7600</v>
      </c>
      <c r="Z8" s="76">
        <v>7600</v>
      </c>
      <c r="AA8" s="76">
        <v>7600</v>
      </c>
      <c r="AB8" s="76">
        <v>0</v>
      </c>
      <c r="AC8" s="76">
        <v>0</v>
      </c>
      <c r="AD8" s="76">
        <v>0</v>
      </c>
      <c r="AE8" s="76">
        <v>0</v>
      </c>
      <c r="AF8" s="76">
        <v>0</v>
      </c>
      <c r="AG8" s="76">
        <v>0</v>
      </c>
      <c r="AH8" s="76">
        <v>0</v>
      </c>
      <c r="AI8" s="76">
        <v>0</v>
      </c>
      <c r="AJ8" s="76">
        <v>0</v>
      </c>
      <c r="AK8" s="76">
        <v>0</v>
      </c>
      <c r="AL8" s="76">
        <v>0</v>
      </c>
      <c r="AM8" s="76">
        <v>0</v>
      </c>
      <c r="AN8" s="76">
        <v>0</v>
      </c>
      <c r="AO8" s="76">
        <v>0</v>
      </c>
      <c r="AP8" s="76">
        <v>0</v>
      </c>
      <c r="AQ8" s="76">
        <v>0</v>
      </c>
      <c r="AR8" s="76">
        <v>0</v>
      </c>
      <c r="AS8" s="76">
        <v>0</v>
      </c>
      <c r="AT8" s="76">
        <v>0</v>
      </c>
      <c r="AU8" s="76">
        <v>0</v>
      </c>
      <c r="AV8" s="76">
        <v>0</v>
      </c>
      <c r="AW8" s="76">
        <v>0</v>
      </c>
      <c r="AX8" s="76">
        <v>0</v>
      </c>
      <c r="AY8" s="76">
        <v>0</v>
      </c>
      <c r="AZ8" s="76">
        <v>0</v>
      </c>
      <c r="BA8" s="76">
        <v>0</v>
      </c>
      <c r="BB8" s="76">
        <v>0</v>
      </c>
      <c r="BC8" s="76">
        <v>0</v>
      </c>
      <c r="BD8" s="76">
        <v>0</v>
      </c>
      <c r="BE8" s="76">
        <v>0</v>
      </c>
      <c r="BF8" s="76">
        <v>0</v>
      </c>
      <c r="BG8" s="76">
        <v>0</v>
      </c>
      <c r="BH8" s="76">
        <v>0</v>
      </c>
      <c r="BI8" s="76">
        <v>0</v>
      </c>
      <c r="BJ8" s="76">
        <v>0</v>
      </c>
      <c r="BK8" s="76">
        <v>0</v>
      </c>
      <c r="BL8" s="76">
        <v>0</v>
      </c>
      <c r="BM8" s="76">
        <v>0</v>
      </c>
      <c r="BN8" s="76">
        <v>0</v>
      </c>
      <c r="BO8" s="76">
        <v>0</v>
      </c>
      <c r="BP8" s="76"/>
      <c r="BQ8" s="5">
        <f>SUM(D8:BO8)</f>
        <v>136800</v>
      </c>
      <c r="BS8" s="4" t="s">
        <v>239</v>
      </c>
      <c r="BT8" s="39">
        <v>0</v>
      </c>
    </row>
    <row r="9" spans="1:72">
      <c r="A9" s="4" t="s">
        <v>240</v>
      </c>
      <c r="B9" s="17" t="s">
        <v>105</v>
      </c>
      <c r="C9" s="12"/>
      <c r="D9" s="76">
        <f t="shared" ref="D9:AD9" si="8">D7+D8</f>
        <v>0</v>
      </c>
      <c r="E9" s="76">
        <f t="shared" si="8"/>
        <v>0</v>
      </c>
      <c r="F9" s="76">
        <f t="shared" si="8"/>
        <v>0</v>
      </c>
      <c r="G9" s="76">
        <f t="shared" si="8"/>
        <v>0</v>
      </c>
      <c r="H9" s="76">
        <f>H7+H8</f>
        <v>169.65</v>
      </c>
      <c r="I9" s="76">
        <f t="shared" si="8"/>
        <v>339.3</v>
      </c>
      <c r="J9" s="76">
        <f>J7+J8</f>
        <v>7939.3</v>
      </c>
      <c r="K9" s="76">
        <f t="shared" si="8"/>
        <v>7939.3</v>
      </c>
      <c r="L9" s="76">
        <f t="shared" si="8"/>
        <v>7939.3</v>
      </c>
      <c r="M9" s="76">
        <f t="shared" si="8"/>
        <v>7939.3</v>
      </c>
      <c r="N9" s="76">
        <f t="shared" si="8"/>
        <v>7939.3</v>
      </c>
      <c r="O9" s="76">
        <f t="shared" si="8"/>
        <v>7939.3</v>
      </c>
      <c r="P9" s="76">
        <f t="shared" si="8"/>
        <v>7939.3</v>
      </c>
      <c r="Q9" s="76">
        <f t="shared" si="8"/>
        <v>7939.3</v>
      </c>
      <c r="R9" s="76">
        <f t="shared" si="8"/>
        <v>7939.3</v>
      </c>
      <c r="S9" s="76">
        <f t="shared" si="8"/>
        <v>7939.3</v>
      </c>
      <c r="T9" s="76">
        <f t="shared" si="8"/>
        <v>7939.3</v>
      </c>
      <c r="U9" s="76">
        <f t="shared" si="8"/>
        <v>7939.3</v>
      </c>
      <c r="V9" s="76">
        <f t="shared" si="8"/>
        <v>7939.3</v>
      </c>
      <c r="W9" s="76">
        <f t="shared" si="8"/>
        <v>7939.3</v>
      </c>
      <c r="X9" s="76">
        <f t="shared" si="8"/>
        <v>7939.3</v>
      </c>
      <c r="Y9" s="76">
        <f t="shared" si="8"/>
        <v>7769.65</v>
      </c>
      <c r="Z9" s="76">
        <f t="shared" si="8"/>
        <v>7600</v>
      </c>
      <c r="AA9" s="76">
        <f t="shared" si="8"/>
        <v>7600</v>
      </c>
      <c r="AB9" s="76">
        <f t="shared" si="8"/>
        <v>0</v>
      </c>
      <c r="AC9" s="76">
        <f t="shared" si="8"/>
        <v>0</v>
      </c>
      <c r="AD9" s="76">
        <f t="shared" si="8"/>
        <v>0</v>
      </c>
      <c r="AE9" s="76">
        <f t="shared" ref="AE9:AF9" si="9">AE7+AE8</f>
        <v>0</v>
      </c>
      <c r="AF9" s="76">
        <f t="shared" si="9"/>
        <v>0</v>
      </c>
      <c r="AG9" s="76">
        <f t="shared" ref="AG9:BO9" si="10">AG7+AG8</f>
        <v>0</v>
      </c>
      <c r="AH9" s="76">
        <f t="shared" si="10"/>
        <v>0</v>
      </c>
      <c r="AI9" s="76">
        <f t="shared" si="10"/>
        <v>0</v>
      </c>
      <c r="AJ9" s="76">
        <f t="shared" si="10"/>
        <v>0</v>
      </c>
      <c r="AK9" s="76">
        <f t="shared" si="10"/>
        <v>0</v>
      </c>
      <c r="AL9" s="76">
        <f t="shared" si="10"/>
        <v>0</v>
      </c>
      <c r="AM9" s="76">
        <f t="shared" si="10"/>
        <v>0</v>
      </c>
      <c r="AN9" s="76">
        <f t="shared" si="10"/>
        <v>0</v>
      </c>
      <c r="AO9" s="76">
        <f t="shared" si="10"/>
        <v>0</v>
      </c>
      <c r="AP9" s="76">
        <f t="shared" si="10"/>
        <v>0</v>
      </c>
      <c r="AQ9" s="76">
        <f t="shared" si="10"/>
        <v>0</v>
      </c>
      <c r="AR9" s="76">
        <f t="shared" si="10"/>
        <v>0</v>
      </c>
      <c r="AS9" s="76">
        <f t="shared" si="10"/>
        <v>0</v>
      </c>
      <c r="AT9" s="76">
        <f t="shared" si="10"/>
        <v>0</v>
      </c>
      <c r="AU9" s="76">
        <f t="shared" si="10"/>
        <v>0</v>
      </c>
      <c r="AV9" s="76">
        <f t="shared" si="10"/>
        <v>0</v>
      </c>
      <c r="AW9" s="76">
        <f t="shared" si="10"/>
        <v>0</v>
      </c>
      <c r="AX9" s="76">
        <f t="shared" si="10"/>
        <v>0</v>
      </c>
      <c r="AY9" s="76">
        <f t="shared" si="10"/>
        <v>0</v>
      </c>
      <c r="AZ9" s="76">
        <f t="shared" si="10"/>
        <v>0</v>
      </c>
      <c r="BA9" s="76">
        <f t="shared" si="10"/>
        <v>0</v>
      </c>
      <c r="BB9" s="76">
        <f t="shared" si="10"/>
        <v>0</v>
      </c>
      <c r="BC9" s="76">
        <f t="shared" si="10"/>
        <v>0</v>
      </c>
      <c r="BD9" s="76">
        <f t="shared" si="10"/>
        <v>0</v>
      </c>
      <c r="BE9" s="76">
        <f t="shared" si="10"/>
        <v>0</v>
      </c>
      <c r="BF9" s="76">
        <f t="shared" si="10"/>
        <v>0</v>
      </c>
      <c r="BG9" s="76">
        <f t="shared" si="10"/>
        <v>0</v>
      </c>
      <c r="BH9" s="76">
        <f t="shared" si="10"/>
        <v>0</v>
      </c>
      <c r="BI9" s="76">
        <f t="shared" si="10"/>
        <v>0</v>
      </c>
      <c r="BJ9" s="76">
        <f t="shared" si="10"/>
        <v>0</v>
      </c>
      <c r="BK9" s="76">
        <f t="shared" si="10"/>
        <v>0</v>
      </c>
      <c r="BL9" s="76">
        <f t="shared" si="10"/>
        <v>0</v>
      </c>
      <c r="BM9" s="76">
        <f t="shared" si="10"/>
        <v>0</v>
      </c>
      <c r="BN9" s="76">
        <f t="shared" si="10"/>
        <v>0</v>
      </c>
      <c r="BO9" s="76">
        <f t="shared" si="10"/>
        <v>0</v>
      </c>
      <c r="BP9" s="76"/>
      <c r="BQ9" s="5">
        <f>SUM(D9:BO9)</f>
        <v>142568.10000000003</v>
      </c>
      <c r="BS9" s="4" t="s">
        <v>241</v>
      </c>
      <c r="BT9" s="39">
        <v>0</v>
      </c>
    </row>
    <row r="10" spans="1:72">
      <c r="A10" s="4"/>
      <c r="B10" s="87"/>
      <c r="C10" s="85"/>
      <c r="D10" s="78"/>
      <c r="E10" s="78"/>
      <c r="F10" s="78"/>
      <c r="G10" s="78"/>
      <c r="H10" s="78"/>
      <c r="I10" s="78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12"/>
      <c r="X10" s="76"/>
      <c r="Y10" s="76"/>
      <c r="Z10" s="76"/>
      <c r="AA10" s="12"/>
      <c r="AB10" s="76"/>
      <c r="AC10" s="76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5"/>
      <c r="BS10" s="4" t="s">
        <v>242</v>
      </c>
      <c r="BT10" s="39">
        <v>0</v>
      </c>
    </row>
    <row r="11" spans="1:72">
      <c r="A11" s="28" t="s">
        <v>108</v>
      </c>
      <c r="B11" s="87"/>
      <c r="C11" s="12"/>
      <c r="D11" s="137"/>
      <c r="E11" s="90"/>
      <c r="F11" s="90"/>
      <c r="G11" s="90"/>
      <c r="H11" s="90"/>
      <c r="I11" s="90"/>
      <c r="J11" s="90"/>
      <c r="K11" s="137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12"/>
      <c r="X11" s="90"/>
      <c r="Y11" s="90"/>
      <c r="Z11" s="90"/>
      <c r="AA11" s="12"/>
      <c r="AB11" s="90"/>
      <c r="AC11" s="90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5"/>
      <c r="BS11" s="4" t="s">
        <v>243</v>
      </c>
      <c r="BT11" s="39">
        <v>0</v>
      </c>
    </row>
    <row r="12" spans="1:72">
      <c r="A12" s="4" t="s">
        <v>109</v>
      </c>
      <c r="B12" s="17" t="s">
        <v>105</v>
      </c>
      <c r="C12" s="12"/>
      <c r="D12" s="12">
        <f>D9</f>
        <v>0</v>
      </c>
      <c r="E12" s="12">
        <f t="shared" ref="E12:AD12" si="11">E9</f>
        <v>0</v>
      </c>
      <c r="F12" s="12">
        <f t="shared" si="11"/>
        <v>0</v>
      </c>
      <c r="G12" s="12">
        <f t="shared" si="11"/>
        <v>0</v>
      </c>
      <c r="H12" s="12">
        <f t="shared" si="11"/>
        <v>169.65</v>
      </c>
      <c r="I12" s="12">
        <f t="shared" si="11"/>
        <v>339.3</v>
      </c>
      <c r="J12" s="12">
        <f t="shared" si="11"/>
        <v>7939.3</v>
      </c>
      <c r="K12" s="12">
        <f t="shared" si="11"/>
        <v>7939.3</v>
      </c>
      <c r="L12" s="12">
        <f t="shared" si="11"/>
        <v>7939.3</v>
      </c>
      <c r="M12" s="12">
        <f t="shared" si="11"/>
        <v>7939.3</v>
      </c>
      <c r="N12" s="12">
        <f t="shared" si="11"/>
        <v>7939.3</v>
      </c>
      <c r="O12" s="12">
        <f t="shared" si="11"/>
        <v>7939.3</v>
      </c>
      <c r="P12" s="12">
        <f t="shared" si="11"/>
        <v>7939.3</v>
      </c>
      <c r="Q12" s="12">
        <f t="shared" si="11"/>
        <v>7939.3</v>
      </c>
      <c r="R12" s="12">
        <f t="shared" si="11"/>
        <v>7939.3</v>
      </c>
      <c r="S12" s="12">
        <f t="shared" si="11"/>
        <v>7939.3</v>
      </c>
      <c r="T12" s="12">
        <f t="shared" si="11"/>
        <v>7939.3</v>
      </c>
      <c r="U12" s="12">
        <f t="shared" si="11"/>
        <v>7939.3</v>
      </c>
      <c r="V12" s="12">
        <f t="shared" si="11"/>
        <v>7939.3</v>
      </c>
      <c r="W12" s="12">
        <f t="shared" si="11"/>
        <v>7939.3</v>
      </c>
      <c r="X12" s="12">
        <f t="shared" si="11"/>
        <v>7939.3</v>
      </c>
      <c r="Y12" s="12">
        <f t="shared" si="11"/>
        <v>7769.65</v>
      </c>
      <c r="Z12" s="12">
        <f t="shared" si="11"/>
        <v>7600</v>
      </c>
      <c r="AA12" s="12">
        <f t="shared" si="11"/>
        <v>7600</v>
      </c>
      <c r="AB12" s="12">
        <f t="shared" si="11"/>
        <v>0</v>
      </c>
      <c r="AC12" s="12">
        <f t="shared" si="11"/>
        <v>0</v>
      </c>
      <c r="AD12" s="12">
        <f t="shared" si="11"/>
        <v>0</v>
      </c>
      <c r="AE12" s="12">
        <f t="shared" ref="AE12:AF12" si="12">AE9</f>
        <v>0</v>
      </c>
      <c r="AF12" s="12">
        <f t="shared" si="12"/>
        <v>0</v>
      </c>
      <c r="AG12" s="12">
        <f t="shared" ref="AG12:BO12" si="13">AG9</f>
        <v>0</v>
      </c>
      <c r="AH12" s="12">
        <f t="shared" si="13"/>
        <v>0</v>
      </c>
      <c r="AI12" s="12">
        <f t="shared" si="13"/>
        <v>0</v>
      </c>
      <c r="AJ12" s="12">
        <f t="shared" si="13"/>
        <v>0</v>
      </c>
      <c r="AK12" s="12">
        <f t="shared" si="13"/>
        <v>0</v>
      </c>
      <c r="AL12" s="12">
        <f t="shared" si="13"/>
        <v>0</v>
      </c>
      <c r="AM12" s="12">
        <f t="shared" si="13"/>
        <v>0</v>
      </c>
      <c r="AN12" s="12">
        <f t="shared" si="13"/>
        <v>0</v>
      </c>
      <c r="AO12" s="12">
        <f t="shared" si="13"/>
        <v>0</v>
      </c>
      <c r="AP12" s="12">
        <f t="shared" si="13"/>
        <v>0</v>
      </c>
      <c r="AQ12" s="12">
        <f t="shared" si="13"/>
        <v>0</v>
      </c>
      <c r="AR12" s="12">
        <f t="shared" si="13"/>
        <v>0</v>
      </c>
      <c r="AS12" s="12">
        <f t="shared" si="13"/>
        <v>0</v>
      </c>
      <c r="AT12" s="12">
        <f t="shared" si="13"/>
        <v>0</v>
      </c>
      <c r="AU12" s="12">
        <f t="shared" si="13"/>
        <v>0</v>
      </c>
      <c r="AV12" s="12">
        <f t="shared" si="13"/>
        <v>0</v>
      </c>
      <c r="AW12" s="12">
        <f t="shared" si="13"/>
        <v>0</v>
      </c>
      <c r="AX12" s="12">
        <f t="shared" si="13"/>
        <v>0</v>
      </c>
      <c r="AY12" s="12">
        <f t="shared" si="13"/>
        <v>0</v>
      </c>
      <c r="AZ12" s="12">
        <f t="shared" si="13"/>
        <v>0</v>
      </c>
      <c r="BA12" s="12">
        <f t="shared" si="13"/>
        <v>0</v>
      </c>
      <c r="BB12" s="12">
        <f t="shared" si="13"/>
        <v>0</v>
      </c>
      <c r="BC12" s="12">
        <f t="shared" si="13"/>
        <v>0</v>
      </c>
      <c r="BD12" s="12">
        <f t="shared" si="13"/>
        <v>0</v>
      </c>
      <c r="BE12" s="12">
        <f t="shared" si="13"/>
        <v>0</v>
      </c>
      <c r="BF12" s="12">
        <f t="shared" si="13"/>
        <v>0</v>
      </c>
      <c r="BG12" s="12">
        <f t="shared" si="13"/>
        <v>0</v>
      </c>
      <c r="BH12" s="12">
        <f t="shared" si="13"/>
        <v>0</v>
      </c>
      <c r="BI12" s="12">
        <f t="shared" si="13"/>
        <v>0</v>
      </c>
      <c r="BJ12" s="12">
        <f t="shared" si="13"/>
        <v>0</v>
      </c>
      <c r="BK12" s="12">
        <f t="shared" si="13"/>
        <v>0</v>
      </c>
      <c r="BL12" s="12">
        <f t="shared" si="13"/>
        <v>0</v>
      </c>
      <c r="BM12" s="12">
        <f t="shared" si="13"/>
        <v>0</v>
      </c>
      <c r="BN12" s="12">
        <f t="shared" si="13"/>
        <v>0</v>
      </c>
      <c r="BO12" s="12">
        <f t="shared" si="13"/>
        <v>0</v>
      </c>
      <c r="BP12" s="12"/>
      <c r="BQ12" s="5">
        <f>SUM(D12:BO12)</f>
        <v>142568.10000000003</v>
      </c>
      <c r="BS12" s="4" t="s">
        <v>244</v>
      </c>
      <c r="BT12" s="39">
        <v>0</v>
      </c>
    </row>
    <row r="13" spans="1:72">
      <c r="A13" s="4" t="s">
        <v>110</v>
      </c>
      <c r="B13" s="17" t="s">
        <v>105</v>
      </c>
      <c r="C13" s="12"/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/>
      <c r="BQ13" s="5">
        <f>SUM(D13:BO13)</f>
        <v>0</v>
      </c>
      <c r="BS13" s="4" t="s">
        <v>245</v>
      </c>
      <c r="BT13" s="39">
        <v>0</v>
      </c>
    </row>
    <row r="14" spans="1:72">
      <c r="A14" s="4" t="s">
        <v>111</v>
      </c>
      <c r="B14" s="17" t="s">
        <v>105</v>
      </c>
      <c r="C14" s="12"/>
      <c r="D14" s="12">
        <f>D12*($C$15-0.1)</f>
        <v>0</v>
      </c>
      <c r="E14" s="12">
        <f t="shared" ref="E14:AD14" si="14">E12*$C$15</f>
        <v>0</v>
      </c>
      <c r="F14" s="12">
        <f t="shared" si="14"/>
        <v>0</v>
      </c>
      <c r="G14" s="12">
        <f t="shared" si="14"/>
        <v>0</v>
      </c>
      <c r="H14" s="12">
        <f>H12*($C$15-20%)</f>
        <v>81.432000000000002</v>
      </c>
      <c r="I14" s="12">
        <f>I12*($C$15-20%)</f>
        <v>162.864</v>
      </c>
      <c r="J14" s="12">
        <f>J12*$C$15</f>
        <v>5398.7240000000002</v>
      </c>
      <c r="K14" s="12">
        <f t="shared" si="14"/>
        <v>5398.7240000000002</v>
      </c>
      <c r="L14" s="12">
        <f t="shared" si="14"/>
        <v>5398.7240000000002</v>
      </c>
      <c r="M14" s="12">
        <f t="shared" si="14"/>
        <v>5398.7240000000002</v>
      </c>
      <c r="N14" s="12">
        <f t="shared" si="14"/>
        <v>5398.7240000000002</v>
      </c>
      <c r="O14" s="12">
        <f t="shared" si="14"/>
        <v>5398.7240000000002</v>
      </c>
      <c r="P14" s="12">
        <f t="shared" si="14"/>
        <v>5398.7240000000002</v>
      </c>
      <c r="Q14" s="12">
        <f t="shared" si="14"/>
        <v>5398.7240000000002</v>
      </c>
      <c r="R14" s="12">
        <f t="shared" si="14"/>
        <v>5398.7240000000002</v>
      </c>
      <c r="S14" s="12">
        <f t="shared" si="14"/>
        <v>5398.7240000000002</v>
      </c>
      <c r="T14" s="12">
        <f t="shared" si="14"/>
        <v>5398.7240000000002</v>
      </c>
      <c r="U14" s="12">
        <f t="shared" si="14"/>
        <v>5398.7240000000002</v>
      </c>
      <c r="V14" s="12">
        <f t="shared" si="14"/>
        <v>5398.7240000000002</v>
      </c>
      <c r="W14" s="12">
        <f t="shared" si="14"/>
        <v>5398.7240000000002</v>
      </c>
      <c r="X14" s="12">
        <f t="shared" si="14"/>
        <v>5398.7240000000002</v>
      </c>
      <c r="Y14" s="12">
        <f t="shared" si="14"/>
        <v>5283.3620000000001</v>
      </c>
      <c r="Z14" s="12">
        <f t="shared" si="14"/>
        <v>5168</v>
      </c>
      <c r="AA14" s="12">
        <f t="shared" si="14"/>
        <v>5168</v>
      </c>
      <c r="AB14" s="12">
        <f t="shared" si="14"/>
        <v>0</v>
      </c>
      <c r="AC14" s="12">
        <f t="shared" si="14"/>
        <v>0</v>
      </c>
      <c r="AD14" s="12">
        <f t="shared" si="14"/>
        <v>0</v>
      </c>
      <c r="AE14" s="12">
        <f t="shared" ref="AE14:AF14" si="15">AE12*$C$15</f>
        <v>0</v>
      </c>
      <c r="AF14" s="12">
        <f t="shared" si="15"/>
        <v>0</v>
      </c>
      <c r="AG14" s="12">
        <f t="shared" ref="AG14:BO14" si="16">AG12*$C$15</f>
        <v>0</v>
      </c>
      <c r="AH14" s="12">
        <f t="shared" si="16"/>
        <v>0</v>
      </c>
      <c r="AI14" s="12">
        <f t="shared" si="16"/>
        <v>0</v>
      </c>
      <c r="AJ14" s="12">
        <f t="shared" si="16"/>
        <v>0</v>
      </c>
      <c r="AK14" s="12">
        <f t="shared" si="16"/>
        <v>0</v>
      </c>
      <c r="AL14" s="12">
        <f t="shared" si="16"/>
        <v>0</v>
      </c>
      <c r="AM14" s="12">
        <f t="shared" si="16"/>
        <v>0</v>
      </c>
      <c r="AN14" s="12">
        <f t="shared" si="16"/>
        <v>0</v>
      </c>
      <c r="AO14" s="12">
        <f t="shared" si="16"/>
        <v>0</v>
      </c>
      <c r="AP14" s="12">
        <f t="shared" si="16"/>
        <v>0</v>
      </c>
      <c r="AQ14" s="12">
        <f t="shared" si="16"/>
        <v>0</v>
      </c>
      <c r="AR14" s="12">
        <f t="shared" si="16"/>
        <v>0</v>
      </c>
      <c r="AS14" s="12">
        <f t="shared" si="16"/>
        <v>0</v>
      </c>
      <c r="AT14" s="12">
        <f t="shared" si="16"/>
        <v>0</v>
      </c>
      <c r="AU14" s="12">
        <f t="shared" si="16"/>
        <v>0</v>
      </c>
      <c r="AV14" s="12">
        <f t="shared" si="16"/>
        <v>0</v>
      </c>
      <c r="AW14" s="12">
        <f t="shared" si="16"/>
        <v>0</v>
      </c>
      <c r="AX14" s="12">
        <f t="shared" si="16"/>
        <v>0</v>
      </c>
      <c r="AY14" s="12">
        <f t="shared" si="16"/>
        <v>0</v>
      </c>
      <c r="AZ14" s="12">
        <f t="shared" si="16"/>
        <v>0</v>
      </c>
      <c r="BA14" s="12">
        <f t="shared" si="16"/>
        <v>0</v>
      </c>
      <c r="BB14" s="12">
        <f t="shared" si="16"/>
        <v>0</v>
      </c>
      <c r="BC14" s="12">
        <f t="shared" si="16"/>
        <v>0</v>
      </c>
      <c r="BD14" s="12">
        <f t="shared" si="16"/>
        <v>0</v>
      </c>
      <c r="BE14" s="12">
        <f t="shared" si="16"/>
        <v>0</v>
      </c>
      <c r="BF14" s="12">
        <f t="shared" si="16"/>
        <v>0</v>
      </c>
      <c r="BG14" s="12">
        <f t="shared" si="16"/>
        <v>0</v>
      </c>
      <c r="BH14" s="12">
        <f t="shared" si="16"/>
        <v>0</v>
      </c>
      <c r="BI14" s="12">
        <f t="shared" si="16"/>
        <v>0</v>
      </c>
      <c r="BJ14" s="12">
        <f t="shared" si="16"/>
        <v>0</v>
      </c>
      <c r="BK14" s="12">
        <f t="shared" si="16"/>
        <v>0</v>
      </c>
      <c r="BL14" s="12">
        <f t="shared" si="16"/>
        <v>0</v>
      </c>
      <c r="BM14" s="12">
        <f t="shared" si="16"/>
        <v>0</v>
      </c>
      <c r="BN14" s="12">
        <f t="shared" si="16"/>
        <v>0</v>
      </c>
      <c r="BO14" s="12">
        <f t="shared" si="16"/>
        <v>0</v>
      </c>
      <c r="BP14" s="12"/>
      <c r="BQ14" s="5">
        <f>SUM(D14:BO14)</f>
        <v>96844.518000000011</v>
      </c>
      <c r="BS14" s="8" t="s">
        <v>246</v>
      </c>
      <c r="BT14" s="40">
        <v>0</v>
      </c>
    </row>
    <row r="15" spans="1:72">
      <c r="A15" s="4" t="s">
        <v>112</v>
      </c>
      <c r="B15" s="17" t="s">
        <v>43</v>
      </c>
      <c r="C15" s="135">
        <v>0.68</v>
      </c>
      <c r="D15" s="150">
        <f>IFERROR(D14/D12,0)</f>
        <v>0</v>
      </c>
      <c r="E15" s="14">
        <f t="shared" ref="E15:AD15" si="17">IFERROR(E14/E12,0)</f>
        <v>0</v>
      </c>
      <c r="F15" s="14">
        <f t="shared" si="17"/>
        <v>0</v>
      </c>
      <c r="G15" s="14">
        <f t="shared" si="17"/>
        <v>0</v>
      </c>
      <c r="H15" s="14">
        <f>IFERROR(H14/H12,0)</f>
        <v>0.48</v>
      </c>
      <c r="I15" s="14">
        <f t="shared" si="17"/>
        <v>0.48</v>
      </c>
      <c r="J15" s="14">
        <f>IFERROR(J14/J12,0)</f>
        <v>0.68</v>
      </c>
      <c r="K15" s="14">
        <f t="shared" si="17"/>
        <v>0.68</v>
      </c>
      <c r="L15" s="14">
        <f t="shared" si="17"/>
        <v>0.68</v>
      </c>
      <c r="M15" s="14">
        <f t="shared" si="17"/>
        <v>0.68</v>
      </c>
      <c r="N15" s="14">
        <f t="shared" si="17"/>
        <v>0.68</v>
      </c>
      <c r="O15" s="14">
        <f t="shared" si="17"/>
        <v>0.68</v>
      </c>
      <c r="P15" s="14">
        <f t="shared" si="17"/>
        <v>0.68</v>
      </c>
      <c r="Q15" s="14">
        <f t="shared" si="17"/>
        <v>0.68</v>
      </c>
      <c r="R15" s="14">
        <f t="shared" si="17"/>
        <v>0.68</v>
      </c>
      <c r="S15" s="14">
        <f t="shared" si="17"/>
        <v>0.68</v>
      </c>
      <c r="T15" s="14">
        <f t="shared" si="17"/>
        <v>0.68</v>
      </c>
      <c r="U15" s="14">
        <f t="shared" si="17"/>
        <v>0.68</v>
      </c>
      <c r="V15" s="14">
        <f t="shared" si="17"/>
        <v>0.68</v>
      </c>
      <c r="W15" s="14">
        <f t="shared" si="17"/>
        <v>0.68</v>
      </c>
      <c r="X15" s="14">
        <f t="shared" si="17"/>
        <v>0.68</v>
      </c>
      <c r="Y15" s="14">
        <f t="shared" si="17"/>
        <v>0.68</v>
      </c>
      <c r="Z15" s="14">
        <f t="shared" si="17"/>
        <v>0.68</v>
      </c>
      <c r="AA15" s="14">
        <f t="shared" si="17"/>
        <v>0.68</v>
      </c>
      <c r="AB15" s="14">
        <f t="shared" si="17"/>
        <v>0</v>
      </c>
      <c r="AC15" s="14">
        <f t="shared" si="17"/>
        <v>0</v>
      </c>
      <c r="AD15" s="14">
        <f t="shared" si="17"/>
        <v>0</v>
      </c>
      <c r="AE15" s="14">
        <f t="shared" ref="AE15:AF15" si="18">IFERROR(AE14/AE12,0)</f>
        <v>0</v>
      </c>
      <c r="AF15" s="14">
        <f t="shared" si="18"/>
        <v>0</v>
      </c>
      <c r="AG15" s="14">
        <f t="shared" ref="AG15:BO15" si="19">IFERROR(AG14/AG12,0)</f>
        <v>0</v>
      </c>
      <c r="AH15" s="14">
        <f t="shared" si="19"/>
        <v>0</v>
      </c>
      <c r="AI15" s="14">
        <f t="shared" si="19"/>
        <v>0</v>
      </c>
      <c r="AJ15" s="14">
        <f t="shared" si="19"/>
        <v>0</v>
      </c>
      <c r="AK15" s="14">
        <f t="shared" si="19"/>
        <v>0</v>
      </c>
      <c r="AL15" s="14">
        <f t="shared" si="19"/>
        <v>0</v>
      </c>
      <c r="AM15" s="14">
        <f t="shared" si="19"/>
        <v>0</v>
      </c>
      <c r="AN15" s="14">
        <f t="shared" si="19"/>
        <v>0</v>
      </c>
      <c r="AO15" s="14">
        <f t="shared" si="19"/>
        <v>0</v>
      </c>
      <c r="AP15" s="14">
        <f t="shared" si="19"/>
        <v>0</v>
      </c>
      <c r="AQ15" s="14">
        <f t="shared" si="19"/>
        <v>0</v>
      </c>
      <c r="AR15" s="14">
        <f t="shared" si="19"/>
        <v>0</v>
      </c>
      <c r="AS15" s="14">
        <f t="shared" si="19"/>
        <v>0</v>
      </c>
      <c r="AT15" s="14">
        <f t="shared" si="19"/>
        <v>0</v>
      </c>
      <c r="AU15" s="14">
        <f t="shared" si="19"/>
        <v>0</v>
      </c>
      <c r="AV15" s="14">
        <f t="shared" si="19"/>
        <v>0</v>
      </c>
      <c r="AW15" s="14">
        <f t="shared" si="19"/>
        <v>0</v>
      </c>
      <c r="AX15" s="14">
        <f t="shared" si="19"/>
        <v>0</v>
      </c>
      <c r="AY15" s="14">
        <f t="shared" si="19"/>
        <v>0</v>
      </c>
      <c r="AZ15" s="14">
        <f t="shared" si="19"/>
        <v>0</v>
      </c>
      <c r="BA15" s="14">
        <f t="shared" si="19"/>
        <v>0</v>
      </c>
      <c r="BB15" s="14">
        <f t="shared" si="19"/>
        <v>0</v>
      </c>
      <c r="BC15" s="14">
        <f t="shared" si="19"/>
        <v>0</v>
      </c>
      <c r="BD15" s="14">
        <f t="shared" si="19"/>
        <v>0</v>
      </c>
      <c r="BE15" s="14">
        <f t="shared" si="19"/>
        <v>0</v>
      </c>
      <c r="BF15" s="14">
        <f t="shared" si="19"/>
        <v>0</v>
      </c>
      <c r="BG15" s="14">
        <f t="shared" si="19"/>
        <v>0</v>
      </c>
      <c r="BH15" s="14">
        <f t="shared" si="19"/>
        <v>0</v>
      </c>
      <c r="BI15" s="14">
        <f t="shared" si="19"/>
        <v>0</v>
      </c>
      <c r="BJ15" s="14">
        <f t="shared" si="19"/>
        <v>0</v>
      </c>
      <c r="BK15" s="14">
        <f t="shared" si="19"/>
        <v>0</v>
      </c>
      <c r="BL15" s="14">
        <f t="shared" si="19"/>
        <v>0</v>
      </c>
      <c r="BM15" s="14">
        <f t="shared" si="19"/>
        <v>0</v>
      </c>
      <c r="BN15" s="14">
        <f t="shared" si="19"/>
        <v>0</v>
      </c>
      <c r="BO15" s="14">
        <f t="shared" si="19"/>
        <v>0</v>
      </c>
      <c r="BP15" s="14"/>
      <c r="BQ15" s="7">
        <f>IFERROR(BQ14/BQ12,0)</f>
        <v>0.67928602541522254</v>
      </c>
    </row>
    <row r="16" spans="1:72">
      <c r="A16" s="4"/>
      <c r="B16" s="17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5"/>
      <c r="BS16" s="15" t="s">
        <v>247</v>
      </c>
      <c r="BT16" s="16"/>
    </row>
    <row r="17" spans="1:72">
      <c r="A17" s="4" t="s">
        <v>248</v>
      </c>
      <c r="B17" s="17"/>
      <c r="C17" s="33"/>
      <c r="D17" s="14">
        <f t="shared" ref="D17:AD17" si="20">IFERROR(D19/D9,0)</f>
        <v>0</v>
      </c>
      <c r="E17" s="14">
        <f t="shared" si="20"/>
        <v>0</v>
      </c>
      <c r="F17" s="14">
        <f t="shared" si="20"/>
        <v>0</v>
      </c>
      <c r="G17" s="14">
        <f t="shared" si="20"/>
        <v>0</v>
      </c>
      <c r="H17" s="14">
        <f>IFERROR(H19/H9,0)</f>
        <v>0.48</v>
      </c>
      <c r="I17" s="14">
        <f>IFERROR(I19/I9,0)</f>
        <v>0.48</v>
      </c>
      <c r="J17" s="14">
        <f t="shared" si="20"/>
        <v>0.68</v>
      </c>
      <c r="K17" s="14">
        <f t="shared" si="20"/>
        <v>0.68</v>
      </c>
      <c r="L17" s="14">
        <f t="shared" si="20"/>
        <v>0.68</v>
      </c>
      <c r="M17" s="14">
        <f t="shared" si="20"/>
        <v>0.68</v>
      </c>
      <c r="N17" s="14">
        <f t="shared" si="20"/>
        <v>0.68</v>
      </c>
      <c r="O17" s="14">
        <f t="shared" si="20"/>
        <v>0.68</v>
      </c>
      <c r="P17" s="14">
        <f t="shared" si="20"/>
        <v>0.68</v>
      </c>
      <c r="Q17" s="14">
        <f t="shared" si="20"/>
        <v>0.68</v>
      </c>
      <c r="R17" s="14">
        <f t="shared" si="20"/>
        <v>0.68</v>
      </c>
      <c r="S17" s="14">
        <f t="shared" si="20"/>
        <v>0.68</v>
      </c>
      <c r="T17" s="14">
        <f t="shared" si="20"/>
        <v>0.68</v>
      </c>
      <c r="U17" s="14">
        <f t="shared" si="20"/>
        <v>0.68</v>
      </c>
      <c r="V17" s="14">
        <f t="shared" si="20"/>
        <v>0.68</v>
      </c>
      <c r="W17" s="14">
        <f t="shared" si="20"/>
        <v>0.68</v>
      </c>
      <c r="X17" s="14">
        <f t="shared" si="20"/>
        <v>0.68</v>
      </c>
      <c r="Y17" s="14">
        <f t="shared" si="20"/>
        <v>0.68</v>
      </c>
      <c r="Z17" s="14">
        <f t="shared" si="20"/>
        <v>0.68</v>
      </c>
      <c r="AA17" s="14">
        <f t="shared" si="20"/>
        <v>0.68</v>
      </c>
      <c r="AB17" s="14">
        <f t="shared" si="20"/>
        <v>0</v>
      </c>
      <c r="AC17" s="14">
        <f t="shared" si="20"/>
        <v>0</v>
      </c>
      <c r="AD17" s="14">
        <f t="shared" si="20"/>
        <v>0</v>
      </c>
      <c r="AE17" s="14">
        <f t="shared" ref="AE17:AF17" si="21">IFERROR(AE19/AE9,0)</f>
        <v>0</v>
      </c>
      <c r="AF17" s="14">
        <f t="shared" si="21"/>
        <v>0</v>
      </c>
      <c r="AG17" s="14">
        <f t="shared" ref="AG17:BO17" si="22">IFERROR(AG19/AG9,0)</f>
        <v>0</v>
      </c>
      <c r="AH17" s="14">
        <f t="shared" si="22"/>
        <v>0</v>
      </c>
      <c r="AI17" s="14">
        <f t="shared" si="22"/>
        <v>0</v>
      </c>
      <c r="AJ17" s="14">
        <f t="shared" si="22"/>
        <v>0</v>
      </c>
      <c r="AK17" s="14">
        <f t="shared" si="22"/>
        <v>0</v>
      </c>
      <c r="AL17" s="14">
        <f t="shared" si="22"/>
        <v>0</v>
      </c>
      <c r="AM17" s="14">
        <f t="shared" si="22"/>
        <v>0</v>
      </c>
      <c r="AN17" s="14">
        <f t="shared" si="22"/>
        <v>0</v>
      </c>
      <c r="AO17" s="14">
        <f t="shared" si="22"/>
        <v>0</v>
      </c>
      <c r="AP17" s="14">
        <f t="shared" si="22"/>
        <v>0</v>
      </c>
      <c r="AQ17" s="14">
        <f t="shared" si="22"/>
        <v>0</v>
      </c>
      <c r="AR17" s="14">
        <f t="shared" si="22"/>
        <v>0</v>
      </c>
      <c r="AS17" s="14">
        <f t="shared" si="22"/>
        <v>0</v>
      </c>
      <c r="AT17" s="14">
        <f t="shared" si="22"/>
        <v>0</v>
      </c>
      <c r="AU17" s="14">
        <f t="shared" si="22"/>
        <v>0</v>
      </c>
      <c r="AV17" s="14">
        <f t="shared" si="22"/>
        <v>0</v>
      </c>
      <c r="AW17" s="14">
        <f t="shared" si="22"/>
        <v>0</v>
      </c>
      <c r="AX17" s="14">
        <f t="shared" si="22"/>
        <v>0</v>
      </c>
      <c r="AY17" s="14">
        <f t="shared" si="22"/>
        <v>0</v>
      </c>
      <c r="AZ17" s="14">
        <f t="shared" si="22"/>
        <v>0</v>
      </c>
      <c r="BA17" s="14">
        <f t="shared" si="22"/>
        <v>0</v>
      </c>
      <c r="BB17" s="14">
        <f t="shared" si="22"/>
        <v>0</v>
      </c>
      <c r="BC17" s="14">
        <f t="shared" si="22"/>
        <v>0</v>
      </c>
      <c r="BD17" s="14">
        <f t="shared" si="22"/>
        <v>0</v>
      </c>
      <c r="BE17" s="14">
        <f t="shared" si="22"/>
        <v>0</v>
      </c>
      <c r="BF17" s="14">
        <f t="shared" si="22"/>
        <v>0</v>
      </c>
      <c r="BG17" s="14">
        <f t="shared" si="22"/>
        <v>0</v>
      </c>
      <c r="BH17" s="14">
        <f t="shared" si="22"/>
        <v>0</v>
      </c>
      <c r="BI17" s="14">
        <f t="shared" si="22"/>
        <v>0</v>
      </c>
      <c r="BJ17" s="14">
        <f t="shared" si="22"/>
        <v>0</v>
      </c>
      <c r="BK17" s="14">
        <f t="shared" si="22"/>
        <v>0</v>
      </c>
      <c r="BL17" s="14">
        <f t="shared" si="22"/>
        <v>0</v>
      </c>
      <c r="BM17" s="14">
        <f t="shared" si="22"/>
        <v>0</v>
      </c>
      <c r="BN17" s="14">
        <f t="shared" si="22"/>
        <v>0</v>
      </c>
      <c r="BO17" s="14">
        <f t="shared" si="22"/>
        <v>0</v>
      </c>
      <c r="BP17" s="14"/>
      <c r="BQ17" s="7">
        <f>IFERROR(BQ19/BQ9,0)</f>
        <v>0.67928602541522254</v>
      </c>
      <c r="BS17" s="4" t="s">
        <v>249</v>
      </c>
      <c r="BT17" s="5">
        <f>BQ6/1000</f>
        <v>255</v>
      </c>
    </row>
    <row r="18" spans="1:72">
      <c r="A18" s="4"/>
      <c r="B18" s="17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5"/>
      <c r="BS18" s="4" t="s">
        <v>250</v>
      </c>
      <c r="BT18" s="6">
        <f>(BT17*1000)/BT20</f>
        <v>1.8640350877192982</v>
      </c>
    </row>
    <row r="19" spans="1:72">
      <c r="A19" s="4" t="s">
        <v>251</v>
      </c>
      <c r="B19" s="17" t="s">
        <v>105</v>
      </c>
      <c r="C19" s="12"/>
      <c r="D19" s="12">
        <f t="shared" ref="D19:AD19" si="23">D13+D14</f>
        <v>0</v>
      </c>
      <c r="E19" s="12">
        <f t="shared" si="23"/>
        <v>0</v>
      </c>
      <c r="F19" s="12">
        <f t="shared" si="23"/>
        <v>0</v>
      </c>
      <c r="G19" s="12">
        <f t="shared" si="23"/>
        <v>0</v>
      </c>
      <c r="H19" s="12">
        <f t="shared" si="23"/>
        <v>81.432000000000002</v>
      </c>
      <c r="I19" s="12">
        <f t="shared" si="23"/>
        <v>162.864</v>
      </c>
      <c r="J19" s="12">
        <f>J13+J14</f>
        <v>5398.7240000000002</v>
      </c>
      <c r="K19" s="12">
        <f t="shared" si="23"/>
        <v>5398.7240000000002</v>
      </c>
      <c r="L19" s="12">
        <f t="shared" si="23"/>
        <v>5398.7240000000002</v>
      </c>
      <c r="M19" s="12">
        <f t="shared" si="23"/>
        <v>5398.7240000000002</v>
      </c>
      <c r="N19" s="12">
        <f t="shared" si="23"/>
        <v>5398.7240000000002</v>
      </c>
      <c r="O19" s="12">
        <f t="shared" si="23"/>
        <v>5398.7240000000002</v>
      </c>
      <c r="P19" s="12">
        <f t="shared" si="23"/>
        <v>5398.7240000000002</v>
      </c>
      <c r="Q19" s="12">
        <f t="shared" si="23"/>
        <v>5398.7240000000002</v>
      </c>
      <c r="R19" s="12">
        <f t="shared" si="23"/>
        <v>5398.7240000000002</v>
      </c>
      <c r="S19" s="12">
        <f t="shared" si="23"/>
        <v>5398.7240000000002</v>
      </c>
      <c r="T19" s="12">
        <f t="shared" si="23"/>
        <v>5398.7240000000002</v>
      </c>
      <c r="U19" s="12">
        <f t="shared" si="23"/>
        <v>5398.7240000000002</v>
      </c>
      <c r="V19" s="12">
        <f t="shared" si="23"/>
        <v>5398.7240000000002</v>
      </c>
      <c r="W19" s="12">
        <f t="shared" si="23"/>
        <v>5398.7240000000002</v>
      </c>
      <c r="X19" s="12">
        <f t="shared" si="23"/>
        <v>5398.7240000000002</v>
      </c>
      <c r="Y19" s="12">
        <f t="shared" si="23"/>
        <v>5283.3620000000001</v>
      </c>
      <c r="Z19" s="12">
        <f t="shared" si="23"/>
        <v>5168</v>
      </c>
      <c r="AA19" s="12">
        <f t="shared" si="23"/>
        <v>5168</v>
      </c>
      <c r="AB19" s="12">
        <f t="shared" si="23"/>
        <v>0</v>
      </c>
      <c r="AC19" s="12">
        <f t="shared" si="23"/>
        <v>0</v>
      </c>
      <c r="AD19" s="12">
        <f t="shared" si="23"/>
        <v>0</v>
      </c>
      <c r="AE19" s="12">
        <f t="shared" ref="AE19:AF19" si="24">AE13+AE14</f>
        <v>0</v>
      </c>
      <c r="AF19" s="12">
        <f t="shared" si="24"/>
        <v>0</v>
      </c>
      <c r="AG19" s="12">
        <f t="shared" ref="AG19:BO19" si="25">AG13+AG14</f>
        <v>0</v>
      </c>
      <c r="AH19" s="12">
        <f t="shared" si="25"/>
        <v>0</v>
      </c>
      <c r="AI19" s="12">
        <f t="shared" si="25"/>
        <v>0</v>
      </c>
      <c r="AJ19" s="12">
        <f t="shared" si="25"/>
        <v>0</v>
      </c>
      <c r="AK19" s="12">
        <f t="shared" si="25"/>
        <v>0</v>
      </c>
      <c r="AL19" s="12">
        <f t="shared" si="25"/>
        <v>0</v>
      </c>
      <c r="AM19" s="12">
        <f t="shared" si="25"/>
        <v>0</v>
      </c>
      <c r="AN19" s="12">
        <f t="shared" si="25"/>
        <v>0</v>
      </c>
      <c r="AO19" s="12">
        <f t="shared" si="25"/>
        <v>0</v>
      </c>
      <c r="AP19" s="12">
        <f t="shared" si="25"/>
        <v>0</v>
      </c>
      <c r="AQ19" s="12">
        <f t="shared" si="25"/>
        <v>0</v>
      </c>
      <c r="AR19" s="12">
        <f t="shared" si="25"/>
        <v>0</v>
      </c>
      <c r="AS19" s="12">
        <f t="shared" si="25"/>
        <v>0</v>
      </c>
      <c r="AT19" s="12">
        <f t="shared" si="25"/>
        <v>0</v>
      </c>
      <c r="AU19" s="12">
        <f t="shared" si="25"/>
        <v>0</v>
      </c>
      <c r="AV19" s="12">
        <f t="shared" si="25"/>
        <v>0</v>
      </c>
      <c r="AW19" s="12">
        <f t="shared" si="25"/>
        <v>0</v>
      </c>
      <c r="AX19" s="12">
        <f t="shared" si="25"/>
        <v>0</v>
      </c>
      <c r="AY19" s="12">
        <f t="shared" si="25"/>
        <v>0</v>
      </c>
      <c r="AZ19" s="12">
        <f t="shared" si="25"/>
        <v>0</v>
      </c>
      <c r="BA19" s="12">
        <f t="shared" si="25"/>
        <v>0</v>
      </c>
      <c r="BB19" s="12">
        <f t="shared" si="25"/>
        <v>0</v>
      </c>
      <c r="BC19" s="12">
        <f t="shared" si="25"/>
        <v>0</v>
      </c>
      <c r="BD19" s="12">
        <f t="shared" si="25"/>
        <v>0</v>
      </c>
      <c r="BE19" s="12">
        <f t="shared" si="25"/>
        <v>0</v>
      </c>
      <c r="BF19" s="12">
        <f t="shared" si="25"/>
        <v>0</v>
      </c>
      <c r="BG19" s="12">
        <f t="shared" si="25"/>
        <v>0</v>
      </c>
      <c r="BH19" s="12">
        <f t="shared" si="25"/>
        <v>0</v>
      </c>
      <c r="BI19" s="12">
        <f t="shared" si="25"/>
        <v>0</v>
      </c>
      <c r="BJ19" s="12">
        <f t="shared" si="25"/>
        <v>0</v>
      </c>
      <c r="BK19" s="12">
        <f t="shared" si="25"/>
        <v>0</v>
      </c>
      <c r="BL19" s="12">
        <f t="shared" si="25"/>
        <v>0</v>
      </c>
      <c r="BM19" s="12">
        <f t="shared" si="25"/>
        <v>0</v>
      </c>
      <c r="BN19" s="12">
        <f t="shared" si="25"/>
        <v>0</v>
      </c>
      <c r="BO19" s="12">
        <f t="shared" si="25"/>
        <v>0</v>
      </c>
      <c r="BP19" s="12"/>
      <c r="BQ19" s="5">
        <f>SUM(D19:BO19)</f>
        <v>96844.518000000011</v>
      </c>
      <c r="BS19" s="4" t="s">
        <v>252</v>
      </c>
      <c r="BT19" s="5">
        <f>BQ7</f>
        <v>5768.1000000000013</v>
      </c>
    </row>
    <row r="20" spans="1:72">
      <c r="A20" s="8"/>
      <c r="B20" s="21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7"/>
      <c r="BS20" s="4" t="s">
        <v>253</v>
      </c>
      <c r="BT20" s="5">
        <f>BQ8</f>
        <v>136800</v>
      </c>
    </row>
    <row r="21" spans="1:72">
      <c r="A21" s="1" t="s">
        <v>254</v>
      </c>
      <c r="D21" s="142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S21" s="4" t="s">
        <v>255</v>
      </c>
      <c r="BT21" s="5">
        <f>BT19+BT20</f>
        <v>142568.1</v>
      </c>
    </row>
    <row r="22" spans="1:72">
      <c r="A22" s="4" t="s">
        <v>256</v>
      </c>
      <c r="B22" s="17" t="s">
        <v>257</v>
      </c>
      <c r="C22" s="91">
        <v>0.13</v>
      </c>
      <c r="D22" s="142"/>
      <c r="E22" s="143"/>
      <c r="F22" s="143"/>
      <c r="G22" s="143"/>
      <c r="H22" s="120">
        <f>IF(H9&gt;0,H9*1000*$C$22+20000,0)</f>
        <v>42054.5</v>
      </c>
      <c r="I22" s="120">
        <f t="shared" ref="I22:BO22" si="26">IF(I9&gt;0,I9*1000*$C$22+20000,0)</f>
        <v>64109</v>
      </c>
      <c r="J22" s="120">
        <f t="shared" si="26"/>
        <v>1052109</v>
      </c>
      <c r="K22" s="120">
        <f t="shared" si="26"/>
        <v>1052109</v>
      </c>
      <c r="L22" s="120">
        <f t="shared" si="26"/>
        <v>1052109</v>
      </c>
      <c r="M22" s="120">
        <f t="shared" si="26"/>
        <v>1052109</v>
      </c>
      <c r="N22" s="120">
        <f t="shared" si="26"/>
        <v>1052109</v>
      </c>
      <c r="O22" s="120">
        <f t="shared" si="26"/>
        <v>1052109</v>
      </c>
      <c r="P22" s="120">
        <f t="shared" si="26"/>
        <v>1052109</v>
      </c>
      <c r="Q22" s="120">
        <f t="shared" si="26"/>
        <v>1052109</v>
      </c>
      <c r="R22" s="120">
        <f t="shared" si="26"/>
        <v>1052109</v>
      </c>
      <c r="S22" s="120">
        <f t="shared" si="26"/>
        <v>1052109</v>
      </c>
      <c r="T22" s="120">
        <f t="shared" si="26"/>
        <v>1052109</v>
      </c>
      <c r="U22" s="120">
        <f t="shared" si="26"/>
        <v>1052109</v>
      </c>
      <c r="V22" s="120">
        <f t="shared" si="26"/>
        <v>1052109</v>
      </c>
      <c r="W22" s="120">
        <f t="shared" si="26"/>
        <v>1052109</v>
      </c>
      <c r="X22" s="120">
        <f t="shared" si="26"/>
        <v>1052109</v>
      </c>
      <c r="Y22" s="120">
        <f t="shared" si="26"/>
        <v>1030054.5</v>
      </c>
      <c r="Z22" s="120">
        <f t="shared" si="26"/>
        <v>1008000</v>
      </c>
      <c r="AA22" s="120">
        <f>IF(AA9&gt;0,AA9*1000*$C$22+20000,0)</f>
        <v>1008000</v>
      </c>
      <c r="AB22" s="120">
        <f t="shared" si="26"/>
        <v>0</v>
      </c>
      <c r="AC22" s="120">
        <f t="shared" si="26"/>
        <v>0</v>
      </c>
      <c r="AD22" s="120">
        <f t="shared" si="26"/>
        <v>0</v>
      </c>
      <c r="AE22" s="120">
        <f t="shared" si="26"/>
        <v>0</v>
      </c>
      <c r="AF22" s="120">
        <f t="shared" si="26"/>
        <v>0</v>
      </c>
      <c r="AG22" s="120">
        <f t="shared" si="26"/>
        <v>0</v>
      </c>
      <c r="AH22" s="120">
        <f t="shared" si="26"/>
        <v>0</v>
      </c>
      <c r="AI22" s="120">
        <f t="shared" si="26"/>
        <v>0</v>
      </c>
      <c r="AJ22" s="120">
        <f t="shared" si="26"/>
        <v>0</v>
      </c>
      <c r="AK22" s="120">
        <f t="shared" si="26"/>
        <v>0</v>
      </c>
      <c r="AL22" s="120">
        <f t="shared" si="26"/>
        <v>0</v>
      </c>
      <c r="AM22" s="120">
        <f t="shared" si="26"/>
        <v>0</v>
      </c>
      <c r="AN22" s="120">
        <f t="shared" si="26"/>
        <v>0</v>
      </c>
      <c r="AO22" s="120">
        <f t="shared" si="26"/>
        <v>0</v>
      </c>
      <c r="AP22" s="120">
        <f t="shared" si="26"/>
        <v>0</v>
      </c>
      <c r="AQ22" s="120">
        <f t="shared" si="26"/>
        <v>0</v>
      </c>
      <c r="AR22" s="120">
        <f t="shared" si="26"/>
        <v>0</v>
      </c>
      <c r="AS22" s="120">
        <f t="shared" si="26"/>
        <v>0</v>
      </c>
      <c r="AT22" s="120">
        <f t="shared" si="26"/>
        <v>0</v>
      </c>
      <c r="AU22" s="120">
        <f t="shared" si="26"/>
        <v>0</v>
      </c>
      <c r="AV22" s="120">
        <f t="shared" si="26"/>
        <v>0</v>
      </c>
      <c r="AW22" s="120">
        <f t="shared" si="26"/>
        <v>0</v>
      </c>
      <c r="AX22" s="120">
        <f t="shared" si="26"/>
        <v>0</v>
      </c>
      <c r="AY22" s="120">
        <f t="shared" si="26"/>
        <v>0</v>
      </c>
      <c r="AZ22" s="120">
        <f t="shared" si="26"/>
        <v>0</v>
      </c>
      <c r="BA22" s="120">
        <f t="shared" si="26"/>
        <v>0</v>
      </c>
      <c r="BB22" s="120">
        <f t="shared" si="26"/>
        <v>0</v>
      </c>
      <c r="BC22" s="120">
        <f t="shared" si="26"/>
        <v>0</v>
      </c>
      <c r="BD22" s="120">
        <f t="shared" si="26"/>
        <v>0</v>
      </c>
      <c r="BE22" s="120">
        <f t="shared" si="26"/>
        <v>0</v>
      </c>
      <c r="BF22" s="120">
        <f t="shared" si="26"/>
        <v>0</v>
      </c>
      <c r="BG22" s="120">
        <f t="shared" si="26"/>
        <v>0</v>
      </c>
      <c r="BH22" s="120">
        <f t="shared" si="26"/>
        <v>0</v>
      </c>
      <c r="BI22" s="120">
        <f t="shared" si="26"/>
        <v>0</v>
      </c>
      <c r="BJ22" s="120">
        <f t="shared" si="26"/>
        <v>0</v>
      </c>
      <c r="BK22" s="120">
        <f t="shared" si="26"/>
        <v>0</v>
      </c>
      <c r="BL22" s="120">
        <f t="shared" si="26"/>
        <v>0</v>
      </c>
      <c r="BM22" s="120">
        <f t="shared" si="26"/>
        <v>0</v>
      </c>
      <c r="BN22" s="120">
        <f t="shared" si="26"/>
        <v>0</v>
      </c>
      <c r="BO22" s="120">
        <f t="shared" si="26"/>
        <v>0</v>
      </c>
      <c r="BP22" s="120"/>
      <c r="BQ22" s="301">
        <f>SUM(D22:BO22)</f>
        <v>18933853</v>
      </c>
      <c r="BS22" s="4"/>
      <c r="BT22" s="5"/>
    </row>
    <row r="23" spans="1:72">
      <c r="A23" s="4" t="s">
        <v>258</v>
      </c>
      <c r="B23" s="17" t="s">
        <v>257</v>
      </c>
      <c r="C23" s="91"/>
      <c r="D23" s="120">
        <f>IF('Decommissioned Mine'!$B$5="Springbok + Brave Blossom",'Decommissioned Mine'!E2,0)</f>
        <v>0</v>
      </c>
      <c r="E23" s="120">
        <f>IF('Decommissioned Mine'!$B$5="Springbok + Brave Blossom",'Decommissioned Mine'!F2,0)</f>
        <v>0</v>
      </c>
      <c r="F23" s="120">
        <f>IF('Decommissioned Mine'!$B$5="Springbok + Brave Blossom",'Decommissioned Mine'!G2,0)</f>
        <v>0</v>
      </c>
      <c r="G23" s="120">
        <f>IF('Decommissioned Mine'!$B$5="Springbok + Brave Blossom",'Decommissioned Mine'!H2,0)</f>
        <v>0</v>
      </c>
      <c r="H23" s="120">
        <f>IF('Decommissioned Mine'!$B$5="Springbok + Brave Blossom",'Decommissioned Mine'!I2,0)</f>
        <v>0</v>
      </c>
      <c r="I23" s="120">
        <f>IF('Decommissioned Mine'!$B$5="Springbok + Brave Blossom",'Decommissioned Mine'!J2,0)</f>
        <v>0</v>
      </c>
      <c r="J23" s="120">
        <f>IF('Decommissioned Mine'!$B$5="Springbok + Brave Blossom",'Decommissioned Mine'!K2,0)</f>
        <v>0</v>
      </c>
      <c r="K23" s="120">
        <f>IF('Decommissioned Mine'!$B$5="Springbok + Brave Blossom",'Decommissioned Mine'!L2,0)</f>
        <v>0</v>
      </c>
      <c r="L23" s="120">
        <f>IF('Decommissioned Mine'!$B$5="Springbok + Brave Blossom",'Decommissioned Mine'!M2,0)</f>
        <v>0</v>
      </c>
      <c r="M23" s="120">
        <f>IF('Decommissioned Mine'!$B$5="Springbok + Brave Blossom",'Decommissioned Mine'!N2,0)</f>
        <v>0</v>
      </c>
      <c r="N23" s="120">
        <f>IF('Decommissioned Mine'!$B$5="Springbok + Brave Blossom",'Decommissioned Mine'!O2,0)</f>
        <v>0</v>
      </c>
      <c r="O23" s="120">
        <f>IF('Decommissioned Mine'!$B$5="Springbok + Brave Blossom",'Decommissioned Mine'!P2,0)</f>
        <v>0</v>
      </c>
      <c r="P23" s="120">
        <f>IF('Decommissioned Mine'!$B$5="Springbok + Brave Blossom",'Decommissioned Mine'!Q2,0)</f>
        <v>0</v>
      </c>
      <c r="Q23" s="120">
        <f>IF('Decommissioned Mine'!$B$5="Springbok + Brave Blossom",'Decommissioned Mine'!R2,0)</f>
        <v>0</v>
      </c>
      <c r="R23" s="120">
        <f>IF('Decommissioned Mine'!$B$5="Springbok + Brave Blossom",'Decommissioned Mine'!S2,0)</f>
        <v>0</v>
      </c>
      <c r="S23" s="120">
        <f>IF('Decommissioned Mine'!$B$5="Springbok + Brave Blossom",'Decommissioned Mine'!T2,0)</f>
        <v>0</v>
      </c>
      <c r="T23" s="120">
        <f>IF('Decommissioned Mine'!$B$5="Springbok + Brave Blossom",'Decommissioned Mine'!U2,0)</f>
        <v>0</v>
      </c>
      <c r="U23" s="120">
        <f>IF('Decommissioned Mine'!$B$5="Springbok + Brave Blossom",'Decommissioned Mine'!V2,0)</f>
        <v>0</v>
      </c>
      <c r="V23" s="120">
        <f>IF('Decommissioned Mine'!$B$5="Springbok + Brave Blossom",'Decommissioned Mine'!W2,0)</f>
        <v>0</v>
      </c>
      <c r="W23" s="120">
        <f>IF('Decommissioned Mine'!$B$5="Springbok + Brave Blossom",'Decommissioned Mine'!X2,0)</f>
        <v>0</v>
      </c>
      <c r="X23" s="120">
        <f>IF('Decommissioned Mine'!$B$5="Springbok + Brave Blossom",'Decommissioned Mine'!Y2,0)</f>
        <v>0</v>
      </c>
      <c r="Y23" s="120">
        <f>IF('Decommissioned Mine'!$B$5="Springbok + Brave Blossom",'Decommissioned Mine'!Z2,0)</f>
        <v>0</v>
      </c>
      <c r="Z23" s="120">
        <f>IF('Decommissioned Mine'!$B$5="Springbok + Brave Blossom",'Decommissioned Mine'!AA2,0)</f>
        <v>0</v>
      </c>
      <c r="AA23" s="120">
        <f>IF('Decommissioned Mine'!$B$5="Springbok + Brave Blossom",'Decommissioned Mine'!AB2,0)</f>
        <v>0</v>
      </c>
      <c r="AB23" s="120">
        <f>IF('Decommissioned Mine'!$B$5="Springbok + Brave Blossom",'Decommissioned Mine'!AC2,0)</f>
        <v>840621.19577013573</v>
      </c>
      <c r="AC23" s="120">
        <f>IF('Decommissioned Mine'!$B$5="Springbok + Brave Blossom",'Decommissioned Mine'!AD2,0)</f>
        <v>632306.95881303796</v>
      </c>
      <c r="AD23" s="120">
        <f>IF('Decommissioned Mine'!$B$5="Springbok + Brave Blossom",'Decommissioned Mine'!AE2,0)</f>
        <v>496522.51881673187</v>
      </c>
      <c r="AE23" s="120">
        <f>IF('Decommissioned Mine'!$B$5="Springbok + Brave Blossom",'Decommissioned Mine'!AF2,0)</f>
        <v>402130.6851680745</v>
      </c>
      <c r="AF23" s="120">
        <f>IF('Decommissioned Mine'!$B$5="Springbok + Brave Blossom",'Decommissioned Mine'!AG2,0)</f>
        <v>333334.1233251511</v>
      </c>
      <c r="AG23" s="120">
        <f>IF('Decommissioned Mine'!$B$5="Springbok + Brave Blossom",'Decommissioned Mine'!AH2,0)</f>
        <v>281339.28216088144</v>
      </c>
      <c r="AH23" s="120">
        <f>IF('Decommissioned Mine'!$B$5="Springbok + Brave Blossom",'Decommissioned Mine'!AI2,0)</f>
        <v>240897.03713268836</v>
      </c>
      <c r="AI23" s="120">
        <f>IF('Decommissioned Mine'!$B$5="Springbok + Brave Blossom",'Decommissioned Mine'!AJ2,0)</f>
        <v>208697.96870120725</v>
      </c>
      <c r="AJ23" s="120">
        <f>IF('Decommissioned Mine'!$B$5="Springbok + Brave Blossom",'Decommissioned Mine'!AK2,0)</f>
        <v>182561.69636154367</v>
      </c>
      <c r="AK23" s="120">
        <f>IF('Decommissioned Mine'!$B$5="Springbok + Brave Blossom",'Decommissioned Mine'!AL2,0)</f>
        <v>160998.68644832275</v>
      </c>
      <c r="AL23" s="120">
        <f>IF('Decommissioned Mine'!$B$5="Springbok + Brave Blossom",'Decommissioned Mine'!AM2,0)</f>
        <v>142959.97620265037</v>
      </c>
      <c r="AM23" s="120">
        <f>IF('Decommissioned Mine'!$B$5="Springbok + Brave Blossom",'Decommissioned Mine'!AN2,0)</f>
        <v>127687.52437732666</v>
      </c>
      <c r="AN23" s="120">
        <f>IF('Decommissioned Mine'!$B$5="Springbok + Brave Blossom",'Decommissioned Mine'!AO2,0)</f>
        <v>114621.19488334148</v>
      </c>
      <c r="AO23" s="120">
        <f>IF('Decommissioned Mine'!$B$5="Springbok + Brave Blossom",'Decommissioned Mine'!AP2,0)</f>
        <v>103338.9884541268</v>
      </c>
      <c r="AP23" s="120">
        <f>IF('Decommissioned Mine'!$B$5="Springbok + Brave Blossom",'Decommissioned Mine'!AQ2,0)</f>
        <v>93517.515416091745</v>
      </c>
      <c r="AQ23" s="120">
        <f>IF('Decommissioned Mine'!$B$5="Springbok + Brave Blossom",'Decommissioned Mine'!AR2,0)</f>
        <v>84905.186554309577</v>
      </c>
      <c r="AR23" s="120">
        <f>IF('Decommissioned Mine'!$B$5="Springbok + Brave Blossom",'Decommissioned Mine'!AS2,0)</f>
        <v>77303.619943629077</v>
      </c>
      <c r="AS23" s="120">
        <f>IF('Decommissioned Mine'!$B$5="Springbok + Brave Blossom",'Decommissioned Mine'!AT2,0)</f>
        <v>70554.487356517973</v>
      </c>
      <c r="AT23" s="120">
        <f>IF('Decommissioned Mine'!$B$5="Springbok + Brave Blossom",'Decommissioned Mine'!AU2,0)</f>
        <v>64530.041872912065</v>
      </c>
      <c r="AU23" s="120">
        <f>IF('Decommissioned Mine'!$B$5="Springbok + Brave Blossom",'Decommissioned Mine'!AV2,0)</f>
        <v>20160</v>
      </c>
      <c r="AV23" s="120">
        <f>IF('Decommissioned Mine'!$B$5="Springbok + Brave Blossom",'Decommissioned Mine'!AW2,0)</f>
        <v>0</v>
      </c>
      <c r="AW23" s="120">
        <f>IF('Decommissioned Mine'!$B$5="Springbok + Brave Blossom",'Decommissioned Mine'!AX2,0)</f>
        <v>0</v>
      </c>
      <c r="AX23" s="120">
        <f>IF('Decommissioned Mine'!$B$5="Springbok + Brave Blossom",'Decommissioned Mine'!AY2,0)</f>
        <v>0</v>
      </c>
      <c r="AY23" s="120">
        <f>IF('Decommissioned Mine'!$B$5="Springbok + Brave Blossom",'Decommissioned Mine'!AZ2,0)</f>
        <v>0</v>
      </c>
      <c r="AZ23" s="120">
        <f>IF('Decommissioned Mine'!$B$5="Springbok + Brave Blossom",'Decommissioned Mine'!BA2,0)</f>
        <v>0</v>
      </c>
      <c r="BA23" s="120">
        <f>IF('Decommissioned Mine'!$B$5="Springbok + Brave Blossom",'Decommissioned Mine'!BB2,0)</f>
        <v>0</v>
      </c>
      <c r="BB23" s="120">
        <f>IF('Decommissioned Mine'!$B$5="Springbok + Brave Blossom",'Decommissioned Mine'!BC2,0)</f>
        <v>0</v>
      </c>
      <c r="BC23" s="120">
        <f>IF('Decommissioned Mine'!$B$5="Springbok + Brave Blossom",'Decommissioned Mine'!BD2,0)</f>
        <v>0</v>
      </c>
      <c r="BD23" s="120">
        <f>IF('Decommissioned Mine'!$B$5="Springbok + Brave Blossom",'Decommissioned Mine'!BE2,0)</f>
        <v>0</v>
      </c>
      <c r="BE23" s="120">
        <f>IF('Decommissioned Mine'!$B$5="Springbok + Brave Blossom",'Decommissioned Mine'!BF2,0)</f>
        <v>0</v>
      </c>
      <c r="BF23" s="120">
        <f>IF('Decommissioned Mine'!$B$5="Springbok + Brave Blossom",'Decommissioned Mine'!BG2,0)</f>
        <v>0</v>
      </c>
      <c r="BG23" s="120">
        <f>IF('Decommissioned Mine'!$B$5="Springbok + Brave Blossom",'Decommissioned Mine'!BH2,0)</f>
        <v>0</v>
      </c>
      <c r="BH23" s="120">
        <f>IF('Decommissioned Mine'!$B$5="Springbok + Brave Blossom",'Decommissioned Mine'!BI2,0)</f>
        <v>0</v>
      </c>
      <c r="BI23" s="120">
        <f>IF('Decommissioned Mine'!$B$5="Springbok + Brave Blossom",'Decommissioned Mine'!BJ2,0)</f>
        <v>0</v>
      </c>
      <c r="BJ23" s="120">
        <f>IF('Decommissioned Mine'!$B$5="Springbok + Brave Blossom",'Decommissioned Mine'!BK2,0)</f>
        <v>0</v>
      </c>
      <c r="BK23" s="120">
        <f>IF('Decommissioned Mine'!$B$5="Springbok + Brave Blossom",'Decommissioned Mine'!BL2,0)</f>
        <v>0</v>
      </c>
      <c r="BL23" s="120">
        <f>IF('Decommissioned Mine'!$B$5="Springbok + Brave Blossom",'Decommissioned Mine'!BM2,0)</f>
        <v>0</v>
      </c>
      <c r="BM23" s="120">
        <f>IF('Decommissioned Mine'!$B$5="Springbok + Brave Blossom",'Decommissioned Mine'!BN2,0)</f>
        <v>0</v>
      </c>
      <c r="BN23" s="120">
        <f>IF('Decommissioned Mine'!$B$5="Springbok + Brave Blossom",'Decommissioned Mine'!BO2,0)</f>
        <v>0</v>
      </c>
      <c r="BO23" s="120">
        <f>IF('Decommissioned Mine'!$B$5="Springbok + Brave Blossom",'Decommissioned Mine'!BP2,0)</f>
        <v>0</v>
      </c>
      <c r="BP23" s="120"/>
      <c r="BQ23" s="301">
        <f>SUM(D23:BO23)</f>
        <v>4678988.6877586804</v>
      </c>
      <c r="BS23" s="8" t="s">
        <v>260</v>
      </c>
      <c r="BT23" s="9"/>
    </row>
    <row r="24" spans="1:72">
      <c r="A24" t="s">
        <v>261</v>
      </c>
      <c r="B24" s="17" t="s">
        <v>257</v>
      </c>
      <c r="C24" s="138"/>
      <c r="D24" s="120"/>
      <c r="E24" s="120"/>
      <c r="F24" s="120"/>
      <c r="G24" s="120"/>
      <c r="H24" s="120">
        <f>H23+H22</f>
        <v>42054.5</v>
      </c>
      <c r="I24" s="120">
        <f>I23+I22</f>
        <v>64109</v>
      </c>
      <c r="J24" s="120">
        <f t="shared" ref="J24:AD24" si="27">J23+J22</f>
        <v>1052109</v>
      </c>
      <c r="K24" s="120">
        <f t="shared" si="27"/>
        <v>1052109</v>
      </c>
      <c r="L24" s="120">
        <f t="shared" si="27"/>
        <v>1052109</v>
      </c>
      <c r="M24" s="120">
        <f t="shared" si="27"/>
        <v>1052109</v>
      </c>
      <c r="N24" s="120">
        <f t="shared" si="27"/>
        <v>1052109</v>
      </c>
      <c r="O24" s="120">
        <f t="shared" si="27"/>
        <v>1052109</v>
      </c>
      <c r="P24" s="120">
        <f t="shared" si="27"/>
        <v>1052109</v>
      </c>
      <c r="Q24" s="120">
        <f t="shared" si="27"/>
        <v>1052109</v>
      </c>
      <c r="R24" s="120">
        <f t="shared" si="27"/>
        <v>1052109</v>
      </c>
      <c r="S24" s="120">
        <f t="shared" si="27"/>
        <v>1052109</v>
      </c>
      <c r="T24" s="120">
        <f t="shared" si="27"/>
        <v>1052109</v>
      </c>
      <c r="U24" s="120">
        <f t="shared" si="27"/>
        <v>1052109</v>
      </c>
      <c r="V24" s="120">
        <f t="shared" si="27"/>
        <v>1052109</v>
      </c>
      <c r="W24" s="120">
        <f t="shared" si="27"/>
        <v>1052109</v>
      </c>
      <c r="X24" s="120">
        <f t="shared" si="27"/>
        <v>1052109</v>
      </c>
      <c r="Y24" s="120">
        <f t="shared" si="27"/>
        <v>1030054.5</v>
      </c>
      <c r="Z24" s="120">
        <f t="shared" si="27"/>
        <v>1008000</v>
      </c>
      <c r="AA24" s="120">
        <f t="shared" si="27"/>
        <v>1008000</v>
      </c>
      <c r="AB24" s="120">
        <f t="shared" si="27"/>
        <v>840621.19577013573</v>
      </c>
      <c r="AC24" s="120">
        <f t="shared" si="27"/>
        <v>632306.95881303796</v>
      </c>
      <c r="AD24" s="120">
        <f t="shared" si="27"/>
        <v>496522.51881673187</v>
      </c>
      <c r="AE24" s="120">
        <f t="shared" ref="AE24:AF24" si="28">AE23+AE22</f>
        <v>402130.6851680745</v>
      </c>
      <c r="AF24" s="120">
        <f t="shared" si="28"/>
        <v>333334.1233251511</v>
      </c>
      <c r="AG24" s="120">
        <f t="shared" ref="AG24:BO24" si="29">AG23+AG22</f>
        <v>281339.28216088144</v>
      </c>
      <c r="AH24" s="120">
        <f t="shared" si="29"/>
        <v>240897.03713268836</v>
      </c>
      <c r="AI24" s="120">
        <f t="shared" si="29"/>
        <v>208697.96870120725</v>
      </c>
      <c r="AJ24" s="120">
        <f t="shared" si="29"/>
        <v>182561.69636154367</v>
      </c>
      <c r="AK24" s="120">
        <f t="shared" si="29"/>
        <v>160998.68644832275</v>
      </c>
      <c r="AL24" s="120">
        <f t="shared" si="29"/>
        <v>142959.97620265037</v>
      </c>
      <c r="AM24" s="120">
        <f t="shared" si="29"/>
        <v>127687.52437732666</v>
      </c>
      <c r="AN24" s="120">
        <f t="shared" si="29"/>
        <v>114621.19488334148</v>
      </c>
      <c r="AO24" s="120">
        <f t="shared" si="29"/>
        <v>103338.9884541268</v>
      </c>
      <c r="AP24" s="120">
        <f t="shared" si="29"/>
        <v>93517.515416091745</v>
      </c>
      <c r="AQ24" s="120">
        <f t="shared" si="29"/>
        <v>84905.186554309577</v>
      </c>
      <c r="AR24" s="120">
        <f t="shared" si="29"/>
        <v>77303.619943629077</v>
      </c>
      <c r="AS24" s="120">
        <f t="shared" si="29"/>
        <v>70554.487356517973</v>
      </c>
      <c r="AT24" s="120">
        <f t="shared" si="29"/>
        <v>64530.041872912065</v>
      </c>
      <c r="AU24" s="120">
        <f t="shared" si="29"/>
        <v>20160</v>
      </c>
      <c r="AV24" s="120">
        <f t="shared" si="29"/>
        <v>0</v>
      </c>
      <c r="AW24" s="120">
        <f t="shared" si="29"/>
        <v>0</v>
      </c>
      <c r="AX24" s="120">
        <f t="shared" si="29"/>
        <v>0</v>
      </c>
      <c r="AY24" s="120">
        <f t="shared" si="29"/>
        <v>0</v>
      </c>
      <c r="AZ24" s="120">
        <f t="shared" si="29"/>
        <v>0</v>
      </c>
      <c r="BA24" s="120">
        <f t="shared" si="29"/>
        <v>0</v>
      </c>
      <c r="BB24" s="120">
        <f t="shared" si="29"/>
        <v>0</v>
      </c>
      <c r="BC24" s="120">
        <f t="shared" si="29"/>
        <v>0</v>
      </c>
      <c r="BD24" s="120">
        <f t="shared" si="29"/>
        <v>0</v>
      </c>
      <c r="BE24" s="120">
        <f t="shared" si="29"/>
        <v>0</v>
      </c>
      <c r="BF24" s="120">
        <f t="shared" si="29"/>
        <v>0</v>
      </c>
      <c r="BG24" s="120">
        <f t="shared" si="29"/>
        <v>0</v>
      </c>
      <c r="BH24" s="120">
        <f t="shared" si="29"/>
        <v>0</v>
      </c>
      <c r="BI24" s="120">
        <f t="shared" si="29"/>
        <v>0</v>
      </c>
      <c r="BJ24" s="120">
        <f t="shared" si="29"/>
        <v>0</v>
      </c>
      <c r="BK24" s="120">
        <f t="shared" si="29"/>
        <v>0</v>
      </c>
      <c r="BL24" s="120">
        <f t="shared" si="29"/>
        <v>0</v>
      </c>
      <c r="BM24" s="120">
        <f t="shared" si="29"/>
        <v>0</v>
      </c>
      <c r="BN24" s="120">
        <f t="shared" si="29"/>
        <v>0</v>
      </c>
      <c r="BO24" s="120">
        <f t="shared" si="29"/>
        <v>0</v>
      </c>
      <c r="BP24" s="120"/>
      <c r="BQ24" s="301">
        <f t="shared" ref="BQ24:BQ25" si="30">SUM(D24:BO24)</f>
        <v>23612841.687758688</v>
      </c>
      <c r="BT24" s="76"/>
    </row>
    <row r="25" spans="1:72">
      <c r="A25" t="s">
        <v>262</v>
      </c>
      <c r="B25" s="17" t="s">
        <v>257</v>
      </c>
      <c r="D25" s="120">
        <f>(D9*1000*'Decommissioned Mine'!E22)+'Decommissioned Mine'!E21*D23</f>
        <v>0</v>
      </c>
      <c r="E25" s="120">
        <f>(E9*1000*'Decommissioned Mine'!F22)+'Decommissioned Mine'!F21*E23</f>
        <v>0</v>
      </c>
      <c r="F25" s="120">
        <f>(F9*1000*'Decommissioned Mine'!G22)+'Decommissioned Mine'!G21*F23</f>
        <v>0</v>
      </c>
      <c r="G25" s="120">
        <f>(G9*1000*'Decommissioned Mine'!H22)+'Decommissioned Mine'!H21*G23</f>
        <v>0</v>
      </c>
      <c r="H25" s="120">
        <f>(H9*1000*'Decommissioned Mine'!I22)+('Decommissioned Mine'!I21*H23)</f>
        <v>9474.9402003749965</v>
      </c>
      <c r="I25" s="120">
        <f>(I9*1000*'Decommissioned Mine'!J22)+'Decommissioned Mine'!J21*I23</f>
        <v>17925.562541249994</v>
      </c>
      <c r="J25" s="120">
        <f>(J9*1000*'Decommissioned Mine'!K22)+'Decommissioned Mine'!K21*J23</f>
        <v>395473.18568174995</v>
      </c>
      <c r="K25" s="120">
        <f>(K9*1000*'Decommissioned Mine'!L22)+'Decommissioned Mine'!L21*K23</f>
        <v>371505.11382224999</v>
      </c>
      <c r="L25" s="120">
        <f>(L9*1000*'Decommissioned Mine'!M22)+'Decommissioned Mine'!M21*L23</f>
        <v>347537.04196274997</v>
      </c>
      <c r="M25" s="120">
        <f>(M9*1000*'Decommissioned Mine'!N22)+'Decommissioned Mine'!N21*M23</f>
        <v>323568.97010324994</v>
      </c>
      <c r="N25" s="120">
        <f>(N9*1000*'Decommissioned Mine'!O22)+'Decommissioned Mine'!O21*N23</f>
        <v>299600.89824374998</v>
      </c>
      <c r="O25" s="120">
        <f>(O9*1000*'Decommissioned Mine'!P22)+'Decommissioned Mine'!P21*O23</f>
        <v>275632.82638425002</v>
      </c>
      <c r="P25" s="120">
        <f>(P9*1000*'Decommissioned Mine'!Q22)+'Decommissioned Mine'!Q21*P23</f>
        <v>251664.75452475002</v>
      </c>
      <c r="Q25" s="120">
        <f>(Q9*1000*'Decommissioned Mine'!R22)+'Decommissioned Mine'!R21*Q23</f>
        <v>227696.68266525</v>
      </c>
      <c r="R25" s="120">
        <f>(R9*1000*'Decommissioned Mine'!S22)+'Decommissioned Mine'!S21*R23</f>
        <v>203728.61080575001</v>
      </c>
      <c r="S25" s="120">
        <f>(S9*1000*'Decommissioned Mine'!T22)+'Decommissioned Mine'!T21*S23</f>
        <v>179760.53894625002</v>
      </c>
      <c r="T25" s="120">
        <f>(T9*1000*'Decommissioned Mine'!U22)+'Decommissioned Mine'!U21*T23</f>
        <v>155792.46708675002</v>
      </c>
      <c r="U25" s="120">
        <f>(U9*1000*'Decommissioned Mine'!V22)+'Decommissioned Mine'!V21*U23</f>
        <v>131824.39522725003</v>
      </c>
      <c r="V25" s="120">
        <f>(V9*1000*'Decommissioned Mine'!W22)+'Decommissioned Mine'!W21*V23</f>
        <v>107856.32336775002</v>
      </c>
      <c r="W25" s="120">
        <f>(W9*1000*'Decommissioned Mine'!X22)+'Decommissioned Mine'!X21*W23</f>
        <v>83888.251508250061</v>
      </c>
      <c r="X25" s="120">
        <f>(X9*1000*'Decommissioned Mine'!Y22)+'Decommissioned Mine'!Y21*X23</f>
        <v>59920.179648750061</v>
      </c>
      <c r="Y25" s="120">
        <f>(Y9*1000*'Decommissioned Mine'!Z22)+'Decommissioned Mine'!Z21*Y23</f>
        <v>35183.869394625064</v>
      </c>
      <c r="Z25" s="120">
        <f>(Z9*1000*'Decommissioned Mine'!AA22)+'Decommissioned Mine'!AA21*Z23</f>
        <v>11471.877000000079</v>
      </c>
      <c r="AA25" s="120">
        <f>(AA9*1000*'Decommissioned Mine'!AB22)+'Decommissioned Mine'!AB21*AA23</f>
        <v>8.7235219048409363E-11</v>
      </c>
      <c r="AB25" s="120">
        <f>(AB9*1000*'Decommissioned Mine'!AC22)+'Decommissioned Mine'!AC21*AB23</f>
        <v>1.049936632348428E-10</v>
      </c>
      <c r="AC25" s="120">
        <f>(AC9*1000*'Decommissioned Mine'!AD22)+'Decommissioned Mine'!AD21*AC23</f>
        <v>7.8975196234306341E-11</v>
      </c>
      <c r="AD25" s="120">
        <f>(AD9*1000*'Decommissioned Mine'!AE22)+'Decommissioned Mine'!AE21*AD23</f>
        <v>6.2015707421461492E-11</v>
      </c>
      <c r="AE25" s="120">
        <f>(AE9*1000*'Decommissioned Mine'!AF22)+'Decommissioned Mine'!AF21*AE23</f>
        <v>5.0226158877962202E-11</v>
      </c>
      <c r="AF25" s="120">
        <f>(AF9*1000*'Decommissioned Mine'!AG22)+'Decommissioned Mine'!AG21*AF23</f>
        <v>4.163346209349272E-11</v>
      </c>
      <c r="AG25" s="120">
        <f>(AG9*1000*'Decommissioned Mine'!AH22)+'Decommissioned Mine'!AH21*AG23</f>
        <v>3.5139301738483966E-11</v>
      </c>
      <c r="AH25" s="120">
        <f>(AH9*1000*'Decommissioned Mine'!AI22)+'Decommissioned Mine'!AI21*AH23</f>
        <v>3.0088061683727844E-11</v>
      </c>
      <c r="AI25" s="120">
        <f>(AI9*1000*'Decommissioned Mine'!AJ22)+'Decommissioned Mine'!AJ21*AI23</f>
        <v>2.6066395130015315E-11</v>
      </c>
      <c r="AJ25" s="120">
        <f>(AJ9*1000*'Decommissioned Mine'!AK22)+'Decommissioned Mine'!AK21*AJ23</f>
        <v>2.28019723554614E-11</v>
      </c>
      <c r="AK25" s="120">
        <f>(AK9*1000*'Decommissioned Mine'!AL22)+'Decommissioned Mine'!AL21*AK23</f>
        <v>2.0108750470800086E-11</v>
      </c>
      <c r="AL25" s="120">
        <f>(AL9*1000*'Decommissioned Mine'!AM22)+'Decommissioned Mine'!AM21*AL23</f>
        <v>1.7855713932755277E-11</v>
      </c>
      <c r="AM25" s="120">
        <f>(AM9*1000*'Decommissioned Mine'!AN22)+'Decommissioned Mine'!AN21*AM23</f>
        <v>1.5948183321123077E-11</v>
      </c>
      <c r="AN25" s="120">
        <f>(AN9*1000*'Decommissioned Mine'!AO22)+'Decommissioned Mine'!AO21*AN23</f>
        <v>1.431619758782245E-11</v>
      </c>
      <c r="AO25" s="120">
        <f>(AO9*1000*'Decommissioned Mine'!AP22)+'Decommissioned Mine'!AP21*AO23</f>
        <v>1.2907048986365037E-11</v>
      </c>
      <c r="AP25" s="120">
        <f>(AP9*1000*'Decommissioned Mine'!AQ22)+'Decommissioned Mine'!AQ21*AP23</f>
        <v>1.1680346117326847E-11</v>
      </c>
      <c r="AQ25" s="120">
        <f>(AQ9*1000*'Decommissioned Mine'!AQ22)+'Decommissioned Mine'!AQ21*AQ23</f>
        <v>1.0604665465052484E-11</v>
      </c>
      <c r="AR25" s="120">
        <f>(AR9*1000*'Decommissioned Mine'!AR22)+'Decommissioned Mine'!AR21*AR23</f>
        <v>9.655229109182562E-12</v>
      </c>
      <c r="AS25" s="120">
        <f>(AS9*1000*'Decommissioned Mine'!AS22)+'Decommissioned Mine'!AS21*AS23</f>
        <v>8.8122618398059587E-12</v>
      </c>
      <c r="AT25" s="120">
        <f>(AT9*1000*'Decommissioned Mine'!AT22)+'Decommissioned Mine'!AT21*AT23</f>
        <v>8.0598080550748983E-12</v>
      </c>
      <c r="AU25" s="120">
        <f>(AU9*1000*'Decommissioned Mine'!AU22)+'Decommissioned Mine'!AU21*AU23</f>
        <v>2.517985819849855E-12</v>
      </c>
      <c r="AV25" s="120">
        <f>(AV9*1000*'Decommissioned Mine'!AV22)+'Decommissioned Mine'!AV21*AV23</f>
        <v>0</v>
      </c>
      <c r="AW25" s="120">
        <f>(AW9*1000*'Decommissioned Mine'!AW22)+'Decommissioned Mine'!AW21*AW23</f>
        <v>0</v>
      </c>
      <c r="AX25" s="120">
        <f>(AX9*1000*'Decommissioned Mine'!AX22)+'Decommissioned Mine'!AX21*AX23</f>
        <v>0</v>
      </c>
      <c r="AY25" s="120">
        <f>(AY9*1000*'Decommissioned Mine'!AY22)+'Decommissioned Mine'!AY21*AY23</f>
        <v>0</v>
      </c>
      <c r="AZ25" s="120">
        <f>(AZ9*1000*'Decommissioned Mine'!AZ22)+'Decommissioned Mine'!AZ21*AZ23</f>
        <v>0</v>
      </c>
      <c r="BA25" s="120">
        <f>(BA9*1000*'Decommissioned Mine'!BA22)+'Decommissioned Mine'!BA21*BA23</f>
        <v>0</v>
      </c>
      <c r="BB25" s="120">
        <f>(BB9*1000*'Decommissioned Mine'!BB22)+'Decommissioned Mine'!BB21*BB23</f>
        <v>0</v>
      </c>
      <c r="BC25" s="120">
        <f>(BC9*1000*'Decommissioned Mine'!BC22)+'Decommissioned Mine'!BC21*BC23</f>
        <v>0</v>
      </c>
      <c r="BD25" s="120">
        <f>(BD9*1000*'Decommissioned Mine'!BD22)+'Decommissioned Mine'!BD21*BD23</f>
        <v>0</v>
      </c>
      <c r="BE25" s="120">
        <f>(BE9*1000*'Decommissioned Mine'!BE22)+'Decommissioned Mine'!BE21*BE23</f>
        <v>0</v>
      </c>
      <c r="BF25" s="120">
        <f>(BF9*1000*'Decommissioned Mine'!BF22)+'Decommissioned Mine'!BF21*BF23</f>
        <v>0</v>
      </c>
      <c r="BG25" s="120">
        <f>(BG9*1000*'Decommissioned Mine'!BG22)+'Decommissioned Mine'!BG21*BG23</f>
        <v>0</v>
      </c>
      <c r="BH25" s="120">
        <f>(BH9*1000*'Decommissioned Mine'!BH22)+'Decommissioned Mine'!BH21*BH23</f>
        <v>0</v>
      </c>
      <c r="BI25" s="120">
        <f>(BI9*1000*'Decommissioned Mine'!BI22)+'Decommissioned Mine'!BI21*BI23</f>
        <v>0</v>
      </c>
      <c r="BJ25" s="120">
        <f>(BJ9*1000*'Decommissioned Mine'!BJ22)+'Decommissioned Mine'!BJ21*BJ23</f>
        <v>0</v>
      </c>
      <c r="BK25" s="120">
        <f>(BK9*1000*'Decommissioned Mine'!BK22)+'Decommissioned Mine'!BK21*BK23</f>
        <v>0</v>
      </c>
      <c r="BL25" s="120">
        <f>(BL9*1000*'Decommissioned Mine'!BL22)+'Decommissioned Mine'!BL21*BL23</f>
        <v>0</v>
      </c>
      <c r="BM25" s="120">
        <f>(BM9*1000*'Decommissioned Mine'!BM22)+'Decommissioned Mine'!BM21*BM23</f>
        <v>0</v>
      </c>
      <c r="BN25" s="120">
        <f>(BN9*1000*'Decommissioned Mine'!BN22)+'Decommissioned Mine'!BN21*BN23</f>
        <v>0</v>
      </c>
      <c r="BO25" s="120">
        <f>(BO9*1000*'Decommissioned Mine'!BO22)+'Decommissioned Mine'!BO21*BO23</f>
        <v>0</v>
      </c>
      <c r="BP25" s="120"/>
      <c r="BQ25" s="301">
        <f t="shared" si="30"/>
        <v>3489506.4891149993</v>
      </c>
      <c r="BT25" s="76"/>
    </row>
    <row r="26" spans="1:72">
      <c r="A26" t="s">
        <v>263</v>
      </c>
      <c r="D26" s="118"/>
      <c r="E26" s="118"/>
      <c r="F26" s="118"/>
      <c r="G26" s="118"/>
      <c r="H26" s="37">
        <f>H24-H25</f>
        <v>32579.559799625004</v>
      </c>
      <c r="I26" s="37">
        <f t="shared" ref="I26:AI26" si="31">I24-I25</f>
        <v>46183.437458750006</v>
      </c>
      <c r="J26" s="37">
        <f t="shared" si="31"/>
        <v>656635.81431825005</v>
      </c>
      <c r="K26" s="37">
        <f t="shared" si="31"/>
        <v>680603.88617775007</v>
      </c>
      <c r="L26" s="37">
        <f t="shared" si="31"/>
        <v>704571.95803724998</v>
      </c>
      <c r="M26" s="37">
        <f t="shared" si="31"/>
        <v>728540.02989675011</v>
      </c>
      <c r="N26" s="37">
        <f t="shared" si="31"/>
        <v>752508.10175625002</v>
      </c>
      <c r="O26" s="37">
        <f t="shared" si="31"/>
        <v>776476.17361574993</v>
      </c>
      <c r="P26" s="37">
        <f t="shared" si="31"/>
        <v>800444.24547524995</v>
      </c>
      <c r="Q26" s="37">
        <f t="shared" si="31"/>
        <v>824412.31733474997</v>
      </c>
      <c r="R26" s="37">
        <f t="shared" si="31"/>
        <v>848380.38919424999</v>
      </c>
      <c r="S26" s="37">
        <f t="shared" si="31"/>
        <v>872348.46105375001</v>
      </c>
      <c r="T26" s="37">
        <f t="shared" si="31"/>
        <v>896316.53291324992</v>
      </c>
      <c r="U26" s="37">
        <f t="shared" si="31"/>
        <v>920284.60477274994</v>
      </c>
      <c r="V26" s="37">
        <f t="shared" si="31"/>
        <v>944252.67663224996</v>
      </c>
      <c r="W26" s="37">
        <f t="shared" si="31"/>
        <v>968220.74849174998</v>
      </c>
      <c r="X26" s="37">
        <f t="shared" si="31"/>
        <v>992188.82035124989</v>
      </c>
      <c r="Y26" s="37">
        <f t="shared" si="31"/>
        <v>994870.63060537493</v>
      </c>
      <c r="Z26" s="37">
        <f t="shared" si="31"/>
        <v>996528.12299999991</v>
      </c>
      <c r="AA26" s="37">
        <f t="shared" si="31"/>
        <v>1007999.9999999999</v>
      </c>
      <c r="AB26" s="37">
        <f t="shared" si="31"/>
        <v>840621.19577013562</v>
      </c>
      <c r="AC26" s="37">
        <f t="shared" si="31"/>
        <v>632306.95881303784</v>
      </c>
      <c r="AD26" s="37">
        <f t="shared" si="31"/>
        <v>496522.51881673181</v>
      </c>
      <c r="AE26" s="37">
        <f t="shared" si="31"/>
        <v>402130.68516807444</v>
      </c>
      <c r="AF26" s="37">
        <f t="shared" si="31"/>
        <v>333334.12332515104</v>
      </c>
      <c r="AG26" s="37">
        <f t="shared" si="31"/>
        <v>281339.28216088138</v>
      </c>
      <c r="AH26" s="37">
        <f t="shared" si="31"/>
        <v>240897.03713268833</v>
      </c>
      <c r="AI26" s="37">
        <f t="shared" si="31"/>
        <v>208697.96870120722</v>
      </c>
      <c r="AJ26" s="37">
        <f t="shared" ref="AJ26:BQ26" si="32">AJ24-AJ25</f>
        <v>182561.69636154364</v>
      </c>
      <c r="AK26" s="37">
        <f t="shared" si="32"/>
        <v>160998.68644832273</v>
      </c>
      <c r="AL26" s="37">
        <f t="shared" si="32"/>
        <v>142959.97620265034</v>
      </c>
      <c r="AM26" s="37">
        <f t="shared" si="32"/>
        <v>127687.52437732664</v>
      </c>
      <c r="AN26" s="37">
        <f t="shared" si="32"/>
        <v>114621.19488334146</v>
      </c>
      <c r="AO26" s="37">
        <f t="shared" si="32"/>
        <v>103338.98845412678</v>
      </c>
      <c r="AP26" s="37">
        <f t="shared" si="32"/>
        <v>93517.51541609173</v>
      </c>
      <c r="AQ26" s="37">
        <f t="shared" si="32"/>
        <v>84905.186554309563</v>
      </c>
      <c r="AR26" s="37">
        <f t="shared" si="32"/>
        <v>77303.619943629063</v>
      </c>
      <c r="AS26" s="37">
        <f t="shared" si="32"/>
        <v>70554.487356517959</v>
      </c>
      <c r="AT26" s="37">
        <f t="shared" si="32"/>
        <v>64530.041872912057</v>
      </c>
      <c r="AU26" s="37">
        <f t="shared" si="32"/>
        <v>20159.999999999996</v>
      </c>
      <c r="AV26" s="37">
        <f t="shared" si="32"/>
        <v>0</v>
      </c>
      <c r="AW26" s="37">
        <f t="shared" si="32"/>
        <v>0</v>
      </c>
      <c r="AX26" s="37">
        <f t="shared" si="32"/>
        <v>0</v>
      </c>
      <c r="AY26" s="37">
        <f t="shared" si="32"/>
        <v>0</v>
      </c>
      <c r="AZ26" s="37">
        <f t="shared" si="32"/>
        <v>0</v>
      </c>
      <c r="BA26" s="37">
        <f t="shared" si="32"/>
        <v>0</v>
      </c>
      <c r="BB26" s="37">
        <f t="shared" si="32"/>
        <v>0</v>
      </c>
      <c r="BC26" s="37">
        <f t="shared" si="32"/>
        <v>0</v>
      </c>
      <c r="BD26" s="37">
        <f t="shared" si="32"/>
        <v>0</v>
      </c>
      <c r="BE26" s="37">
        <f t="shared" si="32"/>
        <v>0</v>
      </c>
      <c r="BF26" s="37">
        <f t="shared" si="32"/>
        <v>0</v>
      </c>
      <c r="BG26" s="37">
        <f t="shared" si="32"/>
        <v>0</v>
      </c>
      <c r="BH26" s="37">
        <f t="shared" si="32"/>
        <v>0</v>
      </c>
      <c r="BI26" s="37">
        <f t="shared" si="32"/>
        <v>0</v>
      </c>
      <c r="BJ26" s="37">
        <f t="shared" si="32"/>
        <v>0</v>
      </c>
      <c r="BK26" s="37">
        <f t="shared" si="32"/>
        <v>0</v>
      </c>
      <c r="BL26" s="37">
        <f t="shared" si="32"/>
        <v>0</v>
      </c>
      <c r="BM26" s="37">
        <f t="shared" si="32"/>
        <v>0</v>
      </c>
      <c r="BN26" s="37">
        <f t="shared" si="32"/>
        <v>0</v>
      </c>
      <c r="BO26" s="37">
        <f t="shared" si="32"/>
        <v>0</v>
      </c>
      <c r="BP26" s="118"/>
      <c r="BQ26" s="301">
        <f t="shared" si="32"/>
        <v>20123335.198643688</v>
      </c>
    </row>
    <row r="27" spans="1:72"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</row>
    <row r="28" spans="1:72">
      <c r="A28" s="2" t="s">
        <v>113</v>
      </c>
      <c r="B28" s="29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95"/>
      <c r="V28" s="36"/>
      <c r="W28" s="36"/>
      <c r="X28" s="36"/>
      <c r="Y28" s="95"/>
      <c r="Z28" s="36"/>
      <c r="AA28" s="36"/>
      <c r="AB28" s="95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"/>
    </row>
    <row r="29" spans="1:72">
      <c r="A29" s="28"/>
      <c r="B29" s="17"/>
      <c r="BQ29" s="25"/>
    </row>
    <row r="30" spans="1:72">
      <c r="A30" s="28" t="s">
        <v>264</v>
      </c>
      <c r="B30" s="17"/>
      <c r="BQ30" s="25"/>
    </row>
    <row r="31" spans="1:72">
      <c r="A31" s="94" t="s">
        <v>114</v>
      </c>
      <c r="B31" s="17" t="s">
        <v>105</v>
      </c>
      <c r="C31" s="283">
        <v>0</v>
      </c>
      <c r="D31" s="37">
        <f>$C$31*D19</f>
        <v>0</v>
      </c>
      <c r="E31" s="37">
        <f t="shared" ref="E31:AD31" si="33">$C$31*E19</f>
        <v>0</v>
      </c>
      <c r="F31" s="37">
        <f t="shared" si="33"/>
        <v>0</v>
      </c>
      <c r="G31" s="37">
        <f t="shared" si="33"/>
        <v>0</v>
      </c>
      <c r="H31" s="37">
        <f t="shared" si="33"/>
        <v>0</v>
      </c>
      <c r="I31" s="37">
        <f t="shared" si="33"/>
        <v>0</v>
      </c>
      <c r="J31" s="37">
        <f t="shared" si="33"/>
        <v>0</v>
      </c>
      <c r="K31" s="37">
        <f t="shared" si="33"/>
        <v>0</v>
      </c>
      <c r="L31" s="37">
        <f t="shared" si="33"/>
        <v>0</v>
      </c>
      <c r="M31" s="37">
        <f t="shared" si="33"/>
        <v>0</v>
      </c>
      <c r="N31" s="37">
        <f t="shared" si="33"/>
        <v>0</v>
      </c>
      <c r="O31" s="37">
        <f t="shared" si="33"/>
        <v>0</v>
      </c>
      <c r="P31" s="37">
        <f t="shared" si="33"/>
        <v>0</v>
      </c>
      <c r="Q31" s="37">
        <f t="shared" si="33"/>
        <v>0</v>
      </c>
      <c r="R31" s="37">
        <f t="shared" si="33"/>
        <v>0</v>
      </c>
      <c r="S31" s="37">
        <f t="shared" si="33"/>
        <v>0</v>
      </c>
      <c r="T31" s="37">
        <f t="shared" si="33"/>
        <v>0</v>
      </c>
      <c r="U31" s="37">
        <f t="shared" si="33"/>
        <v>0</v>
      </c>
      <c r="V31" s="37">
        <f t="shared" si="33"/>
        <v>0</v>
      </c>
      <c r="W31" s="37">
        <f t="shared" si="33"/>
        <v>0</v>
      </c>
      <c r="X31" s="37">
        <f t="shared" si="33"/>
        <v>0</v>
      </c>
      <c r="Y31" s="37">
        <f t="shared" si="33"/>
        <v>0</v>
      </c>
      <c r="Z31" s="37">
        <f t="shared" si="33"/>
        <v>0</v>
      </c>
      <c r="AA31" s="37">
        <f t="shared" si="33"/>
        <v>0</v>
      </c>
      <c r="AB31" s="37">
        <f t="shared" si="33"/>
        <v>0</v>
      </c>
      <c r="AC31" s="37">
        <f t="shared" si="33"/>
        <v>0</v>
      </c>
      <c r="AD31" s="37">
        <f t="shared" si="33"/>
        <v>0</v>
      </c>
      <c r="AE31" s="37">
        <f t="shared" ref="AE31:AF31" si="34">$C$31*AE19</f>
        <v>0</v>
      </c>
      <c r="AF31" s="37">
        <f t="shared" si="34"/>
        <v>0</v>
      </c>
      <c r="AG31" s="37">
        <f t="shared" ref="AG31:BO31" si="35">$C$31*AG19</f>
        <v>0</v>
      </c>
      <c r="AH31" s="37">
        <f t="shared" si="35"/>
        <v>0</v>
      </c>
      <c r="AI31" s="37">
        <f t="shared" si="35"/>
        <v>0</v>
      </c>
      <c r="AJ31" s="37">
        <f t="shared" si="35"/>
        <v>0</v>
      </c>
      <c r="AK31" s="37">
        <f t="shared" si="35"/>
        <v>0</v>
      </c>
      <c r="AL31" s="37">
        <f t="shared" si="35"/>
        <v>0</v>
      </c>
      <c r="AM31" s="37">
        <f t="shared" si="35"/>
        <v>0</v>
      </c>
      <c r="AN31" s="37">
        <f t="shared" si="35"/>
        <v>0</v>
      </c>
      <c r="AO31" s="37">
        <f t="shared" si="35"/>
        <v>0</v>
      </c>
      <c r="AP31" s="37">
        <f t="shared" si="35"/>
        <v>0</v>
      </c>
      <c r="AQ31" s="37">
        <f t="shared" si="35"/>
        <v>0</v>
      </c>
      <c r="AR31" s="37">
        <f t="shared" si="35"/>
        <v>0</v>
      </c>
      <c r="AS31" s="37">
        <f t="shared" si="35"/>
        <v>0</v>
      </c>
      <c r="AT31" s="37">
        <f t="shared" si="35"/>
        <v>0</v>
      </c>
      <c r="AU31" s="37">
        <f t="shared" si="35"/>
        <v>0</v>
      </c>
      <c r="AV31" s="37">
        <f t="shared" si="35"/>
        <v>0</v>
      </c>
      <c r="AW31" s="37">
        <f t="shared" si="35"/>
        <v>0</v>
      </c>
      <c r="AX31" s="37">
        <f t="shared" si="35"/>
        <v>0</v>
      </c>
      <c r="AY31" s="37">
        <f t="shared" si="35"/>
        <v>0</v>
      </c>
      <c r="AZ31" s="37">
        <f t="shared" si="35"/>
        <v>0</v>
      </c>
      <c r="BA31" s="37">
        <f t="shared" si="35"/>
        <v>0</v>
      </c>
      <c r="BB31" s="37">
        <f t="shared" si="35"/>
        <v>0</v>
      </c>
      <c r="BC31" s="37">
        <f t="shared" si="35"/>
        <v>0</v>
      </c>
      <c r="BD31" s="37">
        <f t="shared" si="35"/>
        <v>0</v>
      </c>
      <c r="BE31" s="37">
        <f t="shared" si="35"/>
        <v>0</v>
      </c>
      <c r="BF31" s="37">
        <f t="shared" si="35"/>
        <v>0</v>
      </c>
      <c r="BG31" s="37">
        <f t="shared" si="35"/>
        <v>0</v>
      </c>
      <c r="BH31" s="37">
        <f t="shared" si="35"/>
        <v>0</v>
      </c>
      <c r="BI31" s="37">
        <f t="shared" si="35"/>
        <v>0</v>
      </c>
      <c r="BJ31" s="37">
        <f t="shared" si="35"/>
        <v>0</v>
      </c>
      <c r="BK31" s="37">
        <f t="shared" si="35"/>
        <v>0</v>
      </c>
      <c r="BL31" s="37">
        <f t="shared" si="35"/>
        <v>0</v>
      </c>
      <c r="BM31" s="37">
        <f t="shared" si="35"/>
        <v>0</v>
      </c>
      <c r="BN31" s="37">
        <f t="shared" si="35"/>
        <v>0</v>
      </c>
      <c r="BO31" s="37">
        <f t="shared" si="35"/>
        <v>0</v>
      </c>
      <c r="BP31" s="37"/>
      <c r="BQ31" s="5">
        <f>SUM(D31:BO31)</f>
        <v>0</v>
      </c>
    </row>
    <row r="32" spans="1:72">
      <c r="A32" s="94" t="s">
        <v>9</v>
      </c>
      <c r="B32" s="17" t="s">
        <v>105</v>
      </c>
      <c r="C32" s="283">
        <v>1</v>
      </c>
      <c r="D32" s="37">
        <f>$C$32*D19</f>
        <v>0</v>
      </c>
      <c r="E32" s="37">
        <f t="shared" ref="E32:AD32" si="36">$C$32*E19</f>
        <v>0</v>
      </c>
      <c r="F32" s="37">
        <f t="shared" si="36"/>
        <v>0</v>
      </c>
      <c r="G32" s="37">
        <f t="shared" si="36"/>
        <v>0</v>
      </c>
      <c r="H32" s="37">
        <f t="shared" si="36"/>
        <v>81.432000000000002</v>
      </c>
      <c r="I32" s="37">
        <f t="shared" si="36"/>
        <v>162.864</v>
      </c>
      <c r="J32" s="37">
        <f>$C$32*J19</f>
        <v>5398.7240000000002</v>
      </c>
      <c r="K32" s="37">
        <f t="shared" si="36"/>
        <v>5398.7240000000002</v>
      </c>
      <c r="L32" s="37">
        <f t="shared" si="36"/>
        <v>5398.7240000000002</v>
      </c>
      <c r="M32" s="37">
        <f t="shared" si="36"/>
        <v>5398.7240000000002</v>
      </c>
      <c r="N32" s="37">
        <f t="shared" si="36"/>
        <v>5398.7240000000002</v>
      </c>
      <c r="O32" s="37">
        <f t="shared" si="36"/>
        <v>5398.7240000000002</v>
      </c>
      <c r="P32" s="37">
        <f t="shared" si="36"/>
        <v>5398.7240000000002</v>
      </c>
      <c r="Q32" s="37">
        <f t="shared" si="36"/>
        <v>5398.7240000000002</v>
      </c>
      <c r="R32" s="37">
        <f t="shared" si="36"/>
        <v>5398.7240000000002</v>
      </c>
      <c r="S32" s="37">
        <f t="shared" si="36"/>
        <v>5398.7240000000002</v>
      </c>
      <c r="T32" s="37">
        <f t="shared" si="36"/>
        <v>5398.7240000000002</v>
      </c>
      <c r="U32" s="37">
        <f t="shared" si="36"/>
        <v>5398.7240000000002</v>
      </c>
      <c r="V32" s="37">
        <f t="shared" si="36"/>
        <v>5398.7240000000002</v>
      </c>
      <c r="W32" s="37">
        <f t="shared" si="36"/>
        <v>5398.7240000000002</v>
      </c>
      <c r="X32" s="37">
        <f t="shared" si="36"/>
        <v>5398.7240000000002</v>
      </c>
      <c r="Y32" s="37">
        <f t="shared" si="36"/>
        <v>5283.3620000000001</v>
      </c>
      <c r="Z32" s="37">
        <f t="shared" si="36"/>
        <v>5168</v>
      </c>
      <c r="AA32" s="37">
        <f>$C$32*AA19</f>
        <v>5168</v>
      </c>
      <c r="AB32" s="37">
        <f t="shared" si="36"/>
        <v>0</v>
      </c>
      <c r="AC32" s="37">
        <f t="shared" si="36"/>
        <v>0</v>
      </c>
      <c r="AD32" s="37">
        <f t="shared" si="36"/>
        <v>0</v>
      </c>
      <c r="AE32" s="37">
        <f t="shared" ref="AE32:AF32" si="37">$C$32*AE19</f>
        <v>0</v>
      </c>
      <c r="AF32" s="37">
        <f t="shared" si="37"/>
        <v>0</v>
      </c>
      <c r="AG32" s="37">
        <f t="shared" ref="AG32:BO32" si="38">$C$32*AG19</f>
        <v>0</v>
      </c>
      <c r="AH32" s="37">
        <f t="shared" si="38"/>
        <v>0</v>
      </c>
      <c r="AI32" s="37">
        <f t="shared" si="38"/>
        <v>0</v>
      </c>
      <c r="AJ32" s="37">
        <f t="shared" si="38"/>
        <v>0</v>
      </c>
      <c r="AK32" s="37">
        <f t="shared" si="38"/>
        <v>0</v>
      </c>
      <c r="AL32" s="37">
        <f t="shared" si="38"/>
        <v>0</v>
      </c>
      <c r="AM32" s="37">
        <f t="shared" si="38"/>
        <v>0</v>
      </c>
      <c r="AN32" s="37">
        <f t="shared" si="38"/>
        <v>0</v>
      </c>
      <c r="AO32" s="37">
        <f t="shared" si="38"/>
        <v>0</v>
      </c>
      <c r="AP32" s="37">
        <f t="shared" si="38"/>
        <v>0</v>
      </c>
      <c r="AQ32" s="37">
        <f t="shared" si="38"/>
        <v>0</v>
      </c>
      <c r="AR32" s="37">
        <f t="shared" si="38"/>
        <v>0</v>
      </c>
      <c r="AS32" s="37">
        <f t="shared" si="38"/>
        <v>0</v>
      </c>
      <c r="AT32" s="37">
        <f t="shared" si="38"/>
        <v>0</v>
      </c>
      <c r="AU32" s="37">
        <f t="shared" si="38"/>
        <v>0</v>
      </c>
      <c r="AV32" s="37">
        <f t="shared" si="38"/>
        <v>0</v>
      </c>
      <c r="AW32" s="37">
        <f t="shared" si="38"/>
        <v>0</v>
      </c>
      <c r="AX32" s="37">
        <f t="shared" si="38"/>
        <v>0</v>
      </c>
      <c r="AY32" s="37">
        <f t="shared" si="38"/>
        <v>0</v>
      </c>
      <c r="AZ32" s="37">
        <f t="shared" si="38"/>
        <v>0</v>
      </c>
      <c r="BA32" s="37">
        <f t="shared" si="38"/>
        <v>0</v>
      </c>
      <c r="BB32" s="37">
        <f t="shared" si="38"/>
        <v>0</v>
      </c>
      <c r="BC32" s="37">
        <f t="shared" si="38"/>
        <v>0</v>
      </c>
      <c r="BD32" s="37">
        <f t="shared" si="38"/>
        <v>0</v>
      </c>
      <c r="BE32" s="37">
        <f t="shared" si="38"/>
        <v>0</v>
      </c>
      <c r="BF32" s="37">
        <f t="shared" si="38"/>
        <v>0</v>
      </c>
      <c r="BG32" s="37">
        <f t="shared" si="38"/>
        <v>0</v>
      </c>
      <c r="BH32" s="37">
        <f t="shared" si="38"/>
        <v>0</v>
      </c>
      <c r="BI32" s="37">
        <f t="shared" si="38"/>
        <v>0</v>
      </c>
      <c r="BJ32" s="37">
        <f t="shared" si="38"/>
        <v>0</v>
      </c>
      <c r="BK32" s="37">
        <f t="shared" si="38"/>
        <v>0</v>
      </c>
      <c r="BL32" s="37">
        <f t="shared" si="38"/>
        <v>0</v>
      </c>
      <c r="BM32" s="37">
        <f t="shared" si="38"/>
        <v>0</v>
      </c>
      <c r="BN32" s="37">
        <f t="shared" si="38"/>
        <v>0</v>
      </c>
      <c r="BO32" s="37">
        <f t="shared" si="38"/>
        <v>0</v>
      </c>
      <c r="BP32" s="37"/>
      <c r="BQ32" s="5">
        <f>SUM(D32:BO32)</f>
        <v>96844.518000000011</v>
      </c>
    </row>
    <row r="33" spans="1:69">
      <c r="A33" s="94" t="s">
        <v>265</v>
      </c>
      <c r="B33" s="17" t="s">
        <v>105</v>
      </c>
      <c r="C33" s="283">
        <v>0</v>
      </c>
      <c r="D33" s="37">
        <f>$C$33*D19</f>
        <v>0</v>
      </c>
      <c r="E33" s="37">
        <f t="shared" ref="E33:AD33" si="39">$C$33*E19</f>
        <v>0</v>
      </c>
      <c r="F33" s="37">
        <f t="shared" si="39"/>
        <v>0</v>
      </c>
      <c r="G33" s="37">
        <f t="shared" si="39"/>
        <v>0</v>
      </c>
      <c r="H33" s="37">
        <f t="shared" si="39"/>
        <v>0</v>
      </c>
      <c r="I33" s="37">
        <f t="shared" si="39"/>
        <v>0</v>
      </c>
      <c r="J33" s="37">
        <f t="shared" si="39"/>
        <v>0</v>
      </c>
      <c r="K33" s="37">
        <f t="shared" si="39"/>
        <v>0</v>
      </c>
      <c r="L33" s="37">
        <f t="shared" si="39"/>
        <v>0</v>
      </c>
      <c r="M33" s="37">
        <f t="shared" si="39"/>
        <v>0</v>
      </c>
      <c r="N33" s="37">
        <f t="shared" si="39"/>
        <v>0</v>
      </c>
      <c r="O33" s="37">
        <f t="shared" si="39"/>
        <v>0</v>
      </c>
      <c r="P33" s="37">
        <f t="shared" si="39"/>
        <v>0</v>
      </c>
      <c r="Q33" s="37">
        <f t="shared" si="39"/>
        <v>0</v>
      </c>
      <c r="R33" s="37">
        <f t="shared" si="39"/>
        <v>0</v>
      </c>
      <c r="S33" s="37">
        <f t="shared" si="39"/>
        <v>0</v>
      </c>
      <c r="T33" s="37">
        <f t="shared" si="39"/>
        <v>0</v>
      </c>
      <c r="U33" s="37">
        <f t="shared" si="39"/>
        <v>0</v>
      </c>
      <c r="V33" s="37">
        <f t="shared" si="39"/>
        <v>0</v>
      </c>
      <c r="W33" s="37">
        <f t="shared" si="39"/>
        <v>0</v>
      </c>
      <c r="X33" s="37">
        <f t="shared" si="39"/>
        <v>0</v>
      </c>
      <c r="Y33" s="37">
        <f t="shared" si="39"/>
        <v>0</v>
      </c>
      <c r="Z33" s="37">
        <f t="shared" si="39"/>
        <v>0</v>
      </c>
      <c r="AA33" s="37">
        <f t="shared" si="39"/>
        <v>0</v>
      </c>
      <c r="AB33" s="37">
        <f t="shared" si="39"/>
        <v>0</v>
      </c>
      <c r="AC33" s="37">
        <f t="shared" si="39"/>
        <v>0</v>
      </c>
      <c r="AD33" s="37">
        <f t="shared" si="39"/>
        <v>0</v>
      </c>
      <c r="AE33" s="37">
        <f t="shared" ref="AE33:AF33" si="40">$C$33*AE19</f>
        <v>0</v>
      </c>
      <c r="AF33" s="37">
        <f t="shared" si="40"/>
        <v>0</v>
      </c>
      <c r="AG33" s="37">
        <f t="shared" ref="AG33:BO33" si="41">$C$33*AG19</f>
        <v>0</v>
      </c>
      <c r="AH33" s="37">
        <f t="shared" si="41"/>
        <v>0</v>
      </c>
      <c r="AI33" s="37">
        <f t="shared" si="41"/>
        <v>0</v>
      </c>
      <c r="AJ33" s="37">
        <f t="shared" si="41"/>
        <v>0</v>
      </c>
      <c r="AK33" s="37">
        <f t="shared" si="41"/>
        <v>0</v>
      </c>
      <c r="AL33" s="37">
        <f t="shared" si="41"/>
        <v>0</v>
      </c>
      <c r="AM33" s="37">
        <f t="shared" si="41"/>
        <v>0</v>
      </c>
      <c r="AN33" s="37">
        <f t="shared" si="41"/>
        <v>0</v>
      </c>
      <c r="AO33" s="37">
        <f t="shared" si="41"/>
        <v>0</v>
      </c>
      <c r="AP33" s="37">
        <f t="shared" si="41"/>
        <v>0</v>
      </c>
      <c r="AQ33" s="37">
        <f t="shared" si="41"/>
        <v>0</v>
      </c>
      <c r="AR33" s="37">
        <f t="shared" si="41"/>
        <v>0</v>
      </c>
      <c r="AS33" s="37">
        <f t="shared" si="41"/>
        <v>0</v>
      </c>
      <c r="AT33" s="37">
        <f t="shared" si="41"/>
        <v>0</v>
      </c>
      <c r="AU33" s="37">
        <f t="shared" si="41"/>
        <v>0</v>
      </c>
      <c r="AV33" s="37">
        <f t="shared" si="41"/>
        <v>0</v>
      </c>
      <c r="AW33" s="37">
        <f t="shared" si="41"/>
        <v>0</v>
      </c>
      <c r="AX33" s="37">
        <f t="shared" si="41"/>
        <v>0</v>
      </c>
      <c r="AY33" s="37">
        <f t="shared" si="41"/>
        <v>0</v>
      </c>
      <c r="AZ33" s="37">
        <f t="shared" si="41"/>
        <v>0</v>
      </c>
      <c r="BA33" s="37">
        <f t="shared" si="41"/>
        <v>0</v>
      </c>
      <c r="BB33" s="37">
        <f t="shared" si="41"/>
        <v>0</v>
      </c>
      <c r="BC33" s="37">
        <f t="shared" si="41"/>
        <v>0</v>
      </c>
      <c r="BD33" s="37">
        <f t="shared" si="41"/>
        <v>0</v>
      </c>
      <c r="BE33" s="37">
        <f t="shared" si="41"/>
        <v>0</v>
      </c>
      <c r="BF33" s="37">
        <f t="shared" si="41"/>
        <v>0</v>
      </c>
      <c r="BG33" s="37">
        <f t="shared" si="41"/>
        <v>0</v>
      </c>
      <c r="BH33" s="37">
        <f t="shared" si="41"/>
        <v>0</v>
      </c>
      <c r="BI33" s="37">
        <f t="shared" si="41"/>
        <v>0</v>
      </c>
      <c r="BJ33" s="37">
        <f t="shared" si="41"/>
        <v>0</v>
      </c>
      <c r="BK33" s="37">
        <f t="shared" si="41"/>
        <v>0</v>
      </c>
      <c r="BL33" s="37">
        <f t="shared" si="41"/>
        <v>0</v>
      </c>
      <c r="BM33" s="37">
        <f t="shared" si="41"/>
        <v>0</v>
      </c>
      <c r="BN33" s="37">
        <f t="shared" si="41"/>
        <v>0</v>
      </c>
      <c r="BO33" s="37">
        <f t="shared" si="41"/>
        <v>0</v>
      </c>
      <c r="BP33" s="37"/>
      <c r="BQ33" s="5">
        <f>SUM(D33:BO33)</f>
        <v>0</v>
      </c>
    </row>
    <row r="34" spans="1:69">
      <c r="A34" s="4" t="s">
        <v>115</v>
      </c>
      <c r="B34" s="17" t="s">
        <v>105</v>
      </c>
      <c r="D34" s="35">
        <f>SUM(D31:D33)</f>
        <v>0</v>
      </c>
      <c r="E34" s="35">
        <f t="shared" ref="E34:AD34" si="42">SUM(E31:E33)</f>
        <v>0</v>
      </c>
      <c r="F34" s="35">
        <f t="shared" si="42"/>
        <v>0</v>
      </c>
      <c r="G34" s="35">
        <f t="shared" si="42"/>
        <v>0</v>
      </c>
      <c r="H34" s="35">
        <f t="shared" si="42"/>
        <v>81.432000000000002</v>
      </c>
      <c r="I34" s="35">
        <f t="shared" si="42"/>
        <v>162.864</v>
      </c>
      <c r="J34" s="35">
        <f>SUM(J31:J33)</f>
        <v>5398.7240000000002</v>
      </c>
      <c r="K34" s="35">
        <f t="shared" si="42"/>
        <v>5398.7240000000002</v>
      </c>
      <c r="L34" s="35">
        <f t="shared" si="42"/>
        <v>5398.7240000000002</v>
      </c>
      <c r="M34" s="35">
        <f t="shared" si="42"/>
        <v>5398.7240000000002</v>
      </c>
      <c r="N34" s="35">
        <f t="shared" si="42"/>
        <v>5398.7240000000002</v>
      </c>
      <c r="O34" s="35">
        <f t="shared" si="42"/>
        <v>5398.7240000000002</v>
      </c>
      <c r="P34" s="35">
        <f t="shared" si="42"/>
        <v>5398.7240000000002</v>
      </c>
      <c r="Q34" s="35">
        <f t="shared" si="42"/>
        <v>5398.7240000000002</v>
      </c>
      <c r="R34" s="35">
        <f t="shared" si="42"/>
        <v>5398.7240000000002</v>
      </c>
      <c r="S34" s="35">
        <f t="shared" si="42"/>
        <v>5398.7240000000002</v>
      </c>
      <c r="T34" s="35">
        <f t="shared" si="42"/>
        <v>5398.7240000000002</v>
      </c>
      <c r="U34" s="35">
        <f t="shared" si="42"/>
        <v>5398.7240000000002</v>
      </c>
      <c r="V34" s="35">
        <f t="shared" si="42"/>
        <v>5398.7240000000002</v>
      </c>
      <c r="W34" s="35">
        <f t="shared" si="42"/>
        <v>5398.7240000000002</v>
      </c>
      <c r="X34" s="35">
        <f t="shared" si="42"/>
        <v>5398.7240000000002</v>
      </c>
      <c r="Y34" s="35">
        <f t="shared" si="42"/>
        <v>5283.3620000000001</v>
      </c>
      <c r="Z34" s="35">
        <f t="shared" si="42"/>
        <v>5168</v>
      </c>
      <c r="AA34" s="35">
        <f t="shared" si="42"/>
        <v>5168</v>
      </c>
      <c r="AB34" s="35">
        <f t="shared" si="42"/>
        <v>0</v>
      </c>
      <c r="AC34" s="35">
        <f t="shared" si="42"/>
        <v>0</v>
      </c>
      <c r="AD34" s="35">
        <f t="shared" si="42"/>
        <v>0</v>
      </c>
      <c r="AE34" s="35">
        <f t="shared" ref="AE34:AF34" si="43">SUM(AE31:AE33)</f>
        <v>0</v>
      </c>
      <c r="AF34" s="35">
        <f t="shared" si="43"/>
        <v>0</v>
      </c>
      <c r="AG34" s="35">
        <f t="shared" ref="AG34:BO34" si="44">SUM(AG31:AG33)</f>
        <v>0</v>
      </c>
      <c r="AH34" s="35">
        <f t="shared" si="44"/>
        <v>0</v>
      </c>
      <c r="AI34" s="35">
        <f t="shared" si="44"/>
        <v>0</v>
      </c>
      <c r="AJ34" s="35">
        <f t="shared" si="44"/>
        <v>0</v>
      </c>
      <c r="AK34" s="35">
        <f t="shared" si="44"/>
        <v>0</v>
      </c>
      <c r="AL34" s="35">
        <f t="shared" si="44"/>
        <v>0</v>
      </c>
      <c r="AM34" s="35">
        <f t="shared" si="44"/>
        <v>0</v>
      </c>
      <c r="AN34" s="35">
        <f t="shared" si="44"/>
        <v>0</v>
      </c>
      <c r="AO34" s="35">
        <f t="shared" si="44"/>
        <v>0</v>
      </c>
      <c r="AP34" s="35">
        <f t="shared" si="44"/>
        <v>0</v>
      </c>
      <c r="AQ34" s="35">
        <f t="shared" si="44"/>
        <v>0</v>
      </c>
      <c r="AR34" s="35">
        <f t="shared" si="44"/>
        <v>0</v>
      </c>
      <c r="AS34" s="35">
        <f t="shared" si="44"/>
        <v>0</v>
      </c>
      <c r="AT34" s="35">
        <f t="shared" si="44"/>
        <v>0</v>
      </c>
      <c r="AU34" s="35">
        <f t="shared" si="44"/>
        <v>0</v>
      </c>
      <c r="AV34" s="35">
        <f t="shared" si="44"/>
        <v>0</v>
      </c>
      <c r="AW34" s="35">
        <f t="shared" si="44"/>
        <v>0</v>
      </c>
      <c r="AX34" s="35">
        <f t="shared" si="44"/>
        <v>0</v>
      </c>
      <c r="AY34" s="35">
        <f t="shared" si="44"/>
        <v>0</v>
      </c>
      <c r="AZ34" s="35">
        <f t="shared" si="44"/>
        <v>0</v>
      </c>
      <c r="BA34" s="35">
        <f t="shared" si="44"/>
        <v>0</v>
      </c>
      <c r="BB34" s="35">
        <f t="shared" si="44"/>
        <v>0</v>
      </c>
      <c r="BC34" s="35">
        <f t="shared" si="44"/>
        <v>0</v>
      </c>
      <c r="BD34" s="35">
        <f t="shared" si="44"/>
        <v>0</v>
      </c>
      <c r="BE34" s="35">
        <f t="shared" si="44"/>
        <v>0</v>
      </c>
      <c r="BF34" s="35">
        <f t="shared" si="44"/>
        <v>0</v>
      </c>
      <c r="BG34" s="35">
        <f t="shared" si="44"/>
        <v>0</v>
      </c>
      <c r="BH34" s="35">
        <f t="shared" si="44"/>
        <v>0</v>
      </c>
      <c r="BI34" s="35">
        <f t="shared" si="44"/>
        <v>0</v>
      </c>
      <c r="BJ34" s="35">
        <f t="shared" si="44"/>
        <v>0</v>
      </c>
      <c r="BK34" s="35">
        <f t="shared" si="44"/>
        <v>0</v>
      </c>
      <c r="BL34" s="35">
        <f t="shared" si="44"/>
        <v>0</v>
      </c>
      <c r="BM34" s="35">
        <f t="shared" si="44"/>
        <v>0</v>
      </c>
      <c r="BN34" s="35">
        <f t="shared" si="44"/>
        <v>0</v>
      </c>
      <c r="BO34" s="35">
        <f t="shared" si="44"/>
        <v>0</v>
      </c>
      <c r="BP34" s="35"/>
      <c r="BQ34" s="38">
        <f>SUM(BQ31:BQ33)</f>
        <v>96844.518000000011</v>
      </c>
    </row>
    <row r="35" spans="1:69">
      <c r="A35" s="4"/>
      <c r="B35" s="17"/>
      <c r="BQ35" s="25"/>
    </row>
    <row r="36" spans="1:69">
      <c r="A36" s="28" t="s">
        <v>266</v>
      </c>
      <c r="B36" s="17"/>
      <c r="BQ36" s="25"/>
    </row>
    <row r="37" spans="1:69">
      <c r="A37" s="4" t="str">
        <f>$A$31</f>
        <v>PHCC</v>
      </c>
      <c r="B37" s="17" t="s">
        <v>43</v>
      </c>
      <c r="D37" s="14"/>
      <c r="E37" s="14"/>
      <c r="F37" s="14"/>
      <c r="G37" s="14"/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/>
      <c r="BQ37" s="5"/>
    </row>
    <row r="38" spans="1:69">
      <c r="A38" s="4" t="str">
        <f>$A$32</f>
        <v>88% PHCC</v>
      </c>
      <c r="B38" s="17" t="s">
        <v>43</v>
      </c>
      <c r="D38" s="14"/>
      <c r="E38" s="14"/>
      <c r="F38" s="14"/>
      <c r="G38" s="14"/>
      <c r="H38" s="14">
        <v>9.5000000000000001E-2</v>
      </c>
      <c r="I38" s="14">
        <v>9.5000000000000001E-2</v>
      </c>
      <c r="J38" s="14">
        <v>9.5000000000000001E-2</v>
      </c>
      <c r="K38" s="14">
        <v>9.5000000000000001E-2</v>
      </c>
      <c r="L38" s="14">
        <v>9.5000000000000001E-2</v>
      </c>
      <c r="M38" s="14">
        <v>9.5000000000000001E-2</v>
      </c>
      <c r="N38" s="14">
        <v>9.5000000000000001E-2</v>
      </c>
      <c r="O38" s="14">
        <v>9.5000000000000001E-2</v>
      </c>
      <c r="P38" s="14">
        <v>9.5000000000000001E-2</v>
      </c>
      <c r="Q38" s="14">
        <v>9.5000000000000001E-2</v>
      </c>
      <c r="R38" s="14">
        <v>9.5000000000000001E-2</v>
      </c>
      <c r="S38" s="14">
        <v>9.5000000000000001E-2</v>
      </c>
      <c r="T38" s="14">
        <v>9.5000000000000001E-2</v>
      </c>
      <c r="U38" s="14">
        <v>9.5000000000000001E-2</v>
      </c>
      <c r="V38" s="14">
        <v>9.5000000000000001E-2</v>
      </c>
      <c r="W38" s="14">
        <v>9.5000000000000001E-2</v>
      </c>
      <c r="X38" s="14">
        <v>9.5000000000000001E-2</v>
      </c>
      <c r="Y38" s="14">
        <v>9.5000000000000001E-2</v>
      </c>
      <c r="Z38" s="14">
        <v>9.5000000000000001E-2</v>
      </c>
      <c r="AA38" s="14">
        <v>9.5000000000000001E-2</v>
      </c>
      <c r="AB38" s="14">
        <v>9.5000000000000001E-2</v>
      </c>
      <c r="AC38" s="14">
        <v>9.5000000000000001E-2</v>
      </c>
      <c r="AD38" s="14">
        <v>9.5000000000000001E-2</v>
      </c>
      <c r="AE38" s="14">
        <v>9.5000000000000001E-2</v>
      </c>
      <c r="AF38" s="14">
        <v>9.5000000000000001E-2</v>
      </c>
      <c r="AG38" s="14">
        <v>9.5000000000000001E-2</v>
      </c>
      <c r="AH38" s="14">
        <v>9.5000000000000001E-2</v>
      </c>
      <c r="AI38" s="14">
        <v>9.5000000000000001E-2</v>
      </c>
      <c r="AJ38" s="14">
        <v>9.5000000000000001E-2</v>
      </c>
      <c r="AK38" s="14">
        <v>9.5000000000000001E-2</v>
      </c>
      <c r="AL38" s="14">
        <v>9.5000000000000001E-2</v>
      </c>
      <c r="AM38" s="14">
        <v>9.5000000000000001E-2</v>
      </c>
      <c r="AN38" s="14">
        <v>9.5000000000000001E-2</v>
      </c>
      <c r="AO38" s="14">
        <v>9.5000000000000001E-2</v>
      </c>
      <c r="AP38" s="14">
        <v>9.5000000000000001E-2</v>
      </c>
      <c r="AQ38" s="14">
        <v>9.5000000000000001E-2</v>
      </c>
      <c r="AR38" s="14">
        <v>9.5000000000000001E-2</v>
      </c>
      <c r="AS38" s="14">
        <v>9.5000000000000001E-2</v>
      </c>
      <c r="AT38" s="14">
        <v>9.5000000000000001E-2</v>
      </c>
      <c r="AU38" s="14">
        <v>9.5000000000000001E-2</v>
      </c>
      <c r="AV38" s="14">
        <v>9.5000000000000001E-2</v>
      </c>
      <c r="AW38" s="14">
        <v>9.5000000000000001E-2</v>
      </c>
      <c r="AX38" s="14">
        <v>9.5000000000000001E-2</v>
      </c>
      <c r="AY38" s="14">
        <v>9.5000000000000001E-2</v>
      </c>
      <c r="AZ38" s="14">
        <v>9.5000000000000001E-2</v>
      </c>
      <c r="BA38" s="14">
        <v>9.5000000000000001E-2</v>
      </c>
      <c r="BB38" s="14">
        <v>9.5000000000000001E-2</v>
      </c>
      <c r="BC38" s="14">
        <v>9.5000000000000001E-2</v>
      </c>
      <c r="BD38" s="14">
        <v>9.5000000000000001E-2</v>
      </c>
      <c r="BE38" s="14">
        <v>9.5000000000000001E-2</v>
      </c>
      <c r="BF38" s="14">
        <v>9.5000000000000001E-2</v>
      </c>
      <c r="BG38" s="14">
        <v>9.5000000000000001E-2</v>
      </c>
      <c r="BH38" s="14">
        <v>9.5000000000000001E-2</v>
      </c>
      <c r="BI38" s="14">
        <v>9.5000000000000001E-2</v>
      </c>
      <c r="BJ38" s="14">
        <v>9.5000000000000001E-2</v>
      </c>
      <c r="BK38" s="14">
        <v>9.5000000000000001E-2</v>
      </c>
      <c r="BL38" s="14">
        <v>9.5000000000000001E-2</v>
      </c>
      <c r="BM38" s="14">
        <v>9.5000000000000001E-2</v>
      </c>
      <c r="BN38" s="14">
        <v>9.5000000000000001E-2</v>
      </c>
      <c r="BO38" s="14">
        <v>9.5000000000000001E-2</v>
      </c>
      <c r="BP38" s="14"/>
      <c r="BQ38" s="5"/>
    </row>
    <row r="39" spans="1:69">
      <c r="A39" s="4" t="str">
        <f>$A$33</f>
        <v>Thermal GCN</v>
      </c>
      <c r="B39" s="17" t="s">
        <v>43</v>
      </c>
      <c r="D39" s="14"/>
      <c r="E39" s="14"/>
      <c r="F39" s="14"/>
      <c r="G39" s="14"/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/>
      <c r="BQ39" s="5"/>
    </row>
    <row r="40" spans="1:69">
      <c r="A40" s="4"/>
      <c r="B40" s="17"/>
      <c r="BQ40" s="25"/>
    </row>
    <row r="41" spans="1:69">
      <c r="A41" s="28" t="s">
        <v>267</v>
      </c>
      <c r="B41" s="17"/>
      <c r="BQ41" s="25"/>
    </row>
    <row r="42" spans="1:69">
      <c r="A42" s="4" t="str">
        <f>$A$31</f>
        <v>PHCC</v>
      </c>
      <c r="B42" s="17" t="s">
        <v>268</v>
      </c>
      <c r="D42" s="144"/>
      <c r="E42" s="144"/>
      <c r="F42" s="144"/>
      <c r="G42" s="144"/>
      <c r="H42" s="144">
        <v>0</v>
      </c>
      <c r="I42" s="144">
        <v>0</v>
      </c>
      <c r="J42" s="144">
        <v>0</v>
      </c>
      <c r="K42" s="144">
        <v>0</v>
      </c>
      <c r="L42" s="144">
        <v>0</v>
      </c>
      <c r="M42" s="144">
        <v>0</v>
      </c>
      <c r="N42" s="144">
        <v>0</v>
      </c>
      <c r="O42" s="144">
        <v>0</v>
      </c>
      <c r="P42" s="144">
        <v>0</v>
      </c>
      <c r="Q42" s="144">
        <v>0</v>
      </c>
      <c r="R42" s="144">
        <v>0</v>
      </c>
      <c r="S42" s="144">
        <v>0</v>
      </c>
      <c r="T42" s="144">
        <v>0</v>
      </c>
      <c r="U42" s="144">
        <v>0</v>
      </c>
      <c r="V42" s="144">
        <v>0</v>
      </c>
      <c r="W42" s="144">
        <v>0</v>
      </c>
      <c r="X42" s="144">
        <v>0</v>
      </c>
      <c r="Y42" s="144">
        <v>0</v>
      </c>
      <c r="Z42" s="144">
        <v>0</v>
      </c>
      <c r="AA42" s="144">
        <v>0</v>
      </c>
      <c r="AB42" s="144">
        <v>0</v>
      </c>
      <c r="AC42" s="144">
        <v>0</v>
      </c>
      <c r="AD42" s="144">
        <v>0</v>
      </c>
      <c r="AE42" s="144">
        <v>0</v>
      </c>
      <c r="AF42" s="144">
        <v>0</v>
      </c>
      <c r="AG42" s="144">
        <v>0</v>
      </c>
      <c r="AH42" s="144">
        <v>0</v>
      </c>
      <c r="AI42" s="144">
        <v>0</v>
      </c>
      <c r="AJ42" s="144">
        <v>0</v>
      </c>
      <c r="AK42" s="144">
        <v>0</v>
      </c>
      <c r="AL42" s="144">
        <v>0</v>
      </c>
      <c r="AM42" s="144">
        <v>0</v>
      </c>
      <c r="AN42" s="144">
        <v>0</v>
      </c>
      <c r="AO42" s="144">
        <v>0</v>
      </c>
      <c r="AP42" s="144">
        <v>0</v>
      </c>
      <c r="AQ42" s="144">
        <v>0</v>
      </c>
      <c r="AR42" s="144">
        <v>0</v>
      </c>
      <c r="AS42" s="144">
        <v>0</v>
      </c>
      <c r="AT42" s="144">
        <v>0</v>
      </c>
      <c r="AU42" s="144">
        <v>0</v>
      </c>
      <c r="AV42" s="144">
        <v>0</v>
      </c>
      <c r="AW42" s="144">
        <v>0</v>
      </c>
      <c r="AX42" s="144">
        <v>0</v>
      </c>
      <c r="AY42" s="144">
        <v>0</v>
      </c>
      <c r="AZ42" s="144">
        <v>0</v>
      </c>
      <c r="BA42" s="144">
        <v>0</v>
      </c>
      <c r="BB42" s="144">
        <v>0</v>
      </c>
      <c r="BC42" s="144">
        <v>0</v>
      </c>
      <c r="BD42" s="144">
        <v>0</v>
      </c>
      <c r="BE42" s="144">
        <v>0</v>
      </c>
      <c r="BF42" s="144">
        <v>0</v>
      </c>
      <c r="BG42" s="144">
        <v>0</v>
      </c>
      <c r="BH42" s="144">
        <v>0</v>
      </c>
      <c r="BI42" s="144">
        <v>0</v>
      </c>
      <c r="BJ42" s="144">
        <v>0</v>
      </c>
      <c r="BK42" s="144">
        <v>0</v>
      </c>
      <c r="BL42" s="144">
        <v>0</v>
      </c>
      <c r="BM42" s="144">
        <v>0</v>
      </c>
      <c r="BN42" s="144">
        <v>0</v>
      </c>
      <c r="BO42" s="144">
        <v>0</v>
      </c>
      <c r="BP42" s="144"/>
      <c r="BQ42" s="5"/>
    </row>
    <row r="43" spans="1:69">
      <c r="A43" s="4" t="str">
        <f>$A$32</f>
        <v>88% PHCC</v>
      </c>
      <c r="B43" s="17" t="s">
        <v>268</v>
      </c>
      <c r="D43" s="12"/>
      <c r="E43" s="12"/>
      <c r="F43" s="12"/>
      <c r="G43" s="12"/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/>
      <c r="BQ43" s="5"/>
    </row>
    <row r="44" spans="1:69">
      <c r="A44" s="4" t="str">
        <f>$A$33</f>
        <v>Thermal GCN</v>
      </c>
      <c r="B44" s="17" t="s">
        <v>268</v>
      </c>
      <c r="D44" s="12"/>
      <c r="E44" s="12"/>
      <c r="F44" s="12"/>
      <c r="G44" s="12"/>
      <c r="H44" s="12">
        <v>6260</v>
      </c>
      <c r="I44" s="12">
        <v>6260</v>
      </c>
      <c r="J44" s="12">
        <v>6260</v>
      </c>
      <c r="K44" s="12">
        <v>6260</v>
      </c>
      <c r="L44" s="12">
        <v>6260</v>
      </c>
      <c r="M44" s="12">
        <v>6260</v>
      </c>
      <c r="N44" s="12">
        <v>6260</v>
      </c>
      <c r="O44" s="12">
        <v>6260</v>
      </c>
      <c r="P44" s="12">
        <v>6260</v>
      </c>
      <c r="Q44" s="12">
        <v>6260</v>
      </c>
      <c r="R44" s="12">
        <v>6260</v>
      </c>
      <c r="S44" s="12">
        <v>6260</v>
      </c>
      <c r="T44" s="12">
        <v>6260</v>
      </c>
      <c r="U44" s="12">
        <v>6260</v>
      </c>
      <c r="V44" s="12">
        <v>6260</v>
      </c>
      <c r="W44" s="12">
        <v>6260</v>
      </c>
      <c r="X44" s="12">
        <v>6260</v>
      </c>
      <c r="Y44" s="12">
        <v>6260</v>
      </c>
      <c r="Z44" s="12">
        <v>6260</v>
      </c>
      <c r="AA44" s="12">
        <v>6260</v>
      </c>
      <c r="AB44" s="12">
        <v>6260</v>
      </c>
      <c r="AC44" s="12">
        <v>6260</v>
      </c>
      <c r="AD44" s="12">
        <v>6260</v>
      </c>
      <c r="AE44" s="12">
        <v>6260</v>
      </c>
      <c r="AF44" s="12">
        <v>6260</v>
      </c>
      <c r="AG44" s="12">
        <v>6260</v>
      </c>
      <c r="AH44" s="12">
        <v>6260</v>
      </c>
      <c r="AI44" s="12">
        <v>6260</v>
      </c>
      <c r="AJ44" s="12">
        <v>6260</v>
      </c>
      <c r="AK44" s="12">
        <v>6260</v>
      </c>
      <c r="AL44" s="12">
        <v>6260</v>
      </c>
      <c r="AM44" s="12">
        <v>6260</v>
      </c>
      <c r="AN44" s="12">
        <v>6260</v>
      </c>
      <c r="AO44" s="12">
        <v>6260</v>
      </c>
      <c r="AP44" s="12">
        <v>6260</v>
      </c>
      <c r="AQ44" s="12">
        <v>6260</v>
      </c>
      <c r="AR44" s="12">
        <v>6260</v>
      </c>
      <c r="AS44" s="12">
        <v>6260</v>
      </c>
      <c r="AT44" s="12">
        <v>6260</v>
      </c>
      <c r="AU44" s="12">
        <v>6260</v>
      </c>
      <c r="AV44" s="12">
        <v>6260</v>
      </c>
      <c r="AW44" s="12">
        <v>6260</v>
      </c>
      <c r="AX44" s="12">
        <v>6260</v>
      </c>
      <c r="AY44" s="12">
        <v>6260</v>
      </c>
      <c r="AZ44" s="12">
        <v>6260</v>
      </c>
      <c r="BA44" s="12">
        <v>6260</v>
      </c>
      <c r="BB44" s="12">
        <v>6260</v>
      </c>
      <c r="BC44" s="12">
        <v>6260</v>
      </c>
      <c r="BD44" s="12">
        <v>6260</v>
      </c>
      <c r="BE44" s="12">
        <v>6260</v>
      </c>
      <c r="BF44" s="12">
        <v>6260</v>
      </c>
      <c r="BG44" s="12">
        <v>6260</v>
      </c>
      <c r="BH44" s="12">
        <v>6260</v>
      </c>
      <c r="BI44" s="12">
        <v>6260</v>
      </c>
      <c r="BJ44" s="12">
        <v>6260</v>
      </c>
      <c r="BK44" s="12">
        <v>6260</v>
      </c>
      <c r="BL44" s="12">
        <v>6260</v>
      </c>
      <c r="BM44" s="12">
        <v>6260</v>
      </c>
      <c r="BN44" s="12">
        <v>6260</v>
      </c>
      <c r="BO44" s="12">
        <v>6260</v>
      </c>
      <c r="BP44" s="12"/>
      <c r="BQ44" s="5"/>
    </row>
    <row r="45" spans="1:69">
      <c r="A45" s="4"/>
      <c r="B45" s="17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5"/>
    </row>
    <row r="46" spans="1:69">
      <c r="A46" s="4" t="s">
        <v>20</v>
      </c>
      <c r="B46" s="17"/>
      <c r="D46" s="12">
        <f>Assumptions!$B$16</f>
        <v>260</v>
      </c>
      <c r="E46" s="12">
        <f>Assumptions!$B$16</f>
        <v>260</v>
      </c>
      <c r="F46" s="12">
        <f>Assumptions!$B$16</f>
        <v>260</v>
      </c>
      <c r="G46" s="12">
        <f>Assumptions!$B$16</f>
        <v>260</v>
      </c>
      <c r="H46" s="12">
        <f>Assumptions!$B$16</f>
        <v>260</v>
      </c>
      <c r="I46" s="12">
        <f>Assumptions!$B$16</f>
        <v>260</v>
      </c>
      <c r="J46" s="12">
        <f>Assumptions!$B$16</f>
        <v>260</v>
      </c>
      <c r="K46" s="12">
        <f>Assumptions!$B$16</f>
        <v>260</v>
      </c>
      <c r="L46" s="12">
        <f>Assumptions!$B$16</f>
        <v>260</v>
      </c>
      <c r="M46" s="12">
        <f>Assumptions!$B$16</f>
        <v>260</v>
      </c>
      <c r="N46" s="12">
        <f>Assumptions!$B$16</f>
        <v>260</v>
      </c>
      <c r="O46" s="12">
        <f>Assumptions!$B$16</f>
        <v>260</v>
      </c>
      <c r="P46" s="12">
        <f>Assumptions!$B$16</f>
        <v>260</v>
      </c>
      <c r="Q46" s="12">
        <f>Assumptions!$B$16</f>
        <v>260</v>
      </c>
      <c r="R46" s="12">
        <f>Assumptions!$B$16</f>
        <v>260</v>
      </c>
      <c r="S46" s="12">
        <f>Assumptions!$B$16</f>
        <v>260</v>
      </c>
      <c r="T46" s="12">
        <f>Assumptions!$B$16</f>
        <v>260</v>
      </c>
      <c r="U46" s="12">
        <f>Assumptions!$B$16</f>
        <v>260</v>
      </c>
      <c r="V46" s="12">
        <f>Assumptions!$B$16</f>
        <v>260</v>
      </c>
      <c r="W46" s="12">
        <f>Assumptions!$B$16</f>
        <v>260</v>
      </c>
      <c r="X46" s="12">
        <f>Assumptions!$B$16</f>
        <v>260</v>
      </c>
      <c r="Y46" s="12">
        <f>Assumptions!$B$16</f>
        <v>260</v>
      </c>
      <c r="Z46" s="12">
        <f>Assumptions!$B$16</f>
        <v>260</v>
      </c>
      <c r="AA46" s="12">
        <f>Assumptions!$B$16</f>
        <v>260</v>
      </c>
      <c r="AB46" s="12">
        <f>Assumptions!$B$16</f>
        <v>260</v>
      </c>
      <c r="AC46" s="12">
        <f>Assumptions!$B$16</f>
        <v>260</v>
      </c>
      <c r="AD46" s="12">
        <f>Assumptions!$B$16</f>
        <v>260</v>
      </c>
      <c r="AE46" s="12">
        <f>Assumptions!$B$16</f>
        <v>260</v>
      </c>
      <c r="AF46" s="12">
        <f>Assumptions!$B$16</f>
        <v>260</v>
      </c>
      <c r="AG46" s="12">
        <f>Assumptions!$B$16</f>
        <v>260</v>
      </c>
      <c r="AH46" s="12">
        <f>Assumptions!$B$16</f>
        <v>260</v>
      </c>
      <c r="AI46" s="12">
        <f>Assumptions!$B$16</f>
        <v>260</v>
      </c>
      <c r="AJ46" s="12">
        <f>Assumptions!$B$16</f>
        <v>260</v>
      </c>
      <c r="AK46" s="12">
        <f>Assumptions!$B$16</f>
        <v>260</v>
      </c>
      <c r="AL46" s="12">
        <f>Assumptions!$B$16</f>
        <v>260</v>
      </c>
      <c r="AM46" s="12">
        <f>Assumptions!$B$16</f>
        <v>260</v>
      </c>
      <c r="AN46" s="12">
        <f>Assumptions!$B$16</f>
        <v>260</v>
      </c>
      <c r="AO46" s="12">
        <f>Assumptions!$B$16</f>
        <v>260</v>
      </c>
      <c r="AP46" s="12">
        <f>Assumptions!$B$16</f>
        <v>260</v>
      </c>
      <c r="AQ46" s="12">
        <f>Assumptions!$B$16</f>
        <v>260</v>
      </c>
      <c r="AR46" s="12">
        <f>Assumptions!$B$16</f>
        <v>260</v>
      </c>
      <c r="AS46" s="12">
        <f>Assumptions!$B$16</f>
        <v>260</v>
      </c>
      <c r="AT46" s="12">
        <f>Assumptions!$B$16</f>
        <v>260</v>
      </c>
      <c r="AU46" s="12">
        <f>Assumptions!$B$16</f>
        <v>260</v>
      </c>
      <c r="AV46" s="12">
        <f>Assumptions!$B$16</f>
        <v>260</v>
      </c>
      <c r="AW46" s="12">
        <f>Assumptions!$B$16</f>
        <v>260</v>
      </c>
      <c r="AX46" s="12">
        <f>Assumptions!$B$16</f>
        <v>260</v>
      </c>
      <c r="AY46" s="12">
        <f>Assumptions!$B$16</f>
        <v>260</v>
      </c>
      <c r="AZ46" s="12">
        <f>Assumptions!$B$16</f>
        <v>260</v>
      </c>
      <c r="BA46" s="12">
        <f>Assumptions!$B$16</f>
        <v>260</v>
      </c>
      <c r="BB46" s="12">
        <f>Assumptions!$B$16</f>
        <v>260</v>
      </c>
      <c r="BC46" s="12">
        <f>Assumptions!$B$16</f>
        <v>260</v>
      </c>
      <c r="BD46" s="12">
        <f>Assumptions!$B$16</f>
        <v>260</v>
      </c>
      <c r="BE46" s="12">
        <f>Assumptions!$B$16</f>
        <v>260</v>
      </c>
      <c r="BF46" s="12">
        <f>Assumptions!$B$16</f>
        <v>260</v>
      </c>
      <c r="BG46" s="12">
        <f>Assumptions!$B$16</f>
        <v>260</v>
      </c>
      <c r="BH46" s="12">
        <f>Assumptions!$B$16</f>
        <v>260</v>
      </c>
      <c r="BI46" s="12">
        <f>Assumptions!$B$16</f>
        <v>260</v>
      </c>
      <c r="BJ46" s="12">
        <f>Assumptions!$B$16</f>
        <v>260</v>
      </c>
      <c r="BK46" s="12">
        <f>Assumptions!$B$16</f>
        <v>260</v>
      </c>
      <c r="BL46" s="12">
        <f>Assumptions!$B$16</f>
        <v>260</v>
      </c>
      <c r="BM46" s="12">
        <f>Assumptions!$B$16</f>
        <v>260</v>
      </c>
      <c r="BN46" s="12">
        <f>Assumptions!$B$16</f>
        <v>260</v>
      </c>
      <c r="BO46" s="12">
        <f>Assumptions!$B$16</f>
        <v>260</v>
      </c>
      <c r="BP46" s="12"/>
      <c r="BQ46" s="5"/>
    </row>
    <row r="47" spans="1:69">
      <c r="A47" t="s">
        <v>22</v>
      </c>
      <c r="B47" s="17"/>
      <c r="D47" s="12">
        <f>Assumptions!$B$17</f>
        <v>6000</v>
      </c>
      <c r="E47" s="12">
        <f>Assumptions!$B$17</f>
        <v>6000</v>
      </c>
      <c r="F47" s="12">
        <f>Assumptions!$B$17</f>
        <v>6000</v>
      </c>
      <c r="G47" s="12">
        <f>Assumptions!$B$17</f>
        <v>6000</v>
      </c>
      <c r="H47" s="12">
        <f>Assumptions!$B$17</f>
        <v>6000</v>
      </c>
      <c r="I47" s="12">
        <f>Assumptions!$B$17</f>
        <v>6000</v>
      </c>
      <c r="J47" s="12">
        <f>Assumptions!$B$17</f>
        <v>6000</v>
      </c>
      <c r="K47" s="12">
        <f>Assumptions!$B$17</f>
        <v>6000</v>
      </c>
      <c r="L47" s="12">
        <f>Assumptions!$B$17</f>
        <v>6000</v>
      </c>
      <c r="M47" s="12">
        <f>Assumptions!$B$17</f>
        <v>6000</v>
      </c>
      <c r="N47" s="12">
        <f>Assumptions!$B$17</f>
        <v>6000</v>
      </c>
      <c r="O47" s="12">
        <f>Assumptions!$B$17</f>
        <v>6000</v>
      </c>
      <c r="P47" s="12">
        <f>Assumptions!$B$17</f>
        <v>6000</v>
      </c>
      <c r="Q47" s="12">
        <f>Assumptions!$B$17</f>
        <v>6000</v>
      </c>
      <c r="R47" s="12">
        <f>Assumptions!$B$17</f>
        <v>6000</v>
      </c>
      <c r="S47" s="12">
        <f>Assumptions!$B$17</f>
        <v>6000</v>
      </c>
      <c r="T47" s="12">
        <f>Assumptions!$B$17</f>
        <v>6000</v>
      </c>
      <c r="U47" s="12">
        <f>Assumptions!$B$17</f>
        <v>6000</v>
      </c>
      <c r="V47" s="12">
        <f>Assumptions!$B$17</f>
        <v>6000</v>
      </c>
      <c r="W47" s="12">
        <f>Assumptions!$B$17</f>
        <v>6000</v>
      </c>
      <c r="X47" s="12">
        <f>Assumptions!$B$17</f>
        <v>6000</v>
      </c>
      <c r="Y47" s="12">
        <f>Assumptions!$B$17</f>
        <v>6000</v>
      </c>
      <c r="Z47" s="12">
        <f>Assumptions!$B$17</f>
        <v>6000</v>
      </c>
      <c r="AA47" s="12">
        <f>Assumptions!$B$17</f>
        <v>6000</v>
      </c>
      <c r="AB47" s="12">
        <f>Assumptions!$B$17</f>
        <v>6000</v>
      </c>
      <c r="AC47" s="12">
        <f>Assumptions!$B$17</f>
        <v>6000</v>
      </c>
      <c r="AD47" s="12">
        <f>Assumptions!$B$17</f>
        <v>6000</v>
      </c>
      <c r="AE47" s="12">
        <f>Assumptions!$B$17</f>
        <v>6000</v>
      </c>
      <c r="AF47" s="12">
        <f>Assumptions!$B$17</f>
        <v>6000</v>
      </c>
      <c r="AG47" s="12">
        <f>Assumptions!$B$17</f>
        <v>6000</v>
      </c>
      <c r="AH47" s="12">
        <f>Assumptions!$B$17</f>
        <v>6000</v>
      </c>
      <c r="AI47" s="12">
        <f>Assumptions!$B$17</f>
        <v>6000</v>
      </c>
      <c r="AJ47" s="12">
        <f>Assumptions!$B$17</f>
        <v>6000</v>
      </c>
      <c r="AK47" s="12">
        <f>Assumptions!$B$17</f>
        <v>6000</v>
      </c>
      <c r="AL47" s="12">
        <f>Assumptions!$B$17</f>
        <v>6000</v>
      </c>
      <c r="AM47" s="12">
        <f>Assumptions!$B$17</f>
        <v>6000</v>
      </c>
      <c r="AN47" s="12">
        <f>Assumptions!$B$17</f>
        <v>6000</v>
      </c>
      <c r="AO47" s="12">
        <f>Assumptions!$B$17</f>
        <v>6000</v>
      </c>
      <c r="AP47" s="12">
        <f>Assumptions!$B$17</f>
        <v>6000</v>
      </c>
      <c r="AQ47" s="12">
        <f>Assumptions!$B$17</f>
        <v>6000</v>
      </c>
      <c r="AR47" s="12">
        <f>Assumptions!$B$17</f>
        <v>6000</v>
      </c>
      <c r="AS47" s="12">
        <f>Assumptions!$B$17</f>
        <v>6000</v>
      </c>
      <c r="AT47" s="12">
        <f>Assumptions!$B$17</f>
        <v>6000</v>
      </c>
      <c r="AU47" s="12">
        <f>Assumptions!$B$17</f>
        <v>6000</v>
      </c>
      <c r="AV47" s="12">
        <f>Assumptions!$B$17</f>
        <v>6000</v>
      </c>
      <c r="AW47" s="12">
        <f>Assumptions!$B$17</f>
        <v>6000</v>
      </c>
      <c r="AX47" s="12">
        <f>Assumptions!$B$17</f>
        <v>6000</v>
      </c>
      <c r="AY47" s="12">
        <f>Assumptions!$B$17</f>
        <v>6000</v>
      </c>
      <c r="AZ47" s="12">
        <f>Assumptions!$B$17</f>
        <v>6000</v>
      </c>
      <c r="BA47" s="12">
        <f>Assumptions!$B$17</f>
        <v>6000</v>
      </c>
      <c r="BB47" s="12">
        <f>Assumptions!$B$17</f>
        <v>6000</v>
      </c>
      <c r="BC47" s="12">
        <f>Assumptions!$B$17</f>
        <v>6000</v>
      </c>
      <c r="BD47" s="12">
        <f>Assumptions!$B$17</f>
        <v>6000</v>
      </c>
      <c r="BE47" s="12">
        <f>Assumptions!$B$17</f>
        <v>6000</v>
      </c>
      <c r="BF47" s="12">
        <f>Assumptions!$B$17</f>
        <v>6000</v>
      </c>
      <c r="BG47" s="12">
        <f>Assumptions!$B$17</f>
        <v>6000</v>
      </c>
      <c r="BH47" s="12">
        <f>Assumptions!$B$17</f>
        <v>6000</v>
      </c>
      <c r="BI47" s="12">
        <f>Assumptions!$B$17</f>
        <v>6000</v>
      </c>
      <c r="BJ47" s="12">
        <f>Assumptions!$B$17</f>
        <v>6000</v>
      </c>
      <c r="BK47" s="12">
        <f>Assumptions!$B$17</f>
        <v>6000</v>
      </c>
      <c r="BL47" s="12">
        <f>Assumptions!$B$17</f>
        <v>6000</v>
      </c>
      <c r="BM47" s="12">
        <f>Assumptions!$B$17</f>
        <v>6000</v>
      </c>
      <c r="BN47" s="12">
        <f>Assumptions!$B$17</f>
        <v>6000</v>
      </c>
      <c r="BO47" s="12">
        <f>Assumptions!$B$17</f>
        <v>6000</v>
      </c>
      <c r="BP47" s="12"/>
      <c r="BQ47" s="5"/>
    </row>
    <row r="48" spans="1:69">
      <c r="B48" s="17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5"/>
    </row>
    <row r="49" spans="1:69">
      <c r="A49" s="28" t="s">
        <v>269</v>
      </c>
      <c r="B49" s="17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5"/>
    </row>
    <row r="50" spans="1:69">
      <c r="A50" s="4" t="str">
        <f>$A$31</f>
        <v>PHCC</v>
      </c>
      <c r="B50" s="17" t="s">
        <v>18</v>
      </c>
      <c r="D50" s="12">
        <f t="shared" ref="D50:G50" si="45">IF(D31&gt;0,D42-D$46,0)</f>
        <v>0</v>
      </c>
      <c r="E50" s="12">
        <f t="shared" si="45"/>
        <v>0</v>
      </c>
      <c r="F50" s="12">
        <f t="shared" si="45"/>
        <v>0</v>
      </c>
      <c r="G50" s="12">
        <f t="shared" si="45"/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/>
      <c r="BQ50" s="5"/>
    </row>
    <row r="51" spans="1:69">
      <c r="A51" s="4" t="str">
        <f>$A$32</f>
        <v>88% PHCC</v>
      </c>
      <c r="B51" s="17" t="s">
        <v>18</v>
      </c>
      <c r="D51" s="12">
        <f t="shared" ref="D51:G51" si="46">IF(D32&gt;0,D43-D$46,0)</f>
        <v>0</v>
      </c>
      <c r="E51" s="12">
        <f t="shared" si="46"/>
        <v>0</v>
      </c>
      <c r="F51" s="12">
        <f t="shared" si="46"/>
        <v>0</v>
      </c>
      <c r="G51" s="12">
        <f t="shared" si="46"/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/>
      <c r="BQ51" s="5"/>
    </row>
    <row r="52" spans="1:69">
      <c r="A52" s="4" t="str">
        <f>$A$33</f>
        <v>Thermal GCN</v>
      </c>
      <c r="B52" s="17" t="s">
        <v>18</v>
      </c>
      <c r="D52" s="12"/>
      <c r="E52" s="12"/>
      <c r="F52" s="12"/>
      <c r="G52" s="12"/>
      <c r="H52" s="12">
        <f>IF(H33&gt;0,H44-H$46,0)</f>
        <v>0</v>
      </c>
      <c r="I52" s="12">
        <f t="shared" ref="I52:BO52" si="47">IF(I33&gt;0,I44-I$46,0)</f>
        <v>0</v>
      </c>
      <c r="J52" s="12">
        <f t="shared" si="47"/>
        <v>0</v>
      </c>
      <c r="K52" s="12">
        <f t="shared" si="47"/>
        <v>0</v>
      </c>
      <c r="L52" s="12">
        <f t="shared" si="47"/>
        <v>0</v>
      </c>
      <c r="M52" s="12">
        <f t="shared" si="47"/>
        <v>0</v>
      </c>
      <c r="N52" s="12">
        <f t="shared" si="47"/>
        <v>0</v>
      </c>
      <c r="O52" s="12">
        <f t="shared" si="47"/>
        <v>0</v>
      </c>
      <c r="P52" s="12">
        <f t="shared" si="47"/>
        <v>0</v>
      </c>
      <c r="Q52" s="12">
        <f t="shared" si="47"/>
        <v>0</v>
      </c>
      <c r="R52" s="12">
        <f t="shared" si="47"/>
        <v>0</v>
      </c>
      <c r="S52" s="12">
        <f t="shared" si="47"/>
        <v>0</v>
      </c>
      <c r="T52" s="12">
        <f t="shared" si="47"/>
        <v>0</v>
      </c>
      <c r="U52" s="12">
        <f t="shared" si="47"/>
        <v>0</v>
      </c>
      <c r="V52" s="12">
        <f t="shared" si="47"/>
        <v>0</v>
      </c>
      <c r="W52" s="12">
        <f t="shared" si="47"/>
        <v>0</v>
      </c>
      <c r="X52" s="12">
        <f t="shared" si="47"/>
        <v>0</v>
      </c>
      <c r="Y52" s="12">
        <f t="shared" si="47"/>
        <v>0</v>
      </c>
      <c r="Z52" s="12">
        <f t="shared" si="47"/>
        <v>0</v>
      </c>
      <c r="AA52" s="12">
        <f t="shared" si="47"/>
        <v>0</v>
      </c>
      <c r="AB52" s="12">
        <f t="shared" si="47"/>
        <v>0</v>
      </c>
      <c r="AC52" s="12">
        <f t="shared" si="47"/>
        <v>0</v>
      </c>
      <c r="AD52" s="12">
        <f t="shared" si="47"/>
        <v>0</v>
      </c>
      <c r="AE52" s="12">
        <f t="shared" si="47"/>
        <v>0</v>
      </c>
      <c r="AF52" s="12">
        <f t="shared" si="47"/>
        <v>0</v>
      </c>
      <c r="AG52" s="12">
        <f t="shared" si="47"/>
        <v>0</v>
      </c>
      <c r="AH52" s="12">
        <f t="shared" si="47"/>
        <v>0</v>
      </c>
      <c r="AI52" s="12">
        <f t="shared" si="47"/>
        <v>0</v>
      </c>
      <c r="AJ52" s="12">
        <f t="shared" si="47"/>
        <v>0</v>
      </c>
      <c r="AK52" s="12">
        <f t="shared" si="47"/>
        <v>0</v>
      </c>
      <c r="AL52" s="12">
        <f t="shared" si="47"/>
        <v>0</v>
      </c>
      <c r="AM52" s="12">
        <f t="shared" si="47"/>
        <v>0</v>
      </c>
      <c r="AN52" s="12">
        <f t="shared" si="47"/>
        <v>0</v>
      </c>
      <c r="AO52" s="12">
        <f t="shared" si="47"/>
        <v>0</v>
      </c>
      <c r="AP52" s="12">
        <f t="shared" si="47"/>
        <v>0</v>
      </c>
      <c r="AQ52" s="12">
        <f t="shared" si="47"/>
        <v>0</v>
      </c>
      <c r="AR52" s="12">
        <f t="shared" si="47"/>
        <v>0</v>
      </c>
      <c r="AS52" s="12">
        <f t="shared" si="47"/>
        <v>0</v>
      </c>
      <c r="AT52" s="12">
        <f t="shared" si="47"/>
        <v>0</v>
      </c>
      <c r="AU52" s="12">
        <f t="shared" si="47"/>
        <v>0</v>
      </c>
      <c r="AV52" s="12">
        <f t="shared" si="47"/>
        <v>0</v>
      </c>
      <c r="AW52" s="12">
        <f t="shared" si="47"/>
        <v>0</v>
      </c>
      <c r="AX52" s="12">
        <f t="shared" si="47"/>
        <v>0</v>
      </c>
      <c r="AY52" s="12">
        <f t="shared" si="47"/>
        <v>0</v>
      </c>
      <c r="AZ52" s="12">
        <f t="shared" si="47"/>
        <v>0</v>
      </c>
      <c r="BA52" s="12">
        <f t="shared" si="47"/>
        <v>0</v>
      </c>
      <c r="BB52" s="12">
        <f t="shared" si="47"/>
        <v>0</v>
      </c>
      <c r="BC52" s="12">
        <f t="shared" si="47"/>
        <v>0</v>
      </c>
      <c r="BD52" s="12">
        <f t="shared" si="47"/>
        <v>0</v>
      </c>
      <c r="BE52" s="12">
        <f t="shared" si="47"/>
        <v>0</v>
      </c>
      <c r="BF52" s="12">
        <f t="shared" si="47"/>
        <v>0</v>
      </c>
      <c r="BG52" s="12">
        <f t="shared" si="47"/>
        <v>0</v>
      </c>
      <c r="BH52" s="12">
        <f t="shared" si="47"/>
        <v>0</v>
      </c>
      <c r="BI52" s="12">
        <f t="shared" si="47"/>
        <v>0</v>
      </c>
      <c r="BJ52" s="12">
        <f t="shared" si="47"/>
        <v>0</v>
      </c>
      <c r="BK52" s="12">
        <f t="shared" si="47"/>
        <v>0</v>
      </c>
      <c r="BL52" s="12">
        <f t="shared" si="47"/>
        <v>0</v>
      </c>
      <c r="BM52" s="12">
        <f t="shared" si="47"/>
        <v>0</v>
      </c>
      <c r="BN52" s="12">
        <f t="shared" si="47"/>
        <v>0</v>
      </c>
      <c r="BO52" s="12">
        <f t="shared" si="47"/>
        <v>0</v>
      </c>
      <c r="BP52" s="12"/>
      <c r="BQ52" s="5"/>
    </row>
    <row r="53" spans="1:69">
      <c r="A53" s="4"/>
      <c r="B53" s="17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5"/>
    </row>
    <row r="54" spans="1:69">
      <c r="A54" s="28" t="s">
        <v>116</v>
      </c>
      <c r="B54" s="17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5"/>
    </row>
    <row r="55" spans="1:69">
      <c r="A55" s="4" t="str">
        <f>$A$31</f>
        <v>PHCC</v>
      </c>
      <c r="B55" s="17" t="s">
        <v>7</v>
      </c>
      <c r="D55" s="12">
        <f>IF(D31&gt;0,Assumptions!J6,0)</f>
        <v>0</v>
      </c>
      <c r="E55" s="12">
        <f>IF(E31&gt;0,Assumptions!K6,0)</f>
        <v>0</v>
      </c>
      <c r="F55" s="12">
        <f>IF(F31&gt;0,Assumptions!L6,0)</f>
        <v>0</v>
      </c>
      <c r="G55" s="12">
        <f>IF(G31&gt;0,Assumptions!M6,0)</f>
        <v>0</v>
      </c>
      <c r="H55" s="12">
        <f>IF(H31&gt;0,Assumptions!N6,0)</f>
        <v>0</v>
      </c>
      <c r="I55" s="12">
        <f>IF(I31&gt;0,Assumptions!O6,0)</f>
        <v>0</v>
      </c>
      <c r="J55" s="12">
        <f>IF(J31&gt;0,Assumptions!P6,0)</f>
        <v>0</v>
      </c>
      <c r="K55" s="12">
        <f>IF(K31&gt;0,Assumptions!Q6,0)</f>
        <v>0</v>
      </c>
      <c r="L55" s="12">
        <f>IF(L31&gt;0,Assumptions!R6,0)</f>
        <v>0</v>
      </c>
      <c r="M55" s="12">
        <f>IF(M31&gt;0,Assumptions!S6,0)</f>
        <v>0</v>
      </c>
      <c r="N55" s="12">
        <f>IF(N31&gt;0,Assumptions!T6,0)</f>
        <v>0</v>
      </c>
      <c r="O55" s="12">
        <f>IF(O31&gt;0,Assumptions!U6,0)</f>
        <v>0</v>
      </c>
      <c r="P55" s="12">
        <f>IF(P31&gt;0,Assumptions!V6,0)</f>
        <v>0</v>
      </c>
      <c r="Q55" s="12">
        <f>IF(Q31&gt;0,Assumptions!W6,0)</f>
        <v>0</v>
      </c>
      <c r="R55" s="12">
        <f>IF(R31&gt;0,Assumptions!X6,0)</f>
        <v>0</v>
      </c>
      <c r="S55" s="12">
        <f>IF(S31&gt;0,Assumptions!Y6,0)</f>
        <v>0</v>
      </c>
      <c r="T55" s="12">
        <f>IF(T31&gt;0,Assumptions!Z6,0)</f>
        <v>0</v>
      </c>
      <c r="U55" s="12">
        <f>IF(U31&gt;0,Assumptions!AA6,0)</f>
        <v>0</v>
      </c>
      <c r="V55" s="12">
        <f>IF(V31&gt;0,Assumptions!AB6,0)</f>
        <v>0</v>
      </c>
      <c r="W55" s="12">
        <f>IF(W31&gt;0,Assumptions!AC6,0)</f>
        <v>0</v>
      </c>
      <c r="X55" s="12">
        <f>IF(X31&gt;0,Assumptions!AD6,0)</f>
        <v>0</v>
      </c>
      <c r="Y55" s="12">
        <f>IF(Y31&gt;0,Assumptions!AE6,0)</f>
        <v>0</v>
      </c>
      <c r="Z55" s="12">
        <f>IF(Z31&gt;0,Assumptions!AF6,0)</f>
        <v>0</v>
      </c>
      <c r="AA55" s="12">
        <f>IF(AA31&gt;0,Assumptions!AG6,0)</f>
        <v>0</v>
      </c>
      <c r="AB55" s="12">
        <f>IF(AB31&gt;0,Assumptions!AH6,0)</f>
        <v>0</v>
      </c>
      <c r="AC55" s="12">
        <f>IF(AC31&gt;0,Assumptions!AI6,0)</f>
        <v>0</v>
      </c>
      <c r="AD55" s="12">
        <f>IF(AD31&gt;0,Assumptions!AJ6,0)</f>
        <v>0</v>
      </c>
      <c r="AE55" s="12">
        <f>IF(AE31&gt;0,Assumptions!AK6,0)</f>
        <v>0</v>
      </c>
      <c r="AF55" s="12">
        <f>IF(AF31&gt;0,Assumptions!AL6,0)</f>
        <v>0</v>
      </c>
      <c r="AG55" s="12">
        <f>IF(AG31&gt;0,Assumptions!AM6,0)</f>
        <v>0</v>
      </c>
      <c r="AH55" s="12">
        <f>IF(AH31&gt;0,Assumptions!AN6,0)</f>
        <v>0</v>
      </c>
      <c r="AI55" s="12">
        <f>IF(AI31&gt;0,Assumptions!AO6,0)</f>
        <v>0</v>
      </c>
      <c r="AJ55" s="12">
        <f>IF(AJ31&gt;0,Assumptions!AP6,0)</f>
        <v>0</v>
      </c>
      <c r="AK55" s="12">
        <f>IF(AK31&gt;0,Assumptions!AQ6,0)</f>
        <v>0</v>
      </c>
      <c r="AL55" s="12">
        <f>IF(AL31&gt;0,Assumptions!AR6,0)</f>
        <v>0</v>
      </c>
      <c r="AM55" s="12">
        <f>IF(AM31&gt;0,Assumptions!AS6,0)</f>
        <v>0</v>
      </c>
      <c r="AN55" s="12">
        <f>IF(AN31&gt;0,Assumptions!AT6,0)</f>
        <v>0</v>
      </c>
      <c r="AO55" s="12">
        <f>IF(AO31&gt;0,Assumptions!AU6,0)</f>
        <v>0</v>
      </c>
      <c r="AP55" s="12">
        <f>IF(AP31&gt;0,Assumptions!AV6,0)</f>
        <v>0</v>
      </c>
      <c r="AQ55" s="12">
        <f>IF(AQ31&gt;0,Assumptions!AW6,0)</f>
        <v>0</v>
      </c>
      <c r="AR55" s="12">
        <f>IF(AR31&gt;0,Assumptions!AX6,0)</f>
        <v>0</v>
      </c>
      <c r="AS55" s="12">
        <f>IF(AS31&gt;0,Assumptions!AY6,0)</f>
        <v>0</v>
      </c>
      <c r="AT55" s="12">
        <f>IF(AT31&gt;0,Assumptions!AZ6,0)</f>
        <v>0</v>
      </c>
      <c r="AU55" s="12">
        <f>IF(AU31&gt;0,Assumptions!BA6,0)</f>
        <v>0</v>
      </c>
      <c r="AV55" s="12">
        <f>IF(AV31&gt;0,Assumptions!BB6,0)</f>
        <v>0</v>
      </c>
      <c r="AW55" s="12">
        <f>IF(AW31&gt;0,Assumptions!BC6,0)</f>
        <v>0</v>
      </c>
      <c r="AX55" s="12">
        <f>IF(AX31&gt;0,Assumptions!BD6,0)</f>
        <v>0</v>
      </c>
      <c r="AY55" s="12">
        <f>IF(AY31&gt;0,Assumptions!BE6,0)</f>
        <v>0</v>
      </c>
      <c r="AZ55" s="12">
        <f>IF(AZ31&gt;0,Assumptions!BF6,0)</f>
        <v>0</v>
      </c>
      <c r="BA55" s="12">
        <f>IF(BA31&gt;0,Assumptions!BG6,0)</f>
        <v>0</v>
      </c>
      <c r="BB55" s="12">
        <f>IF(BB31&gt;0,Assumptions!BH6,0)</f>
        <v>0</v>
      </c>
      <c r="BC55" s="12">
        <f>IF(BC31&gt;0,Assumptions!BI6,0)</f>
        <v>0</v>
      </c>
      <c r="BD55" s="12">
        <f>IF(BD31&gt;0,Assumptions!BJ6,0)</f>
        <v>0</v>
      </c>
      <c r="BE55" s="12">
        <f>IF(BE31&gt;0,Assumptions!BK6,0)</f>
        <v>0</v>
      </c>
      <c r="BF55" s="12">
        <f>IF(BF31&gt;0,Assumptions!BL6,0)</f>
        <v>0</v>
      </c>
      <c r="BG55" s="12">
        <f>IF(BG31&gt;0,Assumptions!BM6,0)</f>
        <v>0</v>
      </c>
      <c r="BH55" s="12">
        <f>IF(BH31&gt;0,Assumptions!BN6,0)</f>
        <v>0</v>
      </c>
      <c r="BI55" s="12">
        <f>IF(BI31&gt;0,Assumptions!BO6,0)</f>
        <v>0</v>
      </c>
      <c r="BJ55" s="12">
        <f>IF(BJ31&gt;0,Assumptions!BP6,0)</f>
        <v>0</v>
      </c>
      <c r="BK55" s="12">
        <f>IF(BK31&gt;0,Assumptions!BQ6,0)</f>
        <v>0</v>
      </c>
      <c r="BL55" s="12">
        <f>IF(BL31&gt;0,Assumptions!BR6,0)</f>
        <v>0</v>
      </c>
      <c r="BM55" s="12">
        <f>IF(BM31&gt;0,Assumptions!BS6,0)</f>
        <v>0</v>
      </c>
      <c r="BN55" s="12">
        <f>IF(BN31&gt;0,Assumptions!BT6,0)</f>
        <v>0</v>
      </c>
      <c r="BO55" s="12">
        <f>IF(BO31&gt;0,Assumptions!BU6,0)</f>
        <v>0</v>
      </c>
      <c r="BP55" s="12"/>
      <c r="BQ55" s="25"/>
    </row>
    <row r="56" spans="1:69">
      <c r="A56" s="4" t="str">
        <f>$A$32</f>
        <v>88% PHCC</v>
      </c>
      <c r="B56" s="17" t="s">
        <v>7</v>
      </c>
      <c r="D56" s="12">
        <f>IF(D32&gt;0,Assumptions!J$7,0)</f>
        <v>0</v>
      </c>
      <c r="E56" s="12">
        <f>IF(E32&gt;0,Assumptions!K$7,0)</f>
        <v>0</v>
      </c>
      <c r="F56" s="12">
        <f>IF(F32&gt;0,Assumptions!L$7,0)</f>
        <v>0</v>
      </c>
      <c r="G56" s="12">
        <f>IF(G32&gt;0,Assumptions!M$7,0)</f>
        <v>0</v>
      </c>
      <c r="H56" s="12">
        <f>IF(H32&gt;0,Assumptions!N$7,0)</f>
        <v>211.2</v>
      </c>
      <c r="I56" s="12">
        <f>IF(I32&gt;0,Assumptions!O$7,0)</f>
        <v>211.2</v>
      </c>
      <c r="J56" s="12">
        <f>IF(J32&gt;0,Assumptions!P$7,0)</f>
        <v>211.2</v>
      </c>
      <c r="K56" s="12">
        <f>IF(K32&gt;0,Assumptions!Q$7,0)</f>
        <v>211.2</v>
      </c>
      <c r="L56" s="12">
        <f>IF(L32&gt;0,Assumptions!R$7,0)</f>
        <v>211.2</v>
      </c>
      <c r="M56" s="12">
        <f>IF(M32&gt;0,Assumptions!S$7,0)</f>
        <v>211.2</v>
      </c>
      <c r="N56" s="12">
        <f>IF(N32&gt;0,Assumptions!T$7,0)</f>
        <v>211.2</v>
      </c>
      <c r="O56" s="12">
        <f>IF(O32&gt;0,Assumptions!U$7,0)</f>
        <v>211.2</v>
      </c>
      <c r="P56" s="12">
        <f>IF(P32&gt;0,Assumptions!V$7,0)</f>
        <v>211.2</v>
      </c>
      <c r="Q56" s="12">
        <f>IF(Q32&gt;0,Assumptions!W$7,0)</f>
        <v>211.2</v>
      </c>
      <c r="R56" s="12">
        <f>IF(R32&gt;0,Assumptions!X$7,0)</f>
        <v>211.2</v>
      </c>
      <c r="S56" s="12">
        <f>IF(S32&gt;0,Assumptions!Y$7,0)</f>
        <v>211.2</v>
      </c>
      <c r="T56" s="12">
        <f>IF(T32&gt;0,Assumptions!Z$7,0)</f>
        <v>211.2</v>
      </c>
      <c r="U56" s="12">
        <f>IF(U32&gt;0,Assumptions!AA$7,0)</f>
        <v>211.2</v>
      </c>
      <c r="V56" s="12">
        <f>IF(V32&gt;0,Assumptions!AB$7,0)</f>
        <v>211.2</v>
      </c>
      <c r="W56" s="12">
        <f>IF(W32&gt;0,Assumptions!AC$7,0)</f>
        <v>211.2</v>
      </c>
      <c r="X56" s="12">
        <f>IF(X32&gt;0,Assumptions!AD$7,0)</f>
        <v>211.2</v>
      </c>
      <c r="Y56" s="12">
        <f>IF(Y32&gt;0,Assumptions!AE$7,0)</f>
        <v>211.2</v>
      </c>
      <c r="Z56" s="12">
        <f>IF(Z32&gt;0,Assumptions!AF$7,0)</f>
        <v>211.2</v>
      </c>
      <c r="AA56" s="12">
        <f>IF(AA32&gt;0,Assumptions!AG$7,0)</f>
        <v>211.2</v>
      </c>
      <c r="AB56" s="12">
        <f>IF(AB32&gt;0,Assumptions!AH$7,0)</f>
        <v>0</v>
      </c>
      <c r="AC56" s="12">
        <f>IF(AC32&gt;0,Assumptions!AI$7,0)</f>
        <v>0</v>
      </c>
      <c r="AD56" s="12">
        <f>IF(AD32&gt;0,Assumptions!AJ$7,0)</f>
        <v>0</v>
      </c>
      <c r="AE56" s="12">
        <f>IF(AE32&gt;0,Assumptions!AK$7,0)</f>
        <v>0</v>
      </c>
      <c r="AF56" s="12">
        <f>IF(AF32&gt;0,Assumptions!AL$7,0)</f>
        <v>0</v>
      </c>
      <c r="AG56" s="12">
        <f>IF(AG32&gt;0,Assumptions!AM$7,0)</f>
        <v>0</v>
      </c>
      <c r="AH56" s="12">
        <f>IF(AH32&gt;0,Assumptions!AN$7,0)</f>
        <v>0</v>
      </c>
      <c r="AI56" s="12">
        <f>IF(AI32&gt;0,Assumptions!AO$7,0)</f>
        <v>0</v>
      </c>
      <c r="AJ56" s="12">
        <f>IF(AJ32&gt;0,Assumptions!AP$7,0)</f>
        <v>0</v>
      </c>
      <c r="AK56" s="12">
        <f>IF(AK32&gt;0,Assumptions!AQ$7,0)</f>
        <v>0</v>
      </c>
      <c r="AL56" s="12">
        <f>IF(AL32&gt;0,Assumptions!AR$7,0)</f>
        <v>0</v>
      </c>
      <c r="AM56" s="12">
        <f>IF(AM32&gt;0,Assumptions!AS$7,0)</f>
        <v>0</v>
      </c>
      <c r="AN56" s="12">
        <f>IF(AN32&gt;0,Assumptions!AT$7,0)</f>
        <v>0</v>
      </c>
      <c r="AO56" s="12">
        <f>IF(AO32&gt;0,Assumptions!AU$7,0)</f>
        <v>0</v>
      </c>
      <c r="AP56" s="12">
        <f>IF(AP32&gt;0,Assumptions!AV$7,0)</f>
        <v>0</v>
      </c>
      <c r="AQ56" s="12">
        <f>IF(AQ32&gt;0,Assumptions!AW$7,0)</f>
        <v>0</v>
      </c>
      <c r="AR56" s="12">
        <f>IF(AR32&gt;0,Assumptions!AX$7,0)</f>
        <v>0</v>
      </c>
      <c r="AS56" s="12">
        <f>IF(AS32&gt;0,Assumptions!AY$7,0)</f>
        <v>0</v>
      </c>
      <c r="AT56" s="12">
        <f>IF(AT32&gt;0,Assumptions!AZ$7,0)</f>
        <v>0</v>
      </c>
      <c r="AU56" s="12">
        <f>IF(AU32&gt;0,Assumptions!BA$7,0)</f>
        <v>0</v>
      </c>
      <c r="AV56" s="12">
        <f>IF(AV32&gt;0,Assumptions!BB$7,0)</f>
        <v>0</v>
      </c>
      <c r="AW56" s="12">
        <f>IF(AW32&gt;0,Assumptions!BC$7,0)</f>
        <v>0</v>
      </c>
      <c r="AX56" s="12">
        <f>IF(AX32&gt;0,Assumptions!BD$7,0)</f>
        <v>0</v>
      </c>
      <c r="AY56" s="12">
        <f>IF(AY32&gt;0,Assumptions!BE$7,0)</f>
        <v>0</v>
      </c>
      <c r="AZ56" s="12">
        <f>IF(AZ32&gt;0,Assumptions!BF$7,0)</f>
        <v>0</v>
      </c>
      <c r="BA56" s="12">
        <f>IF(BA32&gt;0,Assumptions!BG$7,0)</f>
        <v>0</v>
      </c>
      <c r="BB56" s="12">
        <f>IF(BB32&gt;0,Assumptions!BH$7,0)</f>
        <v>0</v>
      </c>
      <c r="BC56" s="12">
        <f>IF(BC32&gt;0,Assumptions!BI$7,0)</f>
        <v>0</v>
      </c>
      <c r="BD56" s="12">
        <f>IF(BD32&gt;0,Assumptions!BJ$7,0)</f>
        <v>0</v>
      </c>
      <c r="BE56" s="12">
        <f>IF(BE32&gt;0,Assumptions!BK$7,0)</f>
        <v>0</v>
      </c>
      <c r="BF56" s="12">
        <f>IF(BF32&gt;0,Assumptions!BL$7,0)</f>
        <v>0</v>
      </c>
      <c r="BG56" s="12">
        <f>IF(BG32&gt;0,Assumptions!BM$7,0)</f>
        <v>0</v>
      </c>
      <c r="BH56" s="12">
        <f>IF(BH32&gt;0,Assumptions!BN$7,0)</f>
        <v>0</v>
      </c>
      <c r="BI56" s="12">
        <f>IF(BI32&gt;0,Assumptions!BO$7,0)</f>
        <v>0</v>
      </c>
      <c r="BJ56" s="12">
        <f>IF(BJ32&gt;0,Assumptions!BP$7,0)</f>
        <v>0</v>
      </c>
      <c r="BK56" s="12">
        <f>IF(BK32&gt;0,Assumptions!BQ$7,0)</f>
        <v>0</v>
      </c>
      <c r="BL56" s="12">
        <f>IF(BL32&gt;0,Assumptions!BR$7,0)</f>
        <v>0</v>
      </c>
      <c r="BM56" s="12">
        <f>IF(BM32&gt;0,Assumptions!BS$7,0)</f>
        <v>0</v>
      </c>
      <c r="BN56" s="12">
        <f>IF(BN32&gt;0,Assumptions!BT$7,0)</f>
        <v>0</v>
      </c>
      <c r="BO56" s="12">
        <f>IF(BO32&gt;0,Assumptions!BU$7,0)</f>
        <v>0</v>
      </c>
      <c r="BP56" s="12"/>
      <c r="BQ56" s="25"/>
    </row>
    <row r="57" spans="1:69">
      <c r="A57" s="4" t="str">
        <f>$A$33</f>
        <v>Thermal GCN</v>
      </c>
      <c r="B57" s="17" t="s">
        <v>7</v>
      </c>
      <c r="D57" s="12">
        <f>IF(D33&gt;0,IF(D52&gt;Assumptions!J$12,Assumptions!J$8,IF(D52&gt;Assumptions!J$13,Assumptions!J$8,Assumptions!J$9))*(D52/D$47),0)</f>
        <v>0</v>
      </c>
      <c r="E57" s="12">
        <f>IF(E33&gt;0,IF(E52&gt;Assumptions!K$12,Assumptions!K$8,IF(E52&gt;Assumptions!K$13,Assumptions!K$8,Assumptions!K$9))*(E52/E$47),0)</f>
        <v>0</v>
      </c>
      <c r="F57" s="12">
        <f>IF(F33&gt;0,IF(F52&gt;Assumptions!L$12,Assumptions!L$8,IF(F52&gt;Assumptions!L$13,Assumptions!L$8,Assumptions!L$9))*(F52/F$47),0)</f>
        <v>0</v>
      </c>
      <c r="G57" s="12">
        <f>IF(G33&gt;0,IF(G52&gt;Assumptions!M$12,Assumptions!M$8,IF(G52&gt;Assumptions!M$13,Assumptions!M$8,Assumptions!M$9))*(G52/G$47),0)</f>
        <v>0</v>
      </c>
      <c r="H57" s="12">
        <f>IF(H33&gt;0,IF(H52&gt;Assumptions!N$12,Assumptions!N$8,IF(H52&gt;Assumptions!N$13,Assumptions!N$8,Assumptions!N$9))*(H52/H$47),0)</f>
        <v>0</v>
      </c>
      <c r="I57" s="12">
        <f>IF(I33&gt;0,IF(I52&gt;Assumptions!O$12,Assumptions!O$8,IF(I52&gt;Assumptions!O$13,Assumptions!O$8,Assumptions!O$9))*(I52/I$47),0)</f>
        <v>0</v>
      </c>
      <c r="J57" s="12">
        <f>IF(J33&gt;0,IF(J52&gt;Assumptions!P$12,Assumptions!P$8,IF(J52&gt;Assumptions!P$13,Assumptions!P$8,Assumptions!P$9))*(J52/J$47),0)</f>
        <v>0</v>
      </c>
      <c r="K57" s="12">
        <f>IF(K33&gt;0,IF(K52&gt;Assumptions!Q$12,Assumptions!Q$8,IF(K52&gt;Assumptions!Q$13,Assumptions!Q$8,Assumptions!Q$9))*(K52/K$47),0)</f>
        <v>0</v>
      </c>
      <c r="L57" s="12">
        <f>IF(L33&gt;0,IF(L52&gt;Assumptions!R$12,Assumptions!R$8,IF(L52&gt;Assumptions!R$13,Assumptions!R$8,Assumptions!R$9))*(L52/L$47),0)</f>
        <v>0</v>
      </c>
      <c r="M57" s="12">
        <f>IF(M33&gt;0,IF(M52&gt;Assumptions!S$12,Assumptions!S$8,IF(M52&gt;Assumptions!S$13,Assumptions!S$8,Assumptions!S$9))*(M52/M$47),0)</f>
        <v>0</v>
      </c>
      <c r="N57" s="12">
        <f>IF(N33&gt;0,IF(N52&gt;Assumptions!T$12,Assumptions!T$8,IF(N52&gt;Assumptions!T$13,Assumptions!T$8,Assumptions!T$9))*(N52/N$47),0)</f>
        <v>0</v>
      </c>
      <c r="O57" s="12">
        <f>IF(O33&gt;0,IF(O52&gt;Assumptions!U$12,Assumptions!U$8,IF(O52&gt;Assumptions!U$13,Assumptions!U$8,Assumptions!U$9))*(O52/O$47),0)</f>
        <v>0</v>
      </c>
      <c r="P57" s="12">
        <f>IF(P33&gt;0,IF(P52&gt;Assumptions!V$12,Assumptions!V$8,IF(P52&gt;Assumptions!V$13,Assumptions!V$8,Assumptions!V$9))*(P52/P$47),0)</f>
        <v>0</v>
      </c>
      <c r="Q57" s="12">
        <f>IF(Q33&gt;0,IF(Q52&gt;Assumptions!W$12,Assumptions!W$8,IF(Q52&gt;Assumptions!W$13,Assumptions!W$8,Assumptions!W$9))*(Q52/Q$47),0)</f>
        <v>0</v>
      </c>
      <c r="R57" s="12">
        <f>IF(R33&gt;0,IF(R52&gt;Assumptions!X$12,Assumptions!X$8,IF(R52&gt;Assumptions!X$13,Assumptions!X$8,Assumptions!X$9))*(R52/R$47),0)</f>
        <v>0</v>
      </c>
      <c r="S57" s="12">
        <f>IF(S33&gt;0,IF(S52&gt;Assumptions!Y$12,Assumptions!Y$8,IF(S52&gt;Assumptions!Y$13,Assumptions!Y$8,Assumptions!Y$9))*(S52/S$47),0)</f>
        <v>0</v>
      </c>
      <c r="T57" s="12">
        <f>IF(T33&gt;0,IF(T52&gt;Assumptions!Z$12,Assumptions!Z$8,IF(T52&gt;Assumptions!Z$13,Assumptions!Z$8,Assumptions!Z$9))*(T52/T$47),0)</f>
        <v>0</v>
      </c>
      <c r="U57" s="12">
        <f>IF(U33&gt;0,IF(U52&gt;Assumptions!AA$12,Assumptions!AA$8,IF(U52&gt;Assumptions!AA$13,Assumptions!AA$8,Assumptions!AA$9))*(U52/U$47),0)</f>
        <v>0</v>
      </c>
      <c r="V57" s="12">
        <f>IF(V33&gt;0,IF(V52&gt;Assumptions!AB$12,Assumptions!AB$8,IF(V52&gt;Assumptions!AB$13,Assumptions!AB$8,Assumptions!AB$9))*(V52/V$47),0)</f>
        <v>0</v>
      </c>
      <c r="W57" s="12">
        <f>IF(W33&gt;0,IF(W52&gt;Assumptions!AC$12,Assumptions!AC$8,IF(W52&gt;Assumptions!AC$13,Assumptions!AC$8,Assumptions!AC$9))*(W52/W$47),0)</f>
        <v>0</v>
      </c>
      <c r="X57" s="12">
        <f>IF(X33&gt;0,IF(X52&gt;Assumptions!AD$12,Assumptions!AD$8,IF(X52&gt;Assumptions!AD$13,Assumptions!AD$8,Assumptions!AD$9))*(X52/X$47),0)</f>
        <v>0</v>
      </c>
      <c r="Y57" s="12">
        <f>IF(Y33&gt;0,IF(Y52&gt;Assumptions!AE$12,Assumptions!AE$8,IF(Y52&gt;Assumptions!AE$13,Assumptions!AE$8,Assumptions!AE$9))*(Y52/Y$47),0)</f>
        <v>0</v>
      </c>
      <c r="Z57" s="12">
        <f>IF(Z33&gt;0,IF(Z52&gt;Assumptions!AF$12,Assumptions!AF$8,IF(Z52&gt;Assumptions!AF$13,Assumptions!AF$8,Assumptions!AF$9))*(Z52/Z$47),0)</f>
        <v>0</v>
      </c>
      <c r="AA57" s="12">
        <f>IF(AA33&gt;0,IF(AA52&gt;Assumptions!AG$12,Assumptions!AG$8,IF(AA52&gt;Assumptions!AG$13,Assumptions!AG$8,Assumptions!AG$9))*(AA52/AA$47),0)</f>
        <v>0</v>
      </c>
      <c r="AB57" s="12">
        <f>IF(AB33&gt;0,IF(AB52&gt;Assumptions!AH$12,Assumptions!AH$8,IF(AB52&gt;Assumptions!AH$13,Assumptions!AH$8,Assumptions!AH$9))*(AB52/AB$47),0)</f>
        <v>0</v>
      </c>
      <c r="AC57" s="12">
        <f>IF(AC33&gt;0,IF(AC52&gt;Assumptions!AI$12,Assumptions!AI$8,IF(AC52&gt;Assumptions!AI$13,Assumptions!AI$8,Assumptions!AI$9))*(AC52/AC$47),0)</f>
        <v>0</v>
      </c>
      <c r="AD57" s="12">
        <f>IF(AD33&gt;0,IF(AD52&gt;Assumptions!AJ$12,Assumptions!AJ$8,IF(AD52&gt;Assumptions!AJ$13,Assumptions!AJ$8,Assumptions!AJ$9))*(AD52/AD$47),0)</f>
        <v>0</v>
      </c>
      <c r="AE57" s="12">
        <f>IF(AE33&gt;0,IF(AE52&gt;Assumptions!AK$12,Assumptions!AK$8,IF(AE52&gt;Assumptions!AK$13,Assumptions!AK$8,Assumptions!AK$9))*(AE52/AE$47),0)</f>
        <v>0</v>
      </c>
      <c r="AF57" s="12">
        <f>IF(AF33&gt;0,IF(AF52&gt;Assumptions!AL$12,Assumptions!AL$8,IF(AF52&gt;Assumptions!AL$13,Assumptions!AL$8,Assumptions!AL$9))*(AF52/AF$47),0)</f>
        <v>0</v>
      </c>
      <c r="AG57" s="12">
        <f>IF(AG33&gt;0,IF(AG52&gt;Assumptions!AM$12,Assumptions!AM$8,IF(AG52&gt;Assumptions!AM$13,Assumptions!AM$8,Assumptions!AM$9))*(AG52/AG$47),0)</f>
        <v>0</v>
      </c>
      <c r="AH57" s="12">
        <f>IF(AH33&gt;0,IF(AH52&gt;Assumptions!AN$12,Assumptions!AN$8,IF(AH52&gt;Assumptions!AN$13,Assumptions!AN$8,Assumptions!AN$9))*(AH52/AH$47),0)</f>
        <v>0</v>
      </c>
      <c r="AI57" s="12">
        <f>IF(AI33&gt;0,IF(AI52&gt;Assumptions!AO$12,Assumptions!AO$8,IF(AI52&gt;Assumptions!AO$13,Assumptions!AO$8,Assumptions!AO$9))*(AI52/AI$47),0)</f>
        <v>0</v>
      </c>
      <c r="AJ57" s="12">
        <f>IF(AJ33&gt;0,IF(AJ52&gt;Assumptions!AP$12,Assumptions!AP$8,IF(AJ52&gt;Assumptions!AP$13,Assumptions!AP$8,Assumptions!AP$9))*(AJ52/AJ$47),0)</f>
        <v>0</v>
      </c>
      <c r="AK57" s="12">
        <f>IF(AK33&gt;0,IF(AK52&gt;Assumptions!AQ$12,Assumptions!AQ$8,IF(AK52&gt;Assumptions!AQ$13,Assumptions!AQ$8,Assumptions!AQ$9))*(AK52/AK$47),0)</f>
        <v>0</v>
      </c>
      <c r="AL57" s="12">
        <f>IF(AL33&gt;0,IF(AL52&gt;Assumptions!AR$12,Assumptions!AR$8,IF(AL52&gt;Assumptions!AR$13,Assumptions!AR$8,Assumptions!AR$9))*(AL52/AL$47),0)</f>
        <v>0</v>
      </c>
      <c r="AM57" s="12">
        <f>IF(AM33&gt;0,IF(AM52&gt;Assumptions!AS$12,Assumptions!AS$8,IF(AM52&gt;Assumptions!AS$13,Assumptions!AS$8,Assumptions!AS$9))*(AM52/AM$47),0)</f>
        <v>0</v>
      </c>
      <c r="AN57" s="12">
        <f>IF(AN33&gt;0,IF(AN52&gt;Assumptions!AT$12,Assumptions!AT$8,IF(AN52&gt;Assumptions!AT$13,Assumptions!AT$8,Assumptions!AT$9))*(AN52/AN$47),0)</f>
        <v>0</v>
      </c>
      <c r="AO57" s="12">
        <f>IF(AO33&gt;0,IF(AO52&gt;Assumptions!AU$12,Assumptions!AU$8,IF(AO52&gt;Assumptions!AU$13,Assumptions!AU$8,Assumptions!AU$9))*(AO52/AO$47),0)</f>
        <v>0</v>
      </c>
      <c r="AP57" s="12">
        <f>IF(AP33&gt;0,IF(AP52&gt;Assumptions!AV$12,Assumptions!AV$8,IF(AP52&gt;Assumptions!AV$13,Assumptions!AV$8,Assumptions!AV$9))*(AP52/AP$47),0)</f>
        <v>0</v>
      </c>
      <c r="AQ57" s="12">
        <f>IF(AQ33&gt;0,IF(AQ52&gt;Assumptions!AW$12,Assumptions!AW$8,IF(AQ52&gt;Assumptions!AW$13,Assumptions!AW$8,Assumptions!AW$9))*(AQ52/AQ$47),0)</f>
        <v>0</v>
      </c>
      <c r="AR57" s="12">
        <f>IF(AR33&gt;0,IF(AR52&gt;Assumptions!AX$12,Assumptions!AX$8,IF(AR52&gt;Assumptions!AX$13,Assumptions!AX$8,Assumptions!AX$9))*(AR52/AR$47),0)</f>
        <v>0</v>
      </c>
      <c r="AS57" s="12">
        <f>IF(AS33&gt;0,IF(AS52&gt;Assumptions!AY$12,Assumptions!AY$8,IF(AS52&gt;Assumptions!AY$13,Assumptions!AY$8,Assumptions!AY$9))*(AS52/AS$47),0)</f>
        <v>0</v>
      </c>
      <c r="AT57" s="12">
        <f>IF(AT33&gt;0,IF(AT52&gt;Assumptions!AZ$12,Assumptions!AZ$8,IF(AT52&gt;Assumptions!AZ$13,Assumptions!AZ$8,Assumptions!AZ$9))*(AT52/AT$47),0)</f>
        <v>0</v>
      </c>
      <c r="AU57" s="12">
        <f>IF(AU33&gt;0,IF(AU52&gt;Assumptions!BA$12,Assumptions!BA$8,IF(AU52&gt;Assumptions!BA$13,Assumptions!BA$8,Assumptions!BA$9))*(AU52/AU$47),0)</f>
        <v>0</v>
      </c>
      <c r="AV57" s="12">
        <f>IF(AV33&gt;0,IF(AV52&gt;Assumptions!BB$12,Assumptions!BB$8,IF(AV52&gt;Assumptions!BB$13,Assumptions!BB$8,Assumptions!BB$9))*(AV52/AV$47),0)</f>
        <v>0</v>
      </c>
      <c r="AW57" s="12">
        <f>IF(AW33&gt;0,IF(AW52&gt;Assumptions!BC$12,Assumptions!BC$8,IF(AW52&gt;Assumptions!BC$13,Assumptions!BC$8,Assumptions!BC$9))*(AW52/AW$47),0)</f>
        <v>0</v>
      </c>
      <c r="AX57" s="12">
        <f>IF(AX33&gt;0,IF(AX52&gt;Assumptions!BD$12,Assumptions!BD$8,IF(AX52&gt;Assumptions!BD$13,Assumptions!BD$8,Assumptions!BD$9))*(AX52/AX$47),0)</f>
        <v>0</v>
      </c>
      <c r="AY57" s="12">
        <f>IF(AY33&gt;0,IF(AY52&gt;Assumptions!BE$12,Assumptions!BE$8,IF(AY52&gt;Assumptions!BE$13,Assumptions!BE$8,Assumptions!BE$9))*(AY52/AY$47),0)</f>
        <v>0</v>
      </c>
      <c r="AZ57" s="12">
        <f>IF(AZ33&gt;0,IF(AZ52&gt;Assumptions!BF$12,Assumptions!BF$8,IF(AZ52&gt;Assumptions!BF$13,Assumptions!BF$8,Assumptions!BF$9))*(AZ52/AZ$47),0)</f>
        <v>0</v>
      </c>
      <c r="BA57" s="12">
        <f>IF(BA33&gt;0,IF(BA52&gt;Assumptions!BG$12,Assumptions!BG$8,IF(BA52&gt;Assumptions!BG$13,Assumptions!BG$8,Assumptions!BG$9))*(BA52/BA$47),0)</f>
        <v>0</v>
      </c>
      <c r="BB57" s="12">
        <f>IF(BB33&gt;0,IF(BB52&gt;Assumptions!BH$12,Assumptions!BH$8,IF(BB52&gt;Assumptions!BH$13,Assumptions!BH$8,Assumptions!BH$9))*(BB52/BB$47),0)</f>
        <v>0</v>
      </c>
      <c r="BC57" s="12">
        <f>IF(BC33&gt;0,IF(BC52&gt;Assumptions!BI$12,Assumptions!BI$8,IF(BC52&gt;Assumptions!BI$13,Assumptions!BI$8,Assumptions!BI$9))*(BC52/BC$47),0)</f>
        <v>0</v>
      </c>
      <c r="BD57" s="12">
        <f>IF(BD33&gt;0,IF(BD52&gt;Assumptions!BJ$12,Assumptions!BJ$8,IF(BD52&gt;Assumptions!BJ$13,Assumptions!BJ$8,Assumptions!BJ$9))*(BD52/BD$47),0)</f>
        <v>0</v>
      </c>
      <c r="BE57" s="12">
        <f>IF(BE33&gt;0,IF(BE52&gt;Assumptions!BK$12,Assumptions!BK$8,IF(BE52&gt;Assumptions!BK$13,Assumptions!BK$8,Assumptions!BK$9))*(BE52/BE$47),0)</f>
        <v>0</v>
      </c>
      <c r="BF57" s="12">
        <f>IF(BF33&gt;0,IF(BF52&gt;Assumptions!BL$12,Assumptions!BL$8,IF(BF52&gt;Assumptions!BL$13,Assumptions!BL$8,Assumptions!BL$9))*(BF52/BF$47),0)</f>
        <v>0</v>
      </c>
      <c r="BG57" s="12">
        <f>IF(BG33&gt;0,IF(BG52&gt;Assumptions!BM$12,Assumptions!BM$8,IF(BG52&gt;Assumptions!BM$13,Assumptions!BM$8,Assumptions!BM$9))*(BG52/BG$47),0)</f>
        <v>0</v>
      </c>
      <c r="BH57" s="12">
        <f>IF(BH33&gt;0,IF(BH52&gt;Assumptions!BN$12,Assumptions!BN$8,IF(BH52&gt;Assumptions!BN$13,Assumptions!BN$8,Assumptions!BN$9))*(BH52/BH$47),0)</f>
        <v>0</v>
      </c>
      <c r="BI57" s="12">
        <f>IF(BI33&gt;0,IF(BI52&gt;Assumptions!BO$12,Assumptions!BO$8,IF(BI52&gt;Assumptions!BO$13,Assumptions!BO$8,Assumptions!BO$9))*(BI52/BI$47),0)</f>
        <v>0</v>
      </c>
      <c r="BJ57" s="12">
        <f>IF(BJ33&gt;0,IF(BJ52&gt;Assumptions!BP$12,Assumptions!BP$8,IF(BJ52&gt;Assumptions!BP$13,Assumptions!BP$8,Assumptions!BP$9))*(BJ52/BJ$47),0)</f>
        <v>0</v>
      </c>
      <c r="BK57" s="12">
        <f>IF(BK33&gt;0,IF(BK52&gt;Assumptions!BQ$12,Assumptions!BQ$8,IF(BK52&gt;Assumptions!BQ$13,Assumptions!BQ$8,Assumptions!BQ$9))*(BK52/BK$47),0)</f>
        <v>0</v>
      </c>
      <c r="BL57" s="12">
        <f>IF(BL33&gt;0,IF(BL52&gt;Assumptions!BR$12,Assumptions!BR$8,IF(BL52&gt;Assumptions!BR$13,Assumptions!BR$8,Assumptions!BR$9))*(BL52/BL$47),0)</f>
        <v>0</v>
      </c>
      <c r="BM57" s="12">
        <f>IF(BM33&gt;0,IF(BM52&gt;Assumptions!BS$12,Assumptions!BS$8,IF(BM52&gt;Assumptions!BS$13,Assumptions!BS$8,Assumptions!BS$9))*(BM52/BM$47),0)</f>
        <v>0</v>
      </c>
      <c r="BN57" s="12">
        <f>IF(BN33&gt;0,IF(BN52&gt;Assumptions!BT$12,Assumptions!BT$8,IF(BN52&gt;Assumptions!BT$13,Assumptions!BT$8,Assumptions!BT$9))*(BN52/BN$47),0)</f>
        <v>0</v>
      </c>
      <c r="BO57" s="12">
        <f>IF(BO33&gt;0,IF(BO52&gt;Assumptions!BU$12,Assumptions!BU$8,IF(BO52&gt;Assumptions!BU$13,Assumptions!BU$8,Assumptions!BU$9))*(BO52/BO$47),0)</f>
        <v>0</v>
      </c>
      <c r="BP57" s="12"/>
      <c r="BQ57" s="25"/>
    </row>
    <row r="58" spans="1:69">
      <c r="A58" s="4" t="s">
        <v>117</v>
      </c>
      <c r="B58" s="17" t="s">
        <v>7</v>
      </c>
      <c r="D58" s="300">
        <f>IFERROR(SUMPRODUCT(D31:D33,D55:D57)/D34,0)</f>
        <v>0</v>
      </c>
      <c r="E58" s="300">
        <f t="shared" ref="E58:BO58" si="48">IFERROR(SUMPRODUCT(E31:E33,E55:E57)/E34,0)</f>
        <v>0</v>
      </c>
      <c r="F58" s="300">
        <f t="shared" si="48"/>
        <v>0</v>
      </c>
      <c r="G58" s="300">
        <f t="shared" si="48"/>
        <v>0</v>
      </c>
      <c r="H58" s="300">
        <f t="shared" si="48"/>
        <v>211.2</v>
      </c>
      <c r="I58" s="300">
        <f t="shared" si="48"/>
        <v>211.2</v>
      </c>
      <c r="J58" s="300">
        <f t="shared" si="48"/>
        <v>211.2</v>
      </c>
      <c r="K58" s="300">
        <f t="shared" si="48"/>
        <v>211.2</v>
      </c>
      <c r="L58" s="300">
        <f t="shared" si="48"/>
        <v>211.2</v>
      </c>
      <c r="M58" s="300">
        <f t="shared" si="48"/>
        <v>211.2</v>
      </c>
      <c r="N58" s="300">
        <f t="shared" si="48"/>
        <v>211.2</v>
      </c>
      <c r="O58" s="300">
        <f t="shared" si="48"/>
        <v>211.2</v>
      </c>
      <c r="P58" s="300">
        <f t="shared" si="48"/>
        <v>211.2</v>
      </c>
      <c r="Q58" s="300">
        <f t="shared" si="48"/>
        <v>211.2</v>
      </c>
      <c r="R58" s="300">
        <f t="shared" si="48"/>
        <v>211.2</v>
      </c>
      <c r="S58" s="300">
        <f t="shared" si="48"/>
        <v>211.2</v>
      </c>
      <c r="T58" s="300">
        <f t="shared" si="48"/>
        <v>211.2</v>
      </c>
      <c r="U58" s="300">
        <f t="shared" si="48"/>
        <v>211.2</v>
      </c>
      <c r="V58" s="300">
        <f t="shared" si="48"/>
        <v>211.2</v>
      </c>
      <c r="W58" s="300">
        <f t="shared" si="48"/>
        <v>211.2</v>
      </c>
      <c r="X58" s="300">
        <f t="shared" si="48"/>
        <v>211.2</v>
      </c>
      <c r="Y58" s="300">
        <f t="shared" si="48"/>
        <v>211.2</v>
      </c>
      <c r="Z58" s="300">
        <f t="shared" si="48"/>
        <v>211.19999999999996</v>
      </c>
      <c r="AA58" s="300">
        <f t="shared" si="48"/>
        <v>211.19999999999996</v>
      </c>
      <c r="AB58" s="300">
        <f t="shared" si="48"/>
        <v>0</v>
      </c>
      <c r="AC58" s="300">
        <f t="shared" si="48"/>
        <v>0</v>
      </c>
      <c r="AD58" s="300">
        <f t="shared" si="48"/>
        <v>0</v>
      </c>
      <c r="AE58" s="300">
        <f t="shared" si="48"/>
        <v>0</v>
      </c>
      <c r="AF58" s="300">
        <f t="shared" si="48"/>
        <v>0</v>
      </c>
      <c r="AG58" s="300">
        <f t="shared" si="48"/>
        <v>0</v>
      </c>
      <c r="AH58" s="300">
        <f t="shared" si="48"/>
        <v>0</v>
      </c>
      <c r="AI58" s="300">
        <f t="shared" si="48"/>
        <v>0</v>
      </c>
      <c r="AJ58" s="300">
        <f t="shared" si="48"/>
        <v>0</v>
      </c>
      <c r="AK58" s="300">
        <f t="shared" si="48"/>
        <v>0</v>
      </c>
      <c r="AL58" s="300">
        <f t="shared" si="48"/>
        <v>0</v>
      </c>
      <c r="AM58" s="300">
        <f t="shared" si="48"/>
        <v>0</v>
      </c>
      <c r="AN58" s="300">
        <f t="shared" si="48"/>
        <v>0</v>
      </c>
      <c r="AO58" s="300">
        <f t="shared" si="48"/>
        <v>0</v>
      </c>
      <c r="AP58" s="300">
        <f t="shared" si="48"/>
        <v>0</v>
      </c>
      <c r="AQ58" s="300">
        <f t="shared" si="48"/>
        <v>0</v>
      </c>
      <c r="AR58" s="300">
        <f t="shared" si="48"/>
        <v>0</v>
      </c>
      <c r="AS58" s="300">
        <f t="shared" si="48"/>
        <v>0</v>
      </c>
      <c r="AT58" s="300">
        <f t="shared" si="48"/>
        <v>0</v>
      </c>
      <c r="AU58" s="300">
        <f t="shared" si="48"/>
        <v>0</v>
      </c>
      <c r="AV58" s="300">
        <f t="shared" si="48"/>
        <v>0</v>
      </c>
      <c r="AW58" s="300">
        <f t="shared" si="48"/>
        <v>0</v>
      </c>
      <c r="AX58" s="300">
        <f t="shared" si="48"/>
        <v>0</v>
      </c>
      <c r="AY58" s="300">
        <f t="shared" si="48"/>
        <v>0</v>
      </c>
      <c r="AZ58" s="300">
        <f t="shared" si="48"/>
        <v>0</v>
      </c>
      <c r="BA58" s="300">
        <f t="shared" si="48"/>
        <v>0</v>
      </c>
      <c r="BB58" s="300">
        <f t="shared" si="48"/>
        <v>0</v>
      </c>
      <c r="BC58" s="300">
        <f t="shared" si="48"/>
        <v>0</v>
      </c>
      <c r="BD58" s="300">
        <f t="shared" si="48"/>
        <v>0</v>
      </c>
      <c r="BE58" s="300">
        <f t="shared" si="48"/>
        <v>0</v>
      </c>
      <c r="BF58" s="300">
        <f t="shared" si="48"/>
        <v>0</v>
      </c>
      <c r="BG58" s="300">
        <f t="shared" si="48"/>
        <v>0</v>
      </c>
      <c r="BH58" s="300">
        <f t="shared" si="48"/>
        <v>0</v>
      </c>
      <c r="BI58" s="300">
        <f t="shared" si="48"/>
        <v>0</v>
      </c>
      <c r="BJ58" s="300">
        <f t="shared" si="48"/>
        <v>0</v>
      </c>
      <c r="BK58" s="300">
        <f t="shared" si="48"/>
        <v>0</v>
      </c>
      <c r="BL58" s="300">
        <f t="shared" si="48"/>
        <v>0</v>
      </c>
      <c r="BM58" s="300">
        <f t="shared" si="48"/>
        <v>0</v>
      </c>
      <c r="BN58" s="300">
        <f t="shared" si="48"/>
        <v>0</v>
      </c>
      <c r="BO58" s="300">
        <f t="shared" si="48"/>
        <v>0</v>
      </c>
      <c r="BP58" s="12"/>
      <c r="BQ58" s="25"/>
    </row>
    <row r="59" spans="1:69">
      <c r="A59" s="4"/>
      <c r="B59" s="17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25"/>
    </row>
    <row r="60" spans="1:69">
      <c r="A60" s="4" t="s">
        <v>118</v>
      </c>
      <c r="B60" s="17" t="s">
        <v>119</v>
      </c>
      <c r="D60" s="12">
        <f t="shared" ref="D60:AD60" si="49">SUMPRODUCT(D31:D32,D55:D56)</f>
        <v>0</v>
      </c>
      <c r="E60" s="12">
        <f t="shared" si="49"/>
        <v>0</v>
      </c>
      <c r="F60" s="12">
        <f t="shared" si="49"/>
        <v>0</v>
      </c>
      <c r="G60" s="12">
        <f t="shared" si="49"/>
        <v>0</v>
      </c>
      <c r="H60" s="12">
        <f t="shared" si="49"/>
        <v>17198.438399999999</v>
      </c>
      <c r="I60" s="12">
        <f t="shared" si="49"/>
        <v>34396.876799999998</v>
      </c>
      <c r="J60" s="12">
        <f t="shared" si="49"/>
        <v>1140210.5088</v>
      </c>
      <c r="K60" s="12">
        <f t="shared" si="49"/>
        <v>1140210.5088</v>
      </c>
      <c r="L60" s="12">
        <f t="shared" si="49"/>
        <v>1140210.5088</v>
      </c>
      <c r="M60" s="12">
        <f t="shared" si="49"/>
        <v>1140210.5088</v>
      </c>
      <c r="N60" s="12">
        <f t="shared" si="49"/>
        <v>1140210.5088</v>
      </c>
      <c r="O60" s="12">
        <f t="shared" si="49"/>
        <v>1140210.5088</v>
      </c>
      <c r="P60" s="12">
        <f t="shared" si="49"/>
        <v>1140210.5088</v>
      </c>
      <c r="Q60" s="12">
        <f t="shared" si="49"/>
        <v>1140210.5088</v>
      </c>
      <c r="R60" s="12">
        <f t="shared" si="49"/>
        <v>1140210.5088</v>
      </c>
      <c r="S60" s="12">
        <f t="shared" si="49"/>
        <v>1140210.5088</v>
      </c>
      <c r="T60" s="12">
        <f t="shared" si="49"/>
        <v>1140210.5088</v>
      </c>
      <c r="U60" s="12">
        <f t="shared" si="49"/>
        <v>1140210.5088</v>
      </c>
      <c r="V60" s="12">
        <f t="shared" si="49"/>
        <v>1140210.5088</v>
      </c>
      <c r="W60" s="12">
        <f t="shared" si="49"/>
        <v>1140210.5088</v>
      </c>
      <c r="X60" s="12">
        <f t="shared" si="49"/>
        <v>1140210.5088</v>
      </c>
      <c r="Y60" s="12">
        <f t="shared" si="49"/>
        <v>1115846.0544</v>
      </c>
      <c r="Z60" s="12">
        <f t="shared" si="49"/>
        <v>1091481.5999999999</v>
      </c>
      <c r="AA60" s="12">
        <f t="shared" si="49"/>
        <v>1091481.5999999999</v>
      </c>
      <c r="AB60" s="12">
        <f t="shared" si="49"/>
        <v>0</v>
      </c>
      <c r="AC60" s="12">
        <f t="shared" si="49"/>
        <v>0</v>
      </c>
      <c r="AD60" s="12">
        <f t="shared" si="49"/>
        <v>0</v>
      </c>
      <c r="AE60" s="12">
        <f t="shared" ref="AE60:AF60" si="50">SUMPRODUCT(AE31:AE32,AE55:AE56)</f>
        <v>0</v>
      </c>
      <c r="AF60" s="12">
        <f t="shared" si="50"/>
        <v>0</v>
      </c>
      <c r="AG60" s="12">
        <f t="shared" ref="AG60:BO60" si="51">SUMPRODUCT(AG31:AG32,AG55:AG56)</f>
        <v>0</v>
      </c>
      <c r="AH60" s="12">
        <f t="shared" si="51"/>
        <v>0</v>
      </c>
      <c r="AI60" s="12">
        <f t="shared" si="51"/>
        <v>0</v>
      </c>
      <c r="AJ60" s="12">
        <f t="shared" si="51"/>
        <v>0</v>
      </c>
      <c r="AK60" s="12">
        <f t="shared" si="51"/>
        <v>0</v>
      </c>
      <c r="AL60" s="12">
        <f t="shared" si="51"/>
        <v>0</v>
      </c>
      <c r="AM60" s="12">
        <f t="shared" si="51"/>
        <v>0</v>
      </c>
      <c r="AN60" s="12">
        <f t="shared" si="51"/>
        <v>0</v>
      </c>
      <c r="AO60" s="12">
        <f t="shared" si="51"/>
        <v>0</v>
      </c>
      <c r="AP60" s="12">
        <f t="shared" si="51"/>
        <v>0</v>
      </c>
      <c r="AQ60" s="12">
        <f t="shared" si="51"/>
        <v>0</v>
      </c>
      <c r="AR60" s="12">
        <f t="shared" si="51"/>
        <v>0</v>
      </c>
      <c r="AS60" s="12">
        <f t="shared" si="51"/>
        <v>0</v>
      </c>
      <c r="AT60" s="12">
        <f t="shared" si="51"/>
        <v>0</v>
      </c>
      <c r="AU60" s="12">
        <f t="shared" si="51"/>
        <v>0</v>
      </c>
      <c r="AV60" s="12">
        <f t="shared" si="51"/>
        <v>0</v>
      </c>
      <c r="AW60" s="12">
        <f t="shared" si="51"/>
        <v>0</v>
      </c>
      <c r="AX60" s="12">
        <f t="shared" si="51"/>
        <v>0</v>
      </c>
      <c r="AY60" s="12">
        <f t="shared" si="51"/>
        <v>0</v>
      </c>
      <c r="AZ60" s="12">
        <f t="shared" si="51"/>
        <v>0</v>
      </c>
      <c r="BA60" s="12">
        <f t="shared" si="51"/>
        <v>0</v>
      </c>
      <c r="BB60" s="12">
        <f t="shared" si="51"/>
        <v>0</v>
      </c>
      <c r="BC60" s="12">
        <f t="shared" si="51"/>
        <v>0</v>
      </c>
      <c r="BD60" s="12">
        <f t="shared" si="51"/>
        <v>0</v>
      </c>
      <c r="BE60" s="12">
        <f t="shared" si="51"/>
        <v>0</v>
      </c>
      <c r="BF60" s="12">
        <f t="shared" si="51"/>
        <v>0</v>
      </c>
      <c r="BG60" s="12">
        <f t="shared" si="51"/>
        <v>0</v>
      </c>
      <c r="BH60" s="12">
        <f t="shared" si="51"/>
        <v>0</v>
      </c>
      <c r="BI60" s="12">
        <f t="shared" si="51"/>
        <v>0</v>
      </c>
      <c r="BJ60" s="12">
        <f t="shared" si="51"/>
        <v>0</v>
      </c>
      <c r="BK60" s="12">
        <f t="shared" si="51"/>
        <v>0</v>
      </c>
      <c r="BL60" s="12">
        <f t="shared" si="51"/>
        <v>0</v>
      </c>
      <c r="BM60" s="12">
        <f t="shared" si="51"/>
        <v>0</v>
      </c>
      <c r="BN60" s="12">
        <f t="shared" si="51"/>
        <v>0</v>
      </c>
      <c r="BO60" s="12">
        <f t="shared" si="51"/>
        <v>0</v>
      </c>
      <c r="BP60" s="12"/>
      <c r="BQ60" s="5">
        <f>SUM(D60:BO60)</f>
        <v>20453562.201600004</v>
      </c>
    </row>
    <row r="61" spans="1:69">
      <c r="A61" s="4" t="s">
        <v>120</v>
      </c>
      <c r="B61" s="17" t="s">
        <v>4</v>
      </c>
      <c r="D61" s="24">
        <f>Assumptions!I4</f>
        <v>0.69</v>
      </c>
      <c r="E61" s="24">
        <f>Assumptions!J4</f>
        <v>0.69</v>
      </c>
      <c r="F61" s="24">
        <f>Assumptions!K4</f>
        <v>0.69</v>
      </c>
      <c r="G61" s="24">
        <f>Assumptions!L4</f>
        <v>0.69</v>
      </c>
      <c r="H61" s="24">
        <f>Assumptions!M4</f>
        <v>0.69</v>
      </c>
      <c r="I61" s="24">
        <f>Assumptions!N4</f>
        <v>0.69</v>
      </c>
      <c r="J61" s="24">
        <f>Assumptions!O4</f>
        <v>0.69</v>
      </c>
      <c r="K61" s="24">
        <f>Assumptions!P4</f>
        <v>0.69</v>
      </c>
      <c r="L61" s="24">
        <f>Assumptions!Q4</f>
        <v>0.69</v>
      </c>
      <c r="M61" s="24">
        <f>Assumptions!R4</f>
        <v>0.69</v>
      </c>
      <c r="N61" s="24">
        <f>Assumptions!S4</f>
        <v>0.69</v>
      </c>
      <c r="O61" s="24">
        <f>Assumptions!T4</f>
        <v>0.69</v>
      </c>
      <c r="P61" s="24">
        <f>Assumptions!U4</f>
        <v>0.69</v>
      </c>
      <c r="Q61" s="24">
        <f>Assumptions!V4</f>
        <v>0.69</v>
      </c>
      <c r="R61" s="24">
        <f>Assumptions!W4</f>
        <v>0.69</v>
      </c>
      <c r="S61" s="24">
        <f>Assumptions!X4</f>
        <v>0.69</v>
      </c>
      <c r="T61" s="24">
        <f>Assumptions!Y4</f>
        <v>0.69</v>
      </c>
      <c r="U61" s="24">
        <f>Assumptions!Z4</f>
        <v>0.69</v>
      </c>
      <c r="V61" s="24">
        <f>Assumptions!AA4</f>
        <v>0.69</v>
      </c>
      <c r="W61" s="24">
        <f>Assumptions!AB4</f>
        <v>0.69</v>
      </c>
      <c r="X61" s="24">
        <f>Assumptions!AC4</f>
        <v>0.69</v>
      </c>
      <c r="Y61" s="24">
        <f>Assumptions!AD4</f>
        <v>0.69</v>
      </c>
      <c r="Z61" s="24">
        <f>Assumptions!AE4</f>
        <v>0.69</v>
      </c>
      <c r="AA61" s="24">
        <f>Assumptions!AF4</f>
        <v>0.69</v>
      </c>
      <c r="AB61" s="24">
        <f>Assumptions!AG4</f>
        <v>0.69</v>
      </c>
      <c r="AC61" s="24">
        <f>Assumptions!AH4</f>
        <v>0.69</v>
      </c>
      <c r="AD61" s="24">
        <f>Assumptions!AI4</f>
        <v>0.69</v>
      </c>
      <c r="AE61" s="24">
        <f>Assumptions!AI4</f>
        <v>0.69</v>
      </c>
      <c r="AF61" s="24">
        <f>Assumptions!AJ4</f>
        <v>0.69</v>
      </c>
      <c r="AG61" s="24">
        <f>Assumptions!AK4</f>
        <v>0.69</v>
      </c>
      <c r="AH61" s="24">
        <f>Assumptions!AL4</f>
        <v>0.69</v>
      </c>
      <c r="AI61" s="24">
        <f>Assumptions!AM4</f>
        <v>0.69</v>
      </c>
      <c r="AJ61" s="24">
        <f>Assumptions!AN4</f>
        <v>0.69</v>
      </c>
      <c r="AK61" s="24">
        <f>Assumptions!AO4</f>
        <v>0.69</v>
      </c>
      <c r="AL61" s="24">
        <f>Assumptions!AP4</f>
        <v>0.69</v>
      </c>
      <c r="AM61" s="24">
        <f>Assumptions!AQ4</f>
        <v>0.69</v>
      </c>
      <c r="AN61" s="24">
        <f>Assumptions!AR4</f>
        <v>0.69</v>
      </c>
      <c r="AO61" s="24">
        <f>Assumptions!AS4</f>
        <v>0.69</v>
      </c>
      <c r="AP61" s="24">
        <f>Assumptions!AT4</f>
        <v>0.69</v>
      </c>
      <c r="AQ61" s="24">
        <f>Assumptions!AU4</f>
        <v>0.69</v>
      </c>
      <c r="AR61" s="24">
        <f>Assumptions!AV4</f>
        <v>0.69</v>
      </c>
      <c r="AS61" s="24">
        <f>Assumptions!AW4</f>
        <v>0.69</v>
      </c>
      <c r="AT61" s="24">
        <f>Assumptions!AX4</f>
        <v>0.69</v>
      </c>
      <c r="AU61" s="24">
        <f>Assumptions!AY4</f>
        <v>0.69</v>
      </c>
      <c r="AV61" s="24">
        <f>Assumptions!AZ4</f>
        <v>0.69</v>
      </c>
      <c r="AW61" s="24">
        <f>Assumptions!BA4</f>
        <v>0.69</v>
      </c>
      <c r="AX61" s="24">
        <f>Assumptions!BB4</f>
        <v>0.69</v>
      </c>
      <c r="AY61" s="24">
        <f>Assumptions!BC4</f>
        <v>0.69</v>
      </c>
      <c r="AZ61" s="24">
        <f>Assumptions!BD4</f>
        <v>0.69</v>
      </c>
      <c r="BA61" s="24">
        <f>Assumptions!BE4</f>
        <v>0.69</v>
      </c>
      <c r="BB61" s="24">
        <f>Assumptions!BF4</f>
        <v>0.69</v>
      </c>
      <c r="BC61" s="24">
        <f>Assumptions!BG4</f>
        <v>0.69</v>
      </c>
      <c r="BD61" s="24">
        <f>Assumptions!BH4</f>
        <v>0.69</v>
      </c>
      <c r="BE61" s="24">
        <f>Assumptions!BI4</f>
        <v>0.69</v>
      </c>
      <c r="BF61" s="24">
        <f>Assumptions!BJ4</f>
        <v>0.69</v>
      </c>
      <c r="BG61" s="24">
        <f>Assumptions!BK4</f>
        <v>0.69</v>
      </c>
      <c r="BH61" s="24">
        <f>Assumptions!BL4</f>
        <v>0.69</v>
      </c>
      <c r="BI61" s="24">
        <f>Assumptions!BM4</f>
        <v>0.69</v>
      </c>
      <c r="BJ61" s="24">
        <f>Assumptions!BN4</f>
        <v>0.69</v>
      </c>
      <c r="BK61" s="24">
        <f>Assumptions!BO4</f>
        <v>0.69</v>
      </c>
      <c r="BL61" s="24">
        <f>Assumptions!BP4</f>
        <v>0.69</v>
      </c>
      <c r="BM61" s="24">
        <f>Assumptions!BQ4</f>
        <v>0.69</v>
      </c>
      <c r="BN61" s="24">
        <f>Assumptions!BR4</f>
        <v>0.69</v>
      </c>
      <c r="BO61" s="24">
        <f>Assumptions!BS4</f>
        <v>0.69</v>
      </c>
      <c r="BP61" s="24"/>
      <c r="BQ61" s="25"/>
    </row>
    <row r="62" spans="1:69">
      <c r="A62" s="4" t="s">
        <v>118</v>
      </c>
      <c r="B62" s="17" t="s">
        <v>121</v>
      </c>
      <c r="D62" s="47">
        <f t="shared" ref="D62:AF62" si="52">(D60/D61)*(1+$BT$7)</f>
        <v>0</v>
      </c>
      <c r="E62" s="47">
        <f t="shared" si="52"/>
        <v>0</v>
      </c>
      <c r="F62" s="47">
        <f t="shared" si="52"/>
        <v>0</v>
      </c>
      <c r="G62" s="47">
        <f t="shared" si="52"/>
        <v>0</v>
      </c>
      <c r="H62" s="47">
        <f t="shared" si="52"/>
        <v>24925.273043478261</v>
      </c>
      <c r="I62" s="47">
        <f t="shared" si="52"/>
        <v>49850.546086956521</v>
      </c>
      <c r="J62" s="47">
        <f t="shared" si="52"/>
        <v>1652478.9982608696</v>
      </c>
      <c r="K62" s="47">
        <f t="shared" si="52"/>
        <v>1652478.9982608696</v>
      </c>
      <c r="L62" s="47">
        <f t="shared" si="52"/>
        <v>1652478.9982608696</v>
      </c>
      <c r="M62" s="47">
        <f t="shared" si="52"/>
        <v>1652478.9982608696</v>
      </c>
      <c r="N62" s="47">
        <f t="shared" si="52"/>
        <v>1652478.9982608696</v>
      </c>
      <c r="O62" s="47">
        <f t="shared" si="52"/>
        <v>1652478.9982608696</v>
      </c>
      <c r="P62" s="47">
        <f t="shared" si="52"/>
        <v>1652478.9982608696</v>
      </c>
      <c r="Q62" s="47">
        <f t="shared" si="52"/>
        <v>1652478.9982608696</v>
      </c>
      <c r="R62" s="47">
        <f t="shared" si="52"/>
        <v>1652478.9982608696</v>
      </c>
      <c r="S62" s="47">
        <f t="shared" si="52"/>
        <v>1652478.9982608696</v>
      </c>
      <c r="T62" s="47">
        <f t="shared" si="52"/>
        <v>1652478.9982608696</v>
      </c>
      <c r="U62" s="47">
        <f t="shared" si="52"/>
        <v>1652478.9982608696</v>
      </c>
      <c r="V62" s="47">
        <f t="shared" si="52"/>
        <v>1652478.9982608696</v>
      </c>
      <c r="W62" s="47">
        <f t="shared" si="52"/>
        <v>1652478.9982608696</v>
      </c>
      <c r="X62" s="47">
        <f t="shared" si="52"/>
        <v>1652478.9982608696</v>
      </c>
      <c r="Y62" s="47">
        <f t="shared" si="52"/>
        <v>1617168.1947826089</v>
      </c>
      <c r="Z62" s="47">
        <f t="shared" si="52"/>
        <v>1581857.3913043477</v>
      </c>
      <c r="AA62" s="47">
        <f t="shared" si="52"/>
        <v>1581857.3913043477</v>
      </c>
      <c r="AB62" s="47">
        <f t="shared" si="52"/>
        <v>0</v>
      </c>
      <c r="AC62" s="47">
        <f t="shared" si="52"/>
        <v>0</v>
      </c>
      <c r="AD62" s="47">
        <f t="shared" si="52"/>
        <v>0</v>
      </c>
      <c r="AE62" s="47">
        <f t="shared" si="52"/>
        <v>0</v>
      </c>
      <c r="AF62" s="47">
        <f t="shared" si="52"/>
        <v>0</v>
      </c>
      <c r="AG62" s="47">
        <f t="shared" ref="AG62:BO62" si="53">(AG60/AG61)*(1+$BT$7)</f>
        <v>0</v>
      </c>
      <c r="AH62" s="47">
        <f t="shared" si="53"/>
        <v>0</v>
      </c>
      <c r="AI62" s="47">
        <f t="shared" si="53"/>
        <v>0</v>
      </c>
      <c r="AJ62" s="47">
        <f t="shared" si="53"/>
        <v>0</v>
      </c>
      <c r="AK62" s="47">
        <f t="shared" si="53"/>
        <v>0</v>
      </c>
      <c r="AL62" s="47">
        <f t="shared" si="53"/>
        <v>0</v>
      </c>
      <c r="AM62" s="47">
        <f t="shared" si="53"/>
        <v>0</v>
      </c>
      <c r="AN62" s="47">
        <f t="shared" si="53"/>
        <v>0</v>
      </c>
      <c r="AO62" s="47">
        <f t="shared" si="53"/>
        <v>0</v>
      </c>
      <c r="AP62" s="47">
        <f t="shared" si="53"/>
        <v>0</v>
      </c>
      <c r="AQ62" s="47">
        <f t="shared" si="53"/>
        <v>0</v>
      </c>
      <c r="AR62" s="47">
        <f t="shared" si="53"/>
        <v>0</v>
      </c>
      <c r="AS62" s="47">
        <f t="shared" si="53"/>
        <v>0</v>
      </c>
      <c r="AT62" s="47">
        <f t="shared" si="53"/>
        <v>0</v>
      </c>
      <c r="AU62" s="47">
        <f t="shared" si="53"/>
        <v>0</v>
      </c>
      <c r="AV62" s="47">
        <f t="shared" si="53"/>
        <v>0</v>
      </c>
      <c r="AW62" s="47">
        <f t="shared" si="53"/>
        <v>0</v>
      </c>
      <c r="AX62" s="47">
        <f t="shared" si="53"/>
        <v>0</v>
      </c>
      <c r="AY62" s="47">
        <f t="shared" si="53"/>
        <v>0</v>
      </c>
      <c r="AZ62" s="47">
        <f t="shared" si="53"/>
        <v>0</v>
      </c>
      <c r="BA62" s="47">
        <f t="shared" si="53"/>
        <v>0</v>
      </c>
      <c r="BB62" s="47">
        <f t="shared" si="53"/>
        <v>0</v>
      </c>
      <c r="BC62" s="47">
        <f t="shared" si="53"/>
        <v>0</v>
      </c>
      <c r="BD62" s="47">
        <f t="shared" si="53"/>
        <v>0</v>
      </c>
      <c r="BE62" s="47">
        <f t="shared" si="53"/>
        <v>0</v>
      </c>
      <c r="BF62" s="47">
        <f t="shared" si="53"/>
        <v>0</v>
      </c>
      <c r="BG62" s="47">
        <f t="shared" si="53"/>
        <v>0</v>
      </c>
      <c r="BH62" s="47">
        <f t="shared" si="53"/>
        <v>0</v>
      </c>
      <c r="BI62" s="47">
        <f t="shared" si="53"/>
        <v>0</v>
      </c>
      <c r="BJ62" s="47">
        <f t="shared" si="53"/>
        <v>0</v>
      </c>
      <c r="BK62" s="47">
        <f t="shared" si="53"/>
        <v>0</v>
      </c>
      <c r="BL62" s="47">
        <f t="shared" si="53"/>
        <v>0</v>
      </c>
      <c r="BM62" s="47">
        <f t="shared" si="53"/>
        <v>0</v>
      </c>
      <c r="BN62" s="47">
        <f t="shared" si="53"/>
        <v>0</v>
      </c>
      <c r="BO62" s="47">
        <f t="shared" si="53"/>
        <v>0</v>
      </c>
      <c r="BP62" s="47"/>
      <c r="BQ62" s="49">
        <f>SUM(D62:BO62)</f>
        <v>29642843.770434789</v>
      </c>
    </row>
    <row r="63" spans="1:69">
      <c r="A63" s="4" t="s">
        <v>122</v>
      </c>
      <c r="B63" s="17" t="s">
        <v>53</v>
      </c>
      <c r="D63" s="67">
        <f t="shared" ref="D63:AF63" si="54">IFERROR(D62/D19,0)</f>
        <v>0</v>
      </c>
      <c r="E63" s="67">
        <f t="shared" si="54"/>
        <v>0</v>
      </c>
      <c r="F63" s="67">
        <f t="shared" si="54"/>
        <v>0</v>
      </c>
      <c r="G63" s="67">
        <f t="shared" si="54"/>
        <v>0</v>
      </c>
      <c r="H63" s="67">
        <f t="shared" si="54"/>
        <v>306.08695652173913</v>
      </c>
      <c r="I63" s="67">
        <f t="shared" si="54"/>
        <v>306.08695652173913</v>
      </c>
      <c r="J63" s="67">
        <f t="shared" si="54"/>
        <v>306.08695652173913</v>
      </c>
      <c r="K63" s="67">
        <f t="shared" si="54"/>
        <v>306.08695652173913</v>
      </c>
      <c r="L63" s="67">
        <f t="shared" si="54"/>
        <v>306.08695652173913</v>
      </c>
      <c r="M63" s="67">
        <f t="shared" si="54"/>
        <v>306.08695652173913</v>
      </c>
      <c r="N63" s="67">
        <f t="shared" si="54"/>
        <v>306.08695652173913</v>
      </c>
      <c r="O63" s="67">
        <f t="shared" si="54"/>
        <v>306.08695652173913</v>
      </c>
      <c r="P63" s="67">
        <f t="shared" si="54"/>
        <v>306.08695652173913</v>
      </c>
      <c r="Q63" s="67">
        <f t="shared" si="54"/>
        <v>306.08695652173913</v>
      </c>
      <c r="R63" s="67">
        <f t="shared" si="54"/>
        <v>306.08695652173913</v>
      </c>
      <c r="S63" s="67">
        <f t="shared" si="54"/>
        <v>306.08695652173913</v>
      </c>
      <c r="T63" s="67">
        <f t="shared" si="54"/>
        <v>306.08695652173913</v>
      </c>
      <c r="U63" s="67">
        <f t="shared" si="54"/>
        <v>306.08695652173913</v>
      </c>
      <c r="V63" s="67">
        <f t="shared" si="54"/>
        <v>306.08695652173913</v>
      </c>
      <c r="W63" s="67">
        <f t="shared" si="54"/>
        <v>306.08695652173913</v>
      </c>
      <c r="X63" s="67">
        <f t="shared" si="54"/>
        <v>306.08695652173913</v>
      </c>
      <c r="Y63" s="67">
        <f t="shared" si="54"/>
        <v>306.08695652173918</v>
      </c>
      <c r="Z63" s="67">
        <f t="shared" si="54"/>
        <v>306.08695652173913</v>
      </c>
      <c r="AA63" s="67">
        <f t="shared" si="54"/>
        <v>306.08695652173913</v>
      </c>
      <c r="AB63" s="67">
        <f t="shared" si="54"/>
        <v>0</v>
      </c>
      <c r="AC63" s="67">
        <f t="shared" si="54"/>
        <v>0</v>
      </c>
      <c r="AD63" s="67">
        <f t="shared" si="54"/>
        <v>0</v>
      </c>
      <c r="AE63" s="67">
        <f t="shared" si="54"/>
        <v>0</v>
      </c>
      <c r="AF63" s="67">
        <f t="shared" si="54"/>
        <v>0</v>
      </c>
      <c r="AG63" s="67">
        <f t="shared" ref="AG63" si="55">IFERROR(AG62/AG19,0)</f>
        <v>0</v>
      </c>
      <c r="AH63" s="67">
        <f t="shared" ref="AH63" si="56">IFERROR(AH62/AH19,0)</f>
        <v>0</v>
      </c>
      <c r="AI63" s="67">
        <f t="shared" ref="AI63" si="57">IFERROR(AI62/AI19,0)</f>
        <v>0</v>
      </c>
      <c r="AJ63" s="67">
        <f t="shared" ref="AJ63" si="58">IFERROR(AJ62/AJ19,0)</f>
        <v>0</v>
      </c>
      <c r="AK63" s="67">
        <f t="shared" ref="AK63" si="59">IFERROR(AK62/AK19,0)</f>
        <v>0</v>
      </c>
      <c r="AL63" s="67">
        <f t="shared" ref="AL63" si="60">IFERROR(AL62/AL19,0)</f>
        <v>0</v>
      </c>
      <c r="AM63" s="67">
        <f t="shared" ref="AM63" si="61">IFERROR(AM62/AM19,0)</f>
        <v>0</v>
      </c>
      <c r="AN63" s="67">
        <f t="shared" ref="AN63" si="62">IFERROR(AN62/AN19,0)</f>
        <v>0</v>
      </c>
      <c r="AO63" s="67">
        <f t="shared" ref="AO63" si="63">IFERROR(AO62/AO19,0)</f>
        <v>0</v>
      </c>
      <c r="AP63" s="67">
        <f t="shared" ref="AP63" si="64">IFERROR(AP62/AP19,0)</f>
        <v>0</v>
      </c>
      <c r="AQ63" s="67">
        <f t="shared" ref="AQ63" si="65">IFERROR(AQ62/AQ19,0)</f>
        <v>0</v>
      </c>
      <c r="AR63" s="67">
        <f t="shared" ref="AR63" si="66">IFERROR(AR62/AR19,0)</f>
        <v>0</v>
      </c>
      <c r="AS63" s="67">
        <f t="shared" ref="AS63" si="67">IFERROR(AS62/AS19,0)</f>
        <v>0</v>
      </c>
      <c r="AT63" s="67">
        <f t="shared" ref="AT63" si="68">IFERROR(AT62/AT19,0)</f>
        <v>0</v>
      </c>
      <c r="AU63" s="67">
        <f t="shared" ref="AU63" si="69">IFERROR(AU62/AU19,0)</f>
        <v>0</v>
      </c>
      <c r="AV63" s="67">
        <f t="shared" ref="AV63" si="70">IFERROR(AV62/AV19,0)</f>
        <v>0</v>
      </c>
      <c r="AW63" s="67">
        <f t="shared" ref="AW63" si="71">IFERROR(AW62/AW19,0)</f>
        <v>0</v>
      </c>
      <c r="AX63" s="67">
        <f t="shared" ref="AX63" si="72">IFERROR(AX62/AX19,0)</f>
        <v>0</v>
      </c>
      <c r="AY63" s="67">
        <f t="shared" ref="AY63" si="73">IFERROR(AY62/AY19,0)</f>
        <v>0</v>
      </c>
      <c r="AZ63" s="67">
        <f t="shared" ref="AZ63" si="74">IFERROR(AZ62/AZ19,0)</f>
        <v>0</v>
      </c>
      <c r="BA63" s="67">
        <f t="shared" ref="BA63" si="75">IFERROR(BA62/BA19,0)</f>
        <v>0</v>
      </c>
      <c r="BB63" s="67">
        <f t="shared" ref="BB63" si="76">IFERROR(BB62/BB19,0)</f>
        <v>0</v>
      </c>
      <c r="BC63" s="67">
        <f t="shared" ref="BC63" si="77">IFERROR(BC62/BC19,0)</f>
        <v>0</v>
      </c>
      <c r="BD63" s="67">
        <f t="shared" ref="BD63" si="78">IFERROR(BD62/BD19,0)</f>
        <v>0</v>
      </c>
      <c r="BE63" s="67">
        <f t="shared" ref="BE63" si="79">IFERROR(BE62/BE19,0)</f>
        <v>0</v>
      </c>
      <c r="BF63" s="67">
        <f t="shared" ref="BF63" si="80">IFERROR(BF62/BF19,0)</f>
        <v>0</v>
      </c>
      <c r="BG63" s="67">
        <f t="shared" ref="BG63" si="81">IFERROR(BG62/BG19,0)</f>
        <v>0</v>
      </c>
      <c r="BH63" s="67">
        <f t="shared" ref="BH63" si="82">IFERROR(BH62/BH19,0)</f>
        <v>0</v>
      </c>
      <c r="BI63" s="67">
        <f t="shared" ref="BI63" si="83">IFERROR(BI62/BI19,0)</f>
        <v>0</v>
      </c>
      <c r="BJ63" s="67">
        <f t="shared" ref="BJ63" si="84">IFERROR(BJ62/BJ19,0)</f>
        <v>0</v>
      </c>
      <c r="BK63" s="67">
        <f t="shared" ref="BK63" si="85">IFERROR(BK62/BK19,0)</f>
        <v>0</v>
      </c>
      <c r="BL63" s="67">
        <f t="shared" ref="BL63" si="86">IFERROR(BL62/BL19,0)</f>
        <v>0</v>
      </c>
      <c r="BM63" s="67">
        <f t="shared" ref="BM63" si="87">IFERROR(BM62/BM19,0)</f>
        <v>0</v>
      </c>
      <c r="BN63" s="67">
        <f t="shared" ref="BN63" si="88">IFERROR(BN62/BN19,0)</f>
        <v>0</v>
      </c>
      <c r="BO63" s="67">
        <f t="shared" ref="BO63" si="89">IFERROR(BO62/BO19,0)</f>
        <v>0</v>
      </c>
      <c r="BP63" s="67"/>
      <c r="BQ63" s="68">
        <f>IFERROR(BQ62/BQ19,0)</f>
        <v>306.08695652173918</v>
      </c>
    </row>
    <row r="64" spans="1:69">
      <c r="A64" s="8"/>
      <c r="B64" s="21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7"/>
    </row>
    <row r="65" spans="1:69">
      <c r="A65" s="2" t="s">
        <v>270</v>
      </c>
      <c r="B65" s="29"/>
      <c r="C65" s="36"/>
      <c r="D65" s="55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"/>
    </row>
    <row r="66" spans="1:69">
      <c r="A66" s="28"/>
      <c r="B66" s="17"/>
      <c r="D66" s="13"/>
      <c r="BQ66" s="25"/>
    </row>
    <row r="67" spans="1:69">
      <c r="A67" s="28" t="s">
        <v>271</v>
      </c>
      <c r="B67" s="17"/>
      <c r="D67" s="13"/>
      <c r="BQ67" s="25"/>
    </row>
    <row r="68" spans="1:69">
      <c r="A68" s="28"/>
      <c r="B68" s="17"/>
      <c r="D68" s="13"/>
      <c r="BQ68" s="25"/>
    </row>
    <row r="69" spans="1:69">
      <c r="A69" s="4" t="s">
        <v>239</v>
      </c>
      <c r="B69" s="17" t="s">
        <v>272</v>
      </c>
      <c r="C69" s="65">
        <v>5600</v>
      </c>
      <c r="D69" s="42">
        <f t="shared" ref="D69:AI69" si="90">IF(D6&gt;0,$C$69*(1+$BT$8),0)</f>
        <v>0</v>
      </c>
      <c r="E69" s="42">
        <f t="shared" si="90"/>
        <v>0</v>
      </c>
      <c r="F69" s="42">
        <f t="shared" si="90"/>
        <v>0</v>
      </c>
      <c r="G69" s="42">
        <f t="shared" si="90"/>
        <v>0</v>
      </c>
      <c r="H69" s="42">
        <f t="shared" si="90"/>
        <v>5600</v>
      </c>
      <c r="I69" s="42">
        <f t="shared" si="90"/>
        <v>5600</v>
      </c>
      <c r="J69" s="42">
        <f>IF(J6&gt;0,$C$69*(1+$BT$8),0)</f>
        <v>5600</v>
      </c>
      <c r="K69" s="42">
        <f t="shared" si="90"/>
        <v>5600</v>
      </c>
      <c r="L69" s="42">
        <f t="shared" si="90"/>
        <v>5600</v>
      </c>
      <c r="M69" s="42">
        <f t="shared" si="90"/>
        <v>5600</v>
      </c>
      <c r="N69" s="42">
        <f t="shared" si="90"/>
        <v>5600</v>
      </c>
      <c r="O69" s="42">
        <f t="shared" si="90"/>
        <v>5600</v>
      </c>
      <c r="P69" s="42">
        <f t="shared" si="90"/>
        <v>5600</v>
      </c>
      <c r="Q69" s="42">
        <f t="shared" si="90"/>
        <v>5600</v>
      </c>
      <c r="R69" s="42">
        <f t="shared" si="90"/>
        <v>5600</v>
      </c>
      <c r="S69" s="42">
        <f t="shared" si="90"/>
        <v>5600</v>
      </c>
      <c r="T69" s="42">
        <f t="shared" si="90"/>
        <v>5600</v>
      </c>
      <c r="U69" s="42">
        <f t="shared" si="90"/>
        <v>5600</v>
      </c>
      <c r="V69" s="42">
        <f t="shared" si="90"/>
        <v>5600</v>
      </c>
      <c r="W69" s="42">
        <f t="shared" si="90"/>
        <v>5600</v>
      </c>
      <c r="X69" s="42">
        <f t="shared" si="90"/>
        <v>5600</v>
      </c>
      <c r="Y69" s="42">
        <f t="shared" si="90"/>
        <v>5600</v>
      </c>
      <c r="Z69" s="42">
        <f t="shared" si="90"/>
        <v>0</v>
      </c>
      <c r="AA69" s="42">
        <f t="shared" si="90"/>
        <v>0</v>
      </c>
      <c r="AB69" s="42">
        <f t="shared" si="90"/>
        <v>0</v>
      </c>
      <c r="AC69" s="42">
        <f t="shared" si="90"/>
        <v>0</v>
      </c>
      <c r="AD69" s="42">
        <f t="shared" si="90"/>
        <v>0</v>
      </c>
      <c r="AE69" s="42">
        <f t="shared" si="90"/>
        <v>0</v>
      </c>
      <c r="AF69" s="42">
        <f t="shared" si="90"/>
        <v>0</v>
      </c>
      <c r="AG69" s="42">
        <f t="shared" si="90"/>
        <v>0</v>
      </c>
      <c r="AH69" s="42">
        <f t="shared" si="90"/>
        <v>0</v>
      </c>
      <c r="AI69" s="42">
        <f t="shared" si="90"/>
        <v>0</v>
      </c>
      <c r="AJ69" s="42">
        <f t="shared" ref="AJ69:BO69" si="91">IF(AJ6&gt;0,$C$69*(1+$BT$8),0)</f>
        <v>0</v>
      </c>
      <c r="AK69" s="42">
        <f t="shared" si="91"/>
        <v>0</v>
      </c>
      <c r="AL69" s="42">
        <f t="shared" si="91"/>
        <v>0</v>
      </c>
      <c r="AM69" s="42">
        <f t="shared" si="91"/>
        <v>0</v>
      </c>
      <c r="AN69" s="42">
        <f t="shared" si="91"/>
        <v>0</v>
      </c>
      <c r="AO69" s="42">
        <f t="shared" si="91"/>
        <v>0</v>
      </c>
      <c r="AP69" s="42">
        <f t="shared" si="91"/>
        <v>0</v>
      </c>
      <c r="AQ69" s="42">
        <f t="shared" si="91"/>
        <v>0</v>
      </c>
      <c r="AR69" s="42">
        <f t="shared" si="91"/>
        <v>0</v>
      </c>
      <c r="AS69" s="42">
        <f t="shared" si="91"/>
        <v>0</v>
      </c>
      <c r="AT69" s="42">
        <f t="shared" si="91"/>
        <v>0</v>
      </c>
      <c r="AU69" s="42">
        <f t="shared" si="91"/>
        <v>0</v>
      </c>
      <c r="AV69" s="42">
        <f t="shared" si="91"/>
        <v>0</v>
      </c>
      <c r="AW69" s="42">
        <f t="shared" si="91"/>
        <v>0</v>
      </c>
      <c r="AX69" s="42">
        <f t="shared" si="91"/>
        <v>0</v>
      </c>
      <c r="AY69" s="42">
        <f t="shared" si="91"/>
        <v>0</v>
      </c>
      <c r="AZ69" s="42">
        <f t="shared" si="91"/>
        <v>0</v>
      </c>
      <c r="BA69" s="42">
        <f t="shared" si="91"/>
        <v>0</v>
      </c>
      <c r="BB69" s="42">
        <f t="shared" si="91"/>
        <v>0</v>
      </c>
      <c r="BC69" s="42">
        <f t="shared" si="91"/>
        <v>0</v>
      </c>
      <c r="BD69" s="42">
        <f t="shared" si="91"/>
        <v>0</v>
      </c>
      <c r="BE69" s="42">
        <f t="shared" si="91"/>
        <v>0</v>
      </c>
      <c r="BF69" s="42">
        <f t="shared" si="91"/>
        <v>0</v>
      </c>
      <c r="BG69" s="42">
        <f t="shared" si="91"/>
        <v>0</v>
      </c>
      <c r="BH69" s="42">
        <f t="shared" si="91"/>
        <v>0</v>
      </c>
      <c r="BI69" s="42">
        <f t="shared" si="91"/>
        <v>0</v>
      </c>
      <c r="BJ69" s="42">
        <f t="shared" si="91"/>
        <v>0</v>
      </c>
      <c r="BK69" s="42">
        <f t="shared" si="91"/>
        <v>0</v>
      </c>
      <c r="BL69" s="42">
        <f t="shared" si="91"/>
        <v>0</v>
      </c>
      <c r="BM69" s="42">
        <f t="shared" si="91"/>
        <v>0</v>
      </c>
      <c r="BN69" s="42">
        <f t="shared" si="91"/>
        <v>0</v>
      </c>
      <c r="BO69" s="42">
        <f t="shared" si="91"/>
        <v>0</v>
      </c>
      <c r="BP69" s="42"/>
      <c r="BQ69" s="27"/>
    </row>
    <row r="70" spans="1:69">
      <c r="A70" s="4" t="s">
        <v>273</v>
      </c>
      <c r="B70" s="17" t="s">
        <v>56</v>
      </c>
      <c r="D70" s="12">
        <f t="shared" ref="D70:AF70" si="92">D6*D69/1000</f>
        <v>0</v>
      </c>
      <c r="E70" s="12">
        <f t="shared" si="92"/>
        <v>0</v>
      </c>
      <c r="F70" s="12">
        <f t="shared" si="92"/>
        <v>0</v>
      </c>
      <c r="G70" s="12">
        <f t="shared" si="92"/>
        <v>0</v>
      </c>
      <c r="H70" s="12">
        <f t="shared" si="92"/>
        <v>42000</v>
      </c>
      <c r="I70" s="12">
        <f t="shared" si="92"/>
        <v>84000</v>
      </c>
      <c r="J70" s="12">
        <f t="shared" si="92"/>
        <v>84000</v>
      </c>
      <c r="K70" s="12">
        <f t="shared" si="92"/>
        <v>84000</v>
      </c>
      <c r="L70" s="12">
        <f t="shared" si="92"/>
        <v>84000</v>
      </c>
      <c r="M70" s="12">
        <f t="shared" si="92"/>
        <v>84000</v>
      </c>
      <c r="N70" s="12">
        <f t="shared" si="92"/>
        <v>84000</v>
      </c>
      <c r="O70" s="12">
        <f t="shared" si="92"/>
        <v>84000</v>
      </c>
      <c r="P70" s="12">
        <f t="shared" si="92"/>
        <v>84000</v>
      </c>
      <c r="Q70" s="12">
        <f t="shared" si="92"/>
        <v>84000</v>
      </c>
      <c r="R70" s="12">
        <f t="shared" si="92"/>
        <v>84000</v>
      </c>
      <c r="S70" s="12">
        <f t="shared" si="92"/>
        <v>84000</v>
      </c>
      <c r="T70" s="12">
        <f t="shared" si="92"/>
        <v>84000</v>
      </c>
      <c r="U70" s="12">
        <f t="shared" si="92"/>
        <v>84000</v>
      </c>
      <c r="V70" s="12">
        <f t="shared" si="92"/>
        <v>84000</v>
      </c>
      <c r="W70" s="12">
        <f t="shared" si="92"/>
        <v>84000</v>
      </c>
      <c r="X70" s="12">
        <f t="shared" si="92"/>
        <v>84000</v>
      </c>
      <c r="Y70" s="12">
        <f t="shared" si="92"/>
        <v>42000</v>
      </c>
      <c r="Z70" s="12">
        <f t="shared" si="92"/>
        <v>0</v>
      </c>
      <c r="AA70" s="12">
        <f t="shared" si="92"/>
        <v>0</v>
      </c>
      <c r="AB70" s="12">
        <f t="shared" si="92"/>
        <v>0</v>
      </c>
      <c r="AC70" s="12">
        <f t="shared" si="92"/>
        <v>0</v>
      </c>
      <c r="AD70" s="12">
        <f t="shared" si="92"/>
        <v>0</v>
      </c>
      <c r="AE70" s="12">
        <f t="shared" si="92"/>
        <v>0</v>
      </c>
      <c r="AF70" s="12">
        <f t="shared" si="92"/>
        <v>0</v>
      </c>
      <c r="AG70" s="12">
        <f t="shared" ref="AG70" si="93">AG6*AG69/1000</f>
        <v>0</v>
      </c>
      <c r="AH70" s="12">
        <f t="shared" ref="AH70" si="94">AH6*AH69/1000</f>
        <v>0</v>
      </c>
      <c r="AI70" s="12">
        <f t="shared" ref="AI70" si="95">AI6*AI69/1000</f>
        <v>0</v>
      </c>
      <c r="AJ70" s="12">
        <f t="shared" ref="AJ70" si="96">AJ6*AJ69/1000</f>
        <v>0</v>
      </c>
      <c r="AK70" s="12">
        <f t="shared" ref="AK70" si="97">AK6*AK69/1000</f>
        <v>0</v>
      </c>
      <c r="AL70" s="12">
        <f t="shared" ref="AL70" si="98">AL6*AL69/1000</f>
        <v>0</v>
      </c>
      <c r="AM70" s="12">
        <f t="shared" ref="AM70" si="99">AM6*AM69/1000</f>
        <v>0</v>
      </c>
      <c r="AN70" s="12">
        <f t="shared" ref="AN70" si="100">AN6*AN69/1000</f>
        <v>0</v>
      </c>
      <c r="AO70" s="12">
        <f t="shared" ref="AO70" si="101">AO6*AO69/1000</f>
        <v>0</v>
      </c>
      <c r="AP70" s="12">
        <f t="shared" ref="AP70" si="102">AP6*AP69/1000</f>
        <v>0</v>
      </c>
      <c r="AQ70" s="12">
        <f t="shared" ref="AQ70" si="103">AQ6*AQ69/1000</f>
        <v>0</v>
      </c>
      <c r="AR70" s="12">
        <f t="shared" ref="AR70" si="104">AR6*AR69/1000</f>
        <v>0</v>
      </c>
      <c r="AS70" s="12">
        <f t="shared" ref="AS70" si="105">AS6*AS69/1000</f>
        <v>0</v>
      </c>
      <c r="AT70" s="12">
        <f t="shared" ref="AT70" si="106">AT6*AT69/1000</f>
        <v>0</v>
      </c>
      <c r="AU70" s="12">
        <f t="shared" ref="AU70" si="107">AU6*AU69/1000</f>
        <v>0</v>
      </c>
      <c r="AV70" s="12">
        <f t="shared" ref="AV70" si="108">AV6*AV69/1000</f>
        <v>0</v>
      </c>
      <c r="AW70" s="12">
        <f t="shared" ref="AW70" si="109">AW6*AW69/1000</f>
        <v>0</v>
      </c>
      <c r="AX70" s="12">
        <f t="shared" ref="AX70" si="110">AX6*AX69/1000</f>
        <v>0</v>
      </c>
      <c r="AY70" s="12">
        <f t="shared" ref="AY70" si="111">AY6*AY69/1000</f>
        <v>0</v>
      </c>
      <c r="AZ70" s="12">
        <f t="shared" ref="AZ70" si="112">AZ6*AZ69/1000</f>
        <v>0</v>
      </c>
      <c r="BA70" s="12">
        <f t="shared" ref="BA70" si="113">BA6*BA69/1000</f>
        <v>0</v>
      </c>
      <c r="BB70" s="12">
        <f t="shared" ref="BB70" si="114">BB6*BB69/1000</f>
        <v>0</v>
      </c>
      <c r="BC70" s="12">
        <f t="shared" ref="BC70" si="115">BC6*BC69/1000</f>
        <v>0</v>
      </c>
      <c r="BD70" s="12">
        <f t="shared" ref="BD70" si="116">BD6*BD69/1000</f>
        <v>0</v>
      </c>
      <c r="BE70" s="12">
        <f t="shared" ref="BE70" si="117">BE6*BE69/1000</f>
        <v>0</v>
      </c>
      <c r="BF70" s="12">
        <f t="shared" ref="BF70" si="118">BF6*BF69/1000</f>
        <v>0</v>
      </c>
      <c r="BG70" s="12">
        <f t="shared" ref="BG70" si="119">BG6*BG69/1000</f>
        <v>0</v>
      </c>
      <c r="BH70" s="12">
        <f t="shared" ref="BH70" si="120">BH6*BH69/1000</f>
        <v>0</v>
      </c>
      <c r="BI70" s="12">
        <f t="shared" ref="BI70" si="121">BI6*BI69/1000</f>
        <v>0</v>
      </c>
      <c r="BJ70" s="12">
        <f t="shared" ref="BJ70" si="122">BJ6*BJ69/1000</f>
        <v>0</v>
      </c>
      <c r="BK70" s="12">
        <f t="shared" ref="BK70" si="123">BK6*BK69/1000</f>
        <v>0</v>
      </c>
      <c r="BL70" s="12">
        <f t="shared" ref="BL70" si="124">BL6*BL69/1000</f>
        <v>0</v>
      </c>
      <c r="BM70" s="12">
        <f t="shared" ref="BM70" si="125">BM6*BM69/1000</f>
        <v>0</v>
      </c>
      <c r="BN70" s="12">
        <f t="shared" ref="BN70" si="126">BN6*BN69/1000</f>
        <v>0</v>
      </c>
      <c r="BO70" s="12">
        <f t="shared" ref="BO70" si="127">BO6*BO69/1000</f>
        <v>0</v>
      </c>
      <c r="BP70" s="12"/>
      <c r="BQ70" s="5">
        <f>SUM(D70:BO70)</f>
        <v>1428000</v>
      </c>
    </row>
    <row r="71" spans="1:69">
      <c r="A71" s="4"/>
      <c r="B71" s="17"/>
      <c r="BQ71" s="25"/>
    </row>
    <row r="72" spans="1:69">
      <c r="A72" s="4" t="s">
        <v>241</v>
      </c>
      <c r="B72" s="17" t="s">
        <v>274</v>
      </c>
      <c r="C72" s="64">
        <v>15</v>
      </c>
      <c r="D72" s="42">
        <f t="shared" ref="D72:AI72" si="128">IF(D8&gt;0,$C$72*(1+$BT$9),0)</f>
        <v>0</v>
      </c>
      <c r="E72" s="42">
        <f t="shared" si="128"/>
        <v>0</v>
      </c>
      <c r="F72" s="42">
        <f t="shared" si="128"/>
        <v>0</v>
      </c>
      <c r="G72" s="42">
        <f t="shared" si="128"/>
        <v>0</v>
      </c>
      <c r="H72" s="42">
        <f t="shared" si="128"/>
        <v>0</v>
      </c>
      <c r="I72" s="77">
        <f t="shared" si="128"/>
        <v>0</v>
      </c>
      <c r="J72" s="77">
        <f t="shared" si="128"/>
        <v>15</v>
      </c>
      <c r="K72" s="42">
        <f t="shared" si="128"/>
        <v>15</v>
      </c>
      <c r="L72" s="42">
        <f t="shared" si="128"/>
        <v>15</v>
      </c>
      <c r="M72" s="42">
        <f t="shared" si="128"/>
        <v>15</v>
      </c>
      <c r="N72" s="42">
        <f t="shared" si="128"/>
        <v>15</v>
      </c>
      <c r="O72" s="42">
        <f t="shared" si="128"/>
        <v>15</v>
      </c>
      <c r="P72" s="42">
        <f t="shared" si="128"/>
        <v>15</v>
      </c>
      <c r="Q72" s="42">
        <f t="shared" si="128"/>
        <v>15</v>
      </c>
      <c r="R72" s="42">
        <f t="shared" si="128"/>
        <v>15</v>
      </c>
      <c r="S72" s="42">
        <f t="shared" si="128"/>
        <v>15</v>
      </c>
      <c r="T72" s="42">
        <f t="shared" si="128"/>
        <v>15</v>
      </c>
      <c r="U72" s="42">
        <f t="shared" si="128"/>
        <v>15</v>
      </c>
      <c r="V72" s="42">
        <f t="shared" si="128"/>
        <v>15</v>
      </c>
      <c r="W72" s="42">
        <f t="shared" si="128"/>
        <v>15</v>
      </c>
      <c r="X72" s="42">
        <f t="shared" si="128"/>
        <v>15</v>
      </c>
      <c r="Y72" s="42">
        <f t="shared" si="128"/>
        <v>15</v>
      </c>
      <c r="Z72" s="42">
        <f t="shared" si="128"/>
        <v>15</v>
      </c>
      <c r="AA72" s="42">
        <f t="shared" si="128"/>
        <v>15</v>
      </c>
      <c r="AB72" s="42">
        <f t="shared" si="128"/>
        <v>0</v>
      </c>
      <c r="AC72" s="42">
        <f t="shared" si="128"/>
        <v>0</v>
      </c>
      <c r="AD72" s="42">
        <f t="shared" si="128"/>
        <v>0</v>
      </c>
      <c r="AE72" s="42">
        <f t="shared" si="128"/>
        <v>0</v>
      </c>
      <c r="AF72" s="42">
        <f t="shared" si="128"/>
        <v>0</v>
      </c>
      <c r="AG72" s="42">
        <f t="shared" si="128"/>
        <v>0</v>
      </c>
      <c r="AH72" s="42">
        <f t="shared" si="128"/>
        <v>0</v>
      </c>
      <c r="AI72" s="42">
        <f t="shared" si="128"/>
        <v>0</v>
      </c>
      <c r="AJ72" s="42">
        <f t="shared" ref="AJ72:BO72" si="129">IF(AJ8&gt;0,$C$72*(1+$BT$9),0)</f>
        <v>0</v>
      </c>
      <c r="AK72" s="42">
        <f t="shared" si="129"/>
        <v>0</v>
      </c>
      <c r="AL72" s="42">
        <f t="shared" si="129"/>
        <v>0</v>
      </c>
      <c r="AM72" s="42">
        <f t="shared" si="129"/>
        <v>0</v>
      </c>
      <c r="AN72" s="42">
        <f t="shared" si="129"/>
        <v>0</v>
      </c>
      <c r="AO72" s="42">
        <f t="shared" si="129"/>
        <v>0</v>
      </c>
      <c r="AP72" s="42">
        <f t="shared" si="129"/>
        <v>0</v>
      </c>
      <c r="AQ72" s="42">
        <f t="shared" si="129"/>
        <v>0</v>
      </c>
      <c r="AR72" s="42">
        <f t="shared" si="129"/>
        <v>0</v>
      </c>
      <c r="AS72" s="42">
        <f t="shared" si="129"/>
        <v>0</v>
      </c>
      <c r="AT72" s="42">
        <f t="shared" si="129"/>
        <v>0</v>
      </c>
      <c r="AU72" s="42">
        <f t="shared" si="129"/>
        <v>0</v>
      </c>
      <c r="AV72" s="42">
        <f t="shared" si="129"/>
        <v>0</v>
      </c>
      <c r="AW72" s="42">
        <f t="shared" si="129"/>
        <v>0</v>
      </c>
      <c r="AX72" s="42">
        <f t="shared" si="129"/>
        <v>0</v>
      </c>
      <c r="AY72" s="42">
        <f t="shared" si="129"/>
        <v>0</v>
      </c>
      <c r="AZ72" s="42">
        <f t="shared" si="129"/>
        <v>0</v>
      </c>
      <c r="BA72" s="42">
        <f t="shared" si="129"/>
        <v>0</v>
      </c>
      <c r="BB72" s="42">
        <f t="shared" si="129"/>
        <v>0</v>
      </c>
      <c r="BC72" s="42">
        <f t="shared" si="129"/>
        <v>0</v>
      </c>
      <c r="BD72" s="42">
        <f t="shared" si="129"/>
        <v>0</v>
      </c>
      <c r="BE72" s="42">
        <f t="shared" si="129"/>
        <v>0</v>
      </c>
      <c r="BF72" s="42">
        <f t="shared" si="129"/>
        <v>0</v>
      </c>
      <c r="BG72" s="42">
        <f t="shared" si="129"/>
        <v>0</v>
      </c>
      <c r="BH72" s="42">
        <f t="shared" si="129"/>
        <v>0</v>
      </c>
      <c r="BI72" s="42">
        <f t="shared" si="129"/>
        <v>0</v>
      </c>
      <c r="BJ72" s="42">
        <f t="shared" si="129"/>
        <v>0</v>
      </c>
      <c r="BK72" s="42">
        <f t="shared" si="129"/>
        <v>0</v>
      </c>
      <c r="BL72" s="42">
        <f t="shared" si="129"/>
        <v>0</v>
      </c>
      <c r="BM72" s="42">
        <f t="shared" si="129"/>
        <v>0</v>
      </c>
      <c r="BN72" s="42">
        <f t="shared" si="129"/>
        <v>0</v>
      </c>
      <c r="BO72" s="42">
        <f t="shared" si="129"/>
        <v>0</v>
      </c>
      <c r="BP72" s="42"/>
      <c r="BQ72" s="27"/>
    </row>
    <row r="73" spans="1:69">
      <c r="A73" s="4" t="s">
        <v>275</v>
      </c>
      <c r="B73" s="17" t="s">
        <v>56</v>
      </c>
      <c r="D73" s="12">
        <f t="shared" ref="D73:AF73" si="130">D8*D72</f>
        <v>0</v>
      </c>
      <c r="E73" s="12">
        <f t="shared" si="130"/>
        <v>0</v>
      </c>
      <c r="F73" s="12">
        <f t="shared" si="130"/>
        <v>0</v>
      </c>
      <c r="G73" s="12">
        <f t="shared" si="130"/>
        <v>0</v>
      </c>
      <c r="H73" s="12">
        <f t="shared" si="130"/>
        <v>0</v>
      </c>
      <c r="I73" s="76">
        <f t="shared" si="130"/>
        <v>0</v>
      </c>
      <c r="J73" s="76">
        <f t="shared" si="130"/>
        <v>114000</v>
      </c>
      <c r="K73" s="12">
        <f t="shared" si="130"/>
        <v>114000</v>
      </c>
      <c r="L73" s="12">
        <f t="shared" si="130"/>
        <v>114000</v>
      </c>
      <c r="M73" s="12">
        <f t="shared" si="130"/>
        <v>114000</v>
      </c>
      <c r="N73" s="12">
        <f t="shared" si="130"/>
        <v>114000</v>
      </c>
      <c r="O73" s="12">
        <f t="shared" si="130"/>
        <v>114000</v>
      </c>
      <c r="P73" s="12">
        <f t="shared" si="130"/>
        <v>114000</v>
      </c>
      <c r="Q73" s="12">
        <f t="shared" si="130"/>
        <v>114000</v>
      </c>
      <c r="R73" s="12">
        <f t="shared" si="130"/>
        <v>114000</v>
      </c>
      <c r="S73" s="12">
        <f t="shared" si="130"/>
        <v>114000</v>
      </c>
      <c r="T73" s="12">
        <f t="shared" si="130"/>
        <v>114000</v>
      </c>
      <c r="U73" s="12">
        <f t="shared" si="130"/>
        <v>114000</v>
      </c>
      <c r="V73" s="12">
        <f t="shared" si="130"/>
        <v>114000</v>
      </c>
      <c r="W73" s="12">
        <f t="shared" si="130"/>
        <v>114000</v>
      </c>
      <c r="X73" s="12">
        <f t="shared" si="130"/>
        <v>114000</v>
      </c>
      <c r="Y73" s="12">
        <f t="shared" si="130"/>
        <v>114000</v>
      </c>
      <c r="Z73" s="12">
        <f t="shared" si="130"/>
        <v>114000</v>
      </c>
      <c r="AA73" s="12">
        <f t="shared" si="130"/>
        <v>114000</v>
      </c>
      <c r="AB73" s="12">
        <f t="shared" si="130"/>
        <v>0</v>
      </c>
      <c r="AC73" s="12">
        <f t="shared" si="130"/>
        <v>0</v>
      </c>
      <c r="AD73" s="12">
        <f t="shared" si="130"/>
        <v>0</v>
      </c>
      <c r="AE73" s="12">
        <f t="shared" si="130"/>
        <v>0</v>
      </c>
      <c r="AF73" s="12">
        <f t="shared" si="130"/>
        <v>0</v>
      </c>
      <c r="AG73" s="12">
        <f t="shared" ref="AG73" si="131">AG8*AG72</f>
        <v>0</v>
      </c>
      <c r="AH73" s="12">
        <f t="shared" ref="AH73" si="132">AH8*AH72</f>
        <v>0</v>
      </c>
      <c r="AI73" s="12">
        <f t="shared" ref="AI73" si="133">AI8*AI72</f>
        <v>0</v>
      </c>
      <c r="AJ73" s="12">
        <f t="shared" ref="AJ73" si="134">AJ8*AJ72</f>
        <v>0</v>
      </c>
      <c r="AK73" s="12">
        <f t="shared" ref="AK73" si="135">AK8*AK72</f>
        <v>0</v>
      </c>
      <c r="AL73" s="12">
        <f t="shared" ref="AL73" si="136">AL8*AL72</f>
        <v>0</v>
      </c>
      <c r="AM73" s="12">
        <f t="shared" ref="AM73" si="137">AM8*AM72</f>
        <v>0</v>
      </c>
      <c r="AN73" s="12">
        <f t="shared" ref="AN73" si="138">AN8*AN72</f>
        <v>0</v>
      </c>
      <c r="AO73" s="12">
        <f t="shared" ref="AO73" si="139">AO8*AO72</f>
        <v>0</v>
      </c>
      <c r="AP73" s="12">
        <f t="shared" ref="AP73" si="140">AP8*AP72</f>
        <v>0</v>
      </c>
      <c r="AQ73" s="12">
        <f t="shared" ref="AQ73" si="141">AQ8*AQ72</f>
        <v>0</v>
      </c>
      <c r="AR73" s="12">
        <f t="shared" ref="AR73" si="142">AR8*AR72</f>
        <v>0</v>
      </c>
      <c r="AS73" s="12">
        <f t="shared" ref="AS73" si="143">AS8*AS72</f>
        <v>0</v>
      </c>
      <c r="AT73" s="12">
        <f t="shared" ref="AT73" si="144">AT8*AT72</f>
        <v>0</v>
      </c>
      <c r="AU73" s="12">
        <f t="shared" ref="AU73" si="145">AU8*AU72</f>
        <v>0</v>
      </c>
      <c r="AV73" s="12">
        <f t="shared" ref="AV73" si="146">AV8*AV72</f>
        <v>0</v>
      </c>
      <c r="AW73" s="12">
        <f t="shared" ref="AW73" si="147">AW8*AW72</f>
        <v>0</v>
      </c>
      <c r="AX73" s="12">
        <f t="shared" ref="AX73" si="148">AX8*AX72</f>
        <v>0</v>
      </c>
      <c r="AY73" s="12">
        <f t="shared" ref="AY73" si="149">AY8*AY72</f>
        <v>0</v>
      </c>
      <c r="AZ73" s="12">
        <f t="shared" ref="AZ73" si="150">AZ8*AZ72</f>
        <v>0</v>
      </c>
      <c r="BA73" s="12">
        <f t="shared" ref="BA73" si="151">BA8*BA72</f>
        <v>0</v>
      </c>
      <c r="BB73" s="12">
        <f t="shared" ref="BB73" si="152">BB8*BB72</f>
        <v>0</v>
      </c>
      <c r="BC73" s="12">
        <f t="shared" ref="BC73" si="153">BC8*BC72</f>
        <v>0</v>
      </c>
      <c r="BD73" s="12">
        <f t="shared" ref="BD73" si="154">BD8*BD72</f>
        <v>0</v>
      </c>
      <c r="BE73" s="12">
        <f t="shared" ref="BE73" si="155">BE8*BE72</f>
        <v>0</v>
      </c>
      <c r="BF73" s="12">
        <f t="shared" ref="BF73" si="156">BF8*BF72</f>
        <v>0</v>
      </c>
      <c r="BG73" s="12">
        <f t="shared" ref="BG73" si="157">BG8*BG72</f>
        <v>0</v>
      </c>
      <c r="BH73" s="12">
        <f t="shared" ref="BH73" si="158">BH8*BH72</f>
        <v>0</v>
      </c>
      <c r="BI73" s="12">
        <f t="shared" ref="BI73" si="159">BI8*BI72</f>
        <v>0</v>
      </c>
      <c r="BJ73" s="12">
        <f t="shared" ref="BJ73" si="160">BJ8*BJ72</f>
        <v>0</v>
      </c>
      <c r="BK73" s="12">
        <f t="shared" ref="BK73" si="161">BK8*BK72</f>
        <v>0</v>
      </c>
      <c r="BL73" s="12">
        <f t="shared" ref="BL73" si="162">BL8*BL72</f>
        <v>0</v>
      </c>
      <c r="BM73" s="12">
        <f t="shared" ref="BM73" si="163">BM8*BM72</f>
        <v>0</v>
      </c>
      <c r="BN73" s="12">
        <f t="shared" ref="BN73" si="164">BN8*BN72</f>
        <v>0</v>
      </c>
      <c r="BO73" s="12">
        <f t="shared" ref="BO73" si="165">BO8*BO72</f>
        <v>0</v>
      </c>
      <c r="BP73" s="12"/>
      <c r="BQ73" s="5">
        <f>SUM(D73:BO73)</f>
        <v>2052000</v>
      </c>
    </row>
    <row r="74" spans="1:69">
      <c r="A74" s="4"/>
      <c r="B74" s="17"/>
      <c r="BQ74" s="25"/>
    </row>
    <row r="75" spans="1:69">
      <c r="A75" s="4" t="s">
        <v>276</v>
      </c>
      <c r="B75" s="17" t="s">
        <v>56</v>
      </c>
      <c r="C75" s="65">
        <v>240000</v>
      </c>
      <c r="D75" s="12">
        <f>IF(D9&gt;0,$C$75)*(1+$BT$10)</f>
        <v>0</v>
      </c>
      <c r="E75" s="12">
        <f>IF(E9&gt;0,$C$75)*(1+$BT$10)</f>
        <v>0</v>
      </c>
      <c r="F75" s="12">
        <f>IF(F9&gt;0,$C$75)*(1+$BT$10)</f>
        <v>0</v>
      </c>
      <c r="G75" s="12">
        <f>IF(G9&gt;0,$C$75)*(1+$BT$10)</f>
        <v>0</v>
      </c>
      <c r="H75" s="157">
        <f>IF(H9&gt;0,$C$75)*(1+$BT$10)/10</f>
        <v>24000</v>
      </c>
      <c r="I75" s="157">
        <f>IF(I9&gt;0,$C$75)*(1+$BT$10)/10</f>
        <v>24000</v>
      </c>
      <c r="J75" s="12">
        <f t="shared" ref="J75:AO75" si="166">IF(J9&gt;0,$C$75)*(1+$BT$10)</f>
        <v>240000</v>
      </c>
      <c r="K75" s="12">
        <f t="shared" si="166"/>
        <v>240000</v>
      </c>
      <c r="L75" s="12">
        <f t="shared" si="166"/>
        <v>240000</v>
      </c>
      <c r="M75" s="12">
        <f t="shared" si="166"/>
        <v>240000</v>
      </c>
      <c r="N75" s="12">
        <f t="shared" si="166"/>
        <v>240000</v>
      </c>
      <c r="O75" s="12">
        <f t="shared" si="166"/>
        <v>240000</v>
      </c>
      <c r="P75" s="12">
        <f t="shared" si="166"/>
        <v>240000</v>
      </c>
      <c r="Q75" s="12">
        <f t="shared" si="166"/>
        <v>240000</v>
      </c>
      <c r="R75" s="12">
        <f t="shared" si="166"/>
        <v>240000</v>
      </c>
      <c r="S75" s="12">
        <f t="shared" si="166"/>
        <v>240000</v>
      </c>
      <c r="T75" s="12">
        <f t="shared" si="166"/>
        <v>240000</v>
      </c>
      <c r="U75" s="12">
        <f t="shared" si="166"/>
        <v>240000</v>
      </c>
      <c r="V75" s="12">
        <f t="shared" si="166"/>
        <v>240000</v>
      </c>
      <c r="W75" s="12">
        <f t="shared" si="166"/>
        <v>240000</v>
      </c>
      <c r="X75" s="12">
        <f t="shared" si="166"/>
        <v>240000</v>
      </c>
      <c r="Y75" s="12">
        <f t="shared" si="166"/>
        <v>240000</v>
      </c>
      <c r="Z75" s="12">
        <f t="shared" si="166"/>
        <v>240000</v>
      </c>
      <c r="AA75" s="12">
        <f t="shared" si="166"/>
        <v>240000</v>
      </c>
      <c r="AB75" s="12">
        <f t="shared" si="166"/>
        <v>0</v>
      </c>
      <c r="AC75" s="12">
        <f t="shared" si="166"/>
        <v>0</v>
      </c>
      <c r="AD75" s="12">
        <f t="shared" si="166"/>
        <v>0</v>
      </c>
      <c r="AE75" s="12">
        <f t="shared" si="166"/>
        <v>0</v>
      </c>
      <c r="AF75" s="12">
        <f t="shared" si="166"/>
        <v>0</v>
      </c>
      <c r="AG75" s="12">
        <f t="shared" si="166"/>
        <v>0</v>
      </c>
      <c r="AH75" s="12">
        <f t="shared" si="166"/>
        <v>0</v>
      </c>
      <c r="AI75" s="12">
        <f t="shared" si="166"/>
        <v>0</v>
      </c>
      <c r="AJ75" s="12">
        <f t="shared" si="166"/>
        <v>0</v>
      </c>
      <c r="AK75" s="12">
        <f t="shared" si="166"/>
        <v>0</v>
      </c>
      <c r="AL75" s="12">
        <f t="shared" si="166"/>
        <v>0</v>
      </c>
      <c r="AM75" s="12">
        <f t="shared" si="166"/>
        <v>0</v>
      </c>
      <c r="AN75" s="12">
        <f t="shared" si="166"/>
        <v>0</v>
      </c>
      <c r="AO75" s="12">
        <f t="shared" si="166"/>
        <v>0</v>
      </c>
      <c r="AP75" s="12">
        <f t="shared" ref="AP75:BO75" si="167">IF(AP9&gt;0,$C$75)*(1+$BT$10)</f>
        <v>0</v>
      </c>
      <c r="AQ75" s="12">
        <f t="shared" si="167"/>
        <v>0</v>
      </c>
      <c r="AR75" s="12">
        <f t="shared" si="167"/>
        <v>0</v>
      </c>
      <c r="AS75" s="12">
        <f t="shared" si="167"/>
        <v>0</v>
      </c>
      <c r="AT75" s="12">
        <f t="shared" si="167"/>
        <v>0</v>
      </c>
      <c r="AU75" s="12">
        <f t="shared" si="167"/>
        <v>0</v>
      </c>
      <c r="AV75" s="12">
        <f t="shared" si="167"/>
        <v>0</v>
      </c>
      <c r="AW75" s="12">
        <f t="shared" si="167"/>
        <v>0</v>
      </c>
      <c r="AX75" s="12">
        <f t="shared" si="167"/>
        <v>0</v>
      </c>
      <c r="AY75" s="12">
        <f t="shared" si="167"/>
        <v>0</v>
      </c>
      <c r="AZ75" s="12">
        <f t="shared" si="167"/>
        <v>0</v>
      </c>
      <c r="BA75" s="12">
        <f t="shared" si="167"/>
        <v>0</v>
      </c>
      <c r="BB75" s="12">
        <f t="shared" si="167"/>
        <v>0</v>
      </c>
      <c r="BC75" s="12">
        <f t="shared" si="167"/>
        <v>0</v>
      </c>
      <c r="BD75" s="12">
        <f t="shared" si="167"/>
        <v>0</v>
      </c>
      <c r="BE75" s="12">
        <f t="shared" si="167"/>
        <v>0</v>
      </c>
      <c r="BF75" s="12">
        <f t="shared" si="167"/>
        <v>0</v>
      </c>
      <c r="BG75" s="12">
        <f t="shared" si="167"/>
        <v>0</v>
      </c>
      <c r="BH75" s="12">
        <f t="shared" si="167"/>
        <v>0</v>
      </c>
      <c r="BI75" s="12">
        <f t="shared" si="167"/>
        <v>0</v>
      </c>
      <c r="BJ75" s="12">
        <f t="shared" si="167"/>
        <v>0</v>
      </c>
      <c r="BK75" s="12">
        <f t="shared" si="167"/>
        <v>0</v>
      </c>
      <c r="BL75" s="12">
        <f t="shared" si="167"/>
        <v>0</v>
      </c>
      <c r="BM75" s="12">
        <f t="shared" si="167"/>
        <v>0</v>
      </c>
      <c r="BN75" s="12">
        <f t="shared" si="167"/>
        <v>0</v>
      </c>
      <c r="BO75" s="12">
        <f t="shared" si="167"/>
        <v>0</v>
      </c>
      <c r="BP75" s="12"/>
      <c r="BQ75" s="5">
        <f>SUM(D75:BO75)</f>
        <v>4368000</v>
      </c>
    </row>
    <row r="76" spans="1:69">
      <c r="A76" s="4"/>
      <c r="B76" s="17"/>
      <c r="C76" s="13"/>
      <c r="BQ76" s="25"/>
    </row>
    <row r="77" spans="1:69">
      <c r="A77" s="4" t="s">
        <v>243</v>
      </c>
      <c r="B77" s="17" t="s">
        <v>53</v>
      </c>
      <c r="C77" s="64">
        <v>6</v>
      </c>
      <c r="D77" s="42">
        <f t="shared" ref="D77:AI77" si="168">IF(D9&gt;0,$C$77*(1+$BT$11),0)</f>
        <v>0</v>
      </c>
      <c r="E77" s="42">
        <f t="shared" si="168"/>
        <v>0</v>
      </c>
      <c r="F77" s="42">
        <f t="shared" si="168"/>
        <v>0</v>
      </c>
      <c r="G77" s="42">
        <f t="shared" si="168"/>
        <v>0</v>
      </c>
      <c r="H77" s="42">
        <f t="shared" si="168"/>
        <v>6</v>
      </c>
      <c r="I77" s="42">
        <f t="shared" si="168"/>
        <v>6</v>
      </c>
      <c r="J77" s="42">
        <f t="shared" si="168"/>
        <v>6</v>
      </c>
      <c r="K77" s="42">
        <f t="shared" si="168"/>
        <v>6</v>
      </c>
      <c r="L77" s="42">
        <f t="shared" si="168"/>
        <v>6</v>
      </c>
      <c r="M77" s="42">
        <f t="shared" si="168"/>
        <v>6</v>
      </c>
      <c r="N77" s="42">
        <f t="shared" si="168"/>
        <v>6</v>
      </c>
      <c r="O77" s="42">
        <f t="shared" si="168"/>
        <v>6</v>
      </c>
      <c r="P77" s="42">
        <f t="shared" si="168"/>
        <v>6</v>
      </c>
      <c r="Q77" s="42">
        <f t="shared" si="168"/>
        <v>6</v>
      </c>
      <c r="R77" s="42">
        <f t="shared" si="168"/>
        <v>6</v>
      </c>
      <c r="S77" s="42">
        <f t="shared" si="168"/>
        <v>6</v>
      </c>
      <c r="T77" s="42">
        <f t="shared" si="168"/>
        <v>6</v>
      </c>
      <c r="U77" s="42">
        <f t="shared" si="168"/>
        <v>6</v>
      </c>
      <c r="V77" s="42">
        <f t="shared" si="168"/>
        <v>6</v>
      </c>
      <c r="W77" s="42">
        <f t="shared" si="168"/>
        <v>6</v>
      </c>
      <c r="X77" s="42">
        <f t="shared" si="168"/>
        <v>6</v>
      </c>
      <c r="Y77" s="42">
        <f t="shared" si="168"/>
        <v>6</v>
      </c>
      <c r="Z77" s="42">
        <f t="shared" si="168"/>
        <v>6</v>
      </c>
      <c r="AA77" s="42">
        <f t="shared" si="168"/>
        <v>6</v>
      </c>
      <c r="AB77" s="42">
        <f t="shared" si="168"/>
        <v>0</v>
      </c>
      <c r="AC77" s="42">
        <f t="shared" si="168"/>
        <v>0</v>
      </c>
      <c r="AD77" s="42">
        <f t="shared" si="168"/>
        <v>0</v>
      </c>
      <c r="AE77" s="42">
        <f t="shared" si="168"/>
        <v>0</v>
      </c>
      <c r="AF77" s="42">
        <f t="shared" si="168"/>
        <v>0</v>
      </c>
      <c r="AG77" s="42">
        <f t="shared" si="168"/>
        <v>0</v>
      </c>
      <c r="AH77" s="42">
        <f t="shared" si="168"/>
        <v>0</v>
      </c>
      <c r="AI77" s="42">
        <f t="shared" si="168"/>
        <v>0</v>
      </c>
      <c r="AJ77" s="42">
        <f t="shared" ref="AJ77:BO77" si="169">IF(AJ9&gt;0,$C$77*(1+$BT$11),0)</f>
        <v>0</v>
      </c>
      <c r="AK77" s="42">
        <f t="shared" si="169"/>
        <v>0</v>
      </c>
      <c r="AL77" s="42">
        <f t="shared" si="169"/>
        <v>0</v>
      </c>
      <c r="AM77" s="42">
        <f t="shared" si="169"/>
        <v>0</v>
      </c>
      <c r="AN77" s="42">
        <f t="shared" si="169"/>
        <v>0</v>
      </c>
      <c r="AO77" s="42">
        <f t="shared" si="169"/>
        <v>0</v>
      </c>
      <c r="AP77" s="42">
        <f t="shared" si="169"/>
        <v>0</v>
      </c>
      <c r="AQ77" s="42">
        <f t="shared" si="169"/>
        <v>0</v>
      </c>
      <c r="AR77" s="42">
        <f t="shared" si="169"/>
        <v>0</v>
      </c>
      <c r="AS77" s="42">
        <f t="shared" si="169"/>
        <v>0</v>
      </c>
      <c r="AT77" s="42">
        <f t="shared" si="169"/>
        <v>0</v>
      </c>
      <c r="AU77" s="42">
        <f t="shared" si="169"/>
        <v>0</v>
      </c>
      <c r="AV77" s="42">
        <f t="shared" si="169"/>
        <v>0</v>
      </c>
      <c r="AW77" s="42">
        <f t="shared" si="169"/>
        <v>0</v>
      </c>
      <c r="AX77" s="42">
        <f t="shared" si="169"/>
        <v>0</v>
      </c>
      <c r="AY77" s="42">
        <f t="shared" si="169"/>
        <v>0</v>
      </c>
      <c r="AZ77" s="42">
        <f t="shared" si="169"/>
        <v>0</v>
      </c>
      <c r="BA77" s="42">
        <f t="shared" si="169"/>
        <v>0</v>
      </c>
      <c r="BB77" s="42">
        <f t="shared" si="169"/>
        <v>0</v>
      </c>
      <c r="BC77" s="42">
        <f t="shared" si="169"/>
        <v>0</v>
      </c>
      <c r="BD77" s="42">
        <f t="shared" si="169"/>
        <v>0</v>
      </c>
      <c r="BE77" s="42">
        <f t="shared" si="169"/>
        <v>0</v>
      </c>
      <c r="BF77" s="42">
        <f t="shared" si="169"/>
        <v>0</v>
      </c>
      <c r="BG77" s="42">
        <f t="shared" si="169"/>
        <v>0</v>
      </c>
      <c r="BH77" s="42">
        <f t="shared" si="169"/>
        <v>0</v>
      </c>
      <c r="BI77" s="42">
        <f t="shared" si="169"/>
        <v>0</v>
      </c>
      <c r="BJ77" s="42">
        <f t="shared" si="169"/>
        <v>0</v>
      </c>
      <c r="BK77" s="42">
        <f t="shared" si="169"/>
        <v>0</v>
      </c>
      <c r="BL77" s="42">
        <f t="shared" si="169"/>
        <v>0</v>
      </c>
      <c r="BM77" s="42">
        <f t="shared" si="169"/>
        <v>0</v>
      </c>
      <c r="BN77" s="42">
        <f t="shared" si="169"/>
        <v>0</v>
      </c>
      <c r="BO77" s="42">
        <f t="shared" si="169"/>
        <v>0</v>
      </c>
      <c r="BP77" s="42"/>
      <c r="BQ77" s="27"/>
    </row>
    <row r="78" spans="1:69">
      <c r="A78" s="4" t="s">
        <v>277</v>
      </c>
      <c r="B78" s="17" t="s">
        <v>56</v>
      </c>
      <c r="D78" s="12">
        <f t="shared" ref="D78:AF78" si="170">D77*D9</f>
        <v>0</v>
      </c>
      <c r="E78" s="12">
        <f t="shared" si="170"/>
        <v>0</v>
      </c>
      <c r="F78" s="12">
        <f t="shared" si="170"/>
        <v>0</v>
      </c>
      <c r="G78" s="12">
        <f t="shared" si="170"/>
        <v>0</v>
      </c>
      <c r="H78" s="12">
        <f t="shared" si="170"/>
        <v>1017.9000000000001</v>
      </c>
      <c r="I78" s="12">
        <f t="shared" si="170"/>
        <v>2035.8000000000002</v>
      </c>
      <c r="J78" s="12">
        <f t="shared" si="170"/>
        <v>47635.8</v>
      </c>
      <c r="K78" s="12">
        <f t="shared" si="170"/>
        <v>47635.8</v>
      </c>
      <c r="L78" s="12">
        <f t="shared" si="170"/>
        <v>47635.8</v>
      </c>
      <c r="M78" s="12">
        <f t="shared" si="170"/>
        <v>47635.8</v>
      </c>
      <c r="N78" s="12">
        <f t="shared" si="170"/>
        <v>47635.8</v>
      </c>
      <c r="O78" s="12">
        <f t="shared" si="170"/>
        <v>47635.8</v>
      </c>
      <c r="P78" s="12">
        <f t="shared" si="170"/>
        <v>47635.8</v>
      </c>
      <c r="Q78" s="12">
        <f t="shared" si="170"/>
        <v>47635.8</v>
      </c>
      <c r="R78" s="12">
        <f t="shared" si="170"/>
        <v>47635.8</v>
      </c>
      <c r="S78" s="12">
        <f t="shared" si="170"/>
        <v>47635.8</v>
      </c>
      <c r="T78" s="12">
        <f t="shared" si="170"/>
        <v>47635.8</v>
      </c>
      <c r="U78" s="12">
        <f t="shared" si="170"/>
        <v>47635.8</v>
      </c>
      <c r="V78" s="12">
        <f t="shared" si="170"/>
        <v>47635.8</v>
      </c>
      <c r="W78" s="12">
        <f t="shared" si="170"/>
        <v>47635.8</v>
      </c>
      <c r="X78" s="12">
        <f t="shared" si="170"/>
        <v>47635.8</v>
      </c>
      <c r="Y78" s="12">
        <f t="shared" si="170"/>
        <v>46617.899999999994</v>
      </c>
      <c r="Z78" s="12">
        <f t="shared" si="170"/>
        <v>45600</v>
      </c>
      <c r="AA78" s="12">
        <f t="shared" si="170"/>
        <v>45600</v>
      </c>
      <c r="AB78" s="12">
        <f t="shared" si="170"/>
        <v>0</v>
      </c>
      <c r="AC78" s="12">
        <f t="shared" si="170"/>
        <v>0</v>
      </c>
      <c r="AD78" s="12">
        <f t="shared" si="170"/>
        <v>0</v>
      </c>
      <c r="AE78" s="12">
        <f t="shared" si="170"/>
        <v>0</v>
      </c>
      <c r="AF78" s="12">
        <f t="shared" si="170"/>
        <v>0</v>
      </c>
      <c r="AG78" s="12">
        <f t="shared" ref="AG78" si="171">AG77*AG9</f>
        <v>0</v>
      </c>
      <c r="AH78" s="12">
        <f t="shared" ref="AH78" si="172">AH77*AH9</f>
        <v>0</v>
      </c>
      <c r="AI78" s="12">
        <f t="shared" ref="AI78" si="173">AI77*AI9</f>
        <v>0</v>
      </c>
      <c r="AJ78" s="12">
        <f t="shared" ref="AJ78" si="174">AJ77*AJ9</f>
        <v>0</v>
      </c>
      <c r="AK78" s="12">
        <f t="shared" ref="AK78" si="175">AK77*AK9</f>
        <v>0</v>
      </c>
      <c r="AL78" s="12">
        <f t="shared" ref="AL78" si="176">AL77*AL9</f>
        <v>0</v>
      </c>
      <c r="AM78" s="12">
        <f t="shared" ref="AM78" si="177">AM77*AM9</f>
        <v>0</v>
      </c>
      <c r="AN78" s="12">
        <f t="shared" ref="AN78" si="178">AN77*AN9</f>
        <v>0</v>
      </c>
      <c r="AO78" s="12">
        <f t="shared" ref="AO78" si="179">AO77*AO9</f>
        <v>0</v>
      </c>
      <c r="AP78" s="12">
        <f t="shared" ref="AP78" si="180">AP77*AP9</f>
        <v>0</v>
      </c>
      <c r="AQ78" s="12">
        <f t="shared" ref="AQ78" si="181">AQ77*AQ9</f>
        <v>0</v>
      </c>
      <c r="AR78" s="12">
        <f t="shared" ref="AR78" si="182">AR77*AR9</f>
        <v>0</v>
      </c>
      <c r="AS78" s="12">
        <f t="shared" ref="AS78" si="183">AS77*AS9</f>
        <v>0</v>
      </c>
      <c r="AT78" s="12">
        <f t="shared" ref="AT78" si="184">AT77*AT9</f>
        <v>0</v>
      </c>
      <c r="AU78" s="12">
        <f t="shared" ref="AU78" si="185">AU77*AU9</f>
        <v>0</v>
      </c>
      <c r="AV78" s="12">
        <f t="shared" ref="AV78" si="186">AV77*AV9</f>
        <v>0</v>
      </c>
      <c r="AW78" s="12">
        <f t="shared" ref="AW78" si="187">AW77*AW9</f>
        <v>0</v>
      </c>
      <c r="AX78" s="12">
        <f t="shared" ref="AX78" si="188">AX77*AX9</f>
        <v>0</v>
      </c>
      <c r="AY78" s="12">
        <f t="shared" ref="AY78" si="189">AY77*AY9</f>
        <v>0</v>
      </c>
      <c r="AZ78" s="12">
        <f t="shared" ref="AZ78" si="190">AZ77*AZ9</f>
        <v>0</v>
      </c>
      <c r="BA78" s="12">
        <f t="shared" ref="BA78" si="191">BA77*BA9</f>
        <v>0</v>
      </c>
      <c r="BB78" s="12">
        <f t="shared" ref="BB78" si="192">BB77*BB9</f>
        <v>0</v>
      </c>
      <c r="BC78" s="12">
        <f t="shared" ref="BC78" si="193">BC77*BC9</f>
        <v>0</v>
      </c>
      <c r="BD78" s="12">
        <f t="shared" ref="BD78" si="194">BD77*BD9</f>
        <v>0</v>
      </c>
      <c r="BE78" s="12">
        <f t="shared" ref="BE78" si="195">BE77*BE9</f>
        <v>0</v>
      </c>
      <c r="BF78" s="12">
        <f t="shared" ref="BF78" si="196">BF77*BF9</f>
        <v>0</v>
      </c>
      <c r="BG78" s="12">
        <f t="shared" ref="BG78" si="197">BG77*BG9</f>
        <v>0</v>
      </c>
      <c r="BH78" s="12">
        <f t="shared" ref="BH78" si="198">BH77*BH9</f>
        <v>0</v>
      </c>
      <c r="BI78" s="12">
        <f t="shared" ref="BI78" si="199">BI77*BI9</f>
        <v>0</v>
      </c>
      <c r="BJ78" s="12">
        <f t="shared" ref="BJ78" si="200">BJ77*BJ9</f>
        <v>0</v>
      </c>
      <c r="BK78" s="12">
        <f t="shared" ref="BK78" si="201">BK77*BK9</f>
        <v>0</v>
      </c>
      <c r="BL78" s="12">
        <f t="shared" ref="BL78" si="202">BL77*BL9</f>
        <v>0</v>
      </c>
      <c r="BM78" s="12">
        <f t="shared" ref="BM78" si="203">BM77*BM9</f>
        <v>0</v>
      </c>
      <c r="BN78" s="12">
        <f t="shared" ref="BN78" si="204">BN77*BN9</f>
        <v>0</v>
      </c>
      <c r="BO78" s="12">
        <f t="shared" ref="BO78" si="205">BO77*BO9</f>
        <v>0</v>
      </c>
      <c r="BP78" s="12"/>
      <c r="BQ78" s="5">
        <f>SUM(D78:BO78)</f>
        <v>855408.60000000021</v>
      </c>
    </row>
    <row r="79" spans="1:69">
      <c r="A79" s="4"/>
      <c r="B79" s="17"/>
      <c r="BQ79" s="25"/>
    </row>
    <row r="80" spans="1:69">
      <c r="A80" s="4" t="s">
        <v>278</v>
      </c>
      <c r="B80" s="17" t="s">
        <v>56</v>
      </c>
      <c r="C80" s="282">
        <v>20000</v>
      </c>
      <c r="D80" s="41">
        <f>IF(D6&gt;0,$C$80,0)</f>
        <v>0</v>
      </c>
      <c r="E80" s="41">
        <f t="shared" ref="E80:BO80" si="206">IF(E6&gt;0,$C$80,0)</f>
        <v>0</v>
      </c>
      <c r="F80" s="41">
        <f t="shared" si="206"/>
        <v>0</v>
      </c>
      <c r="G80" s="41">
        <f t="shared" si="206"/>
        <v>0</v>
      </c>
      <c r="H80" s="41">
        <f t="shared" si="206"/>
        <v>20000</v>
      </c>
      <c r="I80" s="41">
        <f t="shared" si="206"/>
        <v>20000</v>
      </c>
      <c r="J80" s="41">
        <f t="shared" si="206"/>
        <v>20000</v>
      </c>
      <c r="K80" s="41">
        <f t="shared" si="206"/>
        <v>20000</v>
      </c>
      <c r="L80" s="41">
        <f t="shared" si="206"/>
        <v>20000</v>
      </c>
      <c r="M80" s="41">
        <f t="shared" si="206"/>
        <v>20000</v>
      </c>
      <c r="N80" s="41">
        <f t="shared" si="206"/>
        <v>20000</v>
      </c>
      <c r="O80" s="41">
        <f t="shared" si="206"/>
        <v>20000</v>
      </c>
      <c r="P80" s="41">
        <f t="shared" si="206"/>
        <v>20000</v>
      </c>
      <c r="Q80" s="41">
        <f t="shared" si="206"/>
        <v>20000</v>
      </c>
      <c r="R80" s="41">
        <f t="shared" si="206"/>
        <v>20000</v>
      </c>
      <c r="S80" s="41">
        <f t="shared" si="206"/>
        <v>20000</v>
      </c>
      <c r="T80" s="41">
        <f t="shared" si="206"/>
        <v>20000</v>
      </c>
      <c r="U80" s="41">
        <f t="shared" si="206"/>
        <v>20000</v>
      </c>
      <c r="V80" s="41">
        <f t="shared" si="206"/>
        <v>20000</v>
      </c>
      <c r="W80" s="41">
        <f t="shared" si="206"/>
        <v>20000</v>
      </c>
      <c r="X80" s="41">
        <f t="shared" si="206"/>
        <v>20000</v>
      </c>
      <c r="Y80" s="41">
        <f t="shared" si="206"/>
        <v>20000</v>
      </c>
      <c r="Z80" s="41">
        <f t="shared" si="206"/>
        <v>0</v>
      </c>
      <c r="AA80" s="41">
        <f t="shared" si="206"/>
        <v>0</v>
      </c>
      <c r="AB80" s="41">
        <f t="shared" si="206"/>
        <v>0</v>
      </c>
      <c r="AC80" s="41">
        <f t="shared" si="206"/>
        <v>0</v>
      </c>
      <c r="AD80" s="41">
        <f t="shared" si="206"/>
        <v>0</v>
      </c>
      <c r="AE80" s="41">
        <f t="shared" si="206"/>
        <v>0</v>
      </c>
      <c r="AF80" s="41">
        <f t="shared" si="206"/>
        <v>0</v>
      </c>
      <c r="AG80" s="41">
        <f t="shared" si="206"/>
        <v>0</v>
      </c>
      <c r="AH80" s="41">
        <f t="shared" si="206"/>
        <v>0</v>
      </c>
      <c r="AI80" s="41">
        <f t="shared" si="206"/>
        <v>0</v>
      </c>
      <c r="AJ80" s="41">
        <f t="shared" si="206"/>
        <v>0</v>
      </c>
      <c r="AK80" s="41">
        <f t="shared" si="206"/>
        <v>0</v>
      </c>
      <c r="AL80" s="41">
        <f t="shared" si="206"/>
        <v>0</v>
      </c>
      <c r="AM80" s="41">
        <f t="shared" si="206"/>
        <v>0</v>
      </c>
      <c r="AN80" s="41">
        <f t="shared" si="206"/>
        <v>0</v>
      </c>
      <c r="AO80" s="41">
        <f t="shared" si="206"/>
        <v>0</v>
      </c>
      <c r="AP80" s="41">
        <f t="shared" si="206"/>
        <v>0</v>
      </c>
      <c r="AQ80" s="41">
        <f t="shared" si="206"/>
        <v>0</v>
      </c>
      <c r="AR80" s="41">
        <f t="shared" si="206"/>
        <v>0</v>
      </c>
      <c r="AS80" s="41">
        <f t="shared" si="206"/>
        <v>0</v>
      </c>
      <c r="AT80" s="41">
        <f t="shared" si="206"/>
        <v>0</v>
      </c>
      <c r="AU80" s="41">
        <f t="shared" si="206"/>
        <v>0</v>
      </c>
      <c r="AV80" s="41">
        <f t="shared" si="206"/>
        <v>0</v>
      </c>
      <c r="AW80" s="41">
        <f t="shared" si="206"/>
        <v>0</v>
      </c>
      <c r="AX80" s="41">
        <f t="shared" si="206"/>
        <v>0</v>
      </c>
      <c r="AY80" s="41">
        <f t="shared" si="206"/>
        <v>0</v>
      </c>
      <c r="AZ80" s="41">
        <f t="shared" si="206"/>
        <v>0</v>
      </c>
      <c r="BA80" s="41">
        <f t="shared" si="206"/>
        <v>0</v>
      </c>
      <c r="BB80" s="41">
        <f t="shared" si="206"/>
        <v>0</v>
      </c>
      <c r="BC80" s="41">
        <f t="shared" si="206"/>
        <v>0</v>
      </c>
      <c r="BD80" s="41">
        <f t="shared" si="206"/>
        <v>0</v>
      </c>
      <c r="BE80" s="41">
        <f t="shared" si="206"/>
        <v>0</v>
      </c>
      <c r="BF80" s="41">
        <f t="shared" si="206"/>
        <v>0</v>
      </c>
      <c r="BG80" s="41">
        <f t="shared" si="206"/>
        <v>0</v>
      </c>
      <c r="BH80" s="41">
        <f t="shared" si="206"/>
        <v>0</v>
      </c>
      <c r="BI80" s="41">
        <f t="shared" si="206"/>
        <v>0</v>
      </c>
      <c r="BJ80" s="41">
        <f t="shared" si="206"/>
        <v>0</v>
      </c>
      <c r="BK80" s="41">
        <f t="shared" si="206"/>
        <v>0</v>
      </c>
      <c r="BL80" s="41">
        <f t="shared" si="206"/>
        <v>0</v>
      </c>
      <c r="BM80" s="41">
        <f t="shared" si="206"/>
        <v>0</v>
      </c>
      <c r="BN80" s="41">
        <f t="shared" si="206"/>
        <v>0</v>
      </c>
      <c r="BO80" s="41">
        <f t="shared" si="206"/>
        <v>0</v>
      </c>
      <c r="BQ80" s="25"/>
    </row>
    <row r="81" spans="1:69">
      <c r="A81" s="4" t="s">
        <v>279</v>
      </c>
      <c r="B81" s="17" t="s">
        <v>280</v>
      </c>
      <c r="C81" s="91">
        <v>9.5</v>
      </c>
      <c r="D81" s="42">
        <f>IF(D12&gt;0,$C$81*(1+$AI$12),0)</f>
        <v>0</v>
      </c>
      <c r="E81" s="42">
        <f t="shared" ref="E81:BO81" si="207">IF(E12&gt;0,$C$81*(1+$AI$12),0)</f>
        <v>0</v>
      </c>
      <c r="F81" s="42">
        <f t="shared" si="207"/>
        <v>0</v>
      </c>
      <c r="G81" s="42">
        <f t="shared" si="207"/>
        <v>0</v>
      </c>
      <c r="H81" s="42">
        <f t="shared" si="207"/>
        <v>9.5</v>
      </c>
      <c r="I81" s="42">
        <f t="shared" si="207"/>
        <v>9.5</v>
      </c>
      <c r="J81" s="42">
        <f t="shared" si="207"/>
        <v>9.5</v>
      </c>
      <c r="K81" s="42">
        <f t="shared" si="207"/>
        <v>9.5</v>
      </c>
      <c r="L81" s="42">
        <f t="shared" si="207"/>
        <v>9.5</v>
      </c>
      <c r="M81" s="42">
        <f t="shared" si="207"/>
        <v>9.5</v>
      </c>
      <c r="N81" s="42">
        <f t="shared" si="207"/>
        <v>9.5</v>
      </c>
      <c r="O81" s="42">
        <f t="shared" si="207"/>
        <v>9.5</v>
      </c>
      <c r="P81" s="42">
        <f t="shared" si="207"/>
        <v>9.5</v>
      </c>
      <c r="Q81" s="42">
        <f t="shared" si="207"/>
        <v>9.5</v>
      </c>
      <c r="R81" s="42">
        <f t="shared" si="207"/>
        <v>9.5</v>
      </c>
      <c r="S81" s="42">
        <f t="shared" si="207"/>
        <v>9.5</v>
      </c>
      <c r="T81" s="42">
        <f t="shared" si="207"/>
        <v>9.5</v>
      </c>
      <c r="U81" s="42">
        <f t="shared" si="207"/>
        <v>9.5</v>
      </c>
      <c r="V81" s="42">
        <f t="shared" si="207"/>
        <v>9.5</v>
      </c>
      <c r="W81" s="42">
        <f t="shared" si="207"/>
        <v>9.5</v>
      </c>
      <c r="X81" s="42">
        <f t="shared" si="207"/>
        <v>9.5</v>
      </c>
      <c r="Y81" s="42">
        <f t="shared" si="207"/>
        <v>9.5</v>
      </c>
      <c r="Z81" s="42">
        <f t="shared" si="207"/>
        <v>9.5</v>
      </c>
      <c r="AA81" s="42">
        <f t="shared" si="207"/>
        <v>9.5</v>
      </c>
      <c r="AB81" s="42">
        <f t="shared" si="207"/>
        <v>0</v>
      </c>
      <c r="AC81" s="42">
        <f t="shared" si="207"/>
        <v>0</v>
      </c>
      <c r="AD81" s="42">
        <f t="shared" si="207"/>
        <v>0</v>
      </c>
      <c r="AE81" s="42">
        <f t="shared" si="207"/>
        <v>0</v>
      </c>
      <c r="AF81" s="42">
        <f t="shared" si="207"/>
        <v>0</v>
      </c>
      <c r="AG81" s="42">
        <f t="shared" si="207"/>
        <v>0</v>
      </c>
      <c r="AH81" s="42">
        <f t="shared" si="207"/>
        <v>0</v>
      </c>
      <c r="AI81" s="42">
        <f t="shared" si="207"/>
        <v>0</v>
      </c>
      <c r="AJ81" s="42">
        <f t="shared" si="207"/>
        <v>0</v>
      </c>
      <c r="AK81" s="42">
        <f t="shared" si="207"/>
        <v>0</v>
      </c>
      <c r="AL81" s="42">
        <f t="shared" si="207"/>
        <v>0</v>
      </c>
      <c r="AM81" s="42">
        <f t="shared" si="207"/>
        <v>0</v>
      </c>
      <c r="AN81" s="42">
        <f t="shared" si="207"/>
        <v>0</v>
      </c>
      <c r="AO81" s="42">
        <f t="shared" si="207"/>
        <v>0</v>
      </c>
      <c r="AP81" s="42">
        <f t="shared" si="207"/>
        <v>0</v>
      </c>
      <c r="AQ81" s="42">
        <f t="shared" si="207"/>
        <v>0</v>
      </c>
      <c r="AR81" s="42">
        <f t="shared" si="207"/>
        <v>0</v>
      </c>
      <c r="AS81" s="42">
        <f t="shared" si="207"/>
        <v>0</v>
      </c>
      <c r="AT81" s="42">
        <f t="shared" si="207"/>
        <v>0</v>
      </c>
      <c r="AU81" s="42">
        <f t="shared" si="207"/>
        <v>0</v>
      </c>
      <c r="AV81" s="42">
        <f t="shared" si="207"/>
        <v>0</v>
      </c>
      <c r="AW81" s="42">
        <f t="shared" si="207"/>
        <v>0</v>
      </c>
      <c r="AX81" s="42">
        <f t="shared" si="207"/>
        <v>0</v>
      </c>
      <c r="AY81" s="42">
        <f t="shared" si="207"/>
        <v>0</v>
      </c>
      <c r="AZ81" s="42">
        <f t="shared" si="207"/>
        <v>0</v>
      </c>
      <c r="BA81" s="42">
        <f t="shared" si="207"/>
        <v>0</v>
      </c>
      <c r="BB81" s="42">
        <f t="shared" si="207"/>
        <v>0</v>
      </c>
      <c r="BC81" s="42">
        <f t="shared" si="207"/>
        <v>0</v>
      </c>
      <c r="BD81" s="42">
        <f t="shared" si="207"/>
        <v>0</v>
      </c>
      <c r="BE81" s="42">
        <f t="shared" si="207"/>
        <v>0</v>
      </c>
      <c r="BF81" s="42">
        <f t="shared" si="207"/>
        <v>0</v>
      </c>
      <c r="BG81" s="42">
        <f t="shared" si="207"/>
        <v>0</v>
      </c>
      <c r="BH81" s="42">
        <f t="shared" si="207"/>
        <v>0</v>
      </c>
      <c r="BI81" s="42">
        <f t="shared" si="207"/>
        <v>0</v>
      </c>
      <c r="BJ81" s="42">
        <f t="shared" si="207"/>
        <v>0</v>
      </c>
      <c r="BK81" s="42">
        <f t="shared" si="207"/>
        <v>0</v>
      </c>
      <c r="BL81" s="42">
        <f t="shared" si="207"/>
        <v>0</v>
      </c>
      <c r="BM81" s="42">
        <f t="shared" si="207"/>
        <v>0</v>
      </c>
      <c r="BN81" s="42">
        <f t="shared" si="207"/>
        <v>0</v>
      </c>
      <c r="BO81" s="42">
        <f t="shared" si="207"/>
        <v>0</v>
      </c>
      <c r="BP81" s="42"/>
      <c r="BQ81" s="27"/>
    </row>
    <row r="82" spans="1:69">
      <c r="A82" s="4" t="s">
        <v>281</v>
      </c>
      <c r="B82" s="17" t="s">
        <v>56</v>
      </c>
      <c r="D82" s="12">
        <f>D9*D81+D80</f>
        <v>0</v>
      </c>
      <c r="E82" s="12">
        <f t="shared" ref="E82:BO82" si="208">E9*E81+E80</f>
        <v>0</v>
      </c>
      <c r="F82" s="12">
        <f t="shared" si="208"/>
        <v>0</v>
      </c>
      <c r="G82" s="12">
        <f t="shared" si="208"/>
        <v>0</v>
      </c>
      <c r="H82" s="12">
        <f t="shared" si="208"/>
        <v>21611.674999999999</v>
      </c>
      <c r="I82" s="12">
        <f t="shared" si="208"/>
        <v>23223.35</v>
      </c>
      <c r="J82" s="12">
        <f>J9*J81+J80</f>
        <v>95423.35</v>
      </c>
      <c r="K82" s="12">
        <f t="shared" si="208"/>
        <v>95423.35</v>
      </c>
      <c r="L82" s="12">
        <f t="shared" si="208"/>
        <v>95423.35</v>
      </c>
      <c r="M82" s="12">
        <f t="shared" si="208"/>
        <v>95423.35</v>
      </c>
      <c r="N82" s="12">
        <f t="shared" si="208"/>
        <v>95423.35</v>
      </c>
      <c r="O82" s="12">
        <f t="shared" si="208"/>
        <v>95423.35</v>
      </c>
      <c r="P82" s="12">
        <f t="shared" si="208"/>
        <v>95423.35</v>
      </c>
      <c r="Q82" s="12">
        <f t="shared" si="208"/>
        <v>95423.35</v>
      </c>
      <c r="R82" s="12">
        <f t="shared" si="208"/>
        <v>95423.35</v>
      </c>
      <c r="S82" s="12">
        <f t="shared" si="208"/>
        <v>95423.35</v>
      </c>
      <c r="T82" s="12">
        <f t="shared" si="208"/>
        <v>95423.35</v>
      </c>
      <c r="U82" s="12">
        <f t="shared" si="208"/>
        <v>95423.35</v>
      </c>
      <c r="V82" s="12">
        <f t="shared" si="208"/>
        <v>95423.35</v>
      </c>
      <c r="W82" s="12">
        <f t="shared" si="208"/>
        <v>95423.35</v>
      </c>
      <c r="X82" s="12">
        <f t="shared" si="208"/>
        <v>95423.35</v>
      </c>
      <c r="Y82" s="12">
        <f t="shared" si="208"/>
        <v>93811.675000000003</v>
      </c>
      <c r="Z82" s="12">
        <f t="shared" si="208"/>
        <v>72200</v>
      </c>
      <c r="AA82" s="12">
        <f t="shared" si="208"/>
        <v>72200</v>
      </c>
      <c r="AB82" s="12">
        <f t="shared" si="208"/>
        <v>0</v>
      </c>
      <c r="AC82" s="12">
        <f t="shared" si="208"/>
        <v>0</v>
      </c>
      <c r="AD82" s="12">
        <f t="shared" si="208"/>
        <v>0</v>
      </c>
      <c r="AE82" s="12">
        <f t="shared" si="208"/>
        <v>0</v>
      </c>
      <c r="AF82" s="12">
        <f t="shared" si="208"/>
        <v>0</v>
      </c>
      <c r="AG82" s="12">
        <f t="shared" si="208"/>
        <v>0</v>
      </c>
      <c r="AH82" s="12">
        <f t="shared" si="208"/>
        <v>0</v>
      </c>
      <c r="AI82" s="12">
        <f t="shared" si="208"/>
        <v>0</v>
      </c>
      <c r="AJ82" s="12">
        <f t="shared" si="208"/>
        <v>0</v>
      </c>
      <c r="AK82" s="12">
        <f t="shared" si="208"/>
        <v>0</v>
      </c>
      <c r="AL82" s="12">
        <f t="shared" si="208"/>
        <v>0</v>
      </c>
      <c r="AM82" s="12">
        <f t="shared" si="208"/>
        <v>0</v>
      </c>
      <c r="AN82" s="12">
        <f t="shared" si="208"/>
        <v>0</v>
      </c>
      <c r="AO82" s="12">
        <f t="shared" si="208"/>
        <v>0</v>
      </c>
      <c r="AP82" s="12">
        <f t="shared" si="208"/>
        <v>0</v>
      </c>
      <c r="AQ82" s="12">
        <f t="shared" si="208"/>
        <v>0</v>
      </c>
      <c r="AR82" s="12">
        <f t="shared" si="208"/>
        <v>0</v>
      </c>
      <c r="AS82" s="12">
        <f t="shared" si="208"/>
        <v>0</v>
      </c>
      <c r="AT82" s="12">
        <f t="shared" si="208"/>
        <v>0</v>
      </c>
      <c r="AU82" s="12">
        <f t="shared" si="208"/>
        <v>0</v>
      </c>
      <c r="AV82" s="12">
        <f t="shared" si="208"/>
        <v>0</v>
      </c>
      <c r="AW82" s="12">
        <f t="shared" si="208"/>
        <v>0</v>
      </c>
      <c r="AX82" s="12">
        <f t="shared" si="208"/>
        <v>0</v>
      </c>
      <c r="AY82" s="12">
        <f t="shared" si="208"/>
        <v>0</v>
      </c>
      <c r="AZ82" s="12">
        <f t="shared" si="208"/>
        <v>0</v>
      </c>
      <c r="BA82" s="12">
        <f t="shared" si="208"/>
        <v>0</v>
      </c>
      <c r="BB82" s="12">
        <f t="shared" si="208"/>
        <v>0</v>
      </c>
      <c r="BC82" s="12">
        <f t="shared" si="208"/>
        <v>0</v>
      </c>
      <c r="BD82" s="12">
        <f t="shared" si="208"/>
        <v>0</v>
      </c>
      <c r="BE82" s="12">
        <f t="shared" si="208"/>
        <v>0</v>
      </c>
      <c r="BF82" s="12">
        <f t="shared" si="208"/>
        <v>0</v>
      </c>
      <c r="BG82" s="12">
        <f t="shared" si="208"/>
        <v>0</v>
      </c>
      <c r="BH82" s="12">
        <f t="shared" si="208"/>
        <v>0</v>
      </c>
      <c r="BI82" s="12">
        <f t="shared" si="208"/>
        <v>0</v>
      </c>
      <c r="BJ82" s="12">
        <f t="shared" si="208"/>
        <v>0</v>
      </c>
      <c r="BK82" s="12">
        <f t="shared" si="208"/>
        <v>0</v>
      </c>
      <c r="BL82" s="12">
        <f t="shared" si="208"/>
        <v>0</v>
      </c>
      <c r="BM82" s="12">
        <f t="shared" si="208"/>
        <v>0</v>
      </c>
      <c r="BN82" s="12">
        <f t="shared" si="208"/>
        <v>0</v>
      </c>
      <c r="BO82" s="12">
        <f t="shared" si="208"/>
        <v>0</v>
      </c>
      <c r="BP82" s="12"/>
      <c r="BQ82" s="5">
        <f>SUM(D82:BO82)</f>
        <v>1714396.9500000004</v>
      </c>
    </row>
    <row r="83" spans="1:69">
      <c r="A83" s="4"/>
      <c r="B83" s="17"/>
      <c r="BQ83" s="25"/>
    </row>
    <row r="84" spans="1:69">
      <c r="A84" s="4" t="s">
        <v>282</v>
      </c>
      <c r="B84" s="17" t="s">
        <v>56</v>
      </c>
      <c r="C84" s="65">
        <v>45000</v>
      </c>
      <c r="D84" s="12"/>
      <c r="E84" s="12"/>
      <c r="F84" s="12"/>
      <c r="G84" s="12"/>
      <c r="H84" s="12"/>
      <c r="I84" s="12">
        <f t="shared" ref="I84:AG86" si="209">IF(I$19&gt;0,$C84,0)</f>
        <v>45000</v>
      </c>
      <c r="J84" s="12">
        <f t="shared" si="209"/>
        <v>45000</v>
      </c>
      <c r="K84" s="12">
        <f t="shared" si="209"/>
        <v>45000</v>
      </c>
      <c r="L84" s="12">
        <f t="shared" si="209"/>
        <v>45000</v>
      </c>
      <c r="M84" s="12">
        <f t="shared" si="209"/>
        <v>45000</v>
      </c>
      <c r="N84" s="12">
        <f t="shared" si="209"/>
        <v>45000</v>
      </c>
      <c r="O84" s="12">
        <f t="shared" si="209"/>
        <v>45000</v>
      </c>
      <c r="P84" s="12">
        <f t="shared" si="209"/>
        <v>45000</v>
      </c>
      <c r="Q84" s="12">
        <f t="shared" si="209"/>
        <v>45000</v>
      </c>
      <c r="R84" s="12">
        <f t="shared" si="209"/>
        <v>45000</v>
      </c>
      <c r="S84" s="12">
        <f t="shared" si="209"/>
        <v>45000</v>
      </c>
      <c r="T84" s="12">
        <f t="shared" si="209"/>
        <v>45000</v>
      </c>
      <c r="U84" s="12">
        <f t="shared" si="209"/>
        <v>45000</v>
      </c>
      <c r="V84" s="12">
        <f t="shared" si="209"/>
        <v>45000</v>
      </c>
      <c r="W84" s="12">
        <f t="shared" si="209"/>
        <v>45000</v>
      </c>
      <c r="X84" s="12">
        <f t="shared" si="209"/>
        <v>45000</v>
      </c>
      <c r="Y84" s="12">
        <f t="shared" si="209"/>
        <v>45000</v>
      </c>
      <c r="Z84" s="12">
        <f t="shared" si="209"/>
        <v>45000</v>
      </c>
      <c r="AA84" s="12">
        <f t="shared" si="209"/>
        <v>45000</v>
      </c>
      <c r="AB84" s="12">
        <f t="shared" si="209"/>
        <v>0</v>
      </c>
      <c r="AC84" s="12">
        <f t="shared" si="209"/>
        <v>0</v>
      </c>
      <c r="AD84" s="12">
        <f t="shared" si="209"/>
        <v>0</v>
      </c>
      <c r="AE84" s="12">
        <f t="shared" si="209"/>
        <v>0</v>
      </c>
      <c r="AF84" s="12">
        <f t="shared" si="209"/>
        <v>0</v>
      </c>
      <c r="AG84" s="12">
        <f t="shared" si="209"/>
        <v>0</v>
      </c>
      <c r="AH84" s="12">
        <f t="shared" ref="AG84:BO86" si="210">IF(AH$19&gt;0,$C84,0)</f>
        <v>0</v>
      </c>
      <c r="AI84" s="12">
        <f t="shared" si="210"/>
        <v>0</v>
      </c>
      <c r="AJ84" s="12">
        <f t="shared" si="210"/>
        <v>0</v>
      </c>
      <c r="AK84" s="12">
        <f t="shared" si="210"/>
        <v>0</v>
      </c>
      <c r="AL84" s="12">
        <f t="shared" si="210"/>
        <v>0</v>
      </c>
      <c r="AM84" s="12">
        <f t="shared" si="210"/>
        <v>0</v>
      </c>
      <c r="AN84" s="12">
        <f t="shared" si="210"/>
        <v>0</v>
      </c>
      <c r="AO84" s="12">
        <f t="shared" si="210"/>
        <v>0</v>
      </c>
      <c r="AP84" s="12">
        <f t="shared" si="210"/>
        <v>0</v>
      </c>
      <c r="AQ84" s="12">
        <f t="shared" si="210"/>
        <v>0</v>
      </c>
      <c r="AR84" s="12">
        <f t="shared" si="210"/>
        <v>0</v>
      </c>
      <c r="AS84" s="12">
        <f t="shared" si="210"/>
        <v>0</v>
      </c>
      <c r="AT84" s="12">
        <f t="shared" si="210"/>
        <v>0</v>
      </c>
      <c r="AU84" s="12">
        <f t="shared" si="210"/>
        <v>0</v>
      </c>
      <c r="AV84" s="12">
        <f t="shared" si="210"/>
        <v>0</v>
      </c>
      <c r="AW84" s="12">
        <f t="shared" si="210"/>
        <v>0</v>
      </c>
      <c r="AX84" s="12">
        <f t="shared" si="210"/>
        <v>0</v>
      </c>
      <c r="AY84" s="12">
        <f t="shared" si="210"/>
        <v>0</v>
      </c>
      <c r="AZ84" s="12">
        <f t="shared" si="210"/>
        <v>0</v>
      </c>
      <c r="BA84" s="12">
        <f t="shared" si="210"/>
        <v>0</v>
      </c>
      <c r="BB84" s="12">
        <f t="shared" si="210"/>
        <v>0</v>
      </c>
      <c r="BC84" s="12">
        <f t="shared" si="210"/>
        <v>0</v>
      </c>
      <c r="BD84" s="12">
        <f t="shared" si="210"/>
        <v>0</v>
      </c>
      <c r="BE84" s="12">
        <f t="shared" si="210"/>
        <v>0</v>
      </c>
      <c r="BF84" s="12">
        <f t="shared" si="210"/>
        <v>0</v>
      </c>
      <c r="BG84" s="12">
        <f t="shared" si="210"/>
        <v>0</v>
      </c>
      <c r="BH84" s="12">
        <f t="shared" si="210"/>
        <v>0</v>
      </c>
      <c r="BI84" s="12">
        <f t="shared" si="210"/>
        <v>0</v>
      </c>
      <c r="BJ84" s="12">
        <f t="shared" si="210"/>
        <v>0</v>
      </c>
      <c r="BK84" s="12">
        <f t="shared" si="210"/>
        <v>0</v>
      </c>
      <c r="BL84" s="12">
        <f t="shared" si="210"/>
        <v>0</v>
      </c>
      <c r="BM84" s="12">
        <f t="shared" si="210"/>
        <v>0</v>
      </c>
      <c r="BN84" s="12">
        <f t="shared" si="210"/>
        <v>0</v>
      </c>
      <c r="BO84" s="12">
        <f t="shared" si="210"/>
        <v>0</v>
      </c>
      <c r="BP84" s="12"/>
      <c r="BQ84" s="25"/>
    </row>
    <row r="85" spans="1:69">
      <c r="A85" s="4" t="s">
        <v>283</v>
      </c>
      <c r="B85" s="17" t="s">
        <v>56</v>
      </c>
      <c r="C85" s="65">
        <v>9000</v>
      </c>
      <c r="D85" s="12"/>
      <c r="E85" s="12"/>
      <c r="F85" s="12"/>
      <c r="G85" s="12"/>
      <c r="H85" s="12"/>
      <c r="I85" s="12">
        <f t="shared" si="209"/>
        <v>9000</v>
      </c>
      <c r="J85" s="12">
        <f t="shared" si="209"/>
        <v>9000</v>
      </c>
      <c r="K85" s="12">
        <f t="shared" si="209"/>
        <v>9000</v>
      </c>
      <c r="L85" s="12">
        <f t="shared" si="209"/>
        <v>9000</v>
      </c>
      <c r="M85" s="12">
        <f t="shared" si="209"/>
        <v>9000</v>
      </c>
      <c r="N85" s="12">
        <f t="shared" si="209"/>
        <v>9000</v>
      </c>
      <c r="O85" s="12">
        <f t="shared" si="209"/>
        <v>9000</v>
      </c>
      <c r="P85" s="12">
        <f t="shared" si="209"/>
        <v>9000</v>
      </c>
      <c r="Q85" s="12">
        <f t="shared" si="209"/>
        <v>9000</v>
      </c>
      <c r="R85" s="12">
        <f t="shared" si="209"/>
        <v>9000</v>
      </c>
      <c r="S85" s="12">
        <f t="shared" si="209"/>
        <v>9000</v>
      </c>
      <c r="T85" s="12">
        <f t="shared" si="209"/>
        <v>9000</v>
      </c>
      <c r="U85" s="12">
        <f t="shared" si="209"/>
        <v>9000</v>
      </c>
      <c r="V85" s="12">
        <f t="shared" si="209"/>
        <v>9000</v>
      </c>
      <c r="W85" s="12">
        <f t="shared" si="209"/>
        <v>9000</v>
      </c>
      <c r="X85" s="12">
        <f t="shared" si="209"/>
        <v>9000</v>
      </c>
      <c r="Y85" s="12">
        <f t="shared" si="209"/>
        <v>9000</v>
      </c>
      <c r="Z85" s="12">
        <f t="shared" si="209"/>
        <v>9000</v>
      </c>
      <c r="AA85" s="12">
        <f t="shared" si="209"/>
        <v>9000</v>
      </c>
      <c r="AB85" s="12">
        <f t="shared" si="209"/>
        <v>0</v>
      </c>
      <c r="AC85" s="12">
        <f t="shared" si="209"/>
        <v>0</v>
      </c>
      <c r="AD85" s="12">
        <f t="shared" si="209"/>
        <v>0</v>
      </c>
      <c r="AE85" s="12">
        <f t="shared" si="209"/>
        <v>0</v>
      </c>
      <c r="AF85" s="12">
        <f t="shared" si="209"/>
        <v>0</v>
      </c>
      <c r="AG85" s="12">
        <f t="shared" si="210"/>
        <v>0</v>
      </c>
      <c r="AH85" s="12">
        <f t="shared" si="210"/>
        <v>0</v>
      </c>
      <c r="AI85" s="12">
        <f t="shared" si="210"/>
        <v>0</v>
      </c>
      <c r="AJ85" s="12">
        <f t="shared" si="210"/>
        <v>0</v>
      </c>
      <c r="AK85" s="12">
        <f t="shared" si="210"/>
        <v>0</v>
      </c>
      <c r="AL85" s="12">
        <f t="shared" si="210"/>
        <v>0</v>
      </c>
      <c r="AM85" s="12">
        <f t="shared" si="210"/>
        <v>0</v>
      </c>
      <c r="AN85" s="12">
        <f t="shared" si="210"/>
        <v>0</v>
      </c>
      <c r="AO85" s="12">
        <f t="shared" si="210"/>
        <v>0</v>
      </c>
      <c r="AP85" s="12">
        <f t="shared" si="210"/>
        <v>0</v>
      </c>
      <c r="AQ85" s="12">
        <f t="shared" si="210"/>
        <v>0</v>
      </c>
      <c r="AR85" s="12">
        <f t="shared" si="210"/>
        <v>0</v>
      </c>
      <c r="AS85" s="12">
        <f t="shared" si="210"/>
        <v>0</v>
      </c>
      <c r="AT85" s="12">
        <f t="shared" si="210"/>
        <v>0</v>
      </c>
      <c r="AU85" s="12">
        <f t="shared" si="210"/>
        <v>0</v>
      </c>
      <c r="AV85" s="12">
        <f t="shared" si="210"/>
        <v>0</v>
      </c>
      <c r="AW85" s="12">
        <f t="shared" si="210"/>
        <v>0</v>
      </c>
      <c r="AX85" s="12">
        <f t="shared" si="210"/>
        <v>0</v>
      </c>
      <c r="AY85" s="12">
        <f t="shared" si="210"/>
        <v>0</v>
      </c>
      <c r="AZ85" s="12">
        <f t="shared" si="210"/>
        <v>0</v>
      </c>
      <c r="BA85" s="12">
        <f t="shared" si="210"/>
        <v>0</v>
      </c>
      <c r="BB85" s="12">
        <f t="shared" si="210"/>
        <v>0</v>
      </c>
      <c r="BC85" s="12">
        <f t="shared" si="210"/>
        <v>0</v>
      </c>
      <c r="BD85" s="12">
        <f t="shared" si="210"/>
        <v>0</v>
      </c>
      <c r="BE85" s="12">
        <f t="shared" si="210"/>
        <v>0</v>
      </c>
      <c r="BF85" s="12">
        <f t="shared" si="210"/>
        <v>0</v>
      </c>
      <c r="BG85" s="12">
        <f t="shared" si="210"/>
        <v>0</v>
      </c>
      <c r="BH85" s="12">
        <f t="shared" si="210"/>
        <v>0</v>
      </c>
      <c r="BI85" s="12">
        <f t="shared" si="210"/>
        <v>0</v>
      </c>
      <c r="BJ85" s="12">
        <f t="shared" si="210"/>
        <v>0</v>
      </c>
      <c r="BK85" s="12">
        <f t="shared" si="210"/>
        <v>0</v>
      </c>
      <c r="BL85" s="12">
        <f t="shared" si="210"/>
        <v>0</v>
      </c>
      <c r="BM85" s="12">
        <f t="shared" si="210"/>
        <v>0</v>
      </c>
      <c r="BN85" s="12">
        <f t="shared" si="210"/>
        <v>0</v>
      </c>
      <c r="BO85" s="12">
        <f t="shared" si="210"/>
        <v>0</v>
      </c>
      <c r="BP85" s="12"/>
      <c r="BQ85" s="25"/>
    </row>
    <row r="86" spans="1:69">
      <c r="A86" s="4" t="s">
        <v>284</v>
      </c>
      <c r="B86" s="17" t="s">
        <v>56</v>
      </c>
      <c r="C86" s="65">
        <v>15000</v>
      </c>
      <c r="D86" s="12"/>
      <c r="E86" s="12"/>
      <c r="F86" s="12"/>
      <c r="G86" s="12"/>
      <c r="H86" s="12"/>
      <c r="I86" s="12">
        <f t="shared" si="209"/>
        <v>15000</v>
      </c>
      <c r="J86" s="12">
        <f t="shared" si="209"/>
        <v>15000</v>
      </c>
      <c r="K86" s="12">
        <f t="shared" si="209"/>
        <v>15000</v>
      </c>
      <c r="L86" s="12">
        <f t="shared" si="209"/>
        <v>15000</v>
      </c>
      <c r="M86" s="12">
        <f t="shared" si="209"/>
        <v>15000</v>
      </c>
      <c r="N86" s="12">
        <f t="shared" si="209"/>
        <v>15000</v>
      </c>
      <c r="O86" s="12">
        <f t="shared" si="209"/>
        <v>15000</v>
      </c>
      <c r="P86" s="12">
        <f t="shared" si="209"/>
        <v>15000</v>
      </c>
      <c r="Q86" s="12">
        <f t="shared" si="209"/>
        <v>15000</v>
      </c>
      <c r="R86" s="12">
        <f t="shared" si="209"/>
        <v>15000</v>
      </c>
      <c r="S86" s="12">
        <f t="shared" si="209"/>
        <v>15000</v>
      </c>
      <c r="T86" s="12">
        <f t="shared" si="209"/>
        <v>15000</v>
      </c>
      <c r="U86" s="12">
        <f t="shared" si="209"/>
        <v>15000</v>
      </c>
      <c r="V86" s="12">
        <f t="shared" si="209"/>
        <v>15000</v>
      </c>
      <c r="W86" s="12">
        <f t="shared" si="209"/>
        <v>15000</v>
      </c>
      <c r="X86" s="12">
        <f t="shared" si="209"/>
        <v>15000</v>
      </c>
      <c r="Y86" s="12">
        <f t="shared" si="209"/>
        <v>15000</v>
      </c>
      <c r="Z86" s="12">
        <f t="shared" si="209"/>
        <v>15000</v>
      </c>
      <c r="AA86" s="12">
        <f t="shared" si="209"/>
        <v>15000</v>
      </c>
      <c r="AB86" s="12">
        <f t="shared" si="209"/>
        <v>0</v>
      </c>
      <c r="AC86" s="12">
        <f t="shared" si="209"/>
        <v>0</v>
      </c>
      <c r="AD86" s="12">
        <f t="shared" si="209"/>
        <v>0</v>
      </c>
      <c r="AE86" s="12">
        <f t="shared" si="209"/>
        <v>0</v>
      </c>
      <c r="AF86" s="12">
        <f t="shared" si="209"/>
        <v>0</v>
      </c>
      <c r="AG86" s="12">
        <f t="shared" si="210"/>
        <v>0</v>
      </c>
      <c r="AH86" s="12">
        <f t="shared" si="210"/>
        <v>0</v>
      </c>
      <c r="AI86" s="12">
        <f t="shared" si="210"/>
        <v>0</v>
      </c>
      <c r="AJ86" s="12">
        <f t="shared" si="210"/>
        <v>0</v>
      </c>
      <c r="AK86" s="12">
        <f t="shared" si="210"/>
        <v>0</v>
      </c>
      <c r="AL86" s="12">
        <f t="shared" si="210"/>
        <v>0</v>
      </c>
      <c r="AM86" s="12">
        <f t="shared" si="210"/>
        <v>0</v>
      </c>
      <c r="AN86" s="12">
        <f t="shared" si="210"/>
        <v>0</v>
      </c>
      <c r="AO86" s="12">
        <f t="shared" si="210"/>
        <v>0</v>
      </c>
      <c r="AP86" s="12">
        <f t="shared" si="210"/>
        <v>0</v>
      </c>
      <c r="AQ86" s="12">
        <f t="shared" si="210"/>
        <v>0</v>
      </c>
      <c r="AR86" s="12">
        <f t="shared" si="210"/>
        <v>0</v>
      </c>
      <c r="AS86" s="12">
        <f t="shared" si="210"/>
        <v>0</v>
      </c>
      <c r="AT86" s="12">
        <f t="shared" si="210"/>
        <v>0</v>
      </c>
      <c r="AU86" s="12">
        <f t="shared" si="210"/>
        <v>0</v>
      </c>
      <c r="AV86" s="12">
        <f t="shared" si="210"/>
        <v>0</v>
      </c>
      <c r="AW86" s="12">
        <f t="shared" si="210"/>
        <v>0</v>
      </c>
      <c r="AX86" s="12">
        <f t="shared" si="210"/>
        <v>0</v>
      </c>
      <c r="AY86" s="12">
        <f t="shared" si="210"/>
        <v>0</v>
      </c>
      <c r="AZ86" s="12">
        <f t="shared" si="210"/>
        <v>0</v>
      </c>
      <c r="BA86" s="12">
        <f t="shared" si="210"/>
        <v>0</v>
      </c>
      <c r="BB86" s="12">
        <f t="shared" si="210"/>
        <v>0</v>
      </c>
      <c r="BC86" s="12">
        <f t="shared" si="210"/>
        <v>0</v>
      </c>
      <c r="BD86" s="12">
        <f t="shared" si="210"/>
        <v>0</v>
      </c>
      <c r="BE86" s="12">
        <f t="shared" si="210"/>
        <v>0</v>
      </c>
      <c r="BF86" s="12">
        <f t="shared" si="210"/>
        <v>0</v>
      </c>
      <c r="BG86" s="12">
        <f t="shared" si="210"/>
        <v>0</v>
      </c>
      <c r="BH86" s="12">
        <f t="shared" si="210"/>
        <v>0</v>
      </c>
      <c r="BI86" s="12">
        <f t="shared" si="210"/>
        <v>0</v>
      </c>
      <c r="BJ86" s="12">
        <f t="shared" si="210"/>
        <v>0</v>
      </c>
      <c r="BK86" s="12">
        <f t="shared" si="210"/>
        <v>0</v>
      </c>
      <c r="BL86" s="12">
        <f t="shared" si="210"/>
        <v>0</v>
      </c>
      <c r="BM86" s="12">
        <f t="shared" si="210"/>
        <v>0</v>
      </c>
      <c r="BN86" s="12">
        <f t="shared" si="210"/>
        <v>0</v>
      </c>
      <c r="BO86" s="12">
        <f t="shared" si="210"/>
        <v>0</v>
      </c>
      <c r="BP86" s="12"/>
      <c r="BQ86" s="25"/>
    </row>
    <row r="87" spans="1:69">
      <c r="A87" s="4" t="s">
        <v>245</v>
      </c>
      <c r="B87" s="17" t="s">
        <v>56</v>
      </c>
      <c r="C87" s="153" t="s">
        <v>320</v>
      </c>
      <c r="D87" s="69">
        <f t="shared" ref="D87:AI87" si="211">IF(D9&gt;0,SUM(D84:D86)*(1+$BT$13),0)</f>
        <v>0</v>
      </c>
      <c r="E87" s="69">
        <f t="shared" si="211"/>
        <v>0</v>
      </c>
      <c r="F87" s="69">
        <f t="shared" si="211"/>
        <v>0</v>
      </c>
      <c r="G87" s="69">
        <f t="shared" si="211"/>
        <v>0</v>
      </c>
      <c r="H87" s="69">
        <f t="shared" si="211"/>
        <v>0</v>
      </c>
      <c r="I87" s="69">
        <f t="shared" si="211"/>
        <v>69000</v>
      </c>
      <c r="J87" s="69">
        <f t="shared" si="211"/>
        <v>69000</v>
      </c>
      <c r="K87" s="69">
        <f t="shared" si="211"/>
        <v>69000</v>
      </c>
      <c r="L87" s="69">
        <f t="shared" si="211"/>
        <v>69000</v>
      </c>
      <c r="M87" s="69">
        <f t="shared" si="211"/>
        <v>69000</v>
      </c>
      <c r="N87" s="69">
        <f t="shared" si="211"/>
        <v>69000</v>
      </c>
      <c r="O87" s="69">
        <f t="shared" si="211"/>
        <v>69000</v>
      </c>
      <c r="P87" s="69">
        <f t="shared" si="211"/>
        <v>69000</v>
      </c>
      <c r="Q87" s="69">
        <f t="shared" si="211"/>
        <v>69000</v>
      </c>
      <c r="R87" s="69">
        <f t="shared" si="211"/>
        <v>69000</v>
      </c>
      <c r="S87" s="69">
        <f t="shared" si="211"/>
        <v>69000</v>
      </c>
      <c r="T87" s="69">
        <f t="shared" si="211"/>
        <v>69000</v>
      </c>
      <c r="U87" s="69">
        <f t="shared" si="211"/>
        <v>69000</v>
      </c>
      <c r="V87" s="69">
        <f t="shared" si="211"/>
        <v>69000</v>
      </c>
      <c r="W87" s="69">
        <f t="shared" si="211"/>
        <v>69000</v>
      </c>
      <c r="X87" s="69">
        <f t="shared" si="211"/>
        <v>69000</v>
      </c>
      <c r="Y87" s="69">
        <f t="shared" si="211"/>
        <v>69000</v>
      </c>
      <c r="Z87" s="69">
        <f t="shared" si="211"/>
        <v>69000</v>
      </c>
      <c r="AA87" s="69">
        <f t="shared" si="211"/>
        <v>69000</v>
      </c>
      <c r="AB87" s="69">
        <f t="shared" si="211"/>
        <v>0</v>
      </c>
      <c r="AC87" s="69">
        <f t="shared" si="211"/>
        <v>0</v>
      </c>
      <c r="AD87" s="69">
        <f t="shared" si="211"/>
        <v>0</v>
      </c>
      <c r="AE87" s="69">
        <f t="shared" si="211"/>
        <v>0</v>
      </c>
      <c r="AF87" s="69">
        <f t="shared" si="211"/>
        <v>0</v>
      </c>
      <c r="AG87" s="69">
        <f t="shared" si="211"/>
        <v>0</v>
      </c>
      <c r="AH87" s="69">
        <f t="shared" si="211"/>
        <v>0</v>
      </c>
      <c r="AI87" s="69">
        <f t="shared" si="211"/>
        <v>0</v>
      </c>
      <c r="AJ87" s="69">
        <f t="shared" ref="AJ87:BO87" si="212">IF(AJ9&gt;0,SUM(AJ84:AJ86)*(1+$BT$13),0)</f>
        <v>0</v>
      </c>
      <c r="AK87" s="69">
        <f t="shared" si="212"/>
        <v>0</v>
      </c>
      <c r="AL87" s="69">
        <f t="shared" si="212"/>
        <v>0</v>
      </c>
      <c r="AM87" s="69">
        <f t="shared" si="212"/>
        <v>0</v>
      </c>
      <c r="AN87" s="69">
        <f t="shared" si="212"/>
        <v>0</v>
      </c>
      <c r="AO87" s="69">
        <f t="shared" si="212"/>
        <v>0</v>
      </c>
      <c r="AP87" s="69">
        <f t="shared" si="212"/>
        <v>0</v>
      </c>
      <c r="AQ87" s="69">
        <f t="shared" si="212"/>
        <v>0</v>
      </c>
      <c r="AR87" s="69">
        <f t="shared" si="212"/>
        <v>0</v>
      </c>
      <c r="AS87" s="69">
        <f t="shared" si="212"/>
        <v>0</v>
      </c>
      <c r="AT87" s="69">
        <f t="shared" si="212"/>
        <v>0</v>
      </c>
      <c r="AU87" s="69">
        <f t="shared" si="212"/>
        <v>0</v>
      </c>
      <c r="AV87" s="69">
        <f t="shared" si="212"/>
        <v>0</v>
      </c>
      <c r="AW87" s="69">
        <f t="shared" si="212"/>
        <v>0</v>
      </c>
      <c r="AX87" s="69">
        <f t="shared" si="212"/>
        <v>0</v>
      </c>
      <c r="AY87" s="69">
        <f t="shared" si="212"/>
        <v>0</v>
      </c>
      <c r="AZ87" s="69">
        <f t="shared" si="212"/>
        <v>0</v>
      </c>
      <c r="BA87" s="69">
        <f t="shared" si="212"/>
        <v>0</v>
      </c>
      <c r="BB87" s="69">
        <f t="shared" si="212"/>
        <v>0</v>
      </c>
      <c r="BC87" s="69">
        <f t="shared" si="212"/>
        <v>0</v>
      </c>
      <c r="BD87" s="69">
        <f t="shared" si="212"/>
        <v>0</v>
      </c>
      <c r="BE87" s="69">
        <f t="shared" si="212"/>
        <v>0</v>
      </c>
      <c r="BF87" s="69">
        <f t="shared" si="212"/>
        <v>0</v>
      </c>
      <c r="BG87" s="69">
        <f t="shared" si="212"/>
        <v>0</v>
      </c>
      <c r="BH87" s="69">
        <f t="shared" si="212"/>
        <v>0</v>
      </c>
      <c r="BI87" s="69">
        <f t="shared" si="212"/>
        <v>0</v>
      </c>
      <c r="BJ87" s="69">
        <f t="shared" si="212"/>
        <v>0</v>
      </c>
      <c r="BK87" s="69">
        <f t="shared" si="212"/>
        <v>0</v>
      </c>
      <c r="BL87" s="69">
        <f t="shared" si="212"/>
        <v>0</v>
      </c>
      <c r="BM87" s="69">
        <f t="shared" si="212"/>
        <v>0</v>
      </c>
      <c r="BN87" s="69">
        <f t="shared" si="212"/>
        <v>0</v>
      </c>
      <c r="BO87" s="69">
        <f t="shared" si="212"/>
        <v>0</v>
      </c>
      <c r="BP87" s="69"/>
      <c r="BQ87" s="11">
        <f>SUM(D87:BO87)</f>
        <v>1311000</v>
      </c>
    </row>
    <row r="88" spans="1:69">
      <c r="A88" s="4"/>
      <c r="B88" s="17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5"/>
    </row>
    <row r="89" spans="1:69">
      <c r="A89" s="28" t="s">
        <v>285</v>
      </c>
      <c r="B89" s="56"/>
      <c r="C89" s="47"/>
      <c r="D89" s="47">
        <f t="shared" ref="D89:AI89" si="213">SUM(D70,D73,D75,D78,D82,D87)</f>
        <v>0</v>
      </c>
      <c r="E89" s="47">
        <f t="shared" si="213"/>
        <v>0</v>
      </c>
      <c r="F89" s="47">
        <f t="shared" si="213"/>
        <v>0</v>
      </c>
      <c r="G89" s="47">
        <f t="shared" si="213"/>
        <v>0</v>
      </c>
      <c r="H89" s="47">
        <f t="shared" si="213"/>
        <v>88629.574999999997</v>
      </c>
      <c r="I89" s="47">
        <f t="shared" si="213"/>
        <v>202259.15</v>
      </c>
      <c r="J89" s="47">
        <f t="shared" si="213"/>
        <v>650059.15</v>
      </c>
      <c r="K89" s="47">
        <f t="shared" si="213"/>
        <v>650059.15</v>
      </c>
      <c r="L89" s="47">
        <f t="shared" si="213"/>
        <v>650059.15</v>
      </c>
      <c r="M89" s="47">
        <f t="shared" si="213"/>
        <v>650059.15</v>
      </c>
      <c r="N89" s="47">
        <f t="shared" si="213"/>
        <v>650059.15</v>
      </c>
      <c r="O89" s="47">
        <f t="shared" si="213"/>
        <v>650059.15</v>
      </c>
      <c r="P89" s="47">
        <f t="shared" si="213"/>
        <v>650059.15</v>
      </c>
      <c r="Q89" s="47">
        <f t="shared" si="213"/>
        <v>650059.15</v>
      </c>
      <c r="R89" s="47">
        <f t="shared" si="213"/>
        <v>650059.15</v>
      </c>
      <c r="S89" s="47">
        <f t="shared" si="213"/>
        <v>650059.15</v>
      </c>
      <c r="T89" s="47">
        <f t="shared" si="213"/>
        <v>650059.15</v>
      </c>
      <c r="U89" s="47">
        <f t="shared" si="213"/>
        <v>650059.15</v>
      </c>
      <c r="V89" s="47">
        <f t="shared" si="213"/>
        <v>650059.15</v>
      </c>
      <c r="W89" s="47">
        <f t="shared" si="213"/>
        <v>650059.15</v>
      </c>
      <c r="X89" s="47">
        <f t="shared" si="213"/>
        <v>650059.15</v>
      </c>
      <c r="Y89" s="47">
        <f t="shared" si="213"/>
        <v>605429.57500000007</v>
      </c>
      <c r="Z89" s="47">
        <f t="shared" si="213"/>
        <v>540800</v>
      </c>
      <c r="AA89" s="47">
        <f t="shared" si="213"/>
        <v>540800</v>
      </c>
      <c r="AB89" s="47">
        <f t="shared" si="213"/>
        <v>0</v>
      </c>
      <c r="AC89" s="47">
        <f t="shared" si="213"/>
        <v>0</v>
      </c>
      <c r="AD89" s="47">
        <f t="shared" si="213"/>
        <v>0</v>
      </c>
      <c r="AE89" s="47">
        <f t="shared" si="213"/>
        <v>0</v>
      </c>
      <c r="AF89" s="47">
        <f t="shared" si="213"/>
        <v>0</v>
      </c>
      <c r="AG89" s="47">
        <f t="shared" si="213"/>
        <v>0</v>
      </c>
      <c r="AH89" s="47">
        <f t="shared" si="213"/>
        <v>0</v>
      </c>
      <c r="AI89" s="47">
        <f t="shared" si="213"/>
        <v>0</v>
      </c>
      <c r="AJ89" s="47">
        <f t="shared" ref="AJ89:BO89" si="214">SUM(AJ70,AJ73,AJ75,AJ78,AJ82,AJ87)</f>
        <v>0</v>
      </c>
      <c r="AK89" s="47">
        <f t="shared" si="214"/>
        <v>0</v>
      </c>
      <c r="AL89" s="47">
        <f t="shared" si="214"/>
        <v>0</v>
      </c>
      <c r="AM89" s="47">
        <f t="shared" si="214"/>
        <v>0</v>
      </c>
      <c r="AN89" s="47">
        <f t="shared" si="214"/>
        <v>0</v>
      </c>
      <c r="AO89" s="47">
        <f t="shared" si="214"/>
        <v>0</v>
      </c>
      <c r="AP89" s="47">
        <f t="shared" si="214"/>
        <v>0</v>
      </c>
      <c r="AQ89" s="47">
        <f t="shared" si="214"/>
        <v>0</v>
      </c>
      <c r="AR89" s="47">
        <f t="shared" si="214"/>
        <v>0</v>
      </c>
      <c r="AS89" s="47">
        <f t="shared" si="214"/>
        <v>0</v>
      </c>
      <c r="AT89" s="47">
        <f t="shared" si="214"/>
        <v>0</v>
      </c>
      <c r="AU89" s="47">
        <f t="shared" si="214"/>
        <v>0</v>
      </c>
      <c r="AV89" s="47">
        <f t="shared" si="214"/>
        <v>0</v>
      </c>
      <c r="AW89" s="47">
        <f t="shared" si="214"/>
        <v>0</v>
      </c>
      <c r="AX89" s="47">
        <f t="shared" si="214"/>
        <v>0</v>
      </c>
      <c r="AY89" s="47">
        <f t="shared" si="214"/>
        <v>0</v>
      </c>
      <c r="AZ89" s="47">
        <f t="shared" si="214"/>
        <v>0</v>
      </c>
      <c r="BA89" s="47">
        <f t="shared" si="214"/>
        <v>0</v>
      </c>
      <c r="BB89" s="47">
        <f t="shared" si="214"/>
        <v>0</v>
      </c>
      <c r="BC89" s="47">
        <f t="shared" si="214"/>
        <v>0</v>
      </c>
      <c r="BD89" s="47">
        <f t="shared" si="214"/>
        <v>0</v>
      </c>
      <c r="BE89" s="47">
        <f t="shared" si="214"/>
        <v>0</v>
      </c>
      <c r="BF89" s="47">
        <f t="shared" si="214"/>
        <v>0</v>
      </c>
      <c r="BG89" s="47">
        <f t="shared" si="214"/>
        <v>0</v>
      </c>
      <c r="BH89" s="47">
        <f t="shared" si="214"/>
        <v>0</v>
      </c>
      <c r="BI89" s="47">
        <f t="shared" si="214"/>
        <v>0</v>
      </c>
      <c r="BJ89" s="47">
        <f t="shared" si="214"/>
        <v>0</v>
      </c>
      <c r="BK89" s="47">
        <f t="shared" si="214"/>
        <v>0</v>
      </c>
      <c r="BL89" s="47">
        <f t="shared" si="214"/>
        <v>0</v>
      </c>
      <c r="BM89" s="47">
        <f t="shared" si="214"/>
        <v>0</v>
      </c>
      <c r="BN89" s="47">
        <f t="shared" si="214"/>
        <v>0</v>
      </c>
      <c r="BO89" s="47">
        <f t="shared" si="214"/>
        <v>0</v>
      </c>
      <c r="BP89" s="47"/>
      <c r="BQ89" s="49">
        <f>SUM(D89:BO89)</f>
        <v>11728805.550000001</v>
      </c>
    </row>
    <row r="90" spans="1:69">
      <c r="A90" s="28" t="s">
        <v>185</v>
      </c>
      <c r="B90" s="56" t="s">
        <v>53</v>
      </c>
      <c r="C90" s="47"/>
      <c r="D90" s="48">
        <f t="shared" ref="D90:AI90" si="215">IFERROR(D89/D19,0)</f>
        <v>0</v>
      </c>
      <c r="E90" s="48">
        <f t="shared" si="215"/>
        <v>0</v>
      </c>
      <c r="F90" s="48">
        <f t="shared" si="215"/>
        <v>0</v>
      </c>
      <c r="G90" s="48">
        <f t="shared" si="215"/>
        <v>0</v>
      </c>
      <c r="H90" s="48">
        <f t="shared" si="215"/>
        <v>1088.3875503487573</v>
      </c>
      <c r="I90" s="48">
        <f t="shared" si="215"/>
        <v>1241.8898590234796</v>
      </c>
      <c r="J90" s="48">
        <f t="shared" si="215"/>
        <v>120.40977645828903</v>
      </c>
      <c r="K90" s="48">
        <f t="shared" si="215"/>
        <v>120.40977645828903</v>
      </c>
      <c r="L90" s="48">
        <f t="shared" si="215"/>
        <v>120.40977645828903</v>
      </c>
      <c r="M90" s="48">
        <f t="shared" si="215"/>
        <v>120.40977645828903</v>
      </c>
      <c r="N90" s="48">
        <f t="shared" si="215"/>
        <v>120.40977645828903</v>
      </c>
      <c r="O90" s="48">
        <f t="shared" si="215"/>
        <v>120.40977645828903</v>
      </c>
      <c r="P90" s="48">
        <f t="shared" si="215"/>
        <v>120.40977645828903</v>
      </c>
      <c r="Q90" s="48">
        <f t="shared" si="215"/>
        <v>120.40977645828903</v>
      </c>
      <c r="R90" s="48">
        <f t="shared" si="215"/>
        <v>120.40977645828903</v>
      </c>
      <c r="S90" s="48">
        <f t="shared" si="215"/>
        <v>120.40977645828903</v>
      </c>
      <c r="T90" s="48">
        <f t="shared" si="215"/>
        <v>120.40977645828903</v>
      </c>
      <c r="U90" s="48">
        <f t="shared" si="215"/>
        <v>120.40977645828903</v>
      </c>
      <c r="V90" s="48">
        <f t="shared" si="215"/>
        <v>120.40977645828903</v>
      </c>
      <c r="W90" s="48">
        <f t="shared" si="215"/>
        <v>120.40977645828903</v>
      </c>
      <c r="X90" s="48">
        <f t="shared" si="215"/>
        <v>120.40977645828903</v>
      </c>
      <c r="Y90" s="48">
        <f t="shared" si="215"/>
        <v>114.59172682091442</v>
      </c>
      <c r="Z90" s="48">
        <f t="shared" si="215"/>
        <v>104.64396284829721</v>
      </c>
      <c r="AA90" s="48">
        <f t="shared" si="215"/>
        <v>104.64396284829721</v>
      </c>
      <c r="AB90" s="48">
        <f t="shared" si="215"/>
        <v>0</v>
      </c>
      <c r="AC90" s="48">
        <f t="shared" si="215"/>
        <v>0</v>
      </c>
      <c r="AD90" s="48">
        <f t="shared" si="215"/>
        <v>0</v>
      </c>
      <c r="AE90" s="48">
        <f t="shared" si="215"/>
        <v>0</v>
      </c>
      <c r="AF90" s="48">
        <f t="shared" si="215"/>
        <v>0</v>
      </c>
      <c r="AG90" s="48">
        <f t="shared" si="215"/>
        <v>0</v>
      </c>
      <c r="AH90" s="48">
        <f t="shared" si="215"/>
        <v>0</v>
      </c>
      <c r="AI90" s="48">
        <f t="shared" si="215"/>
        <v>0</v>
      </c>
      <c r="AJ90" s="48">
        <f t="shared" ref="AJ90:BO90" si="216">IFERROR(AJ89/AJ19,0)</f>
        <v>0</v>
      </c>
      <c r="AK90" s="48">
        <f t="shared" si="216"/>
        <v>0</v>
      </c>
      <c r="AL90" s="48">
        <f t="shared" si="216"/>
        <v>0</v>
      </c>
      <c r="AM90" s="48">
        <f t="shared" si="216"/>
        <v>0</v>
      </c>
      <c r="AN90" s="48">
        <f t="shared" si="216"/>
        <v>0</v>
      </c>
      <c r="AO90" s="48">
        <f t="shared" si="216"/>
        <v>0</v>
      </c>
      <c r="AP90" s="48">
        <f t="shared" si="216"/>
        <v>0</v>
      </c>
      <c r="AQ90" s="48">
        <f t="shared" si="216"/>
        <v>0</v>
      </c>
      <c r="AR90" s="48">
        <f t="shared" si="216"/>
        <v>0</v>
      </c>
      <c r="AS90" s="48">
        <f t="shared" si="216"/>
        <v>0</v>
      </c>
      <c r="AT90" s="48">
        <f t="shared" si="216"/>
        <v>0</v>
      </c>
      <c r="AU90" s="48">
        <f t="shared" si="216"/>
        <v>0</v>
      </c>
      <c r="AV90" s="48">
        <f t="shared" si="216"/>
        <v>0</v>
      </c>
      <c r="AW90" s="48">
        <f t="shared" si="216"/>
        <v>0</v>
      </c>
      <c r="AX90" s="48">
        <f t="shared" si="216"/>
        <v>0</v>
      </c>
      <c r="AY90" s="48">
        <f t="shared" si="216"/>
        <v>0</v>
      </c>
      <c r="AZ90" s="48">
        <f t="shared" si="216"/>
        <v>0</v>
      </c>
      <c r="BA90" s="48">
        <f t="shared" si="216"/>
        <v>0</v>
      </c>
      <c r="BB90" s="48">
        <f t="shared" si="216"/>
        <v>0</v>
      </c>
      <c r="BC90" s="48">
        <f t="shared" si="216"/>
        <v>0</v>
      </c>
      <c r="BD90" s="48">
        <f t="shared" si="216"/>
        <v>0</v>
      </c>
      <c r="BE90" s="48">
        <f t="shared" si="216"/>
        <v>0</v>
      </c>
      <c r="BF90" s="48">
        <f t="shared" si="216"/>
        <v>0</v>
      </c>
      <c r="BG90" s="48">
        <f t="shared" si="216"/>
        <v>0</v>
      </c>
      <c r="BH90" s="48">
        <f t="shared" si="216"/>
        <v>0</v>
      </c>
      <c r="BI90" s="48">
        <f t="shared" si="216"/>
        <v>0</v>
      </c>
      <c r="BJ90" s="48">
        <f t="shared" si="216"/>
        <v>0</v>
      </c>
      <c r="BK90" s="48">
        <f t="shared" si="216"/>
        <v>0</v>
      </c>
      <c r="BL90" s="48">
        <f t="shared" si="216"/>
        <v>0</v>
      </c>
      <c r="BM90" s="48">
        <f t="shared" si="216"/>
        <v>0</v>
      </c>
      <c r="BN90" s="48">
        <f t="shared" si="216"/>
        <v>0</v>
      </c>
      <c r="BO90" s="48">
        <f t="shared" si="216"/>
        <v>0</v>
      </c>
      <c r="BP90" s="48"/>
      <c r="BQ90" s="58">
        <f>IFERROR(BQ89/BQ19,0)</f>
        <v>121.10964866385106</v>
      </c>
    </row>
    <row r="91" spans="1:69">
      <c r="A91" s="4"/>
      <c r="B91" s="17"/>
      <c r="D91" s="37"/>
      <c r="BQ91" s="25"/>
    </row>
    <row r="92" spans="1:69">
      <c r="A92" s="28" t="s">
        <v>286</v>
      </c>
      <c r="B92" s="17"/>
      <c r="D92" s="17"/>
      <c r="E92" s="17"/>
      <c r="F92" s="17"/>
      <c r="G92" s="17"/>
      <c r="H92" s="17"/>
      <c r="I92" s="17"/>
      <c r="BQ92" s="25"/>
    </row>
    <row r="93" spans="1:69">
      <c r="A93" s="4" t="s">
        <v>186</v>
      </c>
      <c r="B93" s="17" t="s">
        <v>53</v>
      </c>
      <c r="C93" s="64">
        <v>22</v>
      </c>
      <c r="D93" s="12">
        <f t="shared" ref="D93:AI93" si="217">$C$93*D34</f>
        <v>0</v>
      </c>
      <c r="E93" s="12">
        <f t="shared" si="217"/>
        <v>0</v>
      </c>
      <c r="F93" s="12">
        <f t="shared" si="217"/>
        <v>0</v>
      </c>
      <c r="G93" s="12">
        <f t="shared" si="217"/>
        <v>0</v>
      </c>
      <c r="H93" s="12">
        <f t="shared" si="217"/>
        <v>1791.5040000000001</v>
      </c>
      <c r="I93" s="12">
        <f t="shared" si="217"/>
        <v>3583.0080000000003</v>
      </c>
      <c r="J93" s="12">
        <f t="shared" si="217"/>
        <v>118771.928</v>
      </c>
      <c r="K93" s="12">
        <f t="shared" si="217"/>
        <v>118771.928</v>
      </c>
      <c r="L93" s="12">
        <f t="shared" si="217"/>
        <v>118771.928</v>
      </c>
      <c r="M93" s="12">
        <f t="shared" si="217"/>
        <v>118771.928</v>
      </c>
      <c r="N93" s="12">
        <f t="shared" si="217"/>
        <v>118771.928</v>
      </c>
      <c r="O93" s="12">
        <f t="shared" si="217"/>
        <v>118771.928</v>
      </c>
      <c r="P93" s="12">
        <f t="shared" si="217"/>
        <v>118771.928</v>
      </c>
      <c r="Q93" s="12">
        <f t="shared" si="217"/>
        <v>118771.928</v>
      </c>
      <c r="R93" s="12">
        <f t="shared" si="217"/>
        <v>118771.928</v>
      </c>
      <c r="S93" s="12">
        <f t="shared" si="217"/>
        <v>118771.928</v>
      </c>
      <c r="T93" s="12">
        <f t="shared" si="217"/>
        <v>118771.928</v>
      </c>
      <c r="U93" s="12">
        <f t="shared" si="217"/>
        <v>118771.928</v>
      </c>
      <c r="V93" s="12">
        <f t="shared" si="217"/>
        <v>118771.928</v>
      </c>
      <c r="W93" s="12">
        <f t="shared" si="217"/>
        <v>118771.928</v>
      </c>
      <c r="X93" s="12">
        <f t="shared" si="217"/>
        <v>118771.928</v>
      </c>
      <c r="Y93" s="12">
        <f t="shared" si="217"/>
        <v>116233.96400000001</v>
      </c>
      <c r="Z93" s="12">
        <f t="shared" si="217"/>
        <v>113696</v>
      </c>
      <c r="AA93" s="12">
        <f t="shared" si="217"/>
        <v>113696</v>
      </c>
      <c r="AB93" s="12">
        <f t="shared" si="217"/>
        <v>0</v>
      </c>
      <c r="AC93" s="12">
        <f t="shared" si="217"/>
        <v>0</v>
      </c>
      <c r="AD93" s="12">
        <f t="shared" si="217"/>
        <v>0</v>
      </c>
      <c r="AE93" s="12">
        <f t="shared" si="217"/>
        <v>0</v>
      </c>
      <c r="AF93" s="12">
        <f t="shared" si="217"/>
        <v>0</v>
      </c>
      <c r="AG93" s="12">
        <f t="shared" si="217"/>
        <v>0</v>
      </c>
      <c r="AH93" s="12">
        <f t="shared" si="217"/>
        <v>0</v>
      </c>
      <c r="AI93" s="12">
        <f t="shared" si="217"/>
        <v>0</v>
      </c>
      <c r="AJ93" s="12">
        <f t="shared" ref="AJ93:BO93" si="218">$C$93*AJ34</f>
        <v>0</v>
      </c>
      <c r="AK93" s="12">
        <f t="shared" si="218"/>
        <v>0</v>
      </c>
      <c r="AL93" s="12">
        <f t="shared" si="218"/>
        <v>0</v>
      </c>
      <c r="AM93" s="12">
        <f t="shared" si="218"/>
        <v>0</v>
      </c>
      <c r="AN93" s="12">
        <f t="shared" si="218"/>
        <v>0</v>
      </c>
      <c r="AO93" s="12">
        <f t="shared" si="218"/>
        <v>0</v>
      </c>
      <c r="AP93" s="12">
        <f t="shared" si="218"/>
        <v>0</v>
      </c>
      <c r="AQ93" s="12">
        <f t="shared" si="218"/>
        <v>0</v>
      </c>
      <c r="AR93" s="12">
        <f t="shared" si="218"/>
        <v>0</v>
      </c>
      <c r="AS93" s="12">
        <f t="shared" si="218"/>
        <v>0</v>
      </c>
      <c r="AT93" s="12">
        <f t="shared" si="218"/>
        <v>0</v>
      </c>
      <c r="AU93" s="12">
        <f t="shared" si="218"/>
        <v>0</v>
      </c>
      <c r="AV93" s="12">
        <f t="shared" si="218"/>
        <v>0</v>
      </c>
      <c r="AW93" s="12">
        <f t="shared" si="218"/>
        <v>0</v>
      </c>
      <c r="AX93" s="12">
        <f t="shared" si="218"/>
        <v>0</v>
      </c>
      <c r="AY93" s="12">
        <f t="shared" si="218"/>
        <v>0</v>
      </c>
      <c r="AZ93" s="12">
        <f t="shared" si="218"/>
        <v>0</v>
      </c>
      <c r="BA93" s="12">
        <f t="shared" si="218"/>
        <v>0</v>
      </c>
      <c r="BB93" s="12">
        <f t="shared" si="218"/>
        <v>0</v>
      </c>
      <c r="BC93" s="12">
        <f t="shared" si="218"/>
        <v>0</v>
      </c>
      <c r="BD93" s="12">
        <f t="shared" si="218"/>
        <v>0</v>
      </c>
      <c r="BE93" s="12">
        <f t="shared" si="218"/>
        <v>0</v>
      </c>
      <c r="BF93" s="12">
        <f t="shared" si="218"/>
        <v>0</v>
      </c>
      <c r="BG93" s="12">
        <f t="shared" si="218"/>
        <v>0</v>
      </c>
      <c r="BH93" s="12">
        <f t="shared" si="218"/>
        <v>0</v>
      </c>
      <c r="BI93" s="12">
        <f t="shared" si="218"/>
        <v>0</v>
      </c>
      <c r="BJ93" s="12">
        <f t="shared" si="218"/>
        <v>0</v>
      </c>
      <c r="BK93" s="12">
        <f t="shared" si="218"/>
        <v>0</v>
      </c>
      <c r="BL93" s="12">
        <f t="shared" si="218"/>
        <v>0</v>
      </c>
      <c r="BM93" s="12">
        <f t="shared" si="218"/>
        <v>0</v>
      </c>
      <c r="BN93" s="12">
        <f t="shared" si="218"/>
        <v>0</v>
      </c>
      <c r="BO93" s="12">
        <f t="shared" si="218"/>
        <v>0</v>
      </c>
      <c r="BP93" s="12"/>
      <c r="BQ93" s="5">
        <f>SUM(D93:BO93)</f>
        <v>2130579.3960000002</v>
      </c>
    </row>
    <row r="94" spans="1:69">
      <c r="A94" s="4" t="s">
        <v>290</v>
      </c>
      <c r="B94" s="17" t="s">
        <v>53</v>
      </c>
      <c r="C94" s="64"/>
      <c r="D94" s="12">
        <f t="shared" ref="D94:AI94" si="219">IF(D$92="Y",$C$94*D34,0)</f>
        <v>0</v>
      </c>
      <c r="E94" s="12">
        <f t="shared" si="219"/>
        <v>0</v>
      </c>
      <c r="F94" s="12">
        <f t="shared" si="219"/>
        <v>0</v>
      </c>
      <c r="G94" s="12">
        <f t="shared" si="219"/>
        <v>0</v>
      </c>
      <c r="H94" s="12">
        <f t="shared" si="219"/>
        <v>0</v>
      </c>
      <c r="I94" s="12">
        <f t="shared" si="219"/>
        <v>0</v>
      </c>
      <c r="J94" s="12">
        <f t="shared" si="219"/>
        <v>0</v>
      </c>
      <c r="K94" s="12">
        <f t="shared" si="219"/>
        <v>0</v>
      </c>
      <c r="L94" s="12">
        <f t="shared" si="219"/>
        <v>0</v>
      </c>
      <c r="M94" s="12">
        <f t="shared" si="219"/>
        <v>0</v>
      </c>
      <c r="N94" s="12">
        <f t="shared" si="219"/>
        <v>0</v>
      </c>
      <c r="O94" s="12">
        <f t="shared" si="219"/>
        <v>0</v>
      </c>
      <c r="P94" s="12">
        <f t="shared" si="219"/>
        <v>0</v>
      </c>
      <c r="Q94" s="12">
        <f t="shared" si="219"/>
        <v>0</v>
      </c>
      <c r="R94" s="12">
        <f t="shared" si="219"/>
        <v>0</v>
      </c>
      <c r="S94" s="12">
        <f t="shared" si="219"/>
        <v>0</v>
      </c>
      <c r="T94" s="12">
        <f t="shared" si="219"/>
        <v>0</v>
      </c>
      <c r="U94" s="12">
        <f t="shared" si="219"/>
        <v>0</v>
      </c>
      <c r="V94" s="12">
        <f t="shared" si="219"/>
        <v>0</v>
      </c>
      <c r="W94" s="12">
        <f t="shared" si="219"/>
        <v>0</v>
      </c>
      <c r="X94" s="12">
        <f t="shared" si="219"/>
        <v>0</v>
      </c>
      <c r="Y94" s="12">
        <f t="shared" si="219"/>
        <v>0</v>
      </c>
      <c r="Z94" s="12">
        <f t="shared" si="219"/>
        <v>0</v>
      </c>
      <c r="AA94" s="12">
        <f t="shared" si="219"/>
        <v>0</v>
      </c>
      <c r="AB94" s="12">
        <f t="shared" si="219"/>
        <v>0</v>
      </c>
      <c r="AC94" s="12">
        <f t="shared" si="219"/>
        <v>0</v>
      </c>
      <c r="AD94" s="12">
        <f t="shared" si="219"/>
        <v>0</v>
      </c>
      <c r="AE94" s="12">
        <f t="shared" si="219"/>
        <v>0</v>
      </c>
      <c r="AF94" s="12">
        <f t="shared" si="219"/>
        <v>0</v>
      </c>
      <c r="AG94" s="12">
        <f t="shared" si="219"/>
        <v>0</v>
      </c>
      <c r="AH94" s="12">
        <f t="shared" si="219"/>
        <v>0</v>
      </c>
      <c r="AI94" s="12">
        <f t="shared" si="219"/>
        <v>0</v>
      </c>
      <c r="AJ94" s="12">
        <f t="shared" ref="AJ94:BO94" si="220">IF(AJ$92="Y",$C$94*AJ34,0)</f>
        <v>0</v>
      </c>
      <c r="AK94" s="12">
        <f t="shared" si="220"/>
        <v>0</v>
      </c>
      <c r="AL94" s="12">
        <f t="shared" si="220"/>
        <v>0</v>
      </c>
      <c r="AM94" s="12">
        <f t="shared" si="220"/>
        <v>0</v>
      </c>
      <c r="AN94" s="12">
        <f t="shared" si="220"/>
        <v>0</v>
      </c>
      <c r="AO94" s="12">
        <f t="shared" si="220"/>
        <v>0</v>
      </c>
      <c r="AP94" s="12">
        <f t="shared" si="220"/>
        <v>0</v>
      </c>
      <c r="AQ94" s="12">
        <f t="shared" si="220"/>
        <v>0</v>
      </c>
      <c r="AR94" s="12">
        <f t="shared" si="220"/>
        <v>0</v>
      </c>
      <c r="AS94" s="12">
        <f t="shared" si="220"/>
        <v>0</v>
      </c>
      <c r="AT94" s="12">
        <f t="shared" si="220"/>
        <v>0</v>
      </c>
      <c r="AU94" s="12">
        <f t="shared" si="220"/>
        <v>0</v>
      </c>
      <c r="AV94" s="12">
        <f t="shared" si="220"/>
        <v>0</v>
      </c>
      <c r="AW94" s="12">
        <f t="shared" si="220"/>
        <v>0</v>
      </c>
      <c r="AX94" s="12">
        <f t="shared" si="220"/>
        <v>0</v>
      </c>
      <c r="AY94" s="12">
        <f t="shared" si="220"/>
        <v>0</v>
      </c>
      <c r="AZ94" s="12">
        <f t="shared" si="220"/>
        <v>0</v>
      </c>
      <c r="BA94" s="12">
        <f t="shared" si="220"/>
        <v>0</v>
      </c>
      <c r="BB94" s="12">
        <f t="shared" si="220"/>
        <v>0</v>
      </c>
      <c r="BC94" s="12">
        <f t="shared" si="220"/>
        <v>0</v>
      </c>
      <c r="BD94" s="12">
        <f t="shared" si="220"/>
        <v>0</v>
      </c>
      <c r="BE94" s="12">
        <f t="shared" si="220"/>
        <v>0</v>
      </c>
      <c r="BF94" s="12">
        <f t="shared" si="220"/>
        <v>0</v>
      </c>
      <c r="BG94" s="12">
        <f t="shared" si="220"/>
        <v>0</v>
      </c>
      <c r="BH94" s="12">
        <f t="shared" si="220"/>
        <v>0</v>
      </c>
      <c r="BI94" s="12">
        <f t="shared" si="220"/>
        <v>0</v>
      </c>
      <c r="BJ94" s="12">
        <f t="shared" si="220"/>
        <v>0</v>
      </c>
      <c r="BK94" s="12">
        <f t="shared" si="220"/>
        <v>0</v>
      </c>
      <c r="BL94" s="12">
        <f t="shared" si="220"/>
        <v>0</v>
      </c>
      <c r="BM94" s="12">
        <f t="shared" si="220"/>
        <v>0</v>
      </c>
      <c r="BN94" s="12">
        <f t="shared" si="220"/>
        <v>0</v>
      </c>
      <c r="BO94" s="12">
        <f t="shared" si="220"/>
        <v>0</v>
      </c>
      <c r="BP94" s="12"/>
      <c r="BQ94" s="5"/>
    </row>
    <row r="95" spans="1:69">
      <c r="A95" s="4" t="s">
        <v>187</v>
      </c>
      <c r="B95" s="17" t="s">
        <v>56</v>
      </c>
      <c r="D95" s="152">
        <f t="shared" ref="D95:AI95" si="221">D148*D34</f>
        <v>0</v>
      </c>
      <c r="E95" s="152">
        <f t="shared" si="221"/>
        <v>0</v>
      </c>
      <c r="F95" s="152">
        <f t="shared" si="221"/>
        <v>0</v>
      </c>
      <c r="G95" s="152">
        <f t="shared" si="221"/>
        <v>0</v>
      </c>
      <c r="H95" s="152">
        <f t="shared" si="221"/>
        <v>4488.7278336995514</v>
      </c>
      <c r="I95" s="152">
        <f t="shared" si="221"/>
        <v>9243.6326587582043</v>
      </c>
      <c r="J95" s="152">
        <f t="shared" si="221"/>
        <v>315038.1437586135</v>
      </c>
      <c r="K95" s="152">
        <f t="shared" si="221"/>
        <v>323466.57140467153</v>
      </c>
      <c r="L95" s="152">
        <f t="shared" si="221"/>
        <v>331703.03025122557</v>
      </c>
      <c r="M95" s="152">
        <f t="shared" si="221"/>
        <v>339751.17048861238</v>
      </c>
      <c r="N95" s="152">
        <f t="shared" si="221"/>
        <v>347614.61461729155</v>
      </c>
      <c r="O95" s="152">
        <f t="shared" si="221"/>
        <v>355296.95477129979</v>
      </c>
      <c r="P95" s="152">
        <f t="shared" si="221"/>
        <v>362801.75028364657</v>
      </c>
      <c r="Q95" s="152">
        <f t="shared" si="221"/>
        <v>370132.5254785943</v>
      </c>
      <c r="R95" s="152">
        <f t="shared" si="221"/>
        <v>377292.76767660718</v>
      </c>
      <c r="S95" s="152">
        <f t="shared" si="221"/>
        <v>384285.92539854336</v>
      </c>
      <c r="T95" s="152">
        <f t="shared" si="221"/>
        <v>391115.40675641829</v>
      </c>
      <c r="U95" s="152">
        <f t="shared" si="221"/>
        <v>397784.57801877585</v>
      </c>
      <c r="V95" s="152">
        <f t="shared" si="221"/>
        <v>404296.76233937894</v>
      </c>
      <c r="W95" s="152">
        <f t="shared" si="221"/>
        <v>410655.23863856652</v>
      </c>
      <c r="X95" s="152">
        <f t="shared" si="221"/>
        <v>416863.24062722782</v>
      </c>
      <c r="Y95" s="152">
        <f t="shared" si="221"/>
        <v>413886.75506090489</v>
      </c>
      <c r="Z95" s="152">
        <f t="shared" si="221"/>
        <v>410513.26868550543</v>
      </c>
      <c r="AA95" s="152">
        <f t="shared" si="221"/>
        <v>416041.95907919761</v>
      </c>
      <c r="AB95" s="152">
        <f t="shared" si="221"/>
        <v>0</v>
      </c>
      <c r="AC95" s="152">
        <f t="shared" si="221"/>
        <v>0</v>
      </c>
      <c r="AD95" s="152">
        <f t="shared" si="221"/>
        <v>0</v>
      </c>
      <c r="AE95" s="152">
        <f t="shared" si="221"/>
        <v>0</v>
      </c>
      <c r="AF95" s="152">
        <f t="shared" si="221"/>
        <v>0</v>
      </c>
      <c r="AG95" s="152">
        <f t="shared" si="221"/>
        <v>0</v>
      </c>
      <c r="AH95" s="152">
        <f t="shared" si="221"/>
        <v>0</v>
      </c>
      <c r="AI95" s="152">
        <f t="shared" si="221"/>
        <v>0</v>
      </c>
      <c r="AJ95" s="152">
        <f t="shared" ref="AJ95:BO95" si="222">AJ148*AJ34</f>
        <v>0</v>
      </c>
      <c r="AK95" s="152">
        <f t="shared" si="222"/>
        <v>0</v>
      </c>
      <c r="AL95" s="152">
        <f t="shared" si="222"/>
        <v>0</v>
      </c>
      <c r="AM95" s="152">
        <f t="shared" si="222"/>
        <v>0</v>
      </c>
      <c r="AN95" s="152">
        <f t="shared" si="222"/>
        <v>0</v>
      </c>
      <c r="AO95" s="152">
        <f t="shared" si="222"/>
        <v>0</v>
      </c>
      <c r="AP95" s="152">
        <f t="shared" si="222"/>
        <v>0</v>
      </c>
      <c r="AQ95" s="152">
        <f t="shared" si="222"/>
        <v>0</v>
      </c>
      <c r="AR95" s="152">
        <f t="shared" si="222"/>
        <v>0</v>
      </c>
      <c r="AS95" s="152">
        <f t="shared" si="222"/>
        <v>0</v>
      </c>
      <c r="AT95" s="152">
        <f t="shared" si="222"/>
        <v>0</v>
      </c>
      <c r="AU95" s="152">
        <f t="shared" si="222"/>
        <v>0</v>
      </c>
      <c r="AV95" s="152">
        <f t="shared" si="222"/>
        <v>0</v>
      </c>
      <c r="AW95" s="152">
        <f t="shared" si="222"/>
        <v>0</v>
      </c>
      <c r="AX95" s="152">
        <f t="shared" si="222"/>
        <v>0</v>
      </c>
      <c r="AY95" s="152">
        <f t="shared" si="222"/>
        <v>0</v>
      </c>
      <c r="AZ95" s="152">
        <f t="shared" si="222"/>
        <v>0</v>
      </c>
      <c r="BA95" s="152">
        <f t="shared" si="222"/>
        <v>0</v>
      </c>
      <c r="BB95" s="152">
        <f t="shared" si="222"/>
        <v>0</v>
      </c>
      <c r="BC95" s="152">
        <f t="shared" si="222"/>
        <v>0</v>
      </c>
      <c r="BD95" s="152">
        <f t="shared" si="222"/>
        <v>0</v>
      </c>
      <c r="BE95" s="152">
        <f t="shared" si="222"/>
        <v>0</v>
      </c>
      <c r="BF95" s="152">
        <f t="shared" si="222"/>
        <v>0</v>
      </c>
      <c r="BG95" s="152">
        <f t="shared" si="222"/>
        <v>0</v>
      </c>
      <c r="BH95" s="152">
        <f t="shared" si="222"/>
        <v>0</v>
      </c>
      <c r="BI95" s="152">
        <f t="shared" si="222"/>
        <v>0</v>
      </c>
      <c r="BJ95" s="152">
        <f t="shared" si="222"/>
        <v>0</v>
      </c>
      <c r="BK95" s="152">
        <f t="shared" si="222"/>
        <v>0</v>
      </c>
      <c r="BL95" s="152">
        <f t="shared" si="222"/>
        <v>0</v>
      </c>
      <c r="BM95" s="152">
        <f t="shared" si="222"/>
        <v>0</v>
      </c>
      <c r="BN95" s="152">
        <f t="shared" si="222"/>
        <v>0</v>
      </c>
      <c r="BO95" s="152">
        <f t="shared" si="222"/>
        <v>0</v>
      </c>
      <c r="BP95" s="152"/>
      <c r="BQ95" s="5">
        <f>SUM(D95:BO95)</f>
        <v>6782273.0238275388</v>
      </c>
    </row>
    <row r="96" spans="1:69">
      <c r="A96" s="4" t="s">
        <v>188</v>
      </c>
      <c r="B96" s="17" t="s">
        <v>56</v>
      </c>
      <c r="D96" s="35">
        <f t="shared" ref="D96:AD96" si="223">SUM(D93:D95)</f>
        <v>0</v>
      </c>
      <c r="E96" s="35">
        <f t="shared" si="223"/>
        <v>0</v>
      </c>
      <c r="F96" s="35">
        <f t="shared" si="223"/>
        <v>0</v>
      </c>
      <c r="G96" s="35">
        <f t="shared" si="223"/>
        <v>0</v>
      </c>
      <c r="H96" s="35">
        <f t="shared" si="223"/>
        <v>6280.2318336995513</v>
      </c>
      <c r="I96" s="35">
        <f t="shared" si="223"/>
        <v>12826.640658758204</v>
      </c>
      <c r="J96" s="35">
        <f t="shared" si="223"/>
        <v>433810.07175861351</v>
      </c>
      <c r="K96" s="35">
        <f t="shared" si="223"/>
        <v>442238.49940467154</v>
      </c>
      <c r="L96" s="35">
        <f t="shared" si="223"/>
        <v>450474.95825122559</v>
      </c>
      <c r="M96" s="35">
        <f t="shared" si="223"/>
        <v>458523.09848861239</v>
      </c>
      <c r="N96" s="35">
        <f t="shared" si="223"/>
        <v>466386.54261729156</v>
      </c>
      <c r="O96" s="35">
        <f t="shared" si="223"/>
        <v>474068.8827712998</v>
      </c>
      <c r="P96" s="35">
        <f t="shared" si="223"/>
        <v>481573.67828364659</v>
      </c>
      <c r="Q96" s="35">
        <f t="shared" si="223"/>
        <v>488904.45347859431</v>
      </c>
      <c r="R96" s="35">
        <f t="shared" si="223"/>
        <v>496064.6956766072</v>
      </c>
      <c r="S96" s="35">
        <f t="shared" si="223"/>
        <v>503057.85339854338</v>
      </c>
      <c r="T96" s="35">
        <f t="shared" si="223"/>
        <v>509887.33475641831</v>
      </c>
      <c r="U96" s="35">
        <f t="shared" si="223"/>
        <v>516556.50601877586</v>
      </c>
      <c r="V96" s="35">
        <f t="shared" si="223"/>
        <v>523068.69033937895</v>
      </c>
      <c r="W96" s="35">
        <f t="shared" si="223"/>
        <v>529427.16663856653</v>
      </c>
      <c r="X96" s="35">
        <f t="shared" si="223"/>
        <v>535635.16862722777</v>
      </c>
      <c r="Y96" s="35">
        <f t="shared" si="223"/>
        <v>530120.71906090493</v>
      </c>
      <c r="Z96" s="35">
        <f t="shared" si="223"/>
        <v>524209.26868550543</v>
      </c>
      <c r="AA96" s="35">
        <f t="shared" si="223"/>
        <v>529737.95907919761</v>
      </c>
      <c r="AB96" s="35">
        <f t="shared" si="223"/>
        <v>0</v>
      </c>
      <c r="AC96" s="35">
        <f t="shared" si="223"/>
        <v>0</v>
      </c>
      <c r="AD96" s="35">
        <f t="shared" si="223"/>
        <v>0</v>
      </c>
      <c r="AE96" s="35">
        <f t="shared" ref="AE96:AF96" si="224">SUM(AE93:AE95)</f>
        <v>0</v>
      </c>
      <c r="AF96" s="35">
        <f t="shared" si="224"/>
        <v>0</v>
      </c>
      <c r="AG96" s="35">
        <f t="shared" ref="AG96:BO96" si="225">SUM(AG93:AG95)</f>
        <v>0</v>
      </c>
      <c r="AH96" s="35">
        <f t="shared" si="225"/>
        <v>0</v>
      </c>
      <c r="AI96" s="35">
        <f t="shared" si="225"/>
        <v>0</v>
      </c>
      <c r="AJ96" s="35">
        <f t="shared" si="225"/>
        <v>0</v>
      </c>
      <c r="AK96" s="35">
        <f t="shared" si="225"/>
        <v>0</v>
      </c>
      <c r="AL96" s="35">
        <f t="shared" si="225"/>
        <v>0</v>
      </c>
      <c r="AM96" s="35">
        <f t="shared" si="225"/>
        <v>0</v>
      </c>
      <c r="AN96" s="35">
        <f t="shared" si="225"/>
        <v>0</v>
      </c>
      <c r="AO96" s="35">
        <f t="shared" si="225"/>
        <v>0</v>
      </c>
      <c r="AP96" s="35">
        <f t="shared" si="225"/>
        <v>0</v>
      </c>
      <c r="AQ96" s="35">
        <f t="shared" si="225"/>
        <v>0</v>
      </c>
      <c r="AR96" s="35">
        <f t="shared" si="225"/>
        <v>0</v>
      </c>
      <c r="AS96" s="35">
        <f t="shared" si="225"/>
        <v>0</v>
      </c>
      <c r="AT96" s="35">
        <f t="shared" si="225"/>
        <v>0</v>
      </c>
      <c r="AU96" s="35">
        <f t="shared" si="225"/>
        <v>0</v>
      </c>
      <c r="AV96" s="35">
        <f t="shared" si="225"/>
        <v>0</v>
      </c>
      <c r="AW96" s="35">
        <f t="shared" si="225"/>
        <v>0</v>
      </c>
      <c r="AX96" s="35">
        <f t="shared" si="225"/>
        <v>0</v>
      </c>
      <c r="AY96" s="35">
        <f t="shared" si="225"/>
        <v>0</v>
      </c>
      <c r="AZ96" s="35">
        <f t="shared" si="225"/>
        <v>0</v>
      </c>
      <c r="BA96" s="35">
        <f t="shared" si="225"/>
        <v>0</v>
      </c>
      <c r="BB96" s="35">
        <f t="shared" si="225"/>
        <v>0</v>
      </c>
      <c r="BC96" s="35">
        <f t="shared" si="225"/>
        <v>0</v>
      </c>
      <c r="BD96" s="35">
        <f t="shared" si="225"/>
        <v>0</v>
      </c>
      <c r="BE96" s="35">
        <f t="shared" si="225"/>
        <v>0</v>
      </c>
      <c r="BF96" s="35">
        <f t="shared" si="225"/>
        <v>0</v>
      </c>
      <c r="BG96" s="35">
        <f t="shared" si="225"/>
        <v>0</v>
      </c>
      <c r="BH96" s="35">
        <f t="shared" si="225"/>
        <v>0</v>
      </c>
      <c r="BI96" s="35">
        <f t="shared" si="225"/>
        <v>0</v>
      </c>
      <c r="BJ96" s="35">
        <f t="shared" si="225"/>
        <v>0</v>
      </c>
      <c r="BK96" s="35">
        <f t="shared" si="225"/>
        <v>0</v>
      </c>
      <c r="BL96" s="35">
        <f t="shared" si="225"/>
        <v>0</v>
      </c>
      <c r="BM96" s="35">
        <f t="shared" si="225"/>
        <v>0</v>
      </c>
      <c r="BN96" s="35">
        <f t="shared" si="225"/>
        <v>0</v>
      </c>
      <c r="BO96" s="35">
        <f t="shared" si="225"/>
        <v>0</v>
      </c>
      <c r="BP96" s="35"/>
      <c r="BQ96" s="38">
        <f>SUM(BQ93:BQ95)</f>
        <v>8912852.4198275395</v>
      </c>
    </row>
    <row r="97" spans="1:71">
      <c r="A97" s="4"/>
      <c r="B97" s="17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5"/>
    </row>
    <row r="98" spans="1:71">
      <c r="A98" s="28" t="s">
        <v>189</v>
      </c>
      <c r="B98" s="56" t="s">
        <v>56</v>
      </c>
      <c r="C98" s="47"/>
      <c r="D98" s="47">
        <f t="shared" ref="D98:AD98" si="226">D89+D96</f>
        <v>0</v>
      </c>
      <c r="E98" s="47">
        <f t="shared" si="226"/>
        <v>0</v>
      </c>
      <c r="F98" s="47">
        <f t="shared" si="226"/>
        <v>0</v>
      </c>
      <c r="G98" s="47">
        <f t="shared" si="226"/>
        <v>0</v>
      </c>
      <c r="H98" s="47">
        <f t="shared" si="226"/>
        <v>94909.806833699549</v>
      </c>
      <c r="I98" s="47">
        <f t="shared" si="226"/>
        <v>215085.7906587582</v>
      </c>
      <c r="J98" s="47">
        <f t="shared" si="226"/>
        <v>1083869.2217586136</v>
      </c>
      <c r="K98" s="47">
        <f t="shared" si="226"/>
        <v>1092297.6494046715</v>
      </c>
      <c r="L98" s="47">
        <f t="shared" si="226"/>
        <v>1100534.1082512257</v>
      </c>
      <c r="M98" s="47">
        <f t="shared" si="226"/>
        <v>1108582.2484886125</v>
      </c>
      <c r="N98" s="47">
        <f t="shared" si="226"/>
        <v>1116445.6926172916</v>
      </c>
      <c r="O98" s="47">
        <f t="shared" si="226"/>
        <v>1124128.0327712998</v>
      </c>
      <c r="P98" s="47">
        <f t="shared" si="226"/>
        <v>1131632.8282836466</v>
      </c>
      <c r="Q98" s="47">
        <f t="shared" si="226"/>
        <v>1138963.6034785942</v>
      </c>
      <c r="R98" s="47">
        <f t="shared" si="226"/>
        <v>1146123.8456766072</v>
      </c>
      <c r="S98" s="47">
        <f t="shared" si="226"/>
        <v>1153117.0033985435</v>
      </c>
      <c r="T98" s="47">
        <f t="shared" si="226"/>
        <v>1159946.4847564183</v>
      </c>
      <c r="U98" s="47">
        <f t="shared" si="226"/>
        <v>1166615.6560187759</v>
      </c>
      <c r="V98" s="47">
        <f t="shared" si="226"/>
        <v>1173127.8403393789</v>
      </c>
      <c r="W98" s="47">
        <f t="shared" si="226"/>
        <v>1179486.3166385666</v>
      </c>
      <c r="X98" s="47">
        <f t="shared" si="226"/>
        <v>1185694.3186272278</v>
      </c>
      <c r="Y98" s="47">
        <f t="shared" si="226"/>
        <v>1135550.294060905</v>
      </c>
      <c r="Z98" s="47">
        <f t="shared" si="226"/>
        <v>1065009.2686855055</v>
      </c>
      <c r="AA98" s="47">
        <f t="shared" si="226"/>
        <v>1070537.9590791976</v>
      </c>
      <c r="AB98" s="47">
        <f t="shared" si="226"/>
        <v>0</v>
      </c>
      <c r="AC98" s="47">
        <f t="shared" si="226"/>
        <v>0</v>
      </c>
      <c r="AD98" s="47">
        <f t="shared" si="226"/>
        <v>0</v>
      </c>
      <c r="AE98" s="47">
        <f t="shared" ref="AE98:AF98" si="227">AE89+AE96</f>
        <v>0</v>
      </c>
      <c r="AF98" s="47">
        <f t="shared" si="227"/>
        <v>0</v>
      </c>
      <c r="AG98" s="47">
        <f t="shared" ref="AG98:BO98" si="228">AG89+AG96</f>
        <v>0</v>
      </c>
      <c r="AH98" s="47">
        <f t="shared" si="228"/>
        <v>0</v>
      </c>
      <c r="AI98" s="47">
        <f t="shared" si="228"/>
        <v>0</v>
      </c>
      <c r="AJ98" s="47">
        <f t="shared" si="228"/>
        <v>0</v>
      </c>
      <c r="AK98" s="47">
        <f t="shared" si="228"/>
        <v>0</v>
      </c>
      <c r="AL98" s="47">
        <f t="shared" si="228"/>
        <v>0</v>
      </c>
      <c r="AM98" s="47">
        <f t="shared" si="228"/>
        <v>0</v>
      </c>
      <c r="AN98" s="47">
        <f t="shared" si="228"/>
        <v>0</v>
      </c>
      <c r="AO98" s="47">
        <f t="shared" si="228"/>
        <v>0</v>
      </c>
      <c r="AP98" s="47">
        <f t="shared" si="228"/>
        <v>0</v>
      </c>
      <c r="AQ98" s="47">
        <f t="shared" si="228"/>
        <v>0</v>
      </c>
      <c r="AR98" s="47">
        <f t="shared" si="228"/>
        <v>0</v>
      </c>
      <c r="AS98" s="47">
        <f t="shared" si="228"/>
        <v>0</v>
      </c>
      <c r="AT98" s="47">
        <f t="shared" si="228"/>
        <v>0</v>
      </c>
      <c r="AU98" s="47">
        <f t="shared" si="228"/>
        <v>0</v>
      </c>
      <c r="AV98" s="47">
        <f t="shared" si="228"/>
        <v>0</v>
      </c>
      <c r="AW98" s="47">
        <f t="shared" si="228"/>
        <v>0</v>
      </c>
      <c r="AX98" s="47">
        <f t="shared" si="228"/>
        <v>0</v>
      </c>
      <c r="AY98" s="47">
        <f t="shared" si="228"/>
        <v>0</v>
      </c>
      <c r="AZ98" s="47">
        <f t="shared" si="228"/>
        <v>0</v>
      </c>
      <c r="BA98" s="47">
        <f t="shared" si="228"/>
        <v>0</v>
      </c>
      <c r="BB98" s="47">
        <f t="shared" si="228"/>
        <v>0</v>
      </c>
      <c r="BC98" s="47">
        <f t="shared" si="228"/>
        <v>0</v>
      </c>
      <c r="BD98" s="47">
        <f t="shared" si="228"/>
        <v>0</v>
      </c>
      <c r="BE98" s="47">
        <f t="shared" si="228"/>
        <v>0</v>
      </c>
      <c r="BF98" s="47">
        <f t="shared" si="228"/>
        <v>0</v>
      </c>
      <c r="BG98" s="47">
        <f t="shared" si="228"/>
        <v>0</v>
      </c>
      <c r="BH98" s="47">
        <f t="shared" si="228"/>
        <v>0</v>
      </c>
      <c r="BI98" s="47">
        <f t="shared" si="228"/>
        <v>0</v>
      </c>
      <c r="BJ98" s="47">
        <f t="shared" si="228"/>
        <v>0</v>
      </c>
      <c r="BK98" s="47">
        <f t="shared" si="228"/>
        <v>0</v>
      </c>
      <c r="BL98" s="47">
        <f t="shared" si="228"/>
        <v>0</v>
      </c>
      <c r="BM98" s="47">
        <f t="shared" si="228"/>
        <v>0</v>
      </c>
      <c r="BN98" s="47">
        <f t="shared" si="228"/>
        <v>0</v>
      </c>
      <c r="BO98" s="47">
        <f t="shared" si="228"/>
        <v>0</v>
      </c>
      <c r="BP98" s="47"/>
      <c r="BQ98" s="49">
        <f>SUM(D98:BO98)</f>
        <v>20641657.969827536</v>
      </c>
    </row>
    <row r="99" spans="1:71">
      <c r="A99" s="28" t="s">
        <v>190</v>
      </c>
      <c r="B99" s="56" t="s">
        <v>53</v>
      </c>
      <c r="C99" s="47"/>
      <c r="D99" s="48">
        <f t="shared" ref="D99:AI99" si="229">IFERROR(D98/D19,0)</f>
        <v>0</v>
      </c>
      <c r="E99" s="48">
        <f t="shared" si="229"/>
        <v>0</v>
      </c>
      <c r="F99" s="48">
        <f t="shared" si="229"/>
        <v>0</v>
      </c>
      <c r="G99" s="48">
        <f t="shared" si="229"/>
        <v>0</v>
      </c>
      <c r="H99" s="48">
        <f t="shared" si="229"/>
        <v>1165.5099571875865</v>
      </c>
      <c r="I99" s="48">
        <f t="shared" si="229"/>
        <v>1320.6466171698976</v>
      </c>
      <c r="J99" s="48">
        <f t="shared" si="229"/>
        <v>200.76396232861941</v>
      </c>
      <c r="K99" s="48">
        <f t="shared" si="229"/>
        <v>202.32515116621474</v>
      </c>
      <c r="L99" s="48">
        <f t="shared" si="229"/>
        <v>203.85078182385794</v>
      </c>
      <c r="M99" s="48">
        <f t="shared" si="229"/>
        <v>205.34153042248732</v>
      </c>
      <c r="N99" s="48">
        <f t="shared" si="229"/>
        <v>206.79806795407424</v>
      </c>
      <c r="O99" s="48">
        <f t="shared" si="229"/>
        <v>208.22105978584935</v>
      </c>
      <c r="P99" s="48">
        <f t="shared" si="229"/>
        <v>209.61116520934328</v>
      </c>
      <c r="Q99" s="48">
        <f t="shared" si="229"/>
        <v>210.96903703145301</v>
      </c>
      <c r="R99" s="48">
        <f t="shared" si="229"/>
        <v>212.29532120490086</v>
      </c>
      <c r="S99" s="48">
        <f t="shared" si="229"/>
        <v>213.59065649559849</v>
      </c>
      <c r="T99" s="48">
        <f t="shared" si="229"/>
        <v>214.85567418456995</v>
      </c>
      <c r="U99" s="48">
        <f t="shared" si="229"/>
        <v>216.09099780221695</v>
      </c>
      <c r="V99" s="48">
        <f t="shared" si="229"/>
        <v>217.29724289283521</v>
      </c>
      <c r="W99" s="48">
        <f t="shared" si="229"/>
        <v>218.47501680740976</v>
      </c>
      <c r="X99" s="48">
        <f t="shared" si="229"/>
        <v>219.62491852282645</v>
      </c>
      <c r="Y99" s="48">
        <f t="shared" si="229"/>
        <v>214.9294888483706</v>
      </c>
      <c r="Z99" s="48">
        <f t="shared" si="229"/>
        <v>206.07764486948636</v>
      </c>
      <c r="AA99" s="48">
        <f t="shared" si="229"/>
        <v>207.14743790232151</v>
      </c>
      <c r="AB99" s="48">
        <f t="shared" si="229"/>
        <v>0</v>
      </c>
      <c r="AC99" s="48">
        <f t="shared" si="229"/>
        <v>0</v>
      </c>
      <c r="AD99" s="48">
        <f t="shared" si="229"/>
        <v>0</v>
      </c>
      <c r="AE99" s="48">
        <f t="shared" si="229"/>
        <v>0</v>
      </c>
      <c r="AF99" s="48">
        <f t="shared" si="229"/>
        <v>0</v>
      </c>
      <c r="AG99" s="48">
        <f t="shared" si="229"/>
        <v>0</v>
      </c>
      <c r="AH99" s="48">
        <f t="shared" si="229"/>
        <v>0</v>
      </c>
      <c r="AI99" s="48">
        <f t="shared" si="229"/>
        <v>0</v>
      </c>
      <c r="AJ99" s="48">
        <f t="shared" ref="AJ99:BO99" si="230">IFERROR(AJ98/AJ19,0)</f>
        <v>0</v>
      </c>
      <c r="AK99" s="48">
        <f t="shared" si="230"/>
        <v>0</v>
      </c>
      <c r="AL99" s="48">
        <f t="shared" si="230"/>
        <v>0</v>
      </c>
      <c r="AM99" s="48">
        <f t="shared" si="230"/>
        <v>0</v>
      </c>
      <c r="AN99" s="48">
        <f t="shared" si="230"/>
        <v>0</v>
      </c>
      <c r="AO99" s="48">
        <f t="shared" si="230"/>
        <v>0</v>
      </c>
      <c r="AP99" s="48">
        <f t="shared" si="230"/>
        <v>0</v>
      </c>
      <c r="AQ99" s="48">
        <f t="shared" si="230"/>
        <v>0</v>
      </c>
      <c r="AR99" s="48">
        <f t="shared" si="230"/>
        <v>0</v>
      </c>
      <c r="AS99" s="48">
        <f t="shared" si="230"/>
        <v>0</v>
      </c>
      <c r="AT99" s="48">
        <f t="shared" si="230"/>
        <v>0</v>
      </c>
      <c r="AU99" s="48">
        <f t="shared" si="230"/>
        <v>0</v>
      </c>
      <c r="AV99" s="48">
        <f t="shared" si="230"/>
        <v>0</v>
      </c>
      <c r="AW99" s="48">
        <f t="shared" si="230"/>
        <v>0</v>
      </c>
      <c r="AX99" s="48">
        <f t="shared" si="230"/>
        <v>0</v>
      </c>
      <c r="AY99" s="48">
        <f t="shared" si="230"/>
        <v>0</v>
      </c>
      <c r="AZ99" s="48">
        <f t="shared" si="230"/>
        <v>0</v>
      </c>
      <c r="BA99" s="48">
        <f t="shared" si="230"/>
        <v>0</v>
      </c>
      <c r="BB99" s="48">
        <f t="shared" si="230"/>
        <v>0</v>
      </c>
      <c r="BC99" s="48">
        <f t="shared" si="230"/>
        <v>0</v>
      </c>
      <c r="BD99" s="48">
        <f t="shared" si="230"/>
        <v>0</v>
      </c>
      <c r="BE99" s="48">
        <f t="shared" si="230"/>
        <v>0</v>
      </c>
      <c r="BF99" s="48">
        <f t="shared" si="230"/>
        <v>0</v>
      </c>
      <c r="BG99" s="48">
        <f t="shared" si="230"/>
        <v>0</v>
      </c>
      <c r="BH99" s="48">
        <f t="shared" si="230"/>
        <v>0</v>
      </c>
      <c r="BI99" s="48">
        <f t="shared" si="230"/>
        <v>0</v>
      </c>
      <c r="BJ99" s="48">
        <f t="shared" si="230"/>
        <v>0</v>
      </c>
      <c r="BK99" s="48">
        <f t="shared" si="230"/>
        <v>0</v>
      </c>
      <c r="BL99" s="48">
        <f t="shared" si="230"/>
        <v>0</v>
      </c>
      <c r="BM99" s="48">
        <f t="shared" si="230"/>
        <v>0</v>
      </c>
      <c r="BN99" s="48">
        <f t="shared" si="230"/>
        <v>0</v>
      </c>
      <c r="BO99" s="48">
        <f t="shared" si="230"/>
        <v>0</v>
      </c>
      <c r="BP99" s="48"/>
      <c r="BQ99" s="58">
        <f>IFERROR(BQ98/BQ19,0)</f>
        <v>213.14224486952926</v>
      </c>
    </row>
    <row r="100" spans="1:71">
      <c r="A100" s="4"/>
      <c r="B100" s="1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59"/>
    </row>
    <row r="101" spans="1:71">
      <c r="A101" s="28" t="s">
        <v>191</v>
      </c>
      <c r="B101" s="17" t="s">
        <v>56</v>
      </c>
      <c r="D101" s="46">
        <f>D62-D98</f>
        <v>0</v>
      </c>
      <c r="E101" s="46">
        <f t="shared" ref="E101:AI101" si="231">E62-E98</f>
        <v>0</v>
      </c>
      <c r="F101" s="46">
        <f t="shared" si="231"/>
        <v>0</v>
      </c>
      <c r="G101" s="46">
        <f t="shared" si="231"/>
        <v>0</v>
      </c>
      <c r="H101" s="46">
        <f t="shared" si="231"/>
        <v>-69984.533790221292</v>
      </c>
      <c r="I101" s="46">
        <f t="shared" si="231"/>
        <v>-165235.24457180168</v>
      </c>
      <c r="J101" s="46">
        <f t="shared" si="231"/>
        <v>568609.77650225605</v>
      </c>
      <c r="K101" s="46">
        <f t="shared" si="231"/>
        <v>560181.34885619814</v>
      </c>
      <c r="L101" s="46">
        <f t="shared" si="231"/>
        <v>551944.89000964398</v>
      </c>
      <c r="M101" s="46">
        <f t="shared" si="231"/>
        <v>543896.74977225717</v>
      </c>
      <c r="N101" s="46">
        <f t="shared" si="231"/>
        <v>536033.30564357806</v>
      </c>
      <c r="O101" s="46">
        <f t="shared" si="231"/>
        <v>528350.96548956982</v>
      </c>
      <c r="P101" s="46">
        <f t="shared" si="231"/>
        <v>520846.16997722303</v>
      </c>
      <c r="Q101" s="46">
        <f t="shared" si="231"/>
        <v>513515.39478227543</v>
      </c>
      <c r="R101" s="46">
        <f t="shared" si="231"/>
        <v>506355.15258426243</v>
      </c>
      <c r="S101" s="46">
        <f t="shared" si="231"/>
        <v>499361.99486232619</v>
      </c>
      <c r="T101" s="46">
        <f t="shared" si="231"/>
        <v>492532.51350445137</v>
      </c>
      <c r="U101" s="46">
        <f t="shared" si="231"/>
        <v>485863.34224209376</v>
      </c>
      <c r="V101" s="46">
        <f t="shared" si="231"/>
        <v>479351.15792149073</v>
      </c>
      <c r="W101" s="46">
        <f t="shared" si="231"/>
        <v>472992.68162230309</v>
      </c>
      <c r="X101" s="46">
        <f t="shared" si="231"/>
        <v>466784.67963364185</v>
      </c>
      <c r="Y101" s="46">
        <f t="shared" si="231"/>
        <v>481617.90072170389</v>
      </c>
      <c r="Z101" s="46">
        <f t="shared" si="231"/>
        <v>516848.12261884217</v>
      </c>
      <c r="AA101" s="46">
        <f t="shared" si="231"/>
        <v>511319.43222515006</v>
      </c>
      <c r="AB101" s="46">
        <f t="shared" si="231"/>
        <v>0</v>
      </c>
      <c r="AC101" s="46">
        <f t="shared" si="231"/>
        <v>0</v>
      </c>
      <c r="AD101" s="46">
        <f t="shared" si="231"/>
        <v>0</v>
      </c>
      <c r="AE101" s="46">
        <f t="shared" si="231"/>
        <v>0</v>
      </c>
      <c r="AF101" s="46">
        <f t="shared" si="231"/>
        <v>0</v>
      </c>
      <c r="AG101" s="46">
        <f t="shared" si="231"/>
        <v>0</v>
      </c>
      <c r="AH101" s="46">
        <f t="shared" si="231"/>
        <v>0</v>
      </c>
      <c r="AI101" s="46">
        <f t="shared" si="231"/>
        <v>0</v>
      </c>
      <c r="AJ101" s="46">
        <f t="shared" ref="AJ101:BO101" si="232">AJ62-AJ98</f>
        <v>0</v>
      </c>
      <c r="AK101" s="46">
        <f t="shared" si="232"/>
        <v>0</v>
      </c>
      <c r="AL101" s="46">
        <f t="shared" si="232"/>
        <v>0</v>
      </c>
      <c r="AM101" s="46">
        <f t="shared" si="232"/>
        <v>0</v>
      </c>
      <c r="AN101" s="46">
        <f t="shared" si="232"/>
        <v>0</v>
      </c>
      <c r="AO101" s="46">
        <f t="shared" si="232"/>
        <v>0</v>
      </c>
      <c r="AP101" s="46">
        <f t="shared" si="232"/>
        <v>0</v>
      </c>
      <c r="AQ101" s="46">
        <f t="shared" si="232"/>
        <v>0</v>
      </c>
      <c r="AR101" s="46">
        <f t="shared" si="232"/>
        <v>0</v>
      </c>
      <c r="AS101" s="46">
        <f t="shared" si="232"/>
        <v>0</v>
      </c>
      <c r="AT101" s="46">
        <f t="shared" si="232"/>
        <v>0</v>
      </c>
      <c r="AU101" s="46">
        <f t="shared" si="232"/>
        <v>0</v>
      </c>
      <c r="AV101" s="46">
        <f t="shared" si="232"/>
        <v>0</v>
      </c>
      <c r="AW101" s="46">
        <f t="shared" si="232"/>
        <v>0</v>
      </c>
      <c r="AX101" s="46">
        <f t="shared" si="232"/>
        <v>0</v>
      </c>
      <c r="AY101" s="46">
        <f t="shared" si="232"/>
        <v>0</v>
      </c>
      <c r="AZ101" s="46">
        <f t="shared" si="232"/>
        <v>0</v>
      </c>
      <c r="BA101" s="46">
        <f t="shared" si="232"/>
        <v>0</v>
      </c>
      <c r="BB101" s="46">
        <f t="shared" si="232"/>
        <v>0</v>
      </c>
      <c r="BC101" s="46">
        <f t="shared" si="232"/>
        <v>0</v>
      </c>
      <c r="BD101" s="46">
        <f t="shared" si="232"/>
        <v>0</v>
      </c>
      <c r="BE101" s="46">
        <f t="shared" si="232"/>
        <v>0</v>
      </c>
      <c r="BF101" s="46">
        <f t="shared" si="232"/>
        <v>0</v>
      </c>
      <c r="BG101" s="46">
        <f t="shared" si="232"/>
        <v>0</v>
      </c>
      <c r="BH101" s="46">
        <f t="shared" si="232"/>
        <v>0</v>
      </c>
      <c r="BI101" s="46">
        <f t="shared" si="232"/>
        <v>0</v>
      </c>
      <c r="BJ101" s="46">
        <f t="shared" si="232"/>
        <v>0</v>
      </c>
      <c r="BK101" s="46">
        <f t="shared" si="232"/>
        <v>0</v>
      </c>
      <c r="BL101" s="46">
        <f t="shared" si="232"/>
        <v>0</v>
      </c>
      <c r="BM101" s="46">
        <f t="shared" si="232"/>
        <v>0</v>
      </c>
      <c r="BN101" s="46">
        <f t="shared" si="232"/>
        <v>0</v>
      </c>
      <c r="BO101" s="46">
        <f t="shared" si="232"/>
        <v>0</v>
      </c>
      <c r="BP101" s="46"/>
      <c r="BQ101" s="60">
        <f>BQ62-BQ98</f>
        <v>9001185.8006072529</v>
      </c>
    </row>
    <row r="102" spans="1:71">
      <c r="A102" s="4"/>
      <c r="B102" s="17"/>
      <c r="BQ102" s="25"/>
    </row>
    <row r="103" spans="1:71">
      <c r="A103" s="28" t="s">
        <v>192</v>
      </c>
      <c r="B103" s="17"/>
      <c r="BQ103" s="25"/>
    </row>
    <row r="104" spans="1:71">
      <c r="A104" s="4" t="s">
        <v>291</v>
      </c>
      <c r="B104" s="17" t="s">
        <v>56</v>
      </c>
      <c r="C104" s="65">
        <v>2500</v>
      </c>
      <c r="D104" s="12">
        <f>IF(D9&gt;0,$C$104,0)</f>
        <v>0</v>
      </c>
      <c r="E104" s="12">
        <f t="shared" ref="E104:AI104" si="233">IF(E9&gt;0,$C$104,0)</f>
        <v>0</v>
      </c>
      <c r="F104" s="12">
        <f t="shared" si="233"/>
        <v>0</v>
      </c>
      <c r="G104" s="12">
        <f t="shared" si="233"/>
        <v>0</v>
      </c>
      <c r="H104" s="12">
        <f t="shared" si="233"/>
        <v>2500</v>
      </c>
      <c r="I104" s="12">
        <f t="shared" si="233"/>
        <v>2500</v>
      </c>
      <c r="J104" s="12">
        <f t="shared" si="233"/>
        <v>2500</v>
      </c>
      <c r="K104" s="12">
        <f t="shared" si="233"/>
        <v>2500</v>
      </c>
      <c r="L104" s="12">
        <f t="shared" si="233"/>
        <v>2500</v>
      </c>
      <c r="M104" s="12">
        <f t="shared" si="233"/>
        <v>2500</v>
      </c>
      <c r="N104" s="12">
        <f t="shared" si="233"/>
        <v>2500</v>
      </c>
      <c r="O104" s="12">
        <f t="shared" si="233"/>
        <v>2500</v>
      </c>
      <c r="P104" s="12">
        <f t="shared" si="233"/>
        <v>2500</v>
      </c>
      <c r="Q104" s="12">
        <f t="shared" si="233"/>
        <v>2500</v>
      </c>
      <c r="R104" s="12">
        <f t="shared" si="233"/>
        <v>2500</v>
      </c>
      <c r="S104" s="12">
        <f t="shared" si="233"/>
        <v>2500</v>
      </c>
      <c r="T104" s="12">
        <f t="shared" si="233"/>
        <v>2500</v>
      </c>
      <c r="U104" s="12">
        <f t="shared" si="233"/>
        <v>2500</v>
      </c>
      <c r="V104" s="12">
        <f t="shared" si="233"/>
        <v>2500</v>
      </c>
      <c r="W104" s="12">
        <f t="shared" si="233"/>
        <v>2500</v>
      </c>
      <c r="X104" s="12">
        <f t="shared" si="233"/>
        <v>2500</v>
      </c>
      <c r="Y104" s="12">
        <f t="shared" si="233"/>
        <v>2500</v>
      </c>
      <c r="Z104" s="12">
        <f t="shared" si="233"/>
        <v>2500</v>
      </c>
      <c r="AA104" s="12">
        <f t="shared" si="233"/>
        <v>2500</v>
      </c>
      <c r="AB104" s="12">
        <f t="shared" si="233"/>
        <v>0</v>
      </c>
      <c r="AC104" s="12">
        <f t="shared" si="233"/>
        <v>0</v>
      </c>
      <c r="AD104" s="12">
        <f t="shared" si="233"/>
        <v>0</v>
      </c>
      <c r="AE104" s="12">
        <f t="shared" si="233"/>
        <v>0</v>
      </c>
      <c r="AF104" s="12">
        <f t="shared" si="233"/>
        <v>0</v>
      </c>
      <c r="AG104" s="12">
        <f t="shared" si="233"/>
        <v>0</v>
      </c>
      <c r="AH104" s="12">
        <f t="shared" si="233"/>
        <v>0</v>
      </c>
      <c r="AI104" s="12">
        <f t="shared" si="233"/>
        <v>0</v>
      </c>
      <c r="AJ104" s="12">
        <f t="shared" ref="AJ104:BO104" si="234">IF(AJ9&gt;0,$C$104,0)</f>
        <v>0</v>
      </c>
      <c r="AK104" s="12">
        <f t="shared" si="234"/>
        <v>0</v>
      </c>
      <c r="AL104" s="12">
        <f t="shared" si="234"/>
        <v>0</v>
      </c>
      <c r="AM104" s="12">
        <f t="shared" si="234"/>
        <v>0</v>
      </c>
      <c r="AN104" s="12">
        <f t="shared" si="234"/>
        <v>0</v>
      </c>
      <c r="AO104" s="12">
        <f t="shared" si="234"/>
        <v>0</v>
      </c>
      <c r="AP104" s="12">
        <f t="shared" si="234"/>
        <v>0</v>
      </c>
      <c r="AQ104" s="12">
        <f t="shared" si="234"/>
        <v>0</v>
      </c>
      <c r="AR104" s="12">
        <f t="shared" si="234"/>
        <v>0</v>
      </c>
      <c r="AS104" s="12">
        <f t="shared" si="234"/>
        <v>0</v>
      </c>
      <c r="AT104" s="12">
        <f t="shared" si="234"/>
        <v>0</v>
      </c>
      <c r="AU104" s="12">
        <f t="shared" si="234"/>
        <v>0</v>
      </c>
      <c r="AV104" s="12">
        <f t="shared" si="234"/>
        <v>0</v>
      </c>
      <c r="AW104" s="12">
        <f t="shared" si="234"/>
        <v>0</v>
      </c>
      <c r="AX104" s="12">
        <f t="shared" si="234"/>
        <v>0</v>
      </c>
      <c r="AY104" s="12">
        <f t="shared" si="234"/>
        <v>0</v>
      </c>
      <c r="AZ104" s="12">
        <f t="shared" si="234"/>
        <v>0</v>
      </c>
      <c r="BA104" s="12">
        <f t="shared" si="234"/>
        <v>0</v>
      </c>
      <c r="BB104" s="12">
        <f t="shared" si="234"/>
        <v>0</v>
      </c>
      <c r="BC104" s="12">
        <f t="shared" si="234"/>
        <v>0</v>
      </c>
      <c r="BD104" s="12">
        <f t="shared" si="234"/>
        <v>0</v>
      </c>
      <c r="BE104" s="12">
        <f t="shared" si="234"/>
        <v>0</v>
      </c>
      <c r="BF104" s="12">
        <f t="shared" si="234"/>
        <v>0</v>
      </c>
      <c r="BG104" s="12">
        <f t="shared" si="234"/>
        <v>0</v>
      </c>
      <c r="BH104" s="12">
        <f t="shared" si="234"/>
        <v>0</v>
      </c>
      <c r="BI104" s="12">
        <f t="shared" si="234"/>
        <v>0</v>
      </c>
      <c r="BJ104" s="12">
        <f t="shared" si="234"/>
        <v>0</v>
      </c>
      <c r="BK104" s="12">
        <f t="shared" si="234"/>
        <v>0</v>
      </c>
      <c r="BL104" s="12">
        <f t="shared" si="234"/>
        <v>0</v>
      </c>
      <c r="BM104" s="12">
        <f t="shared" si="234"/>
        <v>0</v>
      </c>
      <c r="BN104" s="12">
        <f t="shared" si="234"/>
        <v>0</v>
      </c>
      <c r="BO104" s="12">
        <f t="shared" si="234"/>
        <v>0</v>
      </c>
      <c r="BP104" s="12"/>
      <c r="BQ104" s="5">
        <f>SUM(D104:BO104)</f>
        <v>50000</v>
      </c>
    </row>
    <row r="105" spans="1:71">
      <c r="A105" s="4" t="s">
        <v>194</v>
      </c>
      <c r="B105" s="17" t="s">
        <v>56</v>
      </c>
      <c r="C105" s="41">
        <v>150000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76"/>
      <c r="X105" s="12"/>
      <c r="Y105" s="12"/>
      <c r="Z105" s="12"/>
      <c r="AA105" s="76"/>
      <c r="AB105" s="12"/>
      <c r="AC105" s="12"/>
      <c r="AD105" s="76">
        <f>C105</f>
        <v>150000</v>
      </c>
      <c r="AE105" s="76">
        <v>0</v>
      </c>
      <c r="AF105" s="76">
        <v>0</v>
      </c>
      <c r="AG105" s="76">
        <v>0</v>
      </c>
      <c r="AH105" s="76">
        <v>0</v>
      </c>
      <c r="AI105" s="76">
        <v>0</v>
      </c>
      <c r="AJ105" s="76">
        <v>0</v>
      </c>
      <c r="AK105" s="76">
        <v>0</v>
      </c>
      <c r="AL105" s="76">
        <v>0</v>
      </c>
      <c r="AM105" s="76">
        <v>0</v>
      </c>
      <c r="AN105" s="76">
        <v>0</v>
      </c>
      <c r="AO105" s="76">
        <v>0</v>
      </c>
      <c r="AP105" s="76">
        <v>0</v>
      </c>
      <c r="AQ105" s="76">
        <v>0</v>
      </c>
      <c r="AR105" s="76">
        <v>0</v>
      </c>
      <c r="AS105" s="76">
        <v>0</v>
      </c>
      <c r="AT105" s="76">
        <v>0</v>
      </c>
      <c r="AU105" s="76">
        <v>0</v>
      </c>
      <c r="AV105" s="76">
        <v>0</v>
      </c>
      <c r="AW105" s="76">
        <v>0</v>
      </c>
      <c r="AX105" s="76">
        <v>0</v>
      </c>
      <c r="AY105" s="76">
        <v>0</v>
      </c>
      <c r="AZ105" s="76">
        <v>0</v>
      </c>
      <c r="BA105" s="76">
        <v>0</v>
      </c>
      <c r="BB105" s="76">
        <v>0</v>
      </c>
      <c r="BC105" s="76">
        <v>0</v>
      </c>
      <c r="BD105" s="76">
        <v>0</v>
      </c>
      <c r="BE105" s="76">
        <v>0</v>
      </c>
      <c r="BF105" s="76">
        <v>0</v>
      </c>
      <c r="BG105" s="76">
        <v>0</v>
      </c>
      <c r="BH105" s="76">
        <v>0</v>
      </c>
      <c r="BI105" s="76">
        <v>0</v>
      </c>
      <c r="BJ105" s="76">
        <v>0</v>
      </c>
      <c r="BK105" s="76">
        <v>0</v>
      </c>
      <c r="BL105" s="76">
        <v>0</v>
      </c>
      <c r="BM105" s="76">
        <v>0</v>
      </c>
      <c r="BN105" s="76">
        <v>0</v>
      </c>
      <c r="BO105" s="76">
        <v>0</v>
      </c>
      <c r="BP105" s="76"/>
      <c r="BQ105" s="5">
        <f>SUM(D105:BO105)</f>
        <v>150000</v>
      </c>
      <c r="BS105" s="37"/>
    </row>
    <row r="106" spans="1:71">
      <c r="A106" s="4" t="s">
        <v>195</v>
      </c>
      <c r="B106" s="17" t="s">
        <v>56</v>
      </c>
      <c r="D106" s="76">
        <f>IF(Assumptions!$C$20="Zero Carbon Liability",'Brave Blossom '!D26*Carbon!B2,'Brave Blossom '!D26*Carbon!B3)/1000</f>
        <v>0</v>
      </c>
      <c r="E106" s="76">
        <f>IF(Assumptions!$C$20="Zero Carbon Liability",'Brave Blossom '!E26*Carbon!C2,'Brave Blossom '!E26*Carbon!C3)/1000</f>
        <v>0</v>
      </c>
      <c r="F106" s="76">
        <f>IF(Assumptions!$C$20="Zero Carbon Liability",'Brave Blossom '!F26*Carbon!D2,'Brave Blossom '!F26*Carbon!D3)/1000</f>
        <v>0</v>
      </c>
      <c r="G106" s="76">
        <f>IF(Assumptions!$C$20="Zero Carbon Liability",'Brave Blossom '!G26*Carbon!E2,'Brave Blossom '!G26*Carbon!E3)/1000</f>
        <v>0</v>
      </c>
      <c r="H106" s="76">
        <f>IF(Assumptions!$C$20="Zero Carbon Liability",'Brave Blossom '!H26*Carbon!F2,'Brave Blossom '!H26*Carbon!F3)/1000</f>
        <v>2606.3647839700002</v>
      </c>
      <c r="I106" s="76">
        <f>IF(Assumptions!$C$20="Zero Carbon Liability",'Brave Blossom '!I26*Carbon!G2,'Brave Blossom '!I26*Carbon!G3)/1000</f>
        <v>4156.5093712875005</v>
      </c>
      <c r="J106" s="76">
        <f>IF(Assumptions!$C$20="Zero Carbon Liability",'Brave Blossom '!J26*Carbon!H2,'Brave Blossom '!J26*Carbon!H3)/1000</f>
        <v>65663.581431825005</v>
      </c>
      <c r="K106" s="76">
        <f>IF(Assumptions!$C$20="Zero Carbon Liability",'Brave Blossom '!K26*Carbon!I2,'Brave Blossom '!K26*Carbon!I3)/1000</f>
        <v>71463.408048663754</v>
      </c>
      <c r="L106" s="76">
        <f>IF(Assumptions!$C$20="Zero Carbon Liability",'Brave Blossom '!L26*Carbon!J2,'Brave Blossom '!L26*Carbon!J3)/1000</f>
        <v>77502.915384097505</v>
      </c>
      <c r="M106" s="76">
        <f>IF(Assumptions!$C$20="Zero Carbon Liability",'Brave Blossom '!M26*Carbon!K2,'Brave Blossom '!M26*Carbon!K3)/1000</f>
        <v>83782.103438126273</v>
      </c>
      <c r="N106" s="76">
        <f>IF(Assumptions!$C$20="Zero Carbon Liability",'Brave Blossom '!N26*Carbon!L2,'Brave Blossom '!N26*Carbon!L3)/1000</f>
        <v>86538.431701968759</v>
      </c>
      <c r="O106" s="76">
        <f>IF(Assumptions!$C$20="Zero Carbon Liability",'Brave Blossom '!O26*Carbon!M2,'Brave Blossom '!O26*Carbon!M3)/1000</f>
        <v>89294.759965811245</v>
      </c>
      <c r="P106" s="76">
        <f>IF(Assumptions!$C$20="Zero Carbon Liability",'Brave Blossom '!P26*Carbon!N2,'Brave Blossom '!P26*Carbon!N3)/1000</f>
        <v>96053.309457030002</v>
      </c>
      <c r="Q106" s="76">
        <f>IF(Assumptions!$C$20="Zero Carbon Liability",'Brave Blossom '!Q26*Carbon!O2,'Brave Blossom '!Q26*Carbon!O3)/1000</f>
        <v>98929.478080169996</v>
      </c>
      <c r="R106" s="76">
        <f>IF(Assumptions!$C$20="Zero Carbon Liability",'Brave Blossom '!R26*Carbon!P2,'Brave Blossom '!R26*Carbon!P3)/1000</f>
        <v>101805.64670330999</v>
      </c>
      <c r="S106" s="76">
        <f>IF(Assumptions!$C$20="Zero Carbon Liability",'Brave Blossom '!S26*Carbon!Q2,'Brave Blossom '!S26*Carbon!Q3)/1000</f>
        <v>104681.81532645</v>
      </c>
      <c r="T106" s="76">
        <f>IF(Assumptions!$C$20="Zero Carbon Liability",'Brave Blossom '!T26*Carbon!R2,'Brave Blossom '!T26*Carbon!R3)/1000</f>
        <v>107557.98394958999</v>
      </c>
      <c r="U106" s="76">
        <f>IF(Assumptions!$C$20="Zero Carbon Liability",'Brave Blossom '!U26*Carbon!S2,'Brave Blossom '!U26*Carbon!S3)/1000</f>
        <v>110434.15257272999</v>
      </c>
      <c r="V106" s="76">
        <f>IF(Assumptions!$C$20="Zero Carbon Liability",'Brave Blossom '!V26*Carbon!T2,'Brave Blossom '!V26*Carbon!T3)/1000</f>
        <v>108589.05781270875</v>
      </c>
      <c r="W106" s="76">
        <f>IF(Assumptions!$C$20="Zero Carbon Liability",'Brave Blossom '!W26*Carbon!U2,'Brave Blossom '!W26*Carbon!U3)/1000</f>
        <v>111345.38607655125</v>
      </c>
      <c r="X106" s="76">
        <f>IF(Assumptions!$C$20="Zero Carbon Liability",'Brave Blossom '!X26*Carbon!V2,'Brave Blossom '!X26*Carbon!V3)/1000</f>
        <v>114101.71434039374</v>
      </c>
      <c r="Y106" s="76">
        <f>IF(Assumptions!$C$20="Zero Carbon Liability",'Brave Blossom '!Y26*Carbon!W2,'Brave Blossom '!Y26*Carbon!W3)/1000</f>
        <v>119384.47567264499</v>
      </c>
      <c r="Z106" s="76">
        <f>IF(Assumptions!$C$20="Zero Carbon Liability",'Brave Blossom '!Z26*Carbon!X2,'Brave Blossom '!Z26*Carbon!X3)/1000</f>
        <v>129548.65599</v>
      </c>
      <c r="AA106" s="76">
        <f>IF(Assumptions!$C$20="Zero Carbon Liability",'Brave Blossom '!AA26*Carbon!Y2,'Brave Blossom '!AA26*Carbon!Y3)/1000</f>
        <v>141119.99999999997</v>
      </c>
      <c r="AB106" s="76">
        <f>IF(Assumptions!$C$20="Zero Carbon Liability",'Brave Blossom '!AB26*Carbon!Z2,'Brave Blossom '!AB26*Carbon!Z3)/1000</f>
        <v>117686.96740781899</v>
      </c>
      <c r="AC106" s="76">
        <f>IF(Assumptions!$C$20="Zero Carbon Liability",'Brave Blossom '!AC26*Carbon!AA2,'Brave Blossom '!AC26*Carbon!AA3)/1000</f>
        <v>91684.509027890483</v>
      </c>
      <c r="AD106" s="76">
        <f>IF(Assumptions!$C$20="Zero Carbon Liability",'Brave Blossom '!AD26*Carbon!AB2,'Brave Blossom '!AD26*Carbon!AB3)/1000</f>
        <v>74478.377822509763</v>
      </c>
      <c r="AE106" s="76">
        <f>IF(Assumptions!$C$20="Zero Carbon Liability",'Brave Blossom '!AE26*Carbon!AC2,'Brave Blossom '!AE26*Carbon!AC3)/1000</f>
        <v>60319.60277521117</v>
      </c>
      <c r="AF106" s="76">
        <f>IF(Assumptions!$C$20="Zero Carbon Liability",'Brave Blossom '!AF26*Carbon!AD2,'Brave Blossom '!AF26*Carbon!AD3)/1000</f>
        <v>51666.789115398416</v>
      </c>
      <c r="AG106" s="76">
        <f>IF(Assumptions!$C$20="Zero Carbon Liability",'Brave Blossom '!AG26*Carbon!AE2,'Brave Blossom '!AG26*Carbon!AE3)/1000</f>
        <v>43607.588734936617</v>
      </c>
      <c r="AH106" s="76">
        <f>IF(Assumptions!$C$20="Zero Carbon Liability",'Brave Blossom '!AH26*Carbon!AF2,'Brave Blossom '!AH26*Carbon!AF3)/1000</f>
        <v>38543.525941230131</v>
      </c>
      <c r="AI106" s="76">
        <f>IF(Assumptions!$C$20="Zero Carbon Liability",'Brave Blossom '!AI26*Carbon!AG2,'Brave Blossom '!AI26*Carbon!AG3)/1000</f>
        <v>34435.164835699194</v>
      </c>
      <c r="AJ106" s="76">
        <f>IF(Assumptions!$C$20="Zero Carbon Liability",'Brave Blossom '!AJ26*Carbon!AH2,'Brave Blossom '!AJ26*Carbon!AH3)/1000</f>
        <v>30122.6798996547</v>
      </c>
      <c r="AK106" s="76">
        <f>IF(Assumptions!$C$20="Zero Carbon Liability",'Brave Blossom '!AK26*Carbon!AI2,'Brave Blossom '!AK26*Carbon!AI3)/1000</f>
        <v>27369.776696214863</v>
      </c>
      <c r="AL106" s="76">
        <f>IF(Assumptions!$C$20="Zero Carbon Liability",'Brave Blossom '!AL26*Carbon!AJ2,'Brave Blossom '!AL26*Carbon!AJ3)/1000</f>
        <v>25017.995835463811</v>
      </c>
      <c r="AM106" s="76">
        <f>IF(Assumptions!$C$20="Zero Carbon Liability",'Brave Blossom '!AM26*Carbon!AK2,'Brave Blossom '!AM26*Carbon!AK3)/1000</f>
        <v>22345.316766032163</v>
      </c>
      <c r="AN106" s="76">
        <f>IF(Assumptions!$C$20="Zero Carbon Liability",'Brave Blossom '!AN26*Carbon!AL2,'Brave Blossom '!AN26*Carbon!AL3)/1000</f>
        <v>20631.815079001462</v>
      </c>
      <c r="AO106" s="76">
        <f>IF(Assumptions!$C$20="Zero Carbon Liability",'Brave Blossom '!AO26*Carbon!AM2,'Brave Blossom '!AO26*Carbon!AM3)/1000</f>
        <v>19117.712864013454</v>
      </c>
      <c r="AP106" s="76">
        <f>IF(Assumptions!$C$20="Zero Carbon Liability",'Brave Blossom '!AP26*Carbon!AN2,'Brave Blossom '!AP26*Carbon!AN3)/1000</f>
        <v>17768.327929057432</v>
      </c>
      <c r="AQ106" s="76">
        <f>IF(Assumptions!$C$20="Zero Carbon Liability",'Brave Blossom '!AQ26*Carbon!AO2,'Brave Blossom '!AQ26*Carbon!AO3)/1000</f>
        <v>16131.985445318816</v>
      </c>
      <c r="AR106" s="76">
        <f>IF(Assumptions!$C$20="Zero Carbon Liability",'Brave Blossom '!AR26*Carbon!AP2,'Brave Blossom '!AR26*Carbon!AP3)/1000</f>
        <v>15074.205889007668</v>
      </c>
      <c r="AS106" s="76">
        <f>IF(Assumptions!$C$20="Zero Carbon Liability",'Brave Blossom '!AS26*Carbon!AQ2,'Brave Blossom '!AS26*Carbon!AQ3)/1000</f>
        <v>14110.897471303591</v>
      </c>
      <c r="AT106" s="76">
        <f>IF(Assumptions!$C$20="Zero Carbon Liability",'Brave Blossom '!AT26*Carbon!AR2,'Brave Blossom '!AT26*Carbon!AR3)/1000</f>
        <v>12906.008374582412</v>
      </c>
      <c r="AU106" s="76">
        <f>IF(Assumptions!$C$20="Zero Carbon Liability",'Brave Blossom '!AU26*Carbon!AS2,'Brave Blossom '!AU26*Carbon!AS3)/1000</f>
        <v>4031.9999999999991</v>
      </c>
      <c r="AV106" s="76">
        <f>IF(Assumptions!$C$20="Zero Carbon Liability",'Brave Blossom '!AV26*Carbon!AT2,'Brave Blossom '!AV26*Carbon!AT3)/1000</f>
        <v>0</v>
      </c>
      <c r="AW106" s="76">
        <f>IF(Assumptions!$C$20="Zero Carbon Liability",'Brave Blossom '!AW26*Carbon!AU2,'Brave Blossom '!AW26*Carbon!AU3)/1000</f>
        <v>0</v>
      </c>
      <c r="AX106" s="76">
        <f>IF(Assumptions!$C$20="Zero Carbon Liability",'Brave Blossom '!AX26*Carbon!AV2,'Brave Blossom '!AX26*Carbon!AV3)/1000</f>
        <v>0</v>
      </c>
      <c r="AY106" s="76">
        <f>IF(Assumptions!$C$20="Zero Carbon Liability",'Brave Blossom '!AY26*Carbon!AW2,'Brave Blossom '!AY26*Carbon!AW3)/1000</f>
        <v>0</v>
      </c>
      <c r="AZ106" s="76">
        <f>IF(Assumptions!$C$20="Zero Carbon Liability",'Brave Blossom '!AZ26*Carbon!AX2,'Brave Blossom '!AZ26*Carbon!AX3)/1000</f>
        <v>0</v>
      </c>
      <c r="BA106" s="76">
        <f>IF(Assumptions!$C$20="Zero Carbon Liability",'Brave Blossom '!BA26*Carbon!AY2,'Brave Blossom '!BA26*Carbon!AY3)/1000</f>
        <v>0</v>
      </c>
      <c r="BB106" s="76">
        <f>IF(Assumptions!$C$20="Zero Carbon Liability",'Brave Blossom '!BB26*Carbon!AZ2,'Brave Blossom '!BB26*Carbon!AZ3)/1000</f>
        <v>0</v>
      </c>
      <c r="BC106" s="76">
        <f>IF(Assumptions!$C$20="Zero Carbon Liability",'Brave Blossom '!BC26*Carbon!BA2,'Brave Blossom '!BC26*Carbon!BA3)/1000</f>
        <v>0</v>
      </c>
      <c r="BD106" s="76">
        <f>IF(Assumptions!$C$20="Zero Carbon Liability",'Brave Blossom '!BD26*Carbon!BB2,'Brave Blossom '!BD26*Carbon!BB3)/1000</f>
        <v>0</v>
      </c>
      <c r="BE106" s="76">
        <f>IF(Assumptions!$C$20="Zero Carbon Liability",'Brave Blossom '!BE26*Carbon!BC2,'Brave Blossom '!BE26*Carbon!BC3)/1000</f>
        <v>0</v>
      </c>
      <c r="BF106" s="76">
        <f>IF(Assumptions!$C$20="Zero Carbon Liability",'Brave Blossom '!BF26*Carbon!BD2,'Brave Blossom '!BF26*Carbon!BD3)/1000</f>
        <v>0</v>
      </c>
      <c r="BG106" s="76">
        <f>IF(Assumptions!$C$20="Zero Carbon Liability",'Brave Blossom '!BG26*Carbon!BE2,'Brave Blossom '!BG26*Carbon!BE3)/1000</f>
        <v>0</v>
      </c>
      <c r="BH106" s="76">
        <f>IF(Assumptions!$C$20="Zero Carbon Liability",'Brave Blossom '!BH26*Carbon!BF2,'Brave Blossom '!BH26*Carbon!BF3)/1000</f>
        <v>0</v>
      </c>
      <c r="BI106" s="76">
        <f>IF(Assumptions!$C$20="Zero Carbon Liability",'Brave Blossom '!BI26*Carbon!BG2,'Brave Blossom '!BI26*Carbon!BG3)/1000</f>
        <v>0</v>
      </c>
      <c r="BJ106" s="76">
        <f>IF(Assumptions!$C$20="Zero Carbon Liability",'Brave Blossom '!BJ26*Carbon!BH2,'Brave Blossom '!BJ26*Carbon!BH3)/1000</f>
        <v>0</v>
      </c>
      <c r="BK106" s="76">
        <f>IF(Assumptions!$C$20="Zero Carbon Liability",'Brave Blossom '!BK26*Carbon!BI2,'Brave Blossom '!BK26*Carbon!BI3)/1000</f>
        <v>0</v>
      </c>
      <c r="BL106" s="76">
        <f>IF(Assumptions!$C$20="Zero Carbon Liability",'Brave Blossom '!BL26*Carbon!BJ2,'Brave Blossom '!BL26*Carbon!BJ3)/1000</f>
        <v>0</v>
      </c>
      <c r="BM106" s="76">
        <f>IF(Assumptions!$C$20="Zero Carbon Liability",'Brave Blossom '!BM26*Carbon!BK2,'Brave Blossom '!BM26*Carbon!BK3)/1000</f>
        <v>0</v>
      </c>
      <c r="BN106" s="76">
        <f>IF(Assumptions!$C$20="Zero Carbon Liability",'Brave Blossom '!BN26*Carbon!BL2,'Brave Blossom '!BN26*Carbon!BL3)/1000</f>
        <v>0</v>
      </c>
      <c r="BO106" s="76">
        <f>IF(Assumptions!$C$20="Zero Carbon Liability",'Brave Blossom '!BO26*Carbon!BM2,'Brave Blossom '!BO26*Carbon!BM3)/1000</f>
        <v>0</v>
      </c>
      <c r="BP106" s="76"/>
      <c r="BQ106" s="74">
        <f>SUM(D106:BO106)</f>
        <v>2561610.9980176738</v>
      </c>
    </row>
    <row r="107" spans="1:71">
      <c r="A107" s="4" t="s">
        <v>196</v>
      </c>
      <c r="B107" s="17" t="s">
        <v>56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/>
      <c r="BQ107" s="5"/>
    </row>
    <row r="108" spans="1:71">
      <c r="A108" s="4" t="s">
        <v>197</v>
      </c>
      <c r="B108" s="17" t="s">
        <v>56</v>
      </c>
      <c r="D108" s="35">
        <f>SUM(D104:D107)</f>
        <v>0</v>
      </c>
      <c r="E108" s="35">
        <f t="shared" ref="E108:BO108" si="235">SUM(E104:E107)</f>
        <v>0</v>
      </c>
      <c r="F108" s="35">
        <f t="shared" si="235"/>
        <v>0</v>
      </c>
      <c r="G108" s="35">
        <f t="shared" si="235"/>
        <v>0</v>
      </c>
      <c r="H108" s="35">
        <f t="shared" si="235"/>
        <v>5106.3647839700006</v>
      </c>
      <c r="I108" s="35">
        <f t="shared" si="235"/>
        <v>6656.5093712875005</v>
      </c>
      <c r="J108" s="35">
        <f t="shared" si="235"/>
        <v>68163.581431825005</v>
      </c>
      <c r="K108" s="35">
        <f t="shared" si="235"/>
        <v>73963.408048663754</v>
      </c>
      <c r="L108" s="35">
        <f t="shared" si="235"/>
        <v>80002.915384097505</v>
      </c>
      <c r="M108" s="35">
        <f t="shared" si="235"/>
        <v>86282.103438126273</v>
      </c>
      <c r="N108" s="35">
        <f t="shared" si="235"/>
        <v>89038.431701968759</v>
      </c>
      <c r="O108" s="35">
        <f t="shared" si="235"/>
        <v>91794.759965811245</v>
      </c>
      <c r="P108" s="35">
        <f t="shared" si="235"/>
        <v>98553.309457030002</v>
      </c>
      <c r="Q108" s="35">
        <f t="shared" si="235"/>
        <v>101429.47808017</v>
      </c>
      <c r="R108" s="35">
        <f t="shared" si="235"/>
        <v>104305.64670330999</v>
      </c>
      <c r="S108" s="35">
        <f t="shared" si="235"/>
        <v>107181.81532645</v>
      </c>
      <c r="T108" s="35">
        <f t="shared" si="235"/>
        <v>110057.98394958999</v>
      </c>
      <c r="U108" s="35">
        <f t="shared" si="235"/>
        <v>112934.15257272999</v>
      </c>
      <c r="V108" s="35">
        <f t="shared" si="235"/>
        <v>111089.05781270875</v>
      </c>
      <c r="W108" s="35">
        <f t="shared" si="235"/>
        <v>113845.38607655125</v>
      </c>
      <c r="X108" s="35">
        <f t="shared" si="235"/>
        <v>116601.71434039374</v>
      </c>
      <c r="Y108" s="35">
        <f t="shared" si="235"/>
        <v>121884.47567264499</v>
      </c>
      <c r="Z108" s="35">
        <f t="shared" si="235"/>
        <v>132048.65599</v>
      </c>
      <c r="AA108" s="35">
        <f t="shared" si="235"/>
        <v>143619.99999999997</v>
      </c>
      <c r="AB108" s="35">
        <f t="shared" si="235"/>
        <v>117686.96740781899</v>
      </c>
      <c r="AC108" s="35">
        <f t="shared" si="235"/>
        <v>91684.509027890483</v>
      </c>
      <c r="AD108" s="35">
        <f t="shared" si="235"/>
        <v>224478.37782250976</v>
      </c>
      <c r="AE108" s="35">
        <f t="shared" si="235"/>
        <v>60319.60277521117</v>
      </c>
      <c r="AF108" s="35">
        <f t="shared" si="235"/>
        <v>51666.789115398416</v>
      </c>
      <c r="AG108" s="35">
        <f t="shared" si="235"/>
        <v>43607.588734936617</v>
      </c>
      <c r="AH108" s="35">
        <f t="shared" si="235"/>
        <v>38543.525941230131</v>
      </c>
      <c r="AI108" s="35">
        <f t="shared" si="235"/>
        <v>34435.164835699194</v>
      </c>
      <c r="AJ108" s="35">
        <f t="shared" si="235"/>
        <v>30122.6798996547</v>
      </c>
      <c r="AK108" s="35">
        <f t="shared" si="235"/>
        <v>27369.776696214863</v>
      </c>
      <c r="AL108" s="35">
        <f t="shared" si="235"/>
        <v>25017.995835463811</v>
      </c>
      <c r="AM108" s="35">
        <f t="shared" si="235"/>
        <v>22345.316766032163</v>
      </c>
      <c r="AN108" s="35">
        <f t="shared" si="235"/>
        <v>20631.815079001462</v>
      </c>
      <c r="AO108" s="35">
        <f t="shared" si="235"/>
        <v>19117.712864013454</v>
      </c>
      <c r="AP108" s="35">
        <f t="shared" si="235"/>
        <v>17768.327929057432</v>
      </c>
      <c r="AQ108" s="35">
        <f t="shared" si="235"/>
        <v>16131.985445318816</v>
      </c>
      <c r="AR108" s="35">
        <f t="shared" si="235"/>
        <v>15074.205889007668</v>
      </c>
      <c r="AS108" s="35">
        <f t="shared" si="235"/>
        <v>14110.897471303591</v>
      </c>
      <c r="AT108" s="35">
        <f t="shared" si="235"/>
        <v>12906.008374582412</v>
      </c>
      <c r="AU108" s="35">
        <f t="shared" si="235"/>
        <v>4031.9999999999991</v>
      </c>
      <c r="AV108" s="35">
        <f t="shared" si="235"/>
        <v>0</v>
      </c>
      <c r="AW108" s="35">
        <f t="shared" si="235"/>
        <v>0</v>
      </c>
      <c r="AX108" s="35">
        <f t="shared" si="235"/>
        <v>0</v>
      </c>
      <c r="AY108" s="35">
        <f t="shared" si="235"/>
        <v>0</v>
      </c>
      <c r="AZ108" s="35">
        <f t="shared" si="235"/>
        <v>0</v>
      </c>
      <c r="BA108" s="35">
        <f t="shared" si="235"/>
        <v>0</v>
      </c>
      <c r="BB108" s="35">
        <f t="shared" si="235"/>
        <v>0</v>
      </c>
      <c r="BC108" s="35">
        <f t="shared" si="235"/>
        <v>0</v>
      </c>
      <c r="BD108" s="35">
        <f t="shared" si="235"/>
        <v>0</v>
      </c>
      <c r="BE108" s="35">
        <f t="shared" si="235"/>
        <v>0</v>
      </c>
      <c r="BF108" s="35">
        <f t="shared" si="235"/>
        <v>0</v>
      </c>
      <c r="BG108" s="35">
        <f t="shared" si="235"/>
        <v>0</v>
      </c>
      <c r="BH108" s="35">
        <f t="shared" si="235"/>
        <v>0</v>
      </c>
      <c r="BI108" s="35">
        <f t="shared" si="235"/>
        <v>0</v>
      </c>
      <c r="BJ108" s="35">
        <f t="shared" si="235"/>
        <v>0</v>
      </c>
      <c r="BK108" s="35">
        <f t="shared" si="235"/>
        <v>0</v>
      </c>
      <c r="BL108" s="35">
        <f t="shared" si="235"/>
        <v>0</v>
      </c>
      <c r="BM108" s="35">
        <f t="shared" si="235"/>
        <v>0</v>
      </c>
      <c r="BN108" s="35">
        <f t="shared" si="235"/>
        <v>0</v>
      </c>
      <c r="BO108" s="35">
        <f t="shared" si="235"/>
        <v>0</v>
      </c>
      <c r="BP108" s="35"/>
      <c r="BQ108" s="38">
        <f>SUM(BQ104:BQ107)</f>
        <v>2761610.9980176738</v>
      </c>
    </row>
    <row r="109" spans="1:71">
      <c r="A109" s="119" t="s">
        <v>198</v>
      </c>
      <c r="B109" s="17"/>
      <c r="D109" s="37">
        <f t="shared" ref="D109:AD109" si="236">IF(D105&lt;=0,(D104+D106),D108)</f>
        <v>0</v>
      </c>
      <c r="E109" s="37">
        <f t="shared" si="236"/>
        <v>0</v>
      </c>
      <c r="F109" s="37">
        <f t="shared" si="236"/>
        <v>0</v>
      </c>
      <c r="G109" s="37">
        <f t="shared" si="236"/>
        <v>0</v>
      </c>
      <c r="H109" s="37">
        <f>IF(H105&lt;=0,(H104+H106),H108)</f>
        <v>5106.3647839700006</v>
      </c>
      <c r="I109" s="37">
        <f t="shared" si="236"/>
        <v>6656.5093712875005</v>
      </c>
      <c r="J109" s="37">
        <f t="shared" si="236"/>
        <v>68163.581431825005</v>
      </c>
      <c r="K109" s="37">
        <f t="shared" si="236"/>
        <v>73963.408048663754</v>
      </c>
      <c r="L109" s="37">
        <f t="shared" si="236"/>
        <v>80002.915384097505</v>
      </c>
      <c r="M109" s="37">
        <f t="shared" si="236"/>
        <v>86282.103438126273</v>
      </c>
      <c r="N109" s="37">
        <f t="shared" si="236"/>
        <v>89038.431701968759</v>
      </c>
      <c r="O109" s="37">
        <f t="shared" si="236"/>
        <v>91794.759965811245</v>
      </c>
      <c r="P109" s="37">
        <f t="shared" si="236"/>
        <v>98553.309457030002</v>
      </c>
      <c r="Q109" s="37">
        <f t="shared" si="236"/>
        <v>101429.47808017</v>
      </c>
      <c r="R109" s="37">
        <f t="shared" si="236"/>
        <v>104305.64670330999</v>
      </c>
      <c r="S109" s="37">
        <f t="shared" si="236"/>
        <v>107181.81532645</v>
      </c>
      <c r="T109" s="37">
        <f t="shared" si="236"/>
        <v>110057.98394958999</v>
      </c>
      <c r="U109" s="37">
        <f t="shared" si="236"/>
        <v>112934.15257272999</v>
      </c>
      <c r="V109" s="37">
        <f t="shared" si="236"/>
        <v>111089.05781270875</v>
      </c>
      <c r="W109" s="37">
        <f t="shared" si="236"/>
        <v>113845.38607655125</v>
      </c>
      <c r="X109" s="37">
        <f t="shared" si="236"/>
        <v>116601.71434039374</v>
      </c>
      <c r="Y109" s="37">
        <f t="shared" si="236"/>
        <v>121884.47567264499</v>
      </c>
      <c r="Z109" s="37">
        <f t="shared" si="236"/>
        <v>132048.65599</v>
      </c>
      <c r="AA109" s="37">
        <f t="shared" si="236"/>
        <v>143619.99999999997</v>
      </c>
      <c r="AB109" s="37">
        <f t="shared" si="236"/>
        <v>117686.96740781899</v>
      </c>
      <c r="AC109" s="37">
        <f t="shared" si="236"/>
        <v>91684.509027890483</v>
      </c>
      <c r="AD109" s="37">
        <f t="shared" si="236"/>
        <v>224478.37782250976</v>
      </c>
      <c r="AE109" s="37">
        <f t="shared" ref="AE109:AF109" si="237">IF(AE105&lt;=0,(AE104+AE106),AE108)</f>
        <v>60319.60277521117</v>
      </c>
      <c r="AF109" s="37">
        <f t="shared" si="237"/>
        <v>51666.789115398416</v>
      </c>
      <c r="AG109" s="37">
        <f t="shared" ref="AG109:BO109" si="238">IF(AG105&lt;=0,(AG104+AG106),AG108)</f>
        <v>43607.588734936617</v>
      </c>
      <c r="AH109" s="37">
        <f t="shared" si="238"/>
        <v>38543.525941230131</v>
      </c>
      <c r="AI109" s="37">
        <f t="shared" si="238"/>
        <v>34435.164835699194</v>
      </c>
      <c r="AJ109" s="37">
        <f t="shared" si="238"/>
        <v>30122.6798996547</v>
      </c>
      <c r="AK109" s="37">
        <f t="shared" si="238"/>
        <v>27369.776696214863</v>
      </c>
      <c r="AL109" s="37">
        <f t="shared" si="238"/>
        <v>25017.995835463811</v>
      </c>
      <c r="AM109" s="37">
        <f t="shared" si="238"/>
        <v>22345.316766032163</v>
      </c>
      <c r="AN109" s="37">
        <f t="shared" si="238"/>
        <v>20631.815079001462</v>
      </c>
      <c r="AO109" s="37">
        <f t="shared" si="238"/>
        <v>19117.712864013454</v>
      </c>
      <c r="AP109" s="37">
        <f t="shared" si="238"/>
        <v>17768.327929057432</v>
      </c>
      <c r="AQ109" s="37">
        <f t="shared" si="238"/>
        <v>16131.985445318816</v>
      </c>
      <c r="AR109" s="37">
        <f t="shared" si="238"/>
        <v>15074.205889007668</v>
      </c>
      <c r="AS109" s="37">
        <f t="shared" si="238"/>
        <v>14110.897471303591</v>
      </c>
      <c r="AT109" s="37">
        <f t="shared" si="238"/>
        <v>12906.008374582412</v>
      </c>
      <c r="AU109" s="37">
        <f t="shared" si="238"/>
        <v>4031.9999999999991</v>
      </c>
      <c r="AV109" s="37">
        <f t="shared" si="238"/>
        <v>0</v>
      </c>
      <c r="AW109" s="37">
        <f t="shared" si="238"/>
        <v>0</v>
      </c>
      <c r="AX109" s="37">
        <f t="shared" si="238"/>
        <v>0</v>
      </c>
      <c r="AY109" s="37">
        <f t="shared" si="238"/>
        <v>0</v>
      </c>
      <c r="AZ109" s="37">
        <f t="shared" si="238"/>
        <v>0</v>
      </c>
      <c r="BA109" s="37">
        <f t="shared" si="238"/>
        <v>0</v>
      </c>
      <c r="BB109" s="37">
        <f t="shared" si="238"/>
        <v>0</v>
      </c>
      <c r="BC109" s="37">
        <f t="shared" si="238"/>
        <v>0</v>
      </c>
      <c r="BD109" s="37">
        <f t="shared" si="238"/>
        <v>0</v>
      </c>
      <c r="BE109" s="37">
        <f t="shared" si="238"/>
        <v>0</v>
      </c>
      <c r="BF109" s="37">
        <f t="shared" si="238"/>
        <v>0</v>
      </c>
      <c r="BG109" s="37">
        <f t="shared" si="238"/>
        <v>0</v>
      </c>
      <c r="BH109" s="37">
        <f t="shared" si="238"/>
        <v>0</v>
      </c>
      <c r="BI109" s="37">
        <f t="shared" si="238"/>
        <v>0</v>
      </c>
      <c r="BJ109" s="37">
        <f t="shared" si="238"/>
        <v>0</v>
      </c>
      <c r="BK109" s="37">
        <f t="shared" si="238"/>
        <v>0</v>
      </c>
      <c r="BL109" s="37">
        <f t="shared" si="238"/>
        <v>0</v>
      </c>
      <c r="BM109" s="37">
        <f t="shared" si="238"/>
        <v>0</v>
      </c>
      <c r="BN109" s="37">
        <f t="shared" si="238"/>
        <v>0</v>
      </c>
      <c r="BO109" s="37">
        <f t="shared" si="238"/>
        <v>0</v>
      </c>
      <c r="BP109" s="37"/>
      <c r="BQ109" s="5">
        <f>SUM(BQ104:BQ107)</f>
        <v>2761610.9980176738</v>
      </c>
    </row>
    <row r="110" spans="1:71">
      <c r="A110" s="4"/>
      <c r="B110" s="1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25"/>
    </row>
    <row r="111" spans="1:71">
      <c r="A111" s="28" t="s">
        <v>199</v>
      </c>
      <c r="B111" s="17"/>
      <c r="BQ111" s="25"/>
    </row>
    <row r="112" spans="1:71">
      <c r="A112" s="4" t="s">
        <v>200</v>
      </c>
      <c r="B112" s="17" t="s">
        <v>56</v>
      </c>
      <c r="D112" s="76">
        <v>0</v>
      </c>
      <c r="E112" s="76">
        <v>0</v>
      </c>
      <c r="F112" s="76">
        <v>0</v>
      </c>
      <c r="G112" s="76">
        <v>0</v>
      </c>
      <c r="H112" s="76">
        <v>0</v>
      </c>
      <c r="I112" s="76">
        <v>0</v>
      </c>
      <c r="J112" s="76">
        <v>0</v>
      </c>
      <c r="K112" s="76">
        <v>0</v>
      </c>
      <c r="L112" s="76">
        <v>0</v>
      </c>
      <c r="M112" s="76">
        <v>0</v>
      </c>
      <c r="N112" s="76">
        <v>0</v>
      </c>
      <c r="O112" s="76">
        <v>0</v>
      </c>
      <c r="P112" s="76">
        <v>0</v>
      </c>
      <c r="Q112" s="76">
        <v>0</v>
      </c>
      <c r="R112" s="76">
        <v>0</v>
      </c>
      <c r="S112" s="76">
        <v>0</v>
      </c>
      <c r="T112" s="76">
        <v>0</v>
      </c>
      <c r="U112" s="76">
        <v>0</v>
      </c>
      <c r="V112" s="76">
        <v>0</v>
      </c>
      <c r="W112" s="76">
        <v>0</v>
      </c>
      <c r="X112" s="76">
        <v>0</v>
      </c>
      <c r="Y112" s="76">
        <v>0</v>
      </c>
      <c r="Z112" s="76">
        <v>0</v>
      </c>
      <c r="AA112" s="76">
        <v>0</v>
      </c>
      <c r="AB112" s="76">
        <v>0</v>
      </c>
      <c r="AC112" s="76">
        <v>0</v>
      </c>
      <c r="AD112" s="76">
        <v>0</v>
      </c>
      <c r="AE112" s="76">
        <v>0</v>
      </c>
      <c r="AF112" s="76">
        <v>0</v>
      </c>
      <c r="AG112" s="76">
        <v>0</v>
      </c>
      <c r="AH112" s="76">
        <v>0</v>
      </c>
      <c r="AI112" s="76">
        <v>0</v>
      </c>
      <c r="AJ112" s="76">
        <v>0</v>
      </c>
      <c r="AK112" s="76">
        <v>0</v>
      </c>
      <c r="AL112" s="76">
        <v>0</v>
      </c>
      <c r="AM112" s="76">
        <v>0</v>
      </c>
      <c r="AN112" s="76">
        <v>0</v>
      </c>
      <c r="AO112" s="76">
        <v>0</v>
      </c>
      <c r="AP112" s="76">
        <v>0</v>
      </c>
      <c r="AQ112" s="76">
        <v>0</v>
      </c>
      <c r="AR112" s="76">
        <v>0</v>
      </c>
      <c r="AS112" s="76">
        <v>0</v>
      </c>
      <c r="AT112" s="76">
        <v>0</v>
      </c>
      <c r="AU112" s="76">
        <v>0</v>
      </c>
      <c r="AV112" s="76">
        <v>0</v>
      </c>
      <c r="AW112" s="76">
        <v>0</v>
      </c>
      <c r="AX112" s="76">
        <v>0</v>
      </c>
      <c r="AY112" s="76">
        <v>0</v>
      </c>
      <c r="AZ112" s="76">
        <v>0</v>
      </c>
      <c r="BA112" s="76">
        <v>0</v>
      </c>
      <c r="BB112" s="76">
        <v>0</v>
      </c>
      <c r="BC112" s="76">
        <v>0</v>
      </c>
      <c r="BD112" s="76">
        <v>0</v>
      </c>
      <c r="BE112" s="76">
        <v>0</v>
      </c>
      <c r="BF112" s="76">
        <v>0</v>
      </c>
      <c r="BG112" s="76">
        <v>0</v>
      </c>
      <c r="BH112" s="76">
        <v>0</v>
      </c>
      <c r="BI112" s="76">
        <v>0</v>
      </c>
      <c r="BJ112" s="76">
        <v>0</v>
      </c>
      <c r="BK112" s="76">
        <v>0</v>
      </c>
      <c r="BL112" s="76">
        <v>0</v>
      </c>
      <c r="BM112" s="76">
        <v>0</v>
      </c>
      <c r="BN112" s="76">
        <v>0</v>
      </c>
      <c r="BO112" s="76">
        <v>0</v>
      </c>
      <c r="BP112" s="76"/>
      <c r="BQ112" s="5">
        <f>SUM(D112:BO112)</f>
        <v>0</v>
      </c>
    </row>
    <row r="113" spans="1:69">
      <c r="A113" s="4" t="s">
        <v>201</v>
      </c>
      <c r="B113" s="17" t="s">
        <v>56</v>
      </c>
      <c r="D113" s="76">
        <f>'Brave Blossom Capital'!D57</f>
        <v>0</v>
      </c>
      <c r="E113" s="76">
        <f>'Brave Blossom Capital'!E57</f>
        <v>0</v>
      </c>
      <c r="F113" s="76">
        <f>'Brave Blossom Capital'!F57</f>
        <v>0</v>
      </c>
      <c r="G113" s="76">
        <f>'Brave Blossom Capital'!G57</f>
        <v>0</v>
      </c>
      <c r="H113" s="76">
        <f>'Brave Blossom Capital'!H57</f>
        <v>0</v>
      </c>
      <c r="I113" s="76">
        <f>'Brave Blossom Capital'!I57</f>
        <v>0</v>
      </c>
      <c r="J113" s="76">
        <f>'Brave Blossom Capital'!J57</f>
        <v>0</v>
      </c>
      <c r="K113" s="76">
        <f>'Brave Blossom Capital'!K57</f>
        <v>0</v>
      </c>
      <c r="L113" s="76">
        <f>'Brave Blossom Capital'!L57</f>
        <v>0</v>
      </c>
      <c r="M113" s="76">
        <f>'Brave Blossom Capital'!M57</f>
        <v>0</v>
      </c>
      <c r="N113" s="76">
        <f>'Brave Blossom Capital'!N57</f>
        <v>0</v>
      </c>
      <c r="O113" s="76">
        <f>'Brave Blossom Capital'!O57</f>
        <v>0</v>
      </c>
      <c r="P113" s="76">
        <f>'Brave Blossom Capital'!P57</f>
        <v>0</v>
      </c>
      <c r="Q113" s="76">
        <f>'Brave Blossom Capital'!Q57</f>
        <v>0</v>
      </c>
      <c r="R113" s="76">
        <f>'Brave Blossom Capital'!R57</f>
        <v>0</v>
      </c>
      <c r="S113" s="76">
        <f>'Brave Blossom Capital'!S57</f>
        <v>0</v>
      </c>
      <c r="T113" s="76">
        <f>'Brave Blossom Capital'!T57</f>
        <v>0</v>
      </c>
      <c r="U113" s="76">
        <f>'Brave Blossom Capital'!U57</f>
        <v>0</v>
      </c>
      <c r="V113" s="76">
        <f>'Brave Blossom Capital'!V57</f>
        <v>0</v>
      </c>
      <c r="W113" s="76">
        <f>'Brave Blossom Capital'!W57</f>
        <v>0</v>
      </c>
      <c r="X113" s="76">
        <f>'Brave Blossom Capital'!X57</f>
        <v>0</v>
      </c>
      <c r="Y113" s="76">
        <f>'Brave Blossom Capital'!Y57</f>
        <v>0</v>
      </c>
      <c r="Z113" s="76">
        <f>'Brave Blossom Capital'!Z57</f>
        <v>0</v>
      </c>
      <c r="AA113" s="76">
        <f>'Brave Blossom Capital'!AA57</f>
        <v>0</v>
      </c>
      <c r="AB113" s="76">
        <f>'Brave Blossom Capital'!AB57</f>
        <v>0</v>
      </c>
      <c r="AC113" s="76">
        <f>'Brave Blossom Capital'!AC57</f>
        <v>0</v>
      </c>
      <c r="AD113" s="76">
        <f>'Brave Blossom Capital'!AD57</f>
        <v>0</v>
      </c>
      <c r="AE113" s="76">
        <f>'Brave Blossom Capital'!AD57</f>
        <v>0</v>
      </c>
      <c r="AF113" s="76">
        <f>'Brave Blossom Capital'!AE57</f>
        <v>0</v>
      </c>
      <c r="AG113" s="76">
        <f>'Brave Blossom Capital'!AF57</f>
        <v>0</v>
      </c>
      <c r="AH113" s="76">
        <f>'Brave Blossom Capital'!AG57</f>
        <v>0</v>
      </c>
      <c r="AI113" s="76">
        <f>'Brave Blossom Capital'!AH57</f>
        <v>0</v>
      </c>
      <c r="AJ113" s="76">
        <f>'Brave Blossom Capital'!AI57</f>
        <v>0</v>
      </c>
      <c r="AK113" s="76">
        <f>'Brave Blossom Capital'!AJ57</f>
        <v>0</v>
      </c>
      <c r="AL113" s="76">
        <f>'Brave Blossom Capital'!AK57</f>
        <v>0</v>
      </c>
      <c r="AM113" s="76">
        <f>'Brave Blossom Capital'!AL57</f>
        <v>0</v>
      </c>
      <c r="AN113" s="76">
        <f>'Brave Blossom Capital'!AM57</f>
        <v>0</v>
      </c>
      <c r="AO113" s="76">
        <f>'Brave Blossom Capital'!AN57</f>
        <v>0</v>
      </c>
      <c r="AP113" s="76">
        <f>'Brave Blossom Capital'!AO57</f>
        <v>0</v>
      </c>
      <c r="AQ113" s="76">
        <f>'Brave Blossom Capital'!AP57</f>
        <v>0</v>
      </c>
      <c r="AR113" s="76">
        <f>'Brave Blossom Capital'!AQ57</f>
        <v>0</v>
      </c>
      <c r="AS113" s="76">
        <f>'Brave Blossom Capital'!AR57</f>
        <v>0</v>
      </c>
      <c r="AT113" s="76">
        <f>'Brave Blossom Capital'!AS57</f>
        <v>0</v>
      </c>
      <c r="AU113" s="76">
        <f>'Brave Blossom Capital'!AT57</f>
        <v>0</v>
      </c>
      <c r="AV113" s="76">
        <f>'Brave Blossom Capital'!AU57</f>
        <v>0</v>
      </c>
      <c r="AW113" s="76">
        <f>'Brave Blossom Capital'!AV57</f>
        <v>0</v>
      </c>
      <c r="AX113" s="76">
        <f>'Brave Blossom Capital'!AW57</f>
        <v>0</v>
      </c>
      <c r="AY113" s="76">
        <f>'Brave Blossom Capital'!AX57</f>
        <v>0</v>
      </c>
      <c r="AZ113" s="76">
        <f>'Brave Blossom Capital'!AY57</f>
        <v>0</v>
      </c>
      <c r="BA113" s="76">
        <f>'Brave Blossom Capital'!AZ57</f>
        <v>0</v>
      </c>
      <c r="BB113" s="76">
        <f>'Brave Blossom Capital'!BA57</f>
        <v>0</v>
      </c>
      <c r="BC113" s="76">
        <f>'Brave Blossom Capital'!BB57</f>
        <v>0</v>
      </c>
      <c r="BD113" s="76">
        <f>'Brave Blossom Capital'!BC57</f>
        <v>0</v>
      </c>
      <c r="BE113" s="76">
        <f>'Brave Blossom Capital'!BD57</f>
        <v>0</v>
      </c>
      <c r="BF113" s="76">
        <f>'Brave Blossom Capital'!BE57</f>
        <v>0</v>
      </c>
      <c r="BG113" s="76">
        <f>'Brave Blossom Capital'!BF57</f>
        <v>0</v>
      </c>
      <c r="BH113" s="76">
        <f>'Brave Blossom Capital'!BG57</f>
        <v>0</v>
      </c>
      <c r="BI113" s="76">
        <f>'Brave Blossom Capital'!BH57</f>
        <v>0</v>
      </c>
      <c r="BJ113" s="76">
        <f>'Brave Blossom Capital'!BI57</f>
        <v>0</v>
      </c>
      <c r="BK113" s="76">
        <f>'Brave Blossom Capital'!BJ57</f>
        <v>0</v>
      </c>
      <c r="BL113" s="76">
        <f>'Brave Blossom Capital'!BK57</f>
        <v>0</v>
      </c>
      <c r="BM113" s="76">
        <f>'Brave Blossom Capital'!BL57</f>
        <v>0</v>
      </c>
      <c r="BN113" s="76">
        <f>'Brave Blossom Capital'!BM57</f>
        <v>0</v>
      </c>
      <c r="BO113" s="76">
        <f>'Brave Blossom Capital'!BN57</f>
        <v>0</v>
      </c>
      <c r="BP113" s="76"/>
      <c r="BQ113" s="74">
        <f>SUM(D113:BO113)</f>
        <v>0</v>
      </c>
    </row>
    <row r="114" spans="1:69">
      <c r="A114" s="4" t="s">
        <v>202</v>
      </c>
      <c r="B114" s="17" t="s">
        <v>203</v>
      </c>
      <c r="C114" s="64">
        <v>6</v>
      </c>
      <c r="D114" s="44">
        <f t="shared" ref="D114:AI114" si="239">$C$114*D9</f>
        <v>0</v>
      </c>
      <c r="E114" s="44">
        <f t="shared" si="239"/>
        <v>0</v>
      </c>
      <c r="F114" s="44">
        <f t="shared" si="239"/>
        <v>0</v>
      </c>
      <c r="G114" s="44">
        <f t="shared" si="239"/>
        <v>0</v>
      </c>
      <c r="H114" s="44">
        <f t="shared" si="239"/>
        <v>1017.9000000000001</v>
      </c>
      <c r="I114" s="44">
        <f t="shared" si="239"/>
        <v>2035.8000000000002</v>
      </c>
      <c r="J114" s="44">
        <f t="shared" si="239"/>
        <v>47635.8</v>
      </c>
      <c r="K114" s="44">
        <f t="shared" si="239"/>
        <v>47635.8</v>
      </c>
      <c r="L114" s="44">
        <f t="shared" si="239"/>
        <v>47635.8</v>
      </c>
      <c r="M114" s="44">
        <f t="shared" si="239"/>
        <v>47635.8</v>
      </c>
      <c r="N114" s="44">
        <f t="shared" si="239"/>
        <v>47635.8</v>
      </c>
      <c r="O114" s="44">
        <f t="shared" si="239"/>
        <v>47635.8</v>
      </c>
      <c r="P114" s="44">
        <f t="shared" si="239"/>
        <v>47635.8</v>
      </c>
      <c r="Q114" s="44">
        <f t="shared" si="239"/>
        <v>47635.8</v>
      </c>
      <c r="R114" s="44">
        <f t="shared" si="239"/>
        <v>47635.8</v>
      </c>
      <c r="S114" s="44">
        <f t="shared" si="239"/>
        <v>47635.8</v>
      </c>
      <c r="T114" s="44">
        <f t="shared" si="239"/>
        <v>47635.8</v>
      </c>
      <c r="U114" s="44">
        <f t="shared" si="239"/>
        <v>47635.8</v>
      </c>
      <c r="V114" s="44">
        <f t="shared" si="239"/>
        <v>47635.8</v>
      </c>
      <c r="W114" s="44">
        <f t="shared" si="239"/>
        <v>47635.8</v>
      </c>
      <c r="X114" s="44">
        <f t="shared" si="239"/>
        <v>47635.8</v>
      </c>
      <c r="Y114" s="44">
        <f t="shared" si="239"/>
        <v>46617.899999999994</v>
      </c>
      <c r="Z114" s="44">
        <f t="shared" si="239"/>
        <v>45600</v>
      </c>
      <c r="AA114" s="44">
        <f t="shared" si="239"/>
        <v>45600</v>
      </c>
      <c r="AB114" s="44">
        <f t="shared" si="239"/>
        <v>0</v>
      </c>
      <c r="AC114" s="44">
        <f t="shared" si="239"/>
        <v>0</v>
      </c>
      <c r="AD114" s="44">
        <f t="shared" si="239"/>
        <v>0</v>
      </c>
      <c r="AE114" s="44">
        <f t="shared" si="239"/>
        <v>0</v>
      </c>
      <c r="AF114" s="44">
        <f t="shared" si="239"/>
        <v>0</v>
      </c>
      <c r="AG114" s="44">
        <f t="shared" si="239"/>
        <v>0</v>
      </c>
      <c r="AH114" s="44">
        <f t="shared" si="239"/>
        <v>0</v>
      </c>
      <c r="AI114" s="44">
        <f t="shared" si="239"/>
        <v>0</v>
      </c>
      <c r="AJ114" s="44">
        <f t="shared" ref="AJ114:BO114" si="240">$C$114*AJ9</f>
        <v>0</v>
      </c>
      <c r="AK114" s="44">
        <f t="shared" si="240"/>
        <v>0</v>
      </c>
      <c r="AL114" s="44">
        <f t="shared" si="240"/>
        <v>0</v>
      </c>
      <c r="AM114" s="44">
        <f t="shared" si="240"/>
        <v>0</v>
      </c>
      <c r="AN114" s="44">
        <f t="shared" si="240"/>
        <v>0</v>
      </c>
      <c r="AO114" s="44">
        <f t="shared" si="240"/>
        <v>0</v>
      </c>
      <c r="AP114" s="44">
        <f t="shared" si="240"/>
        <v>0</v>
      </c>
      <c r="AQ114" s="44">
        <f t="shared" si="240"/>
        <v>0</v>
      </c>
      <c r="AR114" s="44">
        <f t="shared" si="240"/>
        <v>0</v>
      </c>
      <c r="AS114" s="44">
        <f t="shared" si="240"/>
        <v>0</v>
      </c>
      <c r="AT114" s="44">
        <f t="shared" si="240"/>
        <v>0</v>
      </c>
      <c r="AU114" s="44">
        <f t="shared" si="240"/>
        <v>0</v>
      </c>
      <c r="AV114" s="44">
        <f t="shared" si="240"/>
        <v>0</v>
      </c>
      <c r="AW114" s="44">
        <f t="shared" si="240"/>
        <v>0</v>
      </c>
      <c r="AX114" s="44">
        <f t="shared" si="240"/>
        <v>0</v>
      </c>
      <c r="AY114" s="44">
        <f t="shared" si="240"/>
        <v>0</v>
      </c>
      <c r="AZ114" s="44">
        <f t="shared" si="240"/>
        <v>0</v>
      </c>
      <c r="BA114" s="44">
        <f t="shared" si="240"/>
        <v>0</v>
      </c>
      <c r="BB114" s="44">
        <f t="shared" si="240"/>
        <v>0</v>
      </c>
      <c r="BC114" s="44">
        <f t="shared" si="240"/>
        <v>0</v>
      </c>
      <c r="BD114" s="44">
        <f t="shared" si="240"/>
        <v>0</v>
      </c>
      <c r="BE114" s="44">
        <f t="shared" si="240"/>
        <v>0</v>
      </c>
      <c r="BF114" s="44">
        <f t="shared" si="240"/>
        <v>0</v>
      </c>
      <c r="BG114" s="44">
        <f t="shared" si="240"/>
        <v>0</v>
      </c>
      <c r="BH114" s="44">
        <f t="shared" si="240"/>
        <v>0</v>
      </c>
      <c r="BI114" s="44">
        <f t="shared" si="240"/>
        <v>0</v>
      </c>
      <c r="BJ114" s="44">
        <f t="shared" si="240"/>
        <v>0</v>
      </c>
      <c r="BK114" s="44">
        <f t="shared" si="240"/>
        <v>0</v>
      </c>
      <c r="BL114" s="44">
        <f t="shared" si="240"/>
        <v>0</v>
      </c>
      <c r="BM114" s="44">
        <f t="shared" si="240"/>
        <v>0</v>
      </c>
      <c r="BN114" s="44">
        <f t="shared" si="240"/>
        <v>0</v>
      </c>
      <c r="BO114" s="44">
        <f t="shared" si="240"/>
        <v>0</v>
      </c>
      <c r="BP114" s="44"/>
      <c r="BQ114" s="45">
        <f>SUM(D114:BO114)</f>
        <v>855408.60000000021</v>
      </c>
    </row>
    <row r="115" spans="1:69">
      <c r="A115" s="4" t="s">
        <v>204</v>
      </c>
      <c r="B115" s="17" t="s">
        <v>56</v>
      </c>
      <c r="D115" s="37">
        <f t="shared" ref="D115:AF115" si="241">SUM(D112:D114)*(1+$BT$14)</f>
        <v>0</v>
      </c>
      <c r="E115" s="37">
        <f t="shared" si="241"/>
        <v>0</v>
      </c>
      <c r="F115" s="37">
        <f t="shared" si="241"/>
        <v>0</v>
      </c>
      <c r="G115" s="37">
        <f t="shared" si="241"/>
        <v>0</v>
      </c>
      <c r="H115" s="37">
        <f t="shared" si="241"/>
        <v>1017.9000000000001</v>
      </c>
      <c r="I115" s="37">
        <f t="shared" si="241"/>
        <v>2035.8000000000002</v>
      </c>
      <c r="J115" s="37">
        <f t="shared" si="241"/>
        <v>47635.8</v>
      </c>
      <c r="K115" s="37">
        <f t="shared" si="241"/>
        <v>47635.8</v>
      </c>
      <c r="L115" s="37">
        <f t="shared" si="241"/>
        <v>47635.8</v>
      </c>
      <c r="M115" s="37">
        <f t="shared" si="241"/>
        <v>47635.8</v>
      </c>
      <c r="N115" s="37">
        <f t="shared" si="241"/>
        <v>47635.8</v>
      </c>
      <c r="O115" s="37">
        <f t="shared" si="241"/>
        <v>47635.8</v>
      </c>
      <c r="P115" s="37">
        <f t="shared" si="241"/>
        <v>47635.8</v>
      </c>
      <c r="Q115" s="37">
        <f t="shared" si="241"/>
        <v>47635.8</v>
      </c>
      <c r="R115" s="37">
        <f t="shared" si="241"/>
        <v>47635.8</v>
      </c>
      <c r="S115" s="37">
        <f t="shared" si="241"/>
        <v>47635.8</v>
      </c>
      <c r="T115" s="37">
        <f t="shared" si="241"/>
        <v>47635.8</v>
      </c>
      <c r="U115" s="37">
        <f t="shared" si="241"/>
        <v>47635.8</v>
      </c>
      <c r="V115" s="37">
        <f t="shared" si="241"/>
        <v>47635.8</v>
      </c>
      <c r="W115" s="37">
        <f t="shared" si="241"/>
        <v>47635.8</v>
      </c>
      <c r="X115" s="37">
        <f t="shared" si="241"/>
        <v>47635.8</v>
      </c>
      <c r="Y115" s="37">
        <f t="shared" si="241"/>
        <v>46617.899999999994</v>
      </c>
      <c r="Z115" s="37">
        <f t="shared" si="241"/>
        <v>45600</v>
      </c>
      <c r="AA115" s="37">
        <f t="shared" si="241"/>
        <v>45600</v>
      </c>
      <c r="AB115" s="37">
        <f t="shared" si="241"/>
        <v>0</v>
      </c>
      <c r="AC115" s="37">
        <f t="shared" si="241"/>
        <v>0</v>
      </c>
      <c r="AD115" s="37">
        <f t="shared" si="241"/>
        <v>0</v>
      </c>
      <c r="AE115" s="37">
        <f t="shared" si="241"/>
        <v>0</v>
      </c>
      <c r="AF115" s="37">
        <f t="shared" si="241"/>
        <v>0</v>
      </c>
      <c r="AG115" s="37">
        <f t="shared" ref="AG115:BO115" si="242">SUM(AG112:AG114)*(1+$BT$14)</f>
        <v>0</v>
      </c>
      <c r="AH115" s="37">
        <f t="shared" si="242"/>
        <v>0</v>
      </c>
      <c r="AI115" s="37">
        <f t="shared" si="242"/>
        <v>0</v>
      </c>
      <c r="AJ115" s="37">
        <f t="shared" si="242"/>
        <v>0</v>
      </c>
      <c r="AK115" s="37">
        <f t="shared" si="242"/>
        <v>0</v>
      </c>
      <c r="AL115" s="37">
        <f t="shared" si="242"/>
        <v>0</v>
      </c>
      <c r="AM115" s="37">
        <f t="shared" si="242"/>
        <v>0</v>
      </c>
      <c r="AN115" s="37">
        <f t="shared" si="242"/>
        <v>0</v>
      </c>
      <c r="AO115" s="37">
        <f t="shared" si="242"/>
        <v>0</v>
      </c>
      <c r="AP115" s="37">
        <f t="shared" si="242"/>
        <v>0</v>
      </c>
      <c r="AQ115" s="37">
        <f t="shared" si="242"/>
        <v>0</v>
      </c>
      <c r="AR115" s="37">
        <f t="shared" si="242"/>
        <v>0</v>
      </c>
      <c r="AS115" s="37">
        <f t="shared" si="242"/>
        <v>0</v>
      </c>
      <c r="AT115" s="37">
        <f t="shared" si="242"/>
        <v>0</v>
      </c>
      <c r="AU115" s="37">
        <f t="shared" si="242"/>
        <v>0</v>
      </c>
      <c r="AV115" s="37">
        <f t="shared" si="242"/>
        <v>0</v>
      </c>
      <c r="AW115" s="37">
        <f t="shared" si="242"/>
        <v>0</v>
      </c>
      <c r="AX115" s="37">
        <f t="shared" si="242"/>
        <v>0</v>
      </c>
      <c r="AY115" s="37">
        <f t="shared" si="242"/>
        <v>0</v>
      </c>
      <c r="AZ115" s="37">
        <f t="shared" si="242"/>
        <v>0</v>
      </c>
      <c r="BA115" s="37">
        <f t="shared" si="242"/>
        <v>0</v>
      </c>
      <c r="BB115" s="37">
        <f t="shared" si="242"/>
        <v>0</v>
      </c>
      <c r="BC115" s="37">
        <f t="shared" si="242"/>
        <v>0</v>
      </c>
      <c r="BD115" s="37">
        <f t="shared" si="242"/>
        <v>0</v>
      </c>
      <c r="BE115" s="37">
        <f t="shared" si="242"/>
        <v>0</v>
      </c>
      <c r="BF115" s="37">
        <f t="shared" si="242"/>
        <v>0</v>
      </c>
      <c r="BG115" s="37">
        <f t="shared" si="242"/>
        <v>0</v>
      </c>
      <c r="BH115" s="37">
        <f t="shared" si="242"/>
        <v>0</v>
      </c>
      <c r="BI115" s="37">
        <f t="shared" si="242"/>
        <v>0</v>
      </c>
      <c r="BJ115" s="37">
        <f t="shared" si="242"/>
        <v>0</v>
      </c>
      <c r="BK115" s="37">
        <f t="shared" si="242"/>
        <v>0</v>
      </c>
      <c r="BL115" s="37">
        <f t="shared" si="242"/>
        <v>0</v>
      </c>
      <c r="BM115" s="37">
        <f t="shared" si="242"/>
        <v>0</v>
      </c>
      <c r="BN115" s="37">
        <f t="shared" si="242"/>
        <v>0</v>
      </c>
      <c r="BO115" s="37">
        <f t="shared" si="242"/>
        <v>0</v>
      </c>
      <c r="BP115" s="37"/>
      <c r="BQ115" s="5">
        <f>SUM(D115:BO115)</f>
        <v>855408.60000000021</v>
      </c>
    </row>
    <row r="116" spans="1:69">
      <c r="A116" s="4" t="s">
        <v>205</v>
      </c>
      <c r="B116" s="17" t="s">
        <v>56</v>
      </c>
      <c r="D116" s="37">
        <f>D132</f>
        <v>0</v>
      </c>
      <c r="E116" s="37">
        <f t="shared" ref="E116:AD116" si="243">E132</f>
        <v>0</v>
      </c>
      <c r="F116" s="37">
        <f t="shared" si="243"/>
        <v>0</v>
      </c>
      <c r="G116" s="37">
        <f t="shared" si="243"/>
        <v>0</v>
      </c>
      <c r="H116" s="37">
        <f t="shared" si="243"/>
        <v>0</v>
      </c>
      <c r="I116" s="37">
        <f t="shared" si="243"/>
        <v>48.471428571428575</v>
      </c>
      <c r="J116" s="37">
        <f t="shared" si="243"/>
        <v>150.26142857142858</v>
      </c>
      <c r="K116" s="37">
        <f t="shared" si="243"/>
        <v>2657.4087969924813</v>
      </c>
      <c r="L116" s="37">
        <f t="shared" si="243"/>
        <v>5303.8421303258147</v>
      </c>
      <c r="M116" s="37">
        <f t="shared" si="243"/>
        <v>8105.9480126787557</v>
      </c>
      <c r="N116" s="37">
        <f t="shared" si="243"/>
        <v>11083.185512678756</v>
      </c>
      <c r="O116" s="37">
        <f t="shared" si="243"/>
        <v>14258.905512678755</v>
      </c>
      <c r="P116" s="37">
        <f t="shared" si="243"/>
        <v>17661.462655535895</v>
      </c>
      <c r="Q116" s="37">
        <f t="shared" si="243"/>
        <v>21325.754963228206</v>
      </c>
      <c r="R116" s="37">
        <f t="shared" si="243"/>
        <v>25295.404963228208</v>
      </c>
      <c r="S116" s="37">
        <f t="shared" si="243"/>
        <v>29625.932235955479</v>
      </c>
      <c r="T116" s="37">
        <f t="shared" si="243"/>
        <v>34389.512235955473</v>
      </c>
      <c r="U116" s="37">
        <f t="shared" si="243"/>
        <v>39682.378902622142</v>
      </c>
      <c r="V116" s="37">
        <f t="shared" si="243"/>
        <v>45636.853902622141</v>
      </c>
      <c r="W116" s="37">
        <f t="shared" si="243"/>
        <v>52441.968188336425</v>
      </c>
      <c r="X116" s="37">
        <f t="shared" si="243"/>
        <v>60381.268188336428</v>
      </c>
      <c r="Y116" s="37">
        <f t="shared" si="243"/>
        <v>69908.428188336431</v>
      </c>
      <c r="Z116" s="37">
        <f t="shared" si="243"/>
        <v>81562.903188336437</v>
      </c>
      <c r="AA116" s="37">
        <f t="shared" si="243"/>
        <v>96762.903188336451</v>
      </c>
      <c r="AB116" s="37">
        <f t="shared" si="243"/>
        <v>119562.90318833644</v>
      </c>
      <c r="AC116" s="37">
        <f t="shared" si="243"/>
        <v>119562.90318833644</v>
      </c>
      <c r="AD116" s="37">
        <f t="shared" si="243"/>
        <v>0</v>
      </c>
      <c r="AE116" s="37">
        <f t="shared" ref="AE116:AF116" si="244">AE132</f>
        <v>0</v>
      </c>
      <c r="AF116" s="37">
        <f t="shared" si="244"/>
        <v>0</v>
      </c>
      <c r="AG116" s="37">
        <f t="shared" ref="AG116:BO116" si="245">AG132</f>
        <v>0</v>
      </c>
      <c r="AH116" s="37">
        <f t="shared" si="245"/>
        <v>0</v>
      </c>
      <c r="AI116" s="37">
        <f t="shared" si="245"/>
        <v>0</v>
      </c>
      <c r="AJ116" s="37">
        <f t="shared" si="245"/>
        <v>0</v>
      </c>
      <c r="AK116" s="37">
        <f t="shared" si="245"/>
        <v>0</v>
      </c>
      <c r="AL116" s="37">
        <f t="shared" si="245"/>
        <v>0</v>
      </c>
      <c r="AM116" s="37">
        <f t="shared" si="245"/>
        <v>0</v>
      </c>
      <c r="AN116" s="37">
        <f t="shared" si="245"/>
        <v>0</v>
      </c>
      <c r="AO116" s="37">
        <f t="shared" si="245"/>
        <v>0</v>
      </c>
      <c r="AP116" s="37">
        <f t="shared" si="245"/>
        <v>0</v>
      </c>
      <c r="AQ116" s="37">
        <f t="shared" si="245"/>
        <v>0</v>
      </c>
      <c r="AR116" s="37">
        <f t="shared" si="245"/>
        <v>0</v>
      </c>
      <c r="AS116" s="37">
        <f t="shared" si="245"/>
        <v>0</v>
      </c>
      <c r="AT116" s="37">
        <f t="shared" si="245"/>
        <v>0</v>
      </c>
      <c r="AU116" s="37">
        <f t="shared" si="245"/>
        <v>0</v>
      </c>
      <c r="AV116" s="37">
        <f t="shared" si="245"/>
        <v>0</v>
      </c>
      <c r="AW116" s="37">
        <f t="shared" si="245"/>
        <v>0</v>
      </c>
      <c r="AX116" s="37">
        <f t="shared" si="245"/>
        <v>0</v>
      </c>
      <c r="AY116" s="37">
        <f t="shared" si="245"/>
        <v>0</v>
      </c>
      <c r="AZ116" s="37">
        <f t="shared" si="245"/>
        <v>0</v>
      </c>
      <c r="BA116" s="37">
        <f t="shared" si="245"/>
        <v>0</v>
      </c>
      <c r="BB116" s="37">
        <f t="shared" si="245"/>
        <v>0</v>
      </c>
      <c r="BC116" s="37">
        <f t="shared" si="245"/>
        <v>0</v>
      </c>
      <c r="BD116" s="37">
        <f t="shared" si="245"/>
        <v>0</v>
      </c>
      <c r="BE116" s="37">
        <f t="shared" si="245"/>
        <v>0</v>
      </c>
      <c r="BF116" s="37">
        <f t="shared" si="245"/>
        <v>0</v>
      </c>
      <c r="BG116" s="37">
        <f t="shared" si="245"/>
        <v>0</v>
      </c>
      <c r="BH116" s="37">
        <f t="shared" si="245"/>
        <v>0</v>
      </c>
      <c r="BI116" s="37">
        <f t="shared" si="245"/>
        <v>0</v>
      </c>
      <c r="BJ116" s="37">
        <f t="shared" si="245"/>
        <v>0</v>
      </c>
      <c r="BK116" s="37">
        <f t="shared" si="245"/>
        <v>0</v>
      </c>
      <c r="BL116" s="37">
        <f t="shared" si="245"/>
        <v>0</v>
      </c>
      <c r="BM116" s="37">
        <f t="shared" si="245"/>
        <v>0</v>
      </c>
      <c r="BN116" s="37">
        <f t="shared" si="245"/>
        <v>0</v>
      </c>
      <c r="BO116" s="37">
        <f t="shared" si="245"/>
        <v>0</v>
      </c>
      <c r="BP116" s="37"/>
      <c r="BQ116" s="5"/>
    </row>
    <row r="117" spans="1:69">
      <c r="A117" s="4"/>
      <c r="B117" s="1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5"/>
    </row>
    <row r="118" spans="1:69">
      <c r="A118" s="28" t="s">
        <v>55</v>
      </c>
      <c r="B118" s="56" t="s">
        <v>56</v>
      </c>
      <c r="C118" s="1"/>
      <c r="D118" s="61">
        <f>D101-D108-D115</f>
        <v>0</v>
      </c>
      <c r="E118" s="61">
        <f t="shared" ref="E118:AD118" si="246">E101-E108-E115</f>
        <v>0</v>
      </c>
      <c r="F118" s="61">
        <f t="shared" si="246"/>
        <v>0</v>
      </c>
      <c r="G118" s="61">
        <f t="shared" si="246"/>
        <v>0</v>
      </c>
      <c r="H118" s="61">
        <f t="shared" si="246"/>
        <v>-76108.798574191285</v>
      </c>
      <c r="I118" s="61">
        <f t="shared" si="246"/>
        <v>-173927.55394308918</v>
      </c>
      <c r="J118" s="61">
        <f t="shared" si="246"/>
        <v>452810.39507043106</v>
      </c>
      <c r="K118" s="61">
        <f t="shared" si="246"/>
        <v>438582.14080753439</v>
      </c>
      <c r="L118" s="61">
        <f t="shared" si="246"/>
        <v>424306.1746255465</v>
      </c>
      <c r="M118" s="61">
        <f t="shared" si="246"/>
        <v>409978.84633413091</v>
      </c>
      <c r="N118" s="61">
        <f t="shared" si="246"/>
        <v>399359.0739416093</v>
      </c>
      <c r="O118" s="61">
        <f t="shared" si="246"/>
        <v>388920.40552375856</v>
      </c>
      <c r="P118" s="61">
        <f t="shared" si="246"/>
        <v>374657.06052019302</v>
      </c>
      <c r="Q118" s="61">
        <f t="shared" si="246"/>
        <v>364450.11670210544</v>
      </c>
      <c r="R118" s="61">
        <f t="shared" si="246"/>
        <v>354413.70588095248</v>
      </c>
      <c r="S118" s="61">
        <f t="shared" si="246"/>
        <v>344544.37953587621</v>
      </c>
      <c r="T118" s="61">
        <f t="shared" si="246"/>
        <v>334838.72955486138</v>
      </c>
      <c r="U118" s="61">
        <f t="shared" si="246"/>
        <v>325293.38966936379</v>
      </c>
      <c r="V118" s="61">
        <f t="shared" si="246"/>
        <v>320626.30010878196</v>
      </c>
      <c r="W118" s="61">
        <f t="shared" si="246"/>
        <v>311511.49554575182</v>
      </c>
      <c r="X118" s="61">
        <f t="shared" si="246"/>
        <v>302547.16529324814</v>
      </c>
      <c r="Y118" s="61">
        <f t="shared" si="246"/>
        <v>313115.52504905895</v>
      </c>
      <c r="Z118" s="61">
        <f t="shared" si="246"/>
        <v>339199.46662884217</v>
      </c>
      <c r="AA118" s="61">
        <f t="shared" si="246"/>
        <v>322099.43222515006</v>
      </c>
      <c r="AB118" s="61">
        <f>AB101-AB108-AB115</f>
        <v>-117686.96740781899</v>
      </c>
      <c r="AC118" s="61">
        <f t="shared" si="246"/>
        <v>-91684.509027890483</v>
      </c>
      <c r="AD118" s="61">
        <f t="shared" si="246"/>
        <v>-224478.37782250976</v>
      </c>
      <c r="AE118" s="61">
        <f t="shared" ref="AE118:AF118" si="247">AE101-AE108-AE115</f>
        <v>-60319.60277521117</v>
      </c>
      <c r="AF118" s="61">
        <f t="shared" si="247"/>
        <v>-51666.789115398416</v>
      </c>
      <c r="AG118" s="61">
        <f t="shared" ref="AG118:BO118" si="248">AG101-AG108-AG115</f>
        <v>-43607.588734936617</v>
      </c>
      <c r="AH118" s="61">
        <f t="shared" si="248"/>
        <v>-38543.525941230131</v>
      </c>
      <c r="AI118" s="61">
        <f t="shared" si="248"/>
        <v>-34435.164835699194</v>
      </c>
      <c r="AJ118" s="61">
        <f t="shared" si="248"/>
        <v>-30122.6798996547</v>
      </c>
      <c r="AK118" s="61">
        <f t="shared" si="248"/>
        <v>-27369.776696214863</v>
      </c>
      <c r="AL118" s="61">
        <f t="shared" si="248"/>
        <v>-25017.995835463811</v>
      </c>
      <c r="AM118" s="61">
        <f t="shared" si="248"/>
        <v>-22345.316766032163</v>
      </c>
      <c r="AN118" s="61">
        <f t="shared" si="248"/>
        <v>-20631.815079001462</v>
      </c>
      <c r="AO118" s="61">
        <f t="shared" si="248"/>
        <v>-19117.712864013454</v>
      </c>
      <c r="AP118" s="61">
        <f t="shared" si="248"/>
        <v>-17768.327929057432</v>
      </c>
      <c r="AQ118" s="61">
        <f t="shared" si="248"/>
        <v>-16131.985445318816</v>
      </c>
      <c r="AR118" s="61">
        <f t="shared" si="248"/>
        <v>-15074.205889007668</v>
      </c>
      <c r="AS118" s="61">
        <f t="shared" si="248"/>
        <v>-14110.897471303591</v>
      </c>
      <c r="AT118" s="61">
        <f t="shared" si="248"/>
        <v>-12906.008374582412</v>
      </c>
      <c r="AU118" s="61">
        <f t="shared" si="248"/>
        <v>-4031.9999999999991</v>
      </c>
      <c r="AV118" s="61">
        <f t="shared" si="248"/>
        <v>0</v>
      </c>
      <c r="AW118" s="61">
        <f t="shared" si="248"/>
        <v>0</v>
      </c>
      <c r="AX118" s="61">
        <f t="shared" si="248"/>
        <v>0</v>
      </c>
      <c r="AY118" s="61">
        <f t="shared" si="248"/>
        <v>0</v>
      </c>
      <c r="AZ118" s="61">
        <f t="shared" si="248"/>
        <v>0</v>
      </c>
      <c r="BA118" s="61">
        <f t="shared" si="248"/>
        <v>0</v>
      </c>
      <c r="BB118" s="61">
        <f t="shared" si="248"/>
        <v>0</v>
      </c>
      <c r="BC118" s="61">
        <f t="shared" si="248"/>
        <v>0</v>
      </c>
      <c r="BD118" s="61">
        <f t="shared" si="248"/>
        <v>0</v>
      </c>
      <c r="BE118" s="61">
        <f t="shared" si="248"/>
        <v>0</v>
      </c>
      <c r="BF118" s="61">
        <f t="shared" si="248"/>
        <v>0</v>
      </c>
      <c r="BG118" s="61">
        <f t="shared" si="248"/>
        <v>0</v>
      </c>
      <c r="BH118" s="61">
        <f t="shared" si="248"/>
        <v>0</v>
      </c>
      <c r="BI118" s="61">
        <f t="shared" si="248"/>
        <v>0</v>
      </c>
      <c r="BJ118" s="61">
        <f t="shared" si="248"/>
        <v>0</v>
      </c>
      <c r="BK118" s="61">
        <f t="shared" si="248"/>
        <v>0</v>
      </c>
      <c r="BL118" s="61">
        <f t="shared" si="248"/>
        <v>0</v>
      </c>
      <c r="BM118" s="61">
        <f t="shared" si="248"/>
        <v>0</v>
      </c>
      <c r="BN118" s="61">
        <f t="shared" si="248"/>
        <v>0</v>
      </c>
      <c r="BO118" s="61">
        <f t="shared" si="248"/>
        <v>0</v>
      </c>
      <c r="BP118" s="61"/>
      <c r="BQ118" s="60">
        <f>BQ101-BQ108-BQ115</f>
        <v>5384166.202589578</v>
      </c>
    </row>
    <row r="119" spans="1:69">
      <c r="A119" s="4" t="s">
        <v>206</v>
      </c>
      <c r="B119" s="17" t="s">
        <v>56</v>
      </c>
      <c r="C119" s="43">
        <v>0.3</v>
      </c>
      <c r="D119" s="12">
        <f t="shared" ref="D119:AD119" si="249">IF((D101-D109-D116)*$C$119&gt;0,(D101-D109-D116)*$C$119,0)</f>
        <v>0</v>
      </c>
      <c r="E119" s="12">
        <f t="shared" si="249"/>
        <v>0</v>
      </c>
      <c r="F119" s="12">
        <f t="shared" si="249"/>
        <v>0</v>
      </c>
      <c r="G119" s="12">
        <f t="shared" si="249"/>
        <v>0</v>
      </c>
      <c r="H119" s="12">
        <f t="shared" si="249"/>
        <v>0</v>
      </c>
      <c r="I119" s="12">
        <f t="shared" si="249"/>
        <v>0</v>
      </c>
      <c r="J119" s="12">
        <f t="shared" si="249"/>
        <v>150088.78009255789</v>
      </c>
      <c r="K119" s="12">
        <f t="shared" si="249"/>
        <v>145068.15960316255</v>
      </c>
      <c r="L119" s="12">
        <f t="shared" si="249"/>
        <v>139991.43974856619</v>
      </c>
      <c r="M119" s="12">
        <f t="shared" si="249"/>
        <v>134852.60949643565</v>
      </c>
      <c r="N119" s="12">
        <f t="shared" si="249"/>
        <v>130773.50652867915</v>
      </c>
      <c r="O119" s="12">
        <f t="shared" si="249"/>
        <v>126689.19000332394</v>
      </c>
      <c r="P119" s="12">
        <f t="shared" si="249"/>
        <v>121389.41935939713</v>
      </c>
      <c r="Q119" s="12">
        <f t="shared" si="249"/>
        <v>117228.04852166316</v>
      </c>
      <c r="R119" s="12">
        <f t="shared" si="249"/>
        <v>113026.23027531727</v>
      </c>
      <c r="S119" s="12">
        <f t="shared" si="249"/>
        <v>108766.2741899762</v>
      </c>
      <c r="T119" s="12">
        <f t="shared" si="249"/>
        <v>104425.50519567177</v>
      </c>
      <c r="U119" s="12">
        <f t="shared" si="249"/>
        <v>99974.043230022493</v>
      </c>
      <c r="V119" s="12">
        <f t="shared" si="249"/>
        <v>96787.573861847937</v>
      </c>
      <c r="W119" s="12">
        <f t="shared" si="249"/>
        <v>92011.598207224612</v>
      </c>
      <c r="X119" s="12">
        <f t="shared" si="249"/>
        <v>86940.509131473504</v>
      </c>
      <c r="Y119" s="12">
        <f t="shared" si="249"/>
        <v>86947.499058216737</v>
      </c>
      <c r="Z119" s="12">
        <f t="shared" si="249"/>
        <v>90970.969032151726</v>
      </c>
      <c r="AA119" s="12">
        <f t="shared" si="249"/>
        <v>81280.958711044077</v>
      </c>
      <c r="AB119" s="12">
        <f>IF((AB101-AB109-AB116)*$C$119&gt;0,(AB101-AB109-AB116)*$C$119,0)</f>
        <v>0</v>
      </c>
      <c r="AC119" s="12">
        <f t="shared" si="249"/>
        <v>0</v>
      </c>
      <c r="AD119" s="12">
        <f t="shared" si="249"/>
        <v>0</v>
      </c>
      <c r="AE119" s="12">
        <f t="shared" ref="AE119:AF119" si="250">IF((AE101-AE109-AE116)*$C$119&gt;0,(AE101-AE109-AE116)*$C$119,0)</f>
        <v>0</v>
      </c>
      <c r="AF119" s="12">
        <f t="shared" si="250"/>
        <v>0</v>
      </c>
      <c r="AG119" s="12">
        <f t="shared" ref="AG119:BO119" si="251">IF((AG101-AG109-AG116)*$C$119&gt;0,(AG101-AG109-AG116)*$C$119,0)</f>
        <v>0</v>
      </c>
      <c r="AH119" s="12">
        <f t="shared" si="251"/>
        <v>0</v>
      </c>
      <c r="AI119" s="12">
        <f t="shared" si="251"/>
        <v>0</v>
      </c>
      <c r="AJ119" s="12">
        <f t="shared" si="251"/>
        <v>0</v>
      </c>
      <c r="AK119" s="12">
        <f t="shared" si="251"/>
        <v>0</v>
      </c>
      <c r="AL119" s="12">
        <f t="shared" si="251"/>
        <v>0</v>
      </c>
      <c r="AM119" s="12">
        <f t="shared" si="251"/>
        <v>0</v>
      </c>
      <c r="AN119" s="12">
        <f t="shared" si="251"/>
        <v>0</v>
      </c>
      <c r="AO119" s="12">
        <f t="shared" si="251"/>
        <v>0</v>
      </c>
      <c r="AP119" s="12">
        <f t="shared" si="251"/>
        <v>0</v>
      </c>
      <c r="AQ119" s="12">
        <f t="shared" si="251"/>
        <v>0</v>
      </c>
      <c r="AR119" s="12">
        <f t="shared" si="251"/>
        <v>0</v>
      </c>
      <c r="AS119" s="12">
        <f t="shared" si="251"/>
        <v>0</v>
      </c>
      <c r="AT119" s="12">
        <f t="shared" si="251"/>
        <v>0</v>
      </c>
      <c r="AU119" s="12">
        <f t="shared" si="251"/>
        <v>0</v>
      </c>
      <c r="AV119" s="12">
        <f t="shared" si="251"/>
        <v>0</v>
      </c>
      <c r="AW119" s="12">
        <f t="shared" si="251"/>
        <v>0</v>
      </c>
      <c r="AX119" s="12">
        <f t="shared" si="251"/>
        <v>0</v>
      </c>
      <c r="AY119" s="12">
        <f t="shared" si="251"/>
        <v>0</v>
      </c>
      <c r="AZ119" s="12">
        <f t="shared" si="251"/>
        <v>0</v>
      </c>
      <c r="BA119" s="12">
        <f t="shared" si="251"/>
        <v>0</v>
      </c>
      <c r="BB119" s="12">
        <f t="shared" si="251"/>
        <v>0</v>
      </c>
      <c r="BC119" s="12">
        <f t="shared" si="251"/>
        <v>0</v>
      </c>
      <c r="BD119" s="12">
        <f t="shared" si="251"/>
        <v>0</v>
      </c>
      <c r="BE119" s="12">
        <f t="shared" si="251"/>
        <v>0</v>
      </c>
      <c r="BF119" s="12">
        <f t="shared" si="251"/>
        <v>0</v>
      </c>
      <c r="BG119" s="12">
        <f t="shared" si="251"/>
        <v>0</v>
      </c>
      <c r="BH119" s="12">
        <f t="shared" si="251"/>
        <v>0</v>
      </c>
      <c r="BI119" s="12">
        <f t="shared" si="251"/>
        <v>0</v>
      </c>
      <c r="BJ119" s="12">
        <f t="shared" si="251"/>
        <v>0</v>
      </c>
      <c r="BK119" s="12">
        <f t="shared" si="251"/>
        <v>0</v>
      </c>
      <c r="BL119" s="12">
        <f t="shared" si="251"/>
        <v>0</v>
      </c>
      <c r="BM119" s="12">
        <f t="shared" si="251"/>
        <v>0</v>
      </c>
      <c r="BN119" s="12">
        <f t="shared" si="251"/>
        <v>0</v>
      </c>
      <c r="BO119" s="12">
        <f t="shared" si="251"/>
        <v>0</v>
      </c>
      <c r="BP119" s="12"/>
      <c r="BQ119" s="5">
        <f>SUM(D119:BO119)</f>
        <v>2027212.314246732</v>
      </c>
    </row>
    <row r="120" spans="1:69" hidden="1">
      <c r="A120" s="4"/>
      <c r="B120" s="17"/>
      <c r="D120" s="37">
        <v>1</v>
      </c>
      <c r="E120" s="37">
        <v>1</v>
      </c>
      <c r="F120" s="37">
        <v>1</v>
      </c>
      <c r="G120" s="37">
        <v>1</v>
      </c>
      <c r="H120" s="37">
        <v>1</v>
      </c>
      <c r="I120" s="37">
        <v>1</v>
      </c>
      <c r="J120" s="37">
        <v>1</v>
      </c>
      <c r="K120" s="37">
        <v>1</v>
      </c>
      <c r="L120" s="37">
        <v>1</v>
      </c>
      <c r="M120" s="37">
        <v>1</v>
      </c>
      <c r="N120" s="37">
        <v>1</v>
      </c>
      <c r="O120" s="37">
        <v>1</v>
      </c>
      <c r="P120" s="37">
        <v>1</v>
      </c>
      <c r="Q120" s="37">
        <v>1</v>
      </c>
      <c r="R120" s="37">
        <v>1</v>
      </c>
      <c r="S120" s="37">
        <v>1</v>
      </c>
      <c r="T120" s="37">
        <v>1</v>
      </c>
      <c r="U120" s="37">
        <v>1</v>
      </c>
      <c r="V120" s="37">
        <v>1</v>
      </c>
      <c r="W120" s="37">
        <v>1</v>
      </c>
      <c r="X120" s="37">
        <v>1</v>
      </c>
      <c r="Y120" s="37">
        <v>1</v>
      </c>
      <c r="Z120" s="37">
        <v>1</v>
      </c>
      <c r="AA120" s="37">
        <v>1</v>
      </c>
      <c r="AB120" s="37">
        <v>1</v>
      </c>
      <c r="AC120" s="37">
        <v>1</v>
      </c>
      <c r="AD120" s="37">
        <v>1</v>
      </c>
      <c r="AE120" s="37">
        <v>1</v>
      </c>
      <c r="AF120" s="37">
        <v>1</v>
      </c>
      <c r="AG120" s="37">
        <v>1</v>
      </c>
      <c r="AH120" s="37">
        <v>1</v>
      </c>
      <c r="AI120" s="37">
        <v>1</v>
      </c>
      <c r="AJ120" s="37">
        <v>1</v>
      </c>
      <c r="AK120" s="37">
        <v>1</v>
      </c>
      <c r="AL120" s="37">
        <v>1</v>
      </c>
      <c r="AM120" s="37">
        <v>1</v>
      </c>
      <c r="AN120" s="37">
        <v>1</v>
      </c>
      <c r="AO120" s="37">
        <v>1</v>
      </c>
      <c r="AP120" s="37">
        <v>1</v>
      </c>
      <c r="AQ120" s="37">
        <v>1</v>
      </c>
      <c r="AR120" s="37">
        <v>1</v>
      </c>
      <c r="AS120" s="37">
        <v>1</v>
      </c>
      <c r="AT120" s="37">
        <v>1</v>
      </c>
      <c r="AU120" s="37">
        <v>1</v>
      </c>
      <c r="AV120" s="37">
        <v>1</v>
      </c>
      <c r="AW120" s="37">
        <v>1</v>
      </c>
      <c r="AX120" s="37">
        <v>1</v>
      </c>
      <c r="AY120" s="37">
        <v>1</v>
      </c>
      <c r="AZ120" s="37">
        <v>1</v>
      </c>
      <c r="BA120" s="37">
        <v>1</v>
      </c>
      <c r="BB120" s="37">
        <v>1</v>
      </c>
      <c r="BC120" s="37">
        <v>1</v>
      </c>
      <c r="BD120" s="37">
        <v>1</v>
      </c>
      <c r="BE120" s="37">
        <v>1</v>
      </c>
      <c r="BF120" s="37">
        <v>1</v>
      </c>
      <c r="BG120" s="37">
        <v>1</v>
      </c>
      <c r="BH120" s="37">
        <v>1</v>
      </c>
      <c r="BI120" s="37">
        <v>1</v>
      </c>
      <c r="BJ120" s="37">
        <v>1</v>
      </c>
      <c r="BK120" s="37">
        <v>1</v>
      </c>
      <c r="BL120" s="37">
        <v>1</v>
      </c>
      <c r="BM120" s="37">
        <v>1</v>
      </c>
      <c r="BN120" s="37">
        <v>1</v>
      </c>
      <c r="BO120" s="37">
        <v>1</v>
      </c>
      <c r="BP120" s="37"/>
      <c r="BQ120" s="5"/>
    </row>
    <row r="121" spans="1:69">
      <c r="A121" s="4"/>
      <c r="B121" s="1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5"/>
    </row>
    <row r="122" spans="1:69">
      <c r="A122" s="28" t="s">
        <v>207</v>
      </c>
      <c r="B122" s="56" t="s">
        <v>56</v>
      </c>
      <c r="C122" s="1"/>
      <c r="D122" s="61">
        <f>D118-D119</f>
        <v>0</v>
      </c>
      <c r="E122" s="61">
        <f t="shared" ref="E122:AD122" si="252">E118-E119</f>
        <v>0</v>
      </c>
      <c r="F122" s="61">
        <f t="shared" si="252"/>
        <v>0</v>
      </c>
      <c r="G122" s="61">
        <f t="shared" si="252"/>
        <v>0</v>
      </c>
      <c r="H122" s="61">
        <f t="shared" si="252"/>
        <v>-76108.798574191285</v>
      </c>
      <c r="I122" s="61">
        <f t="shared" si="252"/>
        <v>-173927.55394308918</v>
      </c>
      <c r="J122" s="61">
        <f t="shared" si="252"/>
        <v>302721.61497787316</v>
      </c>
      <c r="K122" s="61">
        <f t="shared" si="252"/>
        <v>293513.98120437184</v>
      </c>
      <c r="L122" s="61">
        <f t="shared" si="252"/>
        <v>284314.73487698031</v>
      </c>
      <c r="M122" s="61">
        <f t="shared" si="252"/>
        <v>275126.23683769524</v>
      </c>
      <c r="N122" s="61">
        <f t="shared" si="252"/>
        <v>268585.56741293013</v>
      </c>
      <c r="O122" s="61">
        <f t="shared" si="252"/>
        <v>262231.21552043461</v>
      </c>
      <c r="P122" s="61">
        <f t="shared" si="252"/>
        <v>253267.64116079587</v>
      </c>
      <c r="Q122" s="61">
        <f t="shared" si="252"/>
        <v>247222.06818044226</v>
      </c>
      <c r="R122" s="61">
        <f t="shared" si="252"/>
        <v>241387.47560563521</v>
      </c>
      <c r="S122" s="61">
        <f t="shared" si="252"/>
        <v>235778.1053459</v>
      </c>
      <c r="T122" s="61">
        <f t="shared" si="252"/>
        <v>230413.22435918963</v>
      </c>
      <c r="U122" s="61">
        <f t="shared" si="252"/>
        <v>225319.34643934132</v>
      </c>
      <c r="V122" s="61">
        <f t="shared" si="252"/>
        <v>223838.72624693403</v>
      </c>
      <c r="W122" s="61">
        <f t="shared" si="252"/>
        <v>219499.8973385272</v>
      </c>
      <c r="X122" s="61">
        <f t="shared" si="252"/>
        <v>215606.65616177465</v>
      </c>
      <c r="Y122" s="61">
        <f t="shared" si="252"/>
        <v>226168.0259908422</v>
      </c>
      <c r="Z122" s="61">
        <f t="shared" si="252"/>
        <v>248228.49759669043</v>
      </c>
      <c r="AA122" s="61">
        <f t="shared" si="252"/>
        <v>240818.47351410598</v>
      </c>
      <c r="AB122" s="61">
        <f t="shared" si="252"/>
        <v>-117686.96740781899</v>
      </c>
      <c r="AC122" s="61">
        <f t="shared" si="252"/>
        <v>-91684.509027890483</v>
      </c>
      <c r="AD122" s="61">
        <f t="shared" si="252"/>
        <v>-224478.37782250976</v>
      </c>
      <c r="AE122" s="61">
        <f t="shared" ref="AE122:AF122" si="253">AE118-AE119</f>
        <v>-60319.60277521117</v>
      </c>
      <c r="AF122" s="61">
        <f t="shared" si="253"/>
        <v>-51666.789115398416</v>
      </c>
      <c r="AG122" s="61">
        <f t="shared" ref="AG122:BO122" si="254">AG118-AG119</f>
        <v>-43607.588734936617</v>
      </c>
      <c r="AH122" s="61">
        <f t="shared" si="254"/>
        <v>-38543.525941230131</v>
      </c>
      <c r="AI122" s="61">
        <f t="shared" si="254"/>
        <v>-34435.164835699194</v>
      </c>
      <c r="AJ122" s="61">
        <f t="shared" si="254"/>
        <v>-30122.6798996547</v>
      </c>
      <c r="AK122" s="61">
        <f t="shared" si="254"/>
        <v>-27369.776696214863</v>
      </c>
      <c r="AL122" s="61">
        <f t="shared" si="254"/>
        <v>-25017.995835463811</v>
      </c>
      <c r="AM122" s="61">
        <f t="shared" si="254"/>
        <v>-22345.316766032163</v>
      </c>
      <c r="AN122" s="61">
        <f t="shared" si="254"/>
        <v>-20631.815079001462</v>
      </c>
      <c r="AO122" s="61">
        <f t="shared" si="254"/>
        <v>-19117.712864013454</v>
      </c>
      <c r="AP122" s="61">
        <f t="shared" si="254"/>
        <v>-17768.327929057432</v>
      </c>
      <c r="AQ122" s="61">
        <f t="shared" si="254"/>
        <v>-16131.985445318816</v>
      </c>
      <c r="AR122" s="61">
        <f t="shared" si="254"/>
        <v>-15074.205889007668</v>
      </c>
      <c r="AS122" s="61">
        <f t="shared" si="254"/>
        <v>-14110.897471303591</v>
      </c>
      <c r="AT122" s="61">
        <f t="shared" si="254"/>
        <v>-12906.008374582412</v>
      </c>
      <c r="AU122" s="61">
        <f t="shared" si="254"/>
        <v>-4031.9999999999991</v>
      </c>
      <c r="AV122" s="61">
        <f t="shared" si="254"/>
        <v>0</v>
      </c>
      <c r="AW122" s="61">
        <f t="shared" si="254"/>
        <v>0</v>
      </c>
      <c r="AX122" s="61">
        <f t="shared" si="254"/>
        <v>0</v>
      </c>
      <c r="AY122" s="61">
        <f t="shared" si="254"/>
        <v>0</v>
      </c>
      <c r="AZ122" s="61">
        <f t="shared" si="254"/>
        <v>0</v>
      </c>
      <c r="BA122" s="61">
        <f t="shared" si="254"/>
        <v>0</v>
      </c>
      <c r="BB122" s="61">
        <f t="shared" si="254"/>
        <v>0</v>
      </c>
      <c r="BC122" s="61">
        <f t="shared" si="254"/>
        <v>0</v>
      </c>
      <c r="BD122" s="61">
        <f t="shared" si="254"/>
        <v>0</v>
      </c>
      <c r="BE122" s="61">
        <f t="shared" si="254"/>
        <v>0</v>
      </c>
      <c r="BF122" s="61">
        <f t="shared" si="254"/>
        <v>0</v>
      </c>
      <c r="BG122" s="61">
        <f t="shared" si="254"/>
        <v>0</v>
      </c>
      <c r="BH122" s="61">
        <f t="shared" si="254"/>
        <v>0</v>
      </c>
      <c r="BI122" s="61">
        <f t="shared" si="254"/>
        <v>0</v>
      </c>
      <c r="BJ122" s="61">
        <f t="shared" si="254"/>
        <v>0</v>
      </c>
      <c r="BK122" s="61">
        <f t="shared" si="254"/>
        <v>0</v>
      </c>
      <c r="BL122" s="61">
        <f t="shared" si="254"/>
        <v>0</v>
      </c>
      <c r="BM122" s="61">
        <f t="shared" si="254"/>
        <v>0</v>
      </c>
      <c r="BN122" s="61">
        <f t="shared" si="254"/>
        <v>0</v>
      </c>
      <c r="BO122" s="61">
        <f t="shared" si="254"/>
        <v>0</v>
      </c>
      <c r="BP122" s="61"/>
      <c r="BQ122" s="62">
        <f>BQ118-BQ119</f>
        <v>3356953.8883428462</v>
      </c>
    </row>
    <row r="123" spans="1:69">
      <c r="A123" s="28" t="s">
        <v>208</v>
      </c>
      <c r="B123" s="56" t="s">
        <v>56</v>
      </c>
      <c r="C123" s="141">
        <v>0.6</v>
      </c>
      <c r="D123" s="61">
        <f>IFERROR(D122*$C$123,0)</f>
        <v>0</v>
      </c>
      <c r="E123" s="61">
        <f t="shared" ref="E123:AD123" si="255">IFERROR(E122*$C$123,0)</f>
        <v>0</v>
      </c>
      <c r="F123" s="61">
        <f t="shared" si="255"/>
        <v>0</v>
      </c>
      <c r="G123" s="61">
        <f t="shared" si="255"/>
        <v>0</v>
      </c>
      <c r="H123" s="61">
        <f t="shared" si="255"/>
        <v>-45665.279144514767</v>
      </c>
      <c r="I123" s="61">
        <f t="shared" si="255"/>
        <v>-104356.53236585351</v>
      </c>
      <c r="J123" s="61">
        <f t="shared" si="255"/>
        <v>181632.96898672389</v>
      </c>
      <c r="K123" s="61">
        <f t="shared" si="255"/>
        <v>176108.38872262309</v>
      </c>
      <c r="L123" s="61">
        <f t="shared" si="255"/>
        <v>170588.84092618819</v>
      </c>
      <c r="M123" s="61">
        <f t="shared" si="255"/>
        <v>165075.74210261714</v>
      </c>
      <c r="N123" s="61">
        <f t="shared" si="255"/>
        <v>161151.34044775806</v>
      </c>
      <c r="O123" s="61">
        <f t="shared" si="255"/>
        <v>157338.72931226075</v>
      </c>
      <c r="P123" s="61">
        <f t="shared" si="255"/>
        <v>151960.58469647751</v>
      </c>
      <c r="Q123" s="61">
        <f t="shared" si="255"/>
        <v>148333.24090826535</v>
      </c>
      <c r="R123" s="61">
        <f t="shared" si="255"/>
        <v>144832.48536338113</v>
      </c>
      <c r="S123" s="61">
        <f t="shared" si="255"/>
        <v>141466.86320753998</v>
      </c>
      <c r="T123" s="61">
        <f t="shared" si="255"/>
        <v>138247.93461551378</v>
      </c>
      <c r="U123" s="61">
        <f t="shared" si="255"/>
        <v>135191.60786360479</v>
      </c>
      <c r="V123" s="61">
        <f t="shared" si="255"/>
        <v>134303.23574816043</v>
      </c>
      <c r="W123" s="61">
        <f t="shared" si="255"/>
        <v>131699.93840311631</v>
      </c>
      <c r="X123" s="61">
        <f t="shared" si="255"/>
        <v>129363.99369706478</v>
      </c>
      <c r="Y123" s="61">
        <f t="shared" si="255"/>
        <v>135700.81559450531</v>
      </c>
      <c r="Z123" s="61">
        <f t="shared" si="255"/>
        <v>148937.09855801426</v>
      </c>
      <c r="AA123" s="61">
        <f t="shared" si="255"/>
        <v>144491.08410846358</v>
      </c>
      <c r="AB123" s="61">
        <f t="shared" si="255"/>
        <v>-70612.180444691388</v>
      </c>
      <c r="AC123" s="61">
        <f t="shared" si="255"/>
        <v>-55010.705416734287</v>
      </c>
      <c r="AD123" s="61">
        <f t="shared" si="255"/>
        <v>-134687.02669350585</v>
      </c>
      <c r="AE123" s="61">
        <f t="shared" ref="AE123:AF123" si="256">IFERROR(AE122*$C$123,0)</f>
        <v>-36191.761665126702</v>
      </c>
      <c r="AF123" s="61">
        <f t="shared" si="256"/>
        <v>-31000.073469239047</v>
      </c>
      <c r="AG123" s="61">
        <f t="shared" ref="AG123:BN123" si="257">IFERROR(AG122*$C$123,0)</f>
        <v>-26164.55324096197</v>
      </c>
      <c r="AH123" s="61">
        <f t="shared" si="257"/>
        <v>-23126.115564738077</v>
      </c>
      <c r="AI123" s="61">
        <f t="shared" si="257"/>
        <v>-20661.098901419515</v>
      </c>
      <c r="AJ123" s="61">
        <f t="shared" si="257"/>
        <v>-18073.607939792819</v>
      </c>
      <c r="AK123" s="61">
        <f t="shared" si="257"/>
        <v>-16421.866017728917</v>
      </c>
      <c r="AL123" s="61">
        <f t="shared" si="257"/>
        <v>-15010.797501278286</v>
      </c>
      <c r="AM123" s="61">
        <f t="shared" si="257"/>
        <v>-13407.190059619297</v>
      </c>
      <c r="AN123" s="61">
        <f t="shared" si="257"/>
        <v>-12379.089047400877</v>
      </c>
      <c r="AO123" s="61">
        <f t="shared" si="257"/>
        <v>-11470.627718408072</v>
      </c>
      <c r="AP123" s="61">
        <f t="shared" si="257"/>
        <v>-10660.996757434459</v>
      </c>
      <c r="AQ123" s="61">
        <f t="shared" si="257"/>
        <v>-9679.1912671912887</v>
      </c>
      <c r="AR123" s="61">
        <f t="shared" si="257"/>
        <v>-9044.523533404601</v>
      </c>
      <c r="AS123" s="61">
        <f t="shared" si="257"/>
        <v>-8466.5384827821545</v>
      </c>
      <c r="AT123" s="61">
        <f t="shared" si="257"/>
        <v>-7743.6050247494468</v>
      </c>
      <c r="AU123" s="61">
        <f t="shared" si="257"/>
        <v>-2419.1999999999994</v>
      </c>
      <c r="AV123" s="61">
        <f t="shared" si="257"/>
        <v>0</v>
      </c>
      <c r="AW123" s="61">
        <f t="shared" si="257"/>
        <v>0</v>
      </c>
      <c r="AX123" s="61">
        <f t="shared" si="257"/>
        <v>0</v>
      </c>
      <c r="AY123" s="61">
        <f t="shared" si="257"/>
        <v>0</v>
      </c>
      <c r="AZ123" s="61">
        <f t="shared" si="257"/>
        <v>0</v>
      </c>
      <c r="BA123" s="61">
        <f t="shared" si="257"/>
        <v>0</v>
      </c>
      <c r="BB123" s="61">
        <f t="shared" si="257"/>
        <v>0</v>
      </c>
      <c r="BC123" s="61">
        <f t="shared" si="257"/>
        <v>0</v>
      </c>
      <c r="BD123" s="61">
        <f t="shared" si="257"/>
        <v>0</v>
      </c>
      <c r="BE123" s="61">
        <f t="shared" si="257"/>
        <v>0</v>
      </c>
      <c r="BF123" s="61">
        <f t="shared" si="257"/>
        <v>0</v>
      </c>
      <c r="BG123" s="61">
        <f t="shared" si="257"/>
        <v>0</v>
      </c>
      <c r="BH123" s="61">
        <f t="shared" si="257"/>
        <v>0</v>
      </c>
      <c r="BI123" s="61">
        <f t="shared" si="257"/>
        <v>0</v>
      </c>
      <c r="BJ123" s="61">
        <f t="shared" si="257"/>
        <v>0</v>
      </c>
      <c r="BK123" s="61">
        <f t="shared" si="257"/>
        <v>0</v>
      </c>
      <c r="BL123" s="61">
        <f t="shared" si="257"/>
        <v>0</v>
      </c>
      <c r="BM123" s="61">
        <f t="shared" si="257"/>
        <v>0</v>
      </c>
      <c r="BN123" s="61">
        <f t="shared" si="257"/>
        <v>0</v>
      </c>
      <c r="BO123" s="61">
        <f>IFERROR(BO122*$C$123,0)</f>
        <v>0</v>
      </c>
      <c r="BP123" s="61"/>
      <c r="BQ123" s="49">
        <f>SUM(D123:BO123)</f>
        <v>2014172.3330057042</v>
      </c>
    </row>
    <row r="124" spans="1:69">
      <c r="A124" s="28" t="s">
        <v>292</v>
      </c>
      <c r="B124" s="56" t="s">
        <v>56</v>
      </c>
      <c r="C124" s="1"/>
      <c r="D124" s="61">
        <f>D123*Assumptions!I2</f>
        <v>0</v>
      </c>
      <c r="E124" s="61">
        <f>E122*Assumptions!J2</f>
        <v>0</v>
      </c>
      <c r="F124" s="61">
        <f>F122*Assumptions!K2</f>
        <v>0</v>
      </c>
      <c r="G124" s="61">
        <f>G122*Assumptions!L2</f>
        <v>0</v>
      </c>
      <c r="H124" s="61">
        <f>H122*Assumptions!M2</f>
        <v>-53830.444588231388</v>
      </c>
      <c r="I124" s="61">
        <f>I122*Assumptions!N2</f>
        <v>-113903.67437796319</v>
      </c>
      <c r="J124" s="61">
        <f>J122*Assumptions!O2</f>
        <v>183564.63748679718</v>
      </c>
      <c r="K124" s="61">
        <f>K122*Assumptions!P2</f>
        <v>164797.50301348182</v>
      </c>
      <c r="L124" s="61">
        <f>L122*Assumptions!Q2</f>
        <v>147807.83179898409</v>
      </c>
      <c r="M124" s="61">
        <f>M122*Assumptions!R2</f>
        <v>132436.08406037773</v>
      </c>
      <c r="N124" s="61">
        <f>N122*Assumptions!S2</f>
        <v>119710.77414468587</v>
      </c>
      <c r="O124" s="61">
        <f>O122*Assumptions!T2</f>
        <v>108220.91460263022</v>
      </c>
      <c r="P124" s="61">
        <f>P122*Assumptions!U2</f>
        <v>96779.3635972466</v>
      </c>
      <c r="Q124" s="61">
        <f>Q122*Assumptions!V2</f>
        <v>87471.492373746209</v>
      </c>
      <c r="R124" s="61">
        <f>R122*Assumptions!W2</f>
        <v>79080.658755878801</v>
      </c>
      <c r="S124" s="61">
        <f>S122*Assumptions!X2</f>
        <v>71521.277549583858</v>
      </c>
      <c r="T124" s="61">
        <f>T122*Assumptions!Y2</f>
        <v>64716.561716458244</v>
      </c>
      <c r="U124" s="61">
        <f>U122*Assumptions!Z2</f>
        <v>58597.995736620614</v>
      </c>
      <c r="V124" s="61">
        <f>V122*Assumptions!AA2</f>
        <v>53900.866800111937</v>
      </c>
      <c r="W124" s="61">
        <f>W122*Assumptions!AB2</f>
        <v>48940.802849669803</v>
      </c>
      <c r="X124" s="61">
        <f>X122*Assumptions!AC2</f>
        <v>44511.802022732139</v>
      </c>
      <c r="Y124" s="61">
        <f>Y122*Assumptions!AD2</f>
        <v>43233.506862946975</v>
      </c>
      <c r="Z124" s="61">
        <f>Z122*Assumptions!AE2</f>
        <v>43935.658535161274</v>
      </c>
      <c r="AA124" s="61">
        <f>AA122*Assumptions!AF2</f>
        <v>39466.766409419608</v>
      </c>
      <c r="AB124" s="61">
        <f>AB122*Assumptions!AG2</f>
        <v>-17858.556928255264</v>
      </c>
      <c r="AC124" s="61">
        <f>AC122*Assumptions!AH2</f>
        <v>-12882.204785524928</v>
      </c>
      <c r="AD124" s="61">
        <f>AD122*Assumptions!AI2</f>
        <v>-29204.178543524886</v>
      </c>
      <c r="AE124" s="61">
        <f>AE122*Assumptions!AI2</f>
        <v>-7847.457141349325</v>
      </c>
      <c r="AF124" s="61">
        <f>AF122*Assumptions!AJ2</f>
        <v>-6223.836809507723</v>
      </c>
      <c r="AG124" s="61">
        <f>AG122*Assumptions!AK2</f>
        <v>-4863.9045289805845</v>
      </c>
      <c r="AH124" s="61">
        <f>AH122*Assumptions!AL2</f>
        <v>-3980.61939121965</v>
      </c>
      <c r="AI124" s="61">
        <f>AI122*Assumptions!AM2</f>
        <v>-3292.8930378662449</v>
      </c>
      <c r="AJ124" s="61">
        <f>AJ122*Assumptions!AN2</f>
        <v>-2667.136906165656</v>
      </c>
      <c r="AK124" s="61">
        <f>AK122*Assumptions!AO2</f>
        <v>-2243.8777944787103</v>
      </c>
      <c r="AL124" s="61">
        <f>AL122*Assumptions!AP2</f>
        <v>-1899.1388019199069</v>
      </c>
      <c r="AM124" s="61">
        <f>AM122*Assumptions!AQ2</f>
        <v>-1570.604911710657</v>
      </c>
      <c r="AN124" s="61">
        <f>AN122*Assumptions!AR2</f>
        <v>-1342.7467714665368</v>
      </c>
      <c r="AO124" s="61">
        <f>AO122*Assumptions!AS2</f>
        <v>-1152.043450391946</v>
      </c>
      <c r="AP124" s="61">
        <f>AP122*Assumptions!AT2</f>
        <v>-991.41555853210571</v>
      </c>
      <c r="AQ124" s="61">
        <f>AQ122*Assumptions!AU2</f>
        <v>-833.43787975700945</v>
      </c>
      <c r="AR124" s="61">
        <f>AR122*Assumptions!AV2</f>
        <v>-721.10100525881523</v>
      </c>
      <c r="AS124" s="61">
        <f>AS122*Assumptions!AW2</f>
        <v>-625.01802051692368</v>
      </c>
      <c r="AT124" s="61">
        <f>AT122*Assumptions!AX2</f>
        <v>-529.3051137893948</v>
      </c>
      <c r="AU124" s="61">
        <f>AU122*Assumptions!AY2</f>
        <v>-153.11259434059352</v>
      </c>
      <c r="AV124" s="61">
        <f>AV122*Assumptions!AZ2</f>
        <v>0</v>
      </c>
      <c r="AW124" s="61">
        <f>AW122*Assumptions!BA2</f>
        <v>0</v>
      </c>
      <c r="AX124" s="61">
        <f>AX122*Assumptions!BB2</f>
        <v>0</v>
      </c>
      <c r="AY124" s="61">
        <f>AY122*Assumptions!BC2</f>
        <v>0</v>
      </c>
      <c r="AZ124" s="61">
        <f>AZ122*Assumptions!BD2</f>
        <v>0</v>
      </c>
      <c r="BA124" s="61">
        <f>BA122*Assumptions!BE2</f>
        <v>0</v>
      </c>
      <c r="BB124" s="61">
        <f>BB122*Assumptions!BF2</f>
        <v>0</v>
      </c>
      <c r="BC124" s="61">
        <f>BC122*Assumptions!BG2</f>
        <v>0</v>
      </c>
      <c r="BD124" s="61">
        <f>BD122*Assumptions!BH2</f>
        <v>0</v>
      </c>
      <c r="BE124" s="61">
        <f>BE122*Assumptions!BI2</f>
        <v>0</v>
      </c>
      <c r="BF124" s="61">
        <f>BF122*Assumptions!BJ2</f>
        <v>0</v>
      </c>
      <c r="BG124" s="61">
        <f>BG122*Assumptions!BK2</f>
        <v>0</v>
      </c>
      <c r="BH124" s="61">
        <f>BH122*Assumptions!BL2</f>
        <v>0</v>
      </c>
      <c r="BI124" s="61">
        <f>BI122*Assumptions!BM2</f>
        <v>0</v>
      </c>
      <c r="BJ124" s="61">
        <f>BJ122*Assumptions!BN2</f>
        <v>0</v>
      </c>
      <c r="BK124" s="61">
        <f>BK122*Assumptions!BO2</f>
        <v>0</v>
      </c>
      <c r="BL124" s="61">
        <f>BL122*Assumptions!BP2</f>
        <v>0</v>
      </c>
      <c r="BM124" s="61">
        <f>BM122*Assumptions!BQ2</f>
        <v>0</v>
      </c>
      <c r="BN124" s="61">
        <f>BN122*Assumptions!BR2</f>
        <v>0</v>
      </c>
      <c r="BO124" s="61">
        <f>BO122*Assumptions!BS2</f>
        <v>0</v>
      </c>
      <c r="BP124" s="61"/>
      <c r="BQ124" s="49">
        <f>SUM(D124:BO124)</f>
        <v>1320077.7893757813</v>
      </c>
    </row>
    <row r="125" spans="1:69" hidden="1">
      <c r="A125" s="28" t="s">
        <v>293</v>
      </c>
      <c r="B125" s="56"/>
      <c r="C125" s="1"/>
      <c r="D125" s="61">
        <f>IFERROR(IF(SUM($D$122:D122)/ABS(D122)&gt;1,0,IF(SUM($D$122:D122)&lt;=0,1*D120,1-(SUM($D$122:D122)/D122)*D120)),0)</f>
        <v>0</v>
      </c>
      <c r="E125" s="61">
        <f>IFERROR(IF(SUM($D$122:E122)/ABS(E122)&gt;1,0,IF(SUM($D$122:E122)&lt;=0,1*E120,1-(SUM($D$122:E122)/E122)*E120)),0)</f>
        <v>0</v>
      </c>
      <c r="F125" s="61">
        <f>IFERROR(IF(SUM($D$122:F122)/ABS(F122)&gt;1,0,IF(SUM($D$122:F122)&lt;=0,1*F120,1-(SUM($D$122:F122)/F122)*F120)),0)</f>
        <v>0</v>
      </c>
      <c r="G125" s="61">
        <f>IFERROR(IF(SUM($D$122:G122)/ABS(G122)&gt;1,0,IF(SUM($D$122:G122)&lt;=0,1*G120,1-(SUM($D$122:G122)/G122)*G120)),0)</f>
        <v>0</v>
      </c>
      <c r="H125" s="61">
        <f>IFERROR(IF(SUM($D$122:H122)/ABS(H122)&gt;1,0,IF(SUM($D$122:H122)&lt;=0,1*H120,1-(SUM($D$122:H122)/H122)*H120)),0)</f>
        <v>1</v>
      </c>
      <c r="I125" s="61">
        <f>IFERROR(IF(SUM($D$122:I122)/ABS(I122)&gt;1,0,IF(SUM($D$122:I122)&lt;=0,1*I120,1-(SUM($D$122:I122)/I122)*I120)),0)</f>
        <v>1</v>
      </c>
      <c r="J125" s="61">
        <f>IFERROR(IF(SUM($D$122:J122)/ABS(J122)&gt;1,0,IF(SUM($D$122:J122)&lt;=0,1*J120,1-(SUM($D$122:J122)/J122)*J120)),0)</f>
        <v>0.82596134582446767</v>
      </c>
      <c r="K125" s="61">
        <f>IFERROR(IF(SUM($D$122:K122)/ABS(K122)&gt;1,0,IF(SUM($D$122:K122)&lt;=0,1*K120,1-(SUM($D$122:K122)/K122)*K120)),0)</f>
        <v>0</v>
      </c>
      <c r="L125" s="61">
        <f>IFERROR(IF(SUM($D$122:L122)/ABS(L122)&gt;1,0,IF(SUM($D$122:L122)&lt;=0,1*L120,1-(SUM($D$122:L122)/L122)*L120)),0)</f>
        <v>0</v>
      </c>
      <c r="M125" s="61">
        <f>IFERROR(IF(SUM($D$122:M122)/ABS(M122)&gt;1,0,IF(SUM($D$122:M122)&lt;=0,1*M120,1-(SUM($D$122:M122)/M122)*M120)),0)</f>
        <v>0</v>
      </c>
      <c r="N125" s="61">
        <f>IFERROR(IF(SUM($D$122:N122)/ABS(N122)&gt;1,0,IF(SUM($D$122:N122)&lt;=0,1*N120,1-(SUM($D$122:N122)/N122)*N120)),0)</f>
        <v>0</v>
      </c>
      <c r="O125" s="61">
        <f>IFERROR(IF(SUM($D$122:O122)/ABS(O122)&gt;1,0,IF(SUM($D$122:O122)&lt;=0,1*O120,1-(SUM($D$122:O122)/O122)*O120)),0)</f>
        <v>0</v>
      </c>
      <c r="P125" s="61">
        <f>IFERROR(IF(SUM($D$122:P122)/ABS(P122)&gt;1,0,IF(SUM($D$122:P122)&lt;=0,1*P120,1-(SUM($D$122:P122)/P122)*P120)),0)</f>
        <v>0</v>
      </c>
      <c r="Q125" s="61">
        <f>IFERROR(IF(SUM($D$122:Q122)/ABS(Q122)&gt;1,0,IF(SUM($D$122:Q122)&lt;=0,1*Q120,1-(SUM($D$122:Q122)/Q122)*Q120)),0)</f>
        <v>0</v>
      </c>
      <c r="R125" s="61">
        <f>IFERROR(IF(SUM($D$122:R122)/ABS(R122)&gt;1,0,IF(SUM($D$122:R122)&lt;=0,1*R120,1-(SUM($D$122:R122)/R122)*R120)),0)</f>
        <v>0</v>
      </c>
      <c r="S125" s="61">
        <f>IFERROR(IF(SUM($D$122:S122)/ABS(S122)&gt;1,0,IF(SUM($D$122:S122)&lt;=0,1*S120,1-(SUM($D$122:S122)/S122)*S120)),0)</f>
        <v>0</v>
      </c>
      <c r="T125" s="61">
        <f>IFERROR(IF(SUM($D$122:T122)/ABS(T122)&gt;1,0,IF(SUM($D$122:T122)&lt;=0,1*T120,1-(SUM($D$122:T122)/T122)*T120)),0)</f>
        <v>0</v>
      </c>
      <c r="U125" s="61">
        <f>IFERROR(IF(SUM($D$122:U122)/ABS(U122)&gt;1,0,IF(SUM($D$122:U122)&lt;=0,1*U120,1-(SUM($D$122:U122)/U122)*U120)),0)</f>
        <v>0</v>
      </c>
      <c r="V125" s="61">
        <f>IFERROR(IF(SUM($D$122:V122)/ABS(V122)&gt;1,0,IF(SUM($D$122:V122)&lt;=0,1*V120,1-(SUM($D$122:V122)/V122)*V120)),0)</f>
        <v>0</v>
      </c>
      <c r="W125" s="61">
        <f>IFERROR(IF(SUM($D$122:W122)/ABS(W122)&gt;1,0,IF(SUM($D$122:W122)&lt;=0,1*W120,1-(SUM($D$122:W122)/W122)*W120)),0)</f>
        <v>0</v>
      </c>
      <c r="X125" s="61">
        <f>IFERROR(IF(SUM($D$122:X122)/ABS(X122)&gt;1,0,IF(SUM($D$122:X122)&lt;=0,1*X120,1-(SUM($D$122:X122)/X122)*X120)),0)</f>
        <v>0</v>
      </c>
      <c r="Y125" s="61">
        <f>IFERROR(IF(SUM($D$122:Y122)/ABS(Y122)&gt;1,0,IF(SUM($D$122:Y122)&lt;=0,1*Y120,1-(SUM($D$122:Y122)/Y122)*Y120)),0)</f>
        <v>0</v>
      </c>
      <c r="Z125" s="61">
        <f>IFERROR(IF(SUM($D$122:Z122)/ABS(Z122)&gt;1,0,IF(SUM($D$122:Z122)&lt;=0,1*Z120,1-(SUM($D$122:Z122)/Z122)*Z120)),0)</f>
        <v>0</v>
      </c>
      <c r="AA125" s="61">
        <f>IFERROR(IF(SUM($D$122:AA122)/ABS(AA122)&gt;1,0,IF(SUM($D$122:AA122)&lt;=0,1*AA120,1-(SUM($D$122:AA122)/AA122)*AA120)),0)</f>
        <v>0</v>
      </c>
      <c r="AB125" s="61">
        <f>IFERROR(IF(SUM($D$122:AB122)/ABS(AB122)&gt;1,0,IF(SUM($D$122:AB122)&lt;=0,1*AB120,1-(SUM($D$122:AB122)/AB122)*AB120)),0)</f>
        <v>0</v>
      </c>
      <c r="AC125" s="61">
        <f>IFERROR(IF(SUM($D$122:AC122)/ABS(AC122)&gt;1,0,IF(SUM($D$122:AC122)&lt;=0,1*AC120,1-(SUM($D$122:AC122)/AC122)*AC120)),0)</f>
        <v>0</v>
      </c>
      <c r="AD125" s="61">
        <f>IFERROR(IF(SUM($D$122:AD122)/ABS(AD122)&gt;1,0,IF(SUM($D$122:AD122)&lt;=0,1*AD120,1-(SUM($D$122:AD122)/AD122)*AD120)),0)</f>
        <v>0</v>
      </c>
      <c r="AE125" s="61">
        <f>IFERROR(IF(SUM($D$122:AE122)/ABS(AE122)&gt;1,0,IF(SUM($D$122:AE122)&lt;=0,1*AE120,1-(SUM($D$122:AE122)/AE122)*AE120)),0)</f>
        <v>0</v>
      </c>
      <c r="AF125" s="61">
        <f>IFERROR(IF(SUM($D$122:AF122)/ABS(AF122)&gt;1,0,IF(SUM($D$122:AF122)&lt;=0,1*AF120,1-(SUM($D$122:AF122)/AF122)*AF120)),0)</f>
        <v>0</v>
      </c>
      <c r="AG125" s="61">
        <f>IFERROR(IF(SUM($D$122:AG122)/ABS(AG122)&gt;1,0,IF(SUM($D$122:AG122)&lt;=0,1*AG120,1-(SUM($D$122:AG122)/AG122)*AG120)),0)</f>
        <v>0</v>
      </c>
      <c r="AH125" s="61">
        <f>IFERROR(IF(SUM($D$122:AH122)/ABS(AH122)&gt;1,0,IF(SUM($D$122:AH122)&lt;=0,1*AH120,1-(SUM($D$122:AH122)/AH122)*AH120)),0)</f>
        <v>0</v>
      </c>
      <c r="AI125" s="61">
        <f>IFERROR(IF(SUM($D$122:AI122)/ABS(AI122)&gt;1,0,IF(SUM($D$122:AI122)&lt;=0,1*AI120,1-(SUM($D$122:AI122)/AI122)*AI120)),0)</f>
        <v>0</v>
      </c>
      <c r="AJ125" s="61">
        <f>IFERROR(IF(SUM($D$122:AJ122)/ABS(AJ122)&gt;1,0,IF(SUM($D$122:AJ122)&lt;=0,1*AJ120,1-(SUM($D$122:AJ122)/AJ122)*AJ120)),0)</f>
        <v>0</v>
      </c>
      <c r="AK125" s="61">
        <f>IFERROR(IF(SUM($D$122:AK122)/ABS(AK122)&gt;1,0,IF(SUM($D$122:AK122)&lt;=0,1*AK120,1-(SUM($D$122:AK122)/AK122)*AK120)),0)</f>
        <v>0</v>
      </c>
      <c r="AL125" s="61">
        <f>IFERROR(IF(SUM($D$122:AL122)/ABS(AL122)&gt;1,0,IF(SUM($D$122:AL122)&lt;=0,1*AL120,1-(SUM($D$122:AL122)/AL122)*AL120)),0)</f>
        <v>0</v>
      </c>
      <c r="AM125" s="61">
        <f>IFERROR(IF(SUM($D$122:AM122)/ABS(AM122)&gt;1,0,IF(SUM($D$122:AM122)&lt;=0,1*AM120,1-(SUM($D$122:AM122)/AM122)*AM120)),0)</f>
        <v>0</v>
      </c>
      <c r="AN125" s="61">
        <f>IFERROR(IF(SUM($D$122:AN122)/ABS(AN122)&gt;1,0,IF(SUM($D$122:AN122)&lt;=0,1*AN120,1-(SUM($D$122:AN122)/AN122)*AN120)),0)</f>
        <v>0</v>
      </c>
      <c r="AO125" s="61">
        <f>IFERROR(IF(SUM($D$122:AO122)/ABS(AO122)&gt;1,0,IF(SUM($D$122:AO122)&lt;=0,1*AO120,1-(SUM($D$122:AO122)/AO122)*AO120)),0)</f>
        <v>0</v>
      </c>
      <c r="AP125" s="61">
        <f>IFERROR(IF(SUM($D$122:AP122)/ABS(AP122)&gt;1,0,IF(SUM($D$122:AP122)&lt;=0,1*AP120,1-(SUM($D$122:AP122)/AP122)*AP120)),0)</f>
        <v>0</v>
      </c>
      <c r="AQ125" s="61">
        <f>IFERROR(IF(SUM($D$122:AQ122)/ABS(AQ122)&gt;1,0,IF(SUM($D$122:AQ122)&lt;=0,1*AQ120,1-(SUM($D$122:AQ122)/AQ122)*AQ120)),0)</f>
        <v>0</v>
      </c>
      <c r="AR125" s="61">
        <f>IFERROR(IF(SUM($D$122:AR122)/ABS(AR122)&gt;1,0,IF(SUM($D$122:AR122)&lt;=0,1*AR120,1-(SUM($D$122:AR122)/AR122)*AR120)),0)</f>
        <v>0</v>
      </c>
      <c r="AS125" s="61">
        <f>IFERROR(IF(SUM($D$122:AS122)/ABS(AS122)&gt;1,0,IF(SUM($D$122:AS122)&lt;=0,1*AS120,1-(SUM($D$122:AS122)/AS122)*AS120)),0)</f>
        <v>0</v>
      </c>
      <c r="AT125" s="61">
        <f>IFERROR(IF(SUM($D$122:AT122)/ABS(AT122)&gt;1,0,IF(SUM($D$122:AT122)&lt;=0,1*AT120,1-(SUM($D$122:AT122)/AT122)*AT120)),0)</f>
        <v>0</v>
      </c>
      <c r="AU125" s="61">
        <f>IFERROR(IF(SUM($D$122:AU122)/ABS(AU122)&gt;1,0,IF(SUM($D$122:AU122)&lt;=0,1*AU120,1-(SUM($D$122:AU122)/AU122)*AU120)),0)</f>
        <v>0</v>
      </c>
      <c r="AV125" s="61">
        <f>IFERROR(IF(SUM($D$122:AV122)/ABS(AV122)&gt;1,0,IF(SUM($D$122:AV122)&lt;=0,1*AV120,1-(SUM($D$122:AV122)/AV122)*AV120)),0)</f>
        <v>0</v>
      </c>
      <c r="AW125" s="61">
        <f>IFERROR(IF(SUM($D$122:AW122)/ABS(AW122)&gt;1,0,IF(SUM($D$122:AW122)&lt;=0,1*AW120,1-(SUM($D$122:AW122)/AW122)*AW120)),0)</f>
        <v>0</v>
      </c>
      <c r="AX125" s="61">
        <f>IFERROR(IF(SUM($D$122:AX122)/ABS(AX122)&gt;1,0,IF(SUM($D$122:AX122)&lt;=0,1*AX120,1-(SUM($D$122:AX122)/AX122)*AX120)),0)</f>
        <v>0</v>
      </c>
      <c r="AY125" s="61">
        <f>IFERROR(IF(SUM($D$122:AY122)/ABS(AY122)&gt;1,0,IF(SUM($D$122:AY122)&lt;=0,1*AY120,1-(SUM($D$122:AY122)/AY122)*AY120)),0)</f>
        <v>0</v>
      </c>
      <c r="AZ125" s="61">
        <f>IFERROR(IF(SUM($D$122:AZ122)/ABS(AZ122)&gt;1,0,IF(SUM($D$122:AZ122)&lt;=0,1*AZ120,1-(SUM($D$122:AZ122)/AZ122)*AZ120)),0)</f>
        <v>0</v>
      </c>
      <c r="BA125" s="61">
        <f>IFERROR(IF(SUM($D$122:BA122)/ABS(BA122)&gt;1,0,IF(SUM($D$122:BA122)&lt;=0,1*BA120,1-(SUM($D$122:BA122)/BA122)*BA120)),0)</f>
        <v>0</v>
      </c>
      <c r="BB125" s="61">
        <f>IFERROR(IF(SUM($D$122:BB122)/ABS(BB122)&gt;1,0,IF(SUM($D$122:BB122)&lt;=0,1*BB120,1-(SUM($D$122:BB122)/BB122)*BB120)),0)</f>
        <v>0</v>
      </c>
      <c r="BC125" s="61">
        <f>IFERROR(IF(SUM($D$122:BC122)/ABS(BC122)&gt;1,0,IF(SUM($D$122:BC122)&lt;=0,1*BC120,1-(SUM($D$122:BC122)/BC122)*BC120)),0)</f>
        <v>0</v>
      </c>
      <c r="BD125" s="61">
        <f>IFERROR(IF(SUM($D$122:BD122)/ABS(BD122)&gt;1,0,IF(SUM($D$122:BD122)&lt;=0,1*BD120,1-(SUM($D$122:BD122)/BD122)*BD120)),0)</f>
        <v>0</v>
      </c>
      <c r="BE125" s="61">
        <f>IFERROR(IF(SUM($D$122:BE122)/ABS(BE122)&gt;1,0,IF(SUM($D$122:BE122)&lt;=0,1*BE120,1-(SUM($D$122:BE122)/BE122)*BE120)),0)</f>
        <v>0</v>
      </c>
      <c r="BF125" s="61">
        <f>IFERROR(IF(SUM($D$122:BF122)/ABS(BF122)&gt;1,0,IF(SUM($D$122:BF122)&lt;=0,1*BF120,1-(SUM($D$122:BF122)/BF122)*BF120)),0)</f>
        <v>0</v>
      </c>
      <c r="BG125" s="61">
        <f>IFERROR(IF(SUM($D$122:BG122)/ABS(BG122)&gt;1,0,IF(SUM($D$122:BG122)&lt;=0,1*BG120,1-(SUM($D$122:BG122)/BG122)*BG120)),0)</f>
        <v>0</v>
      </c>
      <c r="BH125" s="61">
        <f>IFERROR(IF(SUM($D$122:BH122)/ABS(BH122)&gt;1,0,IF(SUM($D$122:BH122)&lt;=0,1*BH120,1-(SUM($D$122:BH122)/BH122)*BH120)),0)</f>
        <v>0</v>
      </c>
      <c r="BI125" s="61">
        <f>IFERROR(IF(SUM($D$122:BI122)/ABS(BI122)&gt;1,0,IF(SUM($D$122:BI122)&lt;=0,1*BI120,1-(SUM($D$122:BI122)/BI122)*BI120)),0)</f>
        <v>0</v>
      </c>
      <c r="BJ125" s="61">
        <f>IFERROR(IF(SUM($D$122:BJ122)/ABS(BJ122)&gt;1,0,IF(SUM($D$122:BJ122)&lt;=0,1*BJ120,1-(SUM($D$122:BJ122)/BJ122)*BJ120)),0)</f>
        <v>0</v>
      </c>
      <c r="BK125" s="61">
        <f>IFERROR(IF(SUM($D$122:BK122)/ABS(BK122)&gt;1,0,IF(SUM($D$122:BK122)&lt;=0,1*BK120,1-(SUM($D$122:BK122)/BK122)*BK120)),0)</f>
        <v>0</v>
      </c>
      <c r="BL125" s="61">
        <f>IFERROR(IF(SUM($D$122:BL122)/ABS(BL122)&gt;1,0,IF(SUM($D$122:BL122)&lt;=0,1*BL120,1-(SUM($D$122:BL122)/BL122)*BL120)),0)</f>
        <v>0</v>
      </c>
      <c r="BM125" s="61">
        <f>IFERROR(IF(SUM($D$122:BM122)/ABS(BM122)&gt;1,0,IF(SUM($D$122:BM122)&lt;=0,1*BM120,1-(SUM($D$122:BM122)/BM122)*BM120)),0)</f>
        <v>0</v>
      </c>
      <c r="BN125" s="61">
        <f>IFERROR(IF(SUM($D$122:BN122)/ABS(BN122)&gt;1,0,IF(SUM($D$122:BN122)&lt;=0,1*BN120,1-(SUM($D$122:BN122)/BN122)*BN120)),0)</f>
        <v>0</v>
      </c>
      <c r="BO125" s="61">
        <f>IFERROR(IF(SUM($D$122:BO122)/ABS(BO122)&gt;1,0,IF(SUM($D$122:BO122)&lt;=0,1*BO120,1-(SUM($D$122:BO122)/BO122)*BO120)),0)</f>
        <v>0</v>
      </c>
      <c r="BP125" s="61"/>
      <c r="BQ125" s="49"/>
    </row>
    <row r="126" spans="1:69">
      <c r="A126" s="28" t="s">
        <v>294</v>
      </c>
      <c r="B126" s="56" t="s">
        <v>56</v>
      </c>
      <c r="C126" s="61">
        <f>SUM(D124:BO124)</f>
        <v>1320077.7893757813</v>
      </c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2"/>
    </row>
    <row r="127" spans="1:69">
      <c r="A127" s="28" t="s">
        <v>295</v>
      </c>
      <c r="B127" s="56" t="s">
        <v>296</v>
      </c>
      <c r="C127" s="126">
        <f>SUM(D125:BO125)</f>
        <v>2.8259613458244677</v>
      </c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2"/>
    </row>
    <row r="128" spans="1:69">
      <c r="A128" s="71" t="s">
        <v>297</v>
      </c>
      <c r="B128" s="92" t="s">
        <v>43</v>
      </c>
      <c r="C128" s="302">
        <f>IRR(D124:BO124)</f>
        <v>0.77448993710936254</v>
      </c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45"/>
    </row>
    <row r="129" spans="1:69">
      <c r="A129" s="2" t="s">
        <v>298</v>
      </c>
      <c r="B129" s="36"/>
      <c r="C129" s="36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11"/>
    </row>
    <row r="130" spans="1:69">
      <c r="A130" s="4" t="s">
        <v>299</v>
      </c>
      <c r="B130" s="17" t="s">
        <v>56</v>
      </c>
      <c r="D130" s="148">
        <v>0</v>
      </c>
      <c r="E130" s="12">
        <f>D133</f>
        <v>0</v>
      </c>
      <c r="F130" s="12">
        <f t="shared" ref="F130:AD130" si="258">E133</f>
        <v>0</v>
      </c>
      <c r="G130" s="12">
        <f t="shared" si="258"/>
        <v>0</v>
      </c>
      <c r="H130" s="12">
        <f t="shared" si="258"/>
        <v>0</v>
      </c>
      <c r="I130" s="12">
        <f t="shared" si="258"/>
        <v>1017.9000000000001</v>
      </c>
      <c r="J130" s="12">
        <f t="shared" si="258"/>
        <v>3005.2285714285717</v>
      </c>
      <c r="K130" s="12">
        <f t="shared" si="258"/>
        <v>50490.767142857141</v>
      </c>
      <c r="L130" s="12">
        <f t="shared" si="258"/>
        <v>95469.158345864664</v>
      </c>
      <c r="M130" s="12">
        <f t="shared" si="258"/>
        <v>137801.11621553884</v>
      </c>
      <c r="N130" s="12">
        <f t="shared" si="258"/>
        <v>177330.96820286009</v>
      </c>
      <c r="O130" s="12">
        <f t="shared" si="258"/>
        <v>213883.58269018133</v>
      </c>
      <c r="P130" s="12">
        <f t="shared" si="258"/>
        <v>247260.47717750256</v>
      </c>
      <c r="Q130" s="12">
        <f t="shared" si="258"/>
        <v>277234.81452196668</v>
      </c>
      <c r="R130" s="12">
        <f t="shared" si="258"/>
        <v>303544.85955873848</v>
      </c>
      <c r="S130" s="12">
        <f t="shared" si="258"/>
        <v>325885.25459551025</v>
      </c>
      <c r="T130" s="12">
        <f t="shared" si="258"/>
        <v>343895.12235955475</v>
      </c>
      <c r="U130" s="12">
        <f t="shared" si="258"/>
        <v>357141.41012359929</v>
      </c>
      <c r="V130" s="12">
        <f t="shared" si="258"/>
        <v>365094.83122097712</v>
      </c>
      <c r="W130" s="12">
        <f t="shared" si="258"/>
        <v>367093.77731835499</v>
      </c>
      <c r="X130" s="12">
        <f t="shared" si="258"/>
        <v>362287.60913001857</v>
      </c>
      <c r="Y130" s="12">
        <f t="shared" si="258"/>
        <v>349542.14094168216</v>
      </c>
      <c r="Z130" s="12">
        <f t="shared" si="258"/>
        <v>326251.61275334575</v>
      </c>
      <c r="AA130" s="12">
        <f t="shared" si="258"/>
        <v>290288.70956500934</v>
      </c>
      <c r="AB130" s="12">
        <f t="shared" si="258"/>
        <v>239125.80637667287</v>
      </c>
      <c r="AC130" s="12">
        <f t="shared" si="258"/>
        <v>119562.90318833644</v>
      </c>
      <c r="AD130" s="12">
        <f t="shared" si="258"/>
        <v>0</v>
      </c>
      <c r="AE130" s="12">
        <f>AC133</f>
        <v>0</v>
      </c>
      <c r="AF130" s="12">
        <f>AD133</f>
        <v>0</v>
      </c>
      <c r="AG130" s="12">
        <f t="shared" ref="AG130:BO130" si="259">AE133</f>
        <v>0</v>
      </c>
      <c r="AH130" s="12">
        <f t="shared" si="259"/>
        <v>0</v>
      </c>
      <c r="AI130" s="12">
        <f t="shared" si="259"/>
        <v>0</v>
      </c>
      <c r="AJ130" s="12">
        <f t="shared" si="259"/>
        <v>0</v>
      </c>
      <c r="AK130" s="12">
        <f t="shared" si="259"/>
        <v>0</v>
      </c>
      <c r="AL130" s="12">
        <f t="shared" si="259"/>
        <v>0</v>
      </c>
      <c r="AM130" s="12">
        <f t="shared" si="259"/>
        <v>0</v>
      </c>
      <c r="AN130" s="12">
        <f t="shared" si="259"/>
        <v>0</v>
      </c>
      <c r="AO130" s="12">
        <f t="shared" si="259"/>
        <v>0</v>
      </c>
      <c r="AP130" s="12">
        <f t="shared" si="259"/>
        <v>0</v>
      </c>
      <c r="AQ130" s="12">
        <f t="shared" si="259"/>
        <v>0</v>
      </c>
      <c r="AR130" s="12">
        <f t="shared" si="259"/>
        <v>0</v>
      </c>
      <c r="AS130" s="12">
        <f t="shared" si="259"/>
        <v>0</v>
      </c>
      <c r="AT130" s="12">
        <f t="shared" si="259"/>
        <v>0</v>
      </c>
      <c r="AU130" s="12">
        <f t="shared" si="259"/>
        <v>0</v>
      </c>
      <c r="AV130" s="12">
        <f t="shared" si="259"/>
        <v>0</v>
      </c>
      <c r="AW130" s="12">
        <f t="shared" si="259"/>
        <v>0</v>
      </c>
      <c r="AX130" s="12">
        <f t="shared" si="259"/>
        <v>0</v>
      </c>
      <c r="AY130" s="12">
        <f t="shared" si="259"/>
        <v>0</v>
      </c>
      <c r="AZ130" s="12">
        <f t="shared" si="259"/>
        <v>0</v>
      </c>
      <c r="BA130" s="12">
        <f t="shared" si="259"/>
        <v>0</v>
      </c>
      <c r="BB130" s="12">
        <f t="shared" si="259"/>
        <v>0</v>
      </c>
      <c r="BC130" s="12">
        <f t="shared" si="259"/>
        <v>0</v>
      </c>
      <c r="BD130" s="12">
        <f t="shared" si="259"/>
        <v>0</v>
      </c>
      <c r="BE130" s="12">
        <f t="shared" si="259"/>
        <v>0</v>
      </c>
      <c r="BF130" s="12">
        <f t="shared" si="259"/>
        <v>0</v>
      </c>
      <c r="BG130" s="12">
        <f t="shared" si="259"/>
        <v>0</v>
      </c>
      <c r="BH130" s="12">
        <f t="shared" si="259"/>
        <v>0</v>
      </c>
      <c r="BI130" s="12">
        <f t="shared" si="259"/>
        <v>0</v>
      </c>
      <c r="BJ130" s="12">
        <f t="shared" si="259"/>
        <v>0</v>
      </c>
      <c r="BK130" s="12">
        <f t="shared" si="259"/>
        <v>0</v>
      </c>
      <c r="BL130" s="12">
        <f t="shared" si="259"/>
        <v>0</v>
      </c>
      <c r="BM130" s="12">
        <f t="shared" si="259"/>
        <v>0</v>
      </c>
      <c r="BN130" s="12">
        <f t="shared" si="259"/>
        <v>0</v>
      </c>
      <c r="BO130" s="12">
        <f t="shared" si="259"/>
        <v>0</v>
      </c>
      <c r="BP130" s="12"/>
      <c r="BQ130" s="5"/>
    </row>
    <row r="131" spans="1:69">
      <c r="A131" s="4" t="s">
        <v>300</v>
      </c>
      <c r="B131" s="17" t="s">
        <v>56</v>
      </c>
      <c r="D131" s="12">
        <f t="shared" ref="D131:AD131" si="260">D115</f>
        <v>0</v>
      </c>
      <c r="E131" s="12">
        <f t="shared" si="260"/>
        <v>0</v>
      </c>
      <c r="F131" s="12">
        <f t="shared" si="260"/>
        <v>0</v>
      </c>
      <c r="G131" s="12">
        <f t="shared" si="260"/>
        <v>0</v>
      </c>
      <c r="H131" s="12">
        <f t="shared" si="260"/>
        <v>1017.9000000000001</v>
      </c>
      <c r="I131" s="12">
        <f t="shared" si="260"/>
        <v>2035.8000000000002</v>
      </c>
      <c r="J131" s="12">
        <f t="shared" si="260"/>
        <v>47635.8</v>
      </c>
      <c r="K131" s="12">
        <f t="shared" si="260"/>
        <v>47635.8</v>
      </c>
      <c r="L131" s="12">
        <f t="shared" si="260"/>
        <v>47635.8</v>
      </c>
      <c r="M131" s="12">
        <f t="shared" si="260"/>
        <v>47635.8</v>
      </c>
      <c r="N131" s="12">
        <f t="shared" si="260"/>
        <v>47635.8</v>
      </c>
      <c r="O131" s="12">
        <f t="shared" si="260"/>
        <v>47635.8</v>
      </c>
      <c r="P131" s="12">
        <f t="shared" si="260"/>
        <v>47635.8</v>
      </c>
      <c r="Q131" s="12">
        <f t="shared" si="260"/>
        <v>47635.8</v>
      </c>
      <c r="R131" s="12">
        <f t="shared" si="260"/>
        <v>47635.8</v>
      </c>
      <c r="S131" s="12">
        <f t="shared" si="260"/>
        <v>47635.8</v>
      </c>
      <c r="T131" s="12">
        <f t="shared" si="260"/>
        <v>47635.8</v>
      </c>
      <c r="U131" s="12">
        <f t="shared" si="260"/>
        <v>47635.8</v>
      </c>
      <c r="V131" s="12">
        <f t="shared" si="260"/>
        <v>47635.8</v>
      </c>
      <c r="W131" s="12">
        <f t="shared" si="260"/>
        <v>47635.8</v>
      </c>
      <c r="X131" s="12">
        <f t="shared" si="260"/>
        <v>47635.8</v>
      </c>
      <c r="Y131" s="12">
        <f t="shared" si="260"/>
        <v>46617.899999999994</v>
      </c>
      <c r="Z131" s="12">
        <f t="shared" si="260"/>
        <v>45600</v>
      </c>
      <c r="AA131" s="12">
        <f t="shared" si="260"/>
        <v>45600</v>
      </c>
      <c r="AB131" s="12">
        <f t="shared" si="260"/>
        <v>0</v>
      </c>
      <c r="AC131" s="12">
        <f t="shared" si="260"/>
        <v>0</v>
      </c>
      <c r="AD131" s="12">
        <f t="shared" si="260"/>
        <v>0</v>
      </c>
      <c r="AE131" s="12">
        <f t="shared" ref="AE131:AF131" si="261">AE115</f>
        <v>0</v>
      </c>
      <c r="AF131" s="12">
        <f t="shared" si="261"/>
        <v>0</v>
      </c>
      <c r="AG131" s="12">
        <f t="shared" ref="AG131:BO131" si="262">AG115</f>
        <v>0</v>
      </c>
      <c r="AH131" s="12">
        <f t="shared" si="262"/>
        <v>0</v>
      </c>
      <c r="AI131" s="12">
        <f t="shared" si="262"/>
        <v>0</v>
      </c>
      <c r="AJ131" s="12">
        <f t="shared" si="262"/>
        <v>0</v>
      </c>
      <c r="AK131" s="12">
        <f t="shared" si="262"/>
        <v>0</v>
      </c>
      <c r="AL131" s="12">
        <f t="shared" si="262"/>
        <v>0</v>
      </c>
      <c r="AM131" s="12">
        <f t="shared" si="262"/>
        <v>0</v>
      </c>
      <c r="AN131" s="12">
        <f t="shared" si="262"/>
        <v>0</v>
      </c>
      <c r="AO131" s="12">
        <f t="shared" si="262"/>
        <v>0</v>
      </c>
      <c r="AP131" s="12">
        <f t="shared" si="262"/>
        <v>0</v>
      </c>
      <c r="AQ131" s="12">
        <f t="shared" si="262"/>
        <v>0</v>
      </c>
      <c r="AR131" s="12">
        <f t="shared" si="262"/>
        <v>0</v>
      </c>
      <c r="AS131" s="12">
        <f t="shared" si="262"/>
        <v>0</v>
      </c>
      <c r="AT131" s="12">
        <f t="shared" si="262"/>
        <v>0</v>
      </c>
      <c r="AU131" s="12">
        <f t="shared" si="262"/>
        <v>0</v>
      </c>
      <c r="AV131" s="12">
        <f t="shared" si="262"/>
        <v>0</v>
      </c>
      <c r="AW131" s="12">
        <f t="shared" si="262"/>
        <v>0</v>
      </c>
      <c r="AX131" s="12">
        <f t="shared" si="262"/>
        <v>0</v>
      </c>
      <c r="AY131" s="12">
        <f t="shared" si="262"/>
        <v>0</v>
      </c>
      <c r="AZ131" s="12">
        <f t="shared" si="262"/>
        <v>0</v>
      </c>
      <c r="BA131" s="12">
        <f t="shared" si="262"/>
        <v>0</v>
      </c>
      <c r="BB131" s="12">
        <f t="shared" si="262"/>
        <v>0</v>
      </c>
      <c r="BC131" s="12">
        <f t="shared" si="262"/>
        <v>0</v>
      </c>
      <c r="BD131" s="12">
        <f t="shared" si="262"/>
        <v>0</v>
      </c>
      <c r="BE131" s="12">
        <f t="shared" si="262"/>
        <v>0</v>
      </c>
      <c r="BF131" s="12">
        <f t="shared" si="262"/>
        <v>0</v>
      </c>
      <c r="BG131" s="12">
        <f t="shared" si="262"/>
        <v>0</v>
      </c>
      <c r="BH131" s="12">
        <f t="shared" si="262"/>
        <v>0</v>
      </c>
      <c r="BI131" s="12">
        <f t="shared" si="262"/>
        <v>0</v>
      </c>
      <c r="BJ131" s="12">
        <f t="shared" si="262"/>
        <v>0</v>
      </c>
      <c r="BK131" s="12">
        <f t="shared" si="262"/>
        <v>0</v>
      </c>
      <c r="BL131" s="12">
        <f t="shared" si="262"/>
        <v>0</v>
      </c>
      <c r="BM131" s="12">
        <f t="shared" si="262"/>
        <v>0</v>
      </c>
      <c r="BN131" s="12">
        <f t="shared" si="262"/>
        <v>0</v>
      </c>
      <c r="BO131" s="12">
        <f t="shared" si="262"/>
        <v>0</v>
      </c>
      <c r="BP131" s="12"/>
      <c r="BQ131" s="5"/>
    </row>
    <row r="132" spans="1:69">
      <c r="A132" s="4" t="s">
        <v>301</v>
      </c>
      <c r="B132" s="17" t="s">
        <v>56</v>
      </c>
      <c r="D132" s="152">
        <f>IF(D2=$B$135,D130+D131,(D130+D131)/($B$135-1-D2))</f>
        <v>0</v>
      </c>
      <c r="E132" s="12">
        <f t="shared" ref="E132:AJ132" si="263">IFERROR(IF(E2=$B$135,E130+E131,E130/($B$135+1-E2)),0)</f>
        <v>0</v>
      </c>
      <c r="F132" s="12">
        <f t="shared" si="263"/>
        <v>0</v>
      </c>
      <c r="G132" s="12">
        <f t="shared" si="263"/>
        <v>0</v>
      </c>
      <c r="H132" s="12">
        <f t="shared" si="263"/>
        <v>0</v>
      </c>
      <c r="I132" s="12">
        <f t="shared" si="263"/>
        <v>48.471428571428575</v>
      </c>
      <c r="J132" s="12">
        <f t="shared" si="263"/>
        <v>150.26142857142858</v>
      </c>
      <c r="K132" s="12">
        <f t="shared" si="263"/>
        <v>2657.4087969924813</v>
      </c>
      <c r="L132" s="12">
        <f t="shared" si="263"/>
        <v>5303.8421303258147</v>
      </c>
      <c r="M132" s="12">
        <f t="shared" si="263"/>
        <v>8105.9480126787557</v>
      </c>
      <c r="N132" s="12">
        <f t="shared" si="263"/>
        <v>11083.185512678756</v>
      </c>
      <c r="O132" s="12">
        <f t="shared" si="263"/>
        <v>14258.905512678755</v>
      </c>
      <c r="P132" s="12">
        <f t="shared" si="263"/>
        <v>17661.462655535895</v>
      </c>
      <c r="Q132" s="12">
        <f t="shared" si="263"/>
        <v>21325.754963228206</v>
      </c>
      <c r="R132" s="12">
        <f t="shared" si="263"/>
        <v>25295.404963228208</v>
      </c>
      <c r="S132" s="12">
        <f t="shared" si="263"/>
        <v>29625.932235955479</v>
      </c>
      <c r="T132" s="12">
        <f t="shared" si="263"/>
        <v>34389.512235955473</v>
      </c>
      <c r="U132" s="12">
        <f t="shared" si="263"/>
        <v>39682.378902622142</v>
      </c>
      <c r="V132" s="12">
        <f t="shared" si="263"/>
        <v>45636.853902622141</v>
      </c>
      <c r="W132" s="12">
        <f t="shared" si="263"/>
        <v>52441.968188336425</v>
      </c>
      <c r="X132" s="12">
        <f t="shared" si="263"/>
        <v>60381.268188336428</v>
      </c>
      <c r="Y132" s="12">
        <f t="shared" si="263"/>
        <v>69908.428188336431</v>
      </c>
      <c r="Z132" s="12">
        <f t="shared" si="263"/>
        <v>81562.903188336437</v>
      </c>
      <c r="AA132" s="12">
        <f t="shared" si="263"/>
        <v>96762.903188336451</v>
      </c>
      <c r="AB132" s="12">
        <f t="shared" si="263"/>
        <v>119562.90318833644</v>
      </c>
      <c r="AC132" s="12">
        <f t="shared" si="263"/>
        <v>119562.90318833644</v>
      </c>
      <c r="AD132" s="12">
        <f t="shared" si="263"/>
        <v>0</v>
      </c>
      <c r="AE132" s="12">
        <f t="shared" si="263"/>
        <v>0</v>
      </c>
      <c r="AF132" s="12">
        <f t="shared" si="263"/>
        <v>0</v>
      </c>
      <c r="AG132" s="12">
        <f t="shared" si="263"/>
        <v>0</v>
      </c>
      <c r="AH132" s="12">
        <f t="shared" si="263"/>
        <v>0</v>
      </c>
      <c r="AI132" s="12">
        <f t="shared" si="263"/>
        <v>0</v>
      </c>
      <c r="AJ132" s="12">
        <f t="shared" si="263"/>
        <v>0</v>
      </c>
      <c r="AK132" s="12">
        <f t="shared" ref="AK132:BO132" si="264">IFERROR(IF(AK2=$B$135,AK130+AK131,AK130/($B$135+1-AK2)),0)</f>
        <v>0</v>
      </c>
      <c r="AL132" s="12">
        <f t="shared" si="264"/>
        <v>0</v>
      </c>
      <c r="AM132" s="12">
        <f t="shared" si="264"/>
        <v>0</v>
      </c>
      <c r="AN132" s="12">
        <f t="shared" si="264"/>
        <v>0</v>
      </c>
      <c r="AO132" s="12">
        <f t="shared" si="264"/>
        <v>0</v>
      </c>
      <c r="AP132" s="12">
        <f t="shared" si="264"/>
        <v>0</v>
      </c>
      <c r="AQ132" s="12">
        <f t="shared" si="264"/>
        <v>0</v>
      </c>
      <c r="AR132" s="12">
        <f t="shared" si="264"/>
        <v>0</v>
      </c>
      <c r="AS132" s="12">
        <f t="shared" si="264"/>
        <v>0</v>
      </c>
      <c r="AT132" s="12">
        <f t="shared" si="264"/>
        <v>0</v>
      </c>
      <c r="AU132" s="12">
        <f t="shared" si="264"/>
        <v>0</v>
      </c>
      <c r="AV132" s="12">
        <f t="shared" si="264"/>
        <v>0</v>
      </c>
      <c r="AW132" s="12">
        <f t="shared" si="264"/>
        <v>0</v>
      </c>
      <c r="AX132" s="12">
        <f t="shared" si="264"/>
        <v>0</v>
      </c>
      <c r="AY132" s="12">
        <f t="shared" si="264"/>
        <v>0</v>
      </c>
      <c r="AZ132" s="12">
        <f t="shared" si="264"/>
        <v>0</v>
      </c>
      <c r="BA132" s="12">
        <f t="shared" si="264"/>
        <v>0</v>
      </c>
      <c r="BB132" s="12">
        <f t="shared" si="264"/>
        <v>0</v>
      </c>
      <c r="BC132" s="12">
        <f t="shared" si="264"/>
        <v>0</v>
      </c>
      <c r="BD132" s="12">
        <f t="shared" si="264"/>
        <v>0</v>
      </c>
      <c r="BE132" s="12">
        <f t="shared" si="264"/>
        <v>0</v>
      </c>
      <c r="BF132" s="12">
        <f t="shared" si="264"/>
        <v>0</v>
      </c>
      <c r="BG132" s="12">
        <f t="shared" si="264"/>
        <v>0</v>
      </c>
      <c r="BH132" s="12">
        <f t="shared" si="264"/>
        <v>0</v>
      </c>
      <c r="BI132" s="12">
        <f t="shared" si="264"/>
        <v>0</v>
      </c>
      <c r="BJ132" s="12">
        <f t="shared" si="264"/>
        <v>0</v>
      </c>
      <c r="BK132" s="12">
        <f t="shared" si="264"/>
        <v>0</v>
      </c>
      <c r="BL132" s="12">
        <f t="shared" si="264"/>
        <v>0</v>
      </c>
      <c r="BM132" s="12">
        <f t="shared" si="264"/>
        <v>0</v>
      </c>
      <c r="BN132" s="12">
        <f t="shared" si="264"/>
        <v>0</v>
      </c>
      <c r="BO132" s="12">
        <f t="shared" si="264"/>
        <v>0</v>
      </c>
      <c r="BP132" s="12"/>
      <c r="BQ132" s="5"/>
    </row>
    <row r="133" spans="1:69">
      <c r="A133" s="4" t="s">
        <v>302</v>
      </c>
      <c r="B133" s="17" t="s">
        <v>56</v>
      </c>
      <c r="D133" s="12">
        <f>D130+D131-D132</f>
        <v>0</v>
      </c>
      <c r="E133" s="12">
        <f>E130+E131-E132</f>
        <v>0</v>
      </c>
      <c r="F133" s="12">
        <f t="shared" ref="F133:AD133" si="265">F130+F131-F132</f>
        <v>0</v>
      </c>
      <c r="G133" s="12">
        <f t="shared" si="265"/>
        <v>0</v>
      </c>
      <c r="H133" s="12">
        <f t="shared" si="265"/>
        <v>1017.9000000000001</v>
      </c>
      <c r="I133" s="12">
        <f t="shared" si="265"/>
        <v>3005.2285714285717</v>
      </c>
      <c r="J133" s="12">
        <f t="shared" si="265"/>
        <v>50490.767142857141</v>
      </c>
      <c r="K133" s="12">
        <f t="shared" si="265"/>
        <v>95469.158345864664</v>
      </c>
      <c r="L133" s="12">
        <f t="shared" si="265"/>
        <v>137801.11621553884</v>
      </c>
      <c r="M133" s="12">
        <f t="shared" si="265"/>
        <v>177330.96820286009</v>
      </c>
      <c r="N133" s="12">
        <f t="shared" si="265"/>
        <v>213883.58269018133</v>
      </c>
      <c r="O133" s="12">
        <f t="shared" si="265"/>
        <v>247260.47717750256</v>
      </c>
      <c r="P133" s="12">
        <f t="shared" si="265"/>
        <v>277234.81452196668</v>
      </c>
      <c r="Q133" s="12">
        <f t="shared" si="265"/>
        <v>303544.85955873848</v>
      </c>
      <c r="R133" s="12">
        <f t="shared" si="265"/>
        <v>325885.25459551025</v>
      </c>
      <c r="S133" s="12">
        <f t="shared" si="265"/>
        <v>343895.12235955475</v>
      </c>
      <c r="T133" s="12">
        <f t="shared" si="265"/>
        <v>357141.41012359929</v>
      </c>
      <c r="U133" s="12">
        <f t="shared" si="265"/>
        <v>365094.83122097712</v>
      </c>
      <c r="V133" s="12">
        <f t="shared" si="265"/>
        <v>367093.77731835499</v>
      </c>
      <c r="W133" s="12">
        <f t="shared" si="265"/>
        <v>362287.60913001857</v>
      </c>
      <c r="X133" s="12">
        <f t="shared" si="265"/>
        <v>349542.14094168216</v>
      </c>
      <c r="Y133" s="12">
        <f t="shared" si="265"/>
        <v>326251.61275334575</v>
      </c>
      <c r="Z133" s="12">
        <f t="shared" si="265"/>
        <v>290288.70956500934</v>
      </c>
      <c r="AA133" s="12">
        <f t="shared" si="265"/>
        <v>239125.80637667287</v>
      </c>
      <c r="AB133" s="12">
        <f t="shared" si="265"/>
        <v>119562.90318833644</v>
      </c>
      <c r="AC133" s="12">
        <f t="shared" si="265"/>
        <v>0</v>
      </c>
      <c r="AD133" s="12">
        <f t="shared" si="265"/>
        <v>0</v>
      </c>
      <c r="AE133" s="12">
        <f t="shared" ref="AE133:AF133" si="266">AE130+AE131-AE132</f>
        <v>0</v>
      </c>
      <c r="AF133" s="12">
        <f t="shared" si="266"/>
        <v>0</v>
      </c>
      <c r="AG133" s="12">
        <f t="shared" ref="AG133:BO133" si="267">AG130+AG131-AG132</f>
        <v>0</v>
      </c>
      <c r="AH133" s="12">
        <f t="shared" si="267"/>
        <v>0</v>
      </c>
      <c r="AI133" s="12">
        <f t="shared" si="267"/>
        <v>0</v>
      </c>
      <c r="AJ133" s="12">
        <f t="shared" si="267"/>
        <v>0</v>
      </c>
      <c r="AK133" s="12">
        <f t="shared" si="267"/>
        <v>0</v>
      </c>
      <c r="AL133" s="12">
        <f t="shared" si="267"/>
        <v>0</v>
      </c>
      <c r="AM133" s="12">
        <f t="shared" si="267"/>
        <v>0</v>
      </c>
      <c r="AN133" s="12">
        <f t="shared" si="267"/>
        <v>0</v>
      </c>
      <c r="AO133" s="12">
        <f t="shared" si="267"/>
        <v>0</v>
      </c>
      <c r="AP133" s="12">
        <f t="shared" si="267"/>
        <v>0</v>
      </c>
      <c r="AQ133" s="12">
        <f t="shared" si="267"/>
        <v>0</v>
      </c>
      <c r="AR133" s="12">
        <f t="shared" si="267"/>
        <v>0</v>
      </c>
      <c r="AS133" s="12">
        <f t="shared" si="267"/>
        <v>0</v>
      </c>
      <c r="AT133" s="12">
        <f t="shared" si="267"/>
        <v>0</v>
      </c>
      <c r="AU133" s="12">
        <f t="shared" si="267"/>
        <v>0</v>
      </c>
      <c r="AV133" s="12">
        <f t="shared" si="267"/>
        <v>0</v>
      </c>
      <c r="AW133" s="12">
        <f t="shared" si="267"/>
        <v>0</v>
      </c>
      <c r="AX133" s="12">
        <f t="shared" si="267"/>
        <v>0</v>
      </c>
      <c r="AY133" s="12">
        <f t="shared" si="267"/>
        <v>0</v>
      </c>
      <c r="AZ133" s="12">
        <f t="shared" si="267"/>
        <v>0</v>
      </c>
      <c r="BA133" s="12">
        <f t="shared" si="267"/>
        <v>0</v>
      </c>
      <c r="BB133" s="12">
        <f t="shared" si="267"/>
        <v>0</v>
      </c>
      <c r="BC133" s="12">
        <f t="shared" si="267"/>
        <v>0</v>
      </c>
      <c r="BD133" s="12">
        <f t="shared" si="267"/>
        <v>0</v>
      </c>
      <c r="BE133" s="12">
        <f t="shared" si="267"/>
        <v>0</v>
      </c>
      <c r="BF133" s="12">
        <f t="shared" si="267"/>
        <v>0</v>
      </c>
      <c r="BG133" s="12">
        <f t="shared" si="267"/>
        <v>0</v>
      </c>
      <c r="BH133" s="12">
        <f t="shared" si="267"/>
        <v>0</v>
      </c>
      <c r="BI133" s="12">
        <f t="shared" si="267"/>
        <v>0</v>
      </c>
      <c r="BJ133" s="12">
        <f t="shared" si="267"/>
        <v>0</v>
      </c>
      <c r="BK133" s="12">
        <f t="shared" si="267"/>
        <v>0</v>
      </c>
      <c r="BL133" s="12">
        <f t="shared" si="267"/>
        <v>0</v>
      </c>
      <c r="BM133" s="12">
        <f t="shared" si="267"/>
        <v>0</v>
      </c>
      <c r="BN133" s="12">
        <f t="shared" si="267"/>
        <v>0</v>
      </c>
      <c r="BO133" s="12">
        <f t="shared" si="267"/>
        <v>0</v>
      </c>
      <c r="BP133" s="12"/>
      <c r="BQ133" s="5"/>
    </row>
    <row r="134" spans="1:69">
      <c r="A134" s="4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5"/>
    </row>
    <row r="135" spans="1:69">
      <c r="A135" s="66" t="s">
        <v>303</v>
      </c>
      <c r="B135" s="17">
        <v>2052</v>
      </c>
      <c r="C135" s="17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5"/>
    </row>
    <row r="136" spans="1:69">
      <c r="A136" s="8"/>
      <c r="B136" s="26"/>
      <c r="C136" s="21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5"/>
    </row>
    <row r="137" spans="1:69">
      <c r="C137" s="17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</row>
    <row r="138" spans="1:69">
      <c r="C138" s="17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</row>
    <row r="139" spans="1:69">
      <c r="C139" s="17"/>
    </row>
    <row r="140" spans="1:69">
      <c r="A140" t="s">
        <v>209</v>
      </c>
      <c r="C140" s="17"/>
    </row>
    <row r="141" spans="1:69">
      <c r="C141" s="17"/>
    </row>
    <row r="142" spans="1:69" hidden="1" outlineLevel="1">
      <c r="A142" t="s">
        <v>210</v>
      </c>
      <c r="C142" s="17"/>
      <c r="D142" s="167">
        <v>1</v>
      </c>
      <c r="E142" s="167">
        <f>D142*(1+Assumptions!J49)</f>
        <v>1.0265</v>
      </c>
      <c r="F142" s="167">
        <f>E142*(1+Assumptions!K49)</f>
        <v>1.05370225</v>
      </c>
      <c r="G142" s="167">
        <f>F142*(1+Assumptions!L49)</f>
        <v>1.0816253596249998</v>
      </c>
      <c r="H142" s="167">
        <f>G142*(1+Assumptions!M49)</f>
        <v>1.1102884316550623</v>
      </c>
      <c r="I142" s="167">
        <f>H142*(1+Assumptions!N49)</f>
        <v>1.1397110750939214</v>
      </c>
      <c r="J142" s="167">
        <f>I142*(1+Assumptions!O49)</f>
        <v>1.1699134185839104</v>
      </c>
      <c r="K142" s="167">
        <f>J142*(1+Assumptions!P49)</f>
        <v>1.2009161241763839</v>
      </c>
      <c r="L142" s="167">
        <f>K142*(1+Assumptions!Q49)</f>
        <v>1.232740401467058</v>
      </c>
      <c r="M142" s="167">
        <f>L142*(1+Assumptions!R49)</f>
        <v>1.2654080221059349</v>
      </c>
      <c r="N142" s="167">
        <f>M142*(1+Assumptions!S49)</f>
        <v>1.2989413346917422</v>
      </c>
      <c r="O142" s="167">
        <f>N142*(1+Assumptions!T49)</f>
        <v>1.3333632800610733</v>
      </c>
      <c r="P142" s="167">
        <f>O142*(1+Assumptions!U49)</f>
        <v>1.3686974069826916</v>
      </c>
      <c r="Q142" s="167">
        <f>P142*(1+Assumptions!V49)</f>
        <v>1.4049678882677328</v>
      </c>
      <c r="R142" s="167">
        <f>Q142*(1+Assumptions!W49)</f>
        <v>1.4421995373068277</v>
      </c>
      <c r="S142" s="167">
        <f>R142*(1+Assumptions!X49)</f>
        <v>1.4804178250454585</v>
      </c>
      <c r="T142" s="167">
        <f>S142*(1+Assumptions!Y49)</f>
        <v>1.5196488974091631</v>
      </c>
      <c r="U142" s="167">
        <f>T142*(1+Assumptions!Z49)</f>
        <v>1.5599195931905059</v>
      </c>
      <c r="V142" s="167">
        <f>U142*(1+Assumptions!AA49)</f>
        <v>1.6012574624100542</v>
      </c>
      <c r="W142" s="167">
        <f>V142*(1+Assumptions!AB49)</f>
        <v>1.6436907851639206</v>
      </c>
      <c r="X142" s="167">
        <f>W142*(1+Assumptions!AC49)</f>
        <v>1.6872485909707644</v>
      </c>
      <c r="Y142" s="167">
        <f>X142*(1+Assumptions!AD49)</f>
        <v>1.7319606786314896</v>
      </c>
      <c r="Z142" s="167">
        <f>Y142*(1+Assumptions!AE49)</f>
        <v>1.7778576366152241</v>
      </c>
      <c r="AA142" s="167">
        <f>Z142*(1+Assumptions!AF49)</f>
        <v>1.8249708639855275</v>
      </c>
      <c r="AB142" s="167">
        <f>AA142*(1+Assumptions!AG49)</f>
        <v>1.8733325918811439</v>
      </c>
      <c r="AC142" s="167">
        <f>AB142*(1+Assumptions!AH49)</f>
        <v>1.9229759055659941</v>
      </c>
      <c r="AD142" s="167">
        <f>AC142*(1+Assumptions!AI49)</f>
        <v>1.9739347670634928</v>
      </c>
      <c r="AE142" s="167">
        <f>AC142*(1+Assumptions!AI49)</f>
        <v>1.9739347670634928</v>
      </c>
      <c r="AF142" s="167">
        <f>AD142*(1+Assumptions!AJ49)</f>
        <v>2.0262440383906752</v>
      </c>
      <c r="AG142" s="167">
        <f>AE142*(1+Assumptions!AK49)</f>
        <v>2.0262440383906752</v>
      </c>
      <c r="AH142" s="167">
        <f>AF142*(1+Assumptions!AL49)</f>
        <v>2.0799395054080279</v>
      </c>
      <c r="AI142" s="167">
        <f>AG142*(1+Assumptions!AM49)</f>
        <v>2.0799395054080279</v>
      </c>
      <c r="AJ142" s="167">
        <f>AH142*(1+Assumptions!AN49)</f>
        <v>2.1350579023013405</v>
      </c>
      <c r="AK142" s="167">
        <f>AI142*(1+Assumptions!AO49)</f>
        <v>2.1350579023013405</v>
      </c>
      <c r="AL142" s="167">
        <f>AJ142*(1+Assumptions!AP49)</f>
        <v>2.1916369367123258</v>
      </c>
      <c r="AM142" s="167">
        <f>AK142*(1+Assumptions!AQ49)</f>
        <v>2.1916369367123258</v>
      </c>
      <c r="AN142" s="167">
        <f>AL142*(1+Assumptions!AR49)</f>
        <v>2.2497153155352025</v>
      </c>
      <c r="AO142" s="167">
        <f>AM142*(1+Assumptions!AS49)</f>
        <v>2.2497153155352025</v>
      </c>
      <c r="AP142" s="167">
        <f>AN142*(1+Assumptions!AT49)</f>
        <v>2.3093327713968854</v>
      </c>
      <c r="AQ142" s="167">
        <f>AO142*(1+Assumptions!AU49)</f>
        <v>2.3093327713968854</v>
      </c>
      <c r="AR142" s="167">
        <f>AP142*(1+Assumptions!AV49)</f>
        <v>2.370530089838903</v>
      </c>
      <c r="AS142" s="167">
        <f>AQ142*(1+Assumptions!AW49)</f>
        <v>2.370530089838903</v>
      </c>
      <c r="AT142" s="167">
        <f>AR142*(1+Assumptions!AX49)</f>
        <v>2.4333491372196341</v>
      </c>
      <c r="AU142" s="167">
        <f>AS142*(1+Assumptions!AY49)</f>
        <v>2.4333491372196341</v>
      </c>
      <c r="AV142" s="167">
        <f>AT142*(1+Assumptions!AZ49)</f>
        <v>2.4978328893559545</v>
      </c>
      <c r="AW142" s="167">
        <f>AU142*(1+Assumptions!BA49)</f>
        <v>2.4978328893559545</v>
      </c>
      <c r="AX142" s="167">
        <f>AV142*(1+Assumptions!BB49)</f>
        <v>2.5640254609238871</v>
      </c>
      <c r="AY142" s="167">
        <f>AW142*(1+Assumptions!BC49)</f>
        <v>2.5640254609238871</v>
      </c>
      <c r="AZ142" s="167">
        <f>AX142*(1+Assumptions!BD49)</f>
        <v>2.6319721356383701</v>
      </c>
      <c r="BA142" s="167">
        <f>AY142*(1+Assumptions!BE49)</f>
        <v>2.6319721356383701</v>
      </c>
      <c r="BB142" s="167">
        <f>AZ142*(1+Assumptions!BF49)</f>
        <v>2.7017193972327869</v>
      </c>
      <c r="BC142" s="167">
        <f>BA142*(1+Assumptions!BG49)</f>
        <v>2.7017193972327869</v>
      </c>
      <c r="BD142" s="167">
        <f>BB142*(1+Assumptions!BH49)</f>
        <v>2.7733149612594556</v>
      </c>
      <c r="BE142" s="167">
        <f>BC142*(1+Assumptions!BI49)</f>
        <v>2.7733149612594556</v>
      </c>
      <c r="BF142" s="167">
        <f>BD142*(1+Assumptions!BJ49)</f>
        <v>2.8468078077328309</v>
      </c>
      <c r="BG142" s="167">
        <f>BE142*(1+Assumptions!BK49)</f>
        <v>2.8468078077328309</v>
      </c>
      <c r="BH142" s="167">
        <f>BF142*(1+Assumptions!BL49)</f>
        <v>2.9222482146377509</v>
      </c>
      <c r="BI142" s="167">
        <f>BG142*(1+Assumptions!BM49)</f>
        <v>2.9222482146377509</v>
      </c>
      <c r="BJ142" s="167">
        <f>BH142*(1+Assumptions!BN49)</f>
        <v>2.9996877923256511</v>
      </c>
      <c r="BK142" s="167">
        <f>BI142*(1+Assumptions!BO49)</f>
        <v>2.9996877923256511</v>
      </c>
      <c r="BL142" s="167">
        <f>BJ142*(1+Assumptions!BP49)</f>
        <v>3.0791795188222806</v>
      </c>
      <c r="BM142" s="167">
        <f>BK142*(1+Assumptions!BQ49)</f>
        <v>3.0791795188222806</v>
      </c>
      <c r="BN142" s="167">
        <f>BL142*(1+Assumptions!BR49)</f>
        <v>3.1607777760710709</v>
      </c>
      <c r="BO142" s="167">
        <f>BM142*(1+Assumptions!BS49)</f>
        <v>3.1607777760710709</v>
      </c>
      <c r="BP142" s="167"/>
    </row>
    <row r="143" spans="1:69" hidden="1" outlineLevel="1">
      <c r="A143" t="s">
        <v>211</v>
      </c>
    </row>
    <row r="144" spans="1:69" hidden="1" outlineLevel="1">
      <c r="A144" t="s">
        <v>212</v>
      </c>
      <c r="B144" t="s">
        <v>213</v>
      </c>
      <c r="D144" s="175">
        <f t="shared" ref="D144:AI144" si="268">D142*D63</f>
        <v>0</v>
      </c>
      <c r="E144" s="175">
        <f t="shared" si="268"/>
        <v>0</v>
      </c>
      <c r="F144" s="175">
        <f t="shared" si="268"/>
        <v>0</v>
      </c>
      <c r="G144" s="175">
        <f t="shared" si="268"/>
        <v>0</v>
      </c>
      <c r="H144" s="175">
        <f t="shared" si="268"/>
        <v>339.84480690659296</v>
      </c>
      <c r="I144" s="175">
        <f t="shared" si="268"/>
        <v>348.85069428961771</v>
      </c>
      <c r="J144" s="175">
        <f t="shared" si="268"/>
        <v>358.09523768829257</v>
      </c>
      <c r="K144" s="175">
        <f t="shared" si="268"/>
        <v>367.58476148703227</v>
      </c>
      <c r="L144" s="175">
        <f t="shared" si="268"/>
        <v>377.32575766643862</v>
      </c>
      <c r="M144" s="175">
        <f t="shared" si="268"/>
        <v>387.3248902445992</v>
      </c>
      <c r="N144" s="175">
        <f t="shared" si="268"/>
        <v>397.58899983608109</v>
      </c>
      <c r="O144" s="175">
        <f t="shared" si="268"/>
        <v>408.12510833173724</v>
      </c>
      <c r="P144" s="175">
        <f t="shared" si="268"/>
        <v>418.94042370252822</v>
      </c>
      <c r="Q144" s="175">
        <f t="shared" si="268"/>
        <v>430.04234493064513</v>
      </c>
      <c r="R144" s="175">
        <f t="shared" si="268"/>
        <v>441.43846707130723</v>
      </c>
      <c r="S144" s="175">
        <f t="shared" si="268"/>
        <v>453.13658644869685</v>
      </c>
      <c r="T144" s="175">
        <f t="shared" si="268"/>
        <v>465.14470598958729</v>
      </c>
      <c r="U144" s="175">
        <f t="shared" si="268"/>
        <v>477.47104069831136</v>
      </c>
      <c r="V144" s="175">
        <f t="shared" si="268"/>
        <v>490.12402327681656</v>
      </c>
      <c r="W144" s="175">
        <f t="shared" si="268"/>
        <v>503.1123098936522</v>
      </c>
      <c r="X144" s="175">
        <f t="shared" si="268"/>
        <v>516.44478610583394</v>
      </c>
      <c r="Y144" s="175">
        <f t="shared" si="268"/>
        <v>530.1305729376387</v>
      </c>
      <c r="Z144" s="175">
        <f t="shared" si="268"/>
        <v>544.179033120486</v>
      </c>
      <c r="AA144" s="175">
        <f t="shared" si="268"/>
        <v>558.59977749817881</v>
      </c>
      <c r="AB144" s="175">
        <f t="shared" si="268"/>
        <v>0</v>
      </c>
      <c r="AC144" s="175">
        <f t="shared" si="268"/>
        <v>0</v>
      </c>
      <c r="AD144" s="175">
        <f t="shared" si="268"/>
        <v>0</v>
      </c>
      <c r="AE144" s="175">
        <f t="shared" si="268"/>
        <v>0</v>
      </c>
      <c r="AF144" s="175">
        <f t="shared" si="268"/>
        <v>0</v>
      </c>
      <c r="AG144" s="175">
        <f t="shared" si="268"/>
        <v>0</v>
      </c>
      <c r="AH144" s="175">
        <f t="shared" si="268"/>
        <v>0</v>
      </c>
      <c r="AI144" s="175">
        <f t="shared" si="268"/>
        <v>0</v>
      </c>
      <c r="AJ144" s="175">
        <f t="shared" ref="AJ144:BO144" si="269">AJ142*AJ63</f>
        <v>0</v>
      </c>
      <c r="AK144" s="175">
        <f t="shared" si="269"/>
        <v>0</v>
      </c>
      <c r="AL144" s="175">
        <f t="shared" si="269"/>
        <v>0</v>
      </c>
      <c r="AM144" s="175">
        <f t="shared" si="269"/>
        <v>0</v>
      </c>
      <c r="AN144" s="175">
        <f t="shared" si="269"/>
        <v>0</v>
      </c>
      <c r="AO144" s="175">
        <f t="shared" si="269"/>
        <v>0</v>
      </c>
      <c r="AP144" s="175">
        <f t="shared" si="269"/>
        <v>0</v>
      </c>
      <c r="AQ144" s="175">
        <f t="shared" si="269"/>
        <v>0</v>
      </c>
      <c r="AR144" s="175">
        <f t="shared" si="269"/>
        <v>0</v>
      </c>
      <c r="AS144" s="175">
        <f t="shared" si="269"/>
        <v>0</v>
      </c>
      <c r="AT144" s="175">
        <f t="shared" si="269"/>
        <v>0</v>
      </c>
      <c r="AU144" s="175">
        <f t="shared" si="269"/>
        <v>0</v>
      </c>
      <c r="AV144" s="175">
        <f t="shared" si="269"/>
        <v>0</v>
      </c>
      <c r="AW144" s="175">
        <f t="shared" si="269"/>
        <v>0</v>
      </c>
      <c r="AX144" s="175">
        <f t="shared" si="269"/>
        <v>0</v>
      </c>
      <c r="AY144" s="175">
        <f t="shared" si="269"/>
        <v>0</v>
      </c>
      <c r="AZ144" s="175">
        <f t="shared" si="269"/>
        <v>0</v>
      </c>
      <c r="BA144" s="175">
        <f t="shared" si="269"/>
        <v>0</v>
      </c>
      <c r="BB144" s="175">
        <f t="shared" si="269"/>
        <v>0</v>
      </c>
      <c r="BC144" s="175">
        <f t="shared" si="269"/>
        <v>0</v>
      </c>
      <c r="BD144" s="175">
        <f t="shared" si="269"/>
        <v>0</v>
      </c>
      <c r="BE144" s="175">
        <f t="shared" si="269"/>
        <v>0</v>
      </c>
      <c r="BF144" s="175">
        <f t="shared" si="269"/>
        <v>0</v>
      </c>
      <c r="BG144" s="175">
        <f t="shared" si="269"/>
        <v>0</v>
      </c>
      <c r="BH144" s="175">
        <f t="shared" si="269"/>
        <v>0</v>
      </c>
      <c r="BI144" s="175">
        <f t="shared" si="269"/>
        <v>0</v>
      </c>
      <c r="BJ144" s="175">
        <f t="shared" si="269"/>
        <v>0</v>
      </c>
      <c r="BK144" s="175">
        <f t="shared" si="269"/>
        <v>0</v>
      </c>
      <c r="BL144" s="175">
        <f t="shared" si="269"/>
        <v>0</v>
      </c>
      <c r="BM144" s="175">
        <f t="shared" si="269"/>
        <v>0</v>
      </c>
      <c r="BN144" s="175">
        <f t="shared" si="269"/>
        <v>0</v>
      </c>
      <c r="BO144" s="175">
        <f t="shared" si="269"/>
        <v>0</v>
      </c>
      <c r="BP144" s="175"/>
    </row>
    <row r="145" spans="1:68" hidden="1" outlineLevel="1">
      <c r="A145" t="s">
        <v>214</v>
      </c>
      <c r="B145" t="s">
        <v>43</v>
      </c>
      <c r="D145" s="177">
        <f>IF(D144&lt;Assumptions!I$29,Assumptions!I$35,IF(D144&lt;Assumptions!I$30,(Assumptions!I$42+(D144-Assumptions!I$29)*Assumptions!I$36)/D144,IF(D144&lt;Assumptions!I$31,(Assumptions!I$43+(D144-Assumptions!I$30)*Assumptions!I$37)/D144,IF(D144&lt;Assumptions!I$32,(Assumptions!I$44+(D144-Assumptions!I$31)*Assumptions!I$38)/D144,IF(D144&lt;Assumptions!I$33,(Assumptions!I$45+(D144-Assumptions!I$32)*Assumptions!I$39)/D144,(Assumptions!I$46+(D144-Assumptions!I$33)*Assumptions!I$40)/D144)))))</f>
        <v>7.0000000000000007E-2</v>
      </c>
      <c r="E145" s="177">
        <f>IF(E144&lt;Assumptions!J$29,Assumptions!J$35,IF(E144&lt;Assumptions!J$30,(Assumptions!J$42+(E144-Assumptions!J$29)*Assumptions!J$36)/E144,IF(E144&lt;Assumptions!J$31,(Assumptions!J$43+(E144-Assumptions!J$30)*Assumptions!J$37)/E144,IF(E144&lt;Assumptions!J$32,(Assumptions!J$44+(E144-Assumptions!J$31)*Assumptions!J$38)/E144,IF(E144&lt;Assumptions!J$33,(Assumptions!J$45+(E144-Assumptions!J$32)*Assumptions!J$39)/E144,(Assumptions!J$46+(E144-Assumptions!J$33)*Assumptions!J$40)/E144)))))</f>
        <v>7.0000000000000007E-2</v>
      </c>
      <c r="F145" s="177">
        <f>IF(F144&lt;Assumptions!K$29,Assumptions!K$35,IF(F144&lt;Assumptions!K$30,(Assumptions!K$42+(F144-Assumptions!K$29)*Assumptions!K$36)/F144,IF(F144&lt;Assumptions!K$31,(Assumptions!K$43+(F144-Assumptions!K$30)*Assumptions!K$37)/F144,IF(F144&lt;Assumptions!K$32,(Assumptions!K$44+(F144-Assumptions!K$31)*Assumptions!K$38)/F144,IF(F144&lt;Assumptions!K$33,(Assumptions!K$45+(F144-Assumptions!K$32)*Assumptions!K$39)/F144,(Assumptions!K$46+(F144-Assumptions!K$33)*Assumptions!K$40)/F144)))))</f>
        <v>7.0000000000000007E-2</v>
      </c>
      <c r="G145" s="177">
        <f>IF(G144&lt;Assumptions!L$29,Assumptions!L$35,IF(G144&lt;Assumptions!L$30,(Assumptions!L$42+(G144-Assumptions!L$29)*Assumptions!L$36)/G144,IF(G144&lt;Assumptions!L$31,(Assumptions!L$43+(G144-Assumptions!L$30)*Assumptions!L$37)/G144,IF(G144&lt;Assumptions!L$32,(Assumptions!L$44+(G144-Assumptions!L$31)*Assumptions!L$38)/G144,IF(G144&lt;Assumptions!L$33,(Assumptions!L$45+(G144-Assumptions!L$32)*Assumptions!L$39)/G144,(Assumptions!L$46+(G144-Assumptions!L$33)*Assumptions!L$40)/G144)))))</f>
        <v>7.0000000000000007E-2</v>
      </c>
      <c r="H145" s="177">
        <f>IF(H144&lt;Assumptions!M$29,Assumptions!M$35,IF(H144&lt;Assumptions!M$30,(Assumptions!M$42+(H144-Assumptions!M$29)*Assumptions!M$36)/H144,IF(H144&lt;Assumptions!M$31,(Assumptions!M$43+(H144-Assumptions!M$30)*Assumptions!M$37)/H144,IF(H144&lt;Assumptions!M$32,(Assumptions!M$44+(H144-Assumptions!M$31)*Assumptions!M$38)/H144,IF(H144&lt;Assumptions!M$33,(Assumptions!M$45+(H144-Assumptions!M$32)*Assumptions!M$39)/H144,(Assumptions!M$46+(H144-Assumptions!M$33)*Assumptions!M$40)/H144)))))</f>
        <v>0.19255236929550296</v>
      </c>
      <c r="I145" s="177">
        <f>IF(I144&lt;Assumptions!N$29,Assumptions!N$35,IF(I144&lt;Assumptions!N$30,(Assumptions!N$42+(I144-Assumptions!N$29)*Assumptions!N$36)/I144,IF(I144&lt;Assumptions!N$31,(Assumptions!N$43+(I144-Assumptions!N$30)*Assumptions!N$37)/I144,IF(I144&lt;Assumptions!N$32,(Assumptions!N$44+(I144-Assumptions!N$31)*Assumptions!N$38)/I144,IF(I144&lt;Assumptions!N$33,(Assumptions!N$45+(I144-Assumptions!N$32)*Assumptions!N$39)/I144,(Assumptions!N$46+(I144-Assumptions!N$33)*Assumptions!N$40)/I144)))))</f>
        <v>0.19790781227033899</v>
      </c>
      <c r="J145" s="177">
        <f>IF(J144&lt;Assumptions!O$29,Assumptions!O$35,IF(J144&lt;Assumptions!O$30,(Assumptions!O$42+(J144-Assumptions!O$29)*Assumptions!O$36)/J144,IF(J144&lt;Assumptions!O$31,(Assumptions!O$43+(J144-Assumptions!O$30)*Assumptions!O$37)/J144,IF(J144&lt;Assumptions!O$32,(Assumptions!O$44+(J144-Assumptions!O$31)*Assumptions!O$38)/J144,IF(J144&lt;Assumptions!O$33,(Assumptions!O$45+(J144-Assumptions!O$32)*Assumptions!O$39)/J144,(Assumptions!O$46+(J144-Assumptions!O$33)*Assumptions!O$40)/J144)))))</f>
        <v>0.20312499977626791</v>
      </c>
      <c r="K145" s="177">
        <f>IF(K144&lt;Assumptions!P$29,Assumptions!P$35,IF(K144&lt;Assumptions!P$30,(Assumptions!P$42+(K144-Assumptions!P$29)*Assumptions!P$36)/K144,IF(K144&lt;Assumptions!P$31,(Assumptions!P$43+(K144-Assumptions!P$30)*Assumptions!P$37)/K144,IF(K144&lt;Assumptions!P$32,(Assumptions!P$44+(K144-Assumptions!P$31)*Assumptions!P$38)/K144,IF(K144&lt;Assumptions!P$33,(Assumptions!P$45+(K144-Assumptions!P$32)*Assumptions!P$39)/K144,(Assumptions!P$46+(K144-Assumptions!P$33)*Assumptions!P$40)/K144)))))</f>
        <v>0.20820750099977386</v>
      </c>
      <c r="L145" s="177">
        <f>IF(L144&lt;Assumptions!Q$29,Assumptions!Q$35,IF(L144&lt;Assumptions!Q$30,(Assumptions!Q$42+(L144-Assumptions!Q$29)*Assumptions!Q$36)/L144,IF(L144&lt;Assumptions!Q$31,(Assumptions!Q$43+(L144-Assumptions!Q$30)*Assumptions!Q$37)/L144,IF(L144&lt;Assumptions!Q$32,(Assumptions!Q$44+(L144-Assumptions!Q$31)*Assumptions!Q$38)/L144,IF(L144&lt;Assumptions!Q$33,(Assumptions!Q$45+(L144-Assumptions!Q$32)*Assumptions!Q$39)/L144,(Assumptions!Q$46+(L144-Assumptions!Q$33)*Assumptions!Q$40)/L144)))))</f>
        <v>0.21315879298565402</v>
      </c>
      <c r="M145" s="177">
        <f>IF(M144&lt;Assumptions!R$29,Assumptions!R$35,IF(M144&lt;Assumptions!R$30,(Assumptions!R$42+(M144-Assumptions!R$29)*Assumptions!R$36)/M144,IF(M144&lt;Assumptions!R$31,(Assumptions!R$43+(M144-Assumptions!R$30)*Assumptions!R$37)/M144,IF(M144&lt;Assumptions!R$32,(Assumptions!R$44+(M144-Assumptions!R$31)*Assumptions!R$38)/M144,IF(M144&lt;Assumptions!R$33,(Assumptions!R$45+(M144-Assumptions!R$32)*Assumptions!R$39)/M144,(Assumptions!R$46+(M144-Assumptions!R$33)*Assumptions!R$40)/M144)))))</f>
        <v>0.217982263015737</v>
      </c>
      <c r="N145" s="177">
        <f>IF(N144&lt;Assumptions!S$29,Assumptions!S$35,IF(N144&lt;Assumptions!S$30,(Assumptions!S$42+(N144-Assumptions!S$29)*Assumptions!S$36)/N144,IF(N144&lt;Assumptions!S$31,(Assumptions!S$43+(N144-Assumptions!S$30)*Assumptions!S$37)/N144,IF(N144&lt;Assumptions!S$32,(Assumptions!S$44+(N144-Assumptions!S$31)*Assumptions!S$38)/N144,IF(N144&lt;Assumptions!S$33,(Assumptions!S$45+(N144-Assumptions!S$32)*Assumptions!S$39)/N144,(Assumptions!S$46+(N144-Assumptions!S$33)*Assumptions!S$40)/N144)))))</f>
        <v>0.22268121092619289</v>
      </c>
      <c r="O145" s="177">
        <f>IF(O144&lt;Assumptions!T$29,Assumptions!T$35,IF(O144&lt;Assumptions!T$30,(Assumptions!T$42+(O144-Assumptions!T$29)*Assumptions!T$36)/O144,IF(O144&lt;Assumptions!T$31,(Assumptions!T$43+(O144-Assumptions!T$30)*Assumptions!T$37)/O144,IF(O144&lt;Assumptions!T$32,(Assumptions!T$44+(O144-Assumptions!T$31)*Assumptions!T$38)/O144,IF(O144&lt;Assumptions!T$33,(Assumptions!T$45+(O144-Assumptions!T$32)*Assumptions!T$39)/O144,(Assumptions!T$46+(O144-Assumptions!T$33)*Assumptions!T$40)/O144)))))</f>
        <v>0.22725885136501986</v>
      </c>
      <c r="P145" s="177">
        <f>IF(P144&lt;Assumptions!U$29,Assumptions!U$35,IF(P144&lt;Assumptions!U$30,(Assumptions!U$42+(P144-Assumptions!U$29)*Assumptions!U$36)/P144,IF(P144&lt;Assumptions!U$31,(Assumptions!U$43+(P144-Assumptions!U$30)*Assumptions!U$37)/P144,IF(P144&lt;Assumptions!U$32,(Assumptions!U$44+(P144-Assumptions!U$31)*Assumptions!U$38)/P144,IF(P144&lt;Assumptions!U$33,(Assumptions!U$45+(P144-Assumptions!U$32)*Assumptions!U$39)/P144,(Assumptions!U$46+(P144-Assumptions!U$33)*Assumptions!U$40)/P144)))))</f>
        <v>0.23171831599125167</v>
      </c>
      <c r="Q145" s="177">
        <f>IF(Q144&lt;Assumptions!V$29,Assumptions!V$35,IF(Q144&lt;Assumptions!V$30,(Assumptions!V$42+(Q144-Assumptions!V$29)*Assumptions!V$36)/Q144,IF(Q144&lt;Assumptions!V$31,(Assumptions!V$43+(Q144-Assumptions!V$30)*Assumptions!V$37)/Q144,IF(Q144&lt;Assumptions!V$32,(Assumptions!V$44+(Q144-Assumptions!V$31)*Assumptions!V$38)/Q144,IF(Q144&lt;Assumptions!V$33,(Assumptions!V$45+(Q144-Assumptions!V$32)*Assumptions!V$39)/Q144,(Assumptions!V$46+(Q144-Assumptions!V$33)*Assumptions!V$40)/Q144)))))</f>
        <v>0.23606265561739079</v>
      </c>
      <c r="R145" s="177">
        <f>IF(R144&lt;Assumptions!W$29,Assumptions!W$35,IF(R144&lt;Assumptions!W$30,(Assumptions!W$42+(R144-Assumptions!W$29)*Assumptions!W$36)/R144,IF(R144&lt;Assumptions!W$31,(Assumptions!W$43+(R144-Assumptions!W$30)*Assumptions!W$37)/R144,IF(R144&lt;Assumptions!W$32,(Assumptions!W$44+(R144-Assumptions!W$31)*Assumptions!W$38)/R144,IF(R144&lt;Assumptions!W$33,(Assumptions!W$45+(R144-Assumptions!W$32)*Assumptions!W$39)/R144,(Assumptions!W$46+(R144-Assumptions!W$33)*Assumptions!W$40)/R144)))))</f>
        <v>0.24029484229653267</v>
      </c>
      <c r="S145" s="177">
        <f>IF(S144&lt;Assumptions!X$29,Assumptions!X$35,IF(S144&lt;Assumptions!X$30,(Assumptions!X$42+(S144-Assumptions!X$29)*Assumptions!X$36)/S144,IF(S144&lt;Assumptions!X$31,(Assumptions!X$43+(S144-Assumptions!X$30)*Assumptions!X$37)/S144,IF(S144&lt;Assumptions!X$32,(Assumptions!X$44+(S144-Assumptions!X$31)*Assumptions!X$38)/S144,IF(S144&lt;Assumptions!X$33,(Assumptions!X$45+(S144-Assumptions!X$32)*Assumptions!X$39)/S144,(Assumptions!X$46+(S144-Assumptions!X$33)*Assumptions!X$40)/S144)))))</f>
        <v>0.24441777135560899</v>
      </c>
      <c r="T145" s="177">
        <f>IF(T144&lt;Assumptions!Y$29,Assumptions!Y$35,IF(T144&lt;Assumptions!Y$30,(Assumptions!Y$42+(T144-Assumptions!Y$29)*Assumptions!Y$36)/T144,IF(T144&lt;Assumptions!Y$31,(Assumptions!Y$43+(T144-Assumptions!Y$30)*Assumptions!Y$37)/T144,IF(T144&lt;Assumptions!Y$32,(Assumptions!Y$44+(T144-Assumptions!Y$31)*Assumptions!Y$38)/T144,IF(T144&lt;Assumptions!Y$33,(Assumptions!Y$45+(T144-Assumptions!Y$32)*Assumptions!Y$39)/T144,(Assumptions!Y$46+(T144-Assumptions!Y$33)*Assumptions!Y$40)/T144)))))</f>
        <v>0.24843426337614127</v>
      </c>
      <c r="U145" s="177">
        <f>IF(U144&lt;Assumptions!Z$29,Assumptions!Z$35,IF(U144&lt;Assumptions!Z$30,(Assumptions!Z$42+(U144-Assumptions!Z$29)*Assumptions!Z$36)/U144,IF(U144&lt;Assumptions!Z$31,(Assumptions!Z$43+(U144-Assumptions!Z$30)*Assumptions!Z$37)/U144,IF(U144&lt;Assumptions!Z$32,(Assumptions!Z$44+(U144-Assumptions!Z$31)*Assumptions!Z$38)/U144,IF(U144&lt;Assumptions!Z$33,(Assumptions!Z$45+(U144-Assumptions!Z$32)*Assumptions!Z$39)/U144,(Assumptions!Z$46+(U144-Assumptions!Z$33)*Assumptions!Z$40)/U144)))))</f>
        <v>0.25234706612385899</v>
      </c>
      <c r="V145" s="177">
        <f>IF(V144&lt;Assumptions!AA$29,Assumptions!AA$35,IF(V144&lt;Assumptions!AA$30,(Assumptions!AA$42+(V144-Assumptions!AA$29)*Assumptions!AA$36)/V144,IF(V144&lt;Assumptions!AA$31,(Assumptions!AA$43+(V144-Assumptions!AA$30)*Assumptions!AA$37)/V144,IF(V144&lt;Assumptions!AA$32,(Assumptions!AA$44+(V144-Assumptions!AA$31)*Assumptions!AA$38)/V144,IF(V144&lt;Assumptions!AA$33,(Assumptions!AA$45+(V144-Assumptions!AA$32)*Assumptions!AA$39)/V144,(Assumptions!AA$46+(V144-Assumptions!AA$33)*Assumptions!AA$40)/V144)))))</f>
        <v>0.25615885642850361</v>
      </c>
      <c r="W145" s="177">
        <f>IF(W144&lt;Assumptions!AB$29,Assumptions!AB$35,IF(W144&lt;Assumptions!AB$30,(Assumptions!AB$42+(W144-Assumptions!AB$29)*Assumptions!AB$36)/W144,IF(W144&lt;Assumptions!AB$31,(Assumptions!AB$43+(W144-Assumptions!AB$30)*Assumptions!AB$37)/W144,IF(W144&lt;Assumptions!AB$32,(Assumptions!AB$44+(W144-Assumptions!AB$31)*Assumptions!AB$38)/W144,IF(W144&lt;Assumptions!AB$33,(Assumptions!AB$45+(W144-Assumptions!AB$32)*Assumptions!AB$39)/W144,(Assumptions!AB$46+(W144-Assumptions!AB$33)*Assumptions!AB$40)/W144)))))</f>
        <v>0.25987224201510339</v>
      </c>
      <c r="X145" s="177">
        <f>IF(X144&lt;Assumptions!AC$29,Assumptions!AC$35,IF(X144&lt;Assumptions!AC$30,(Assumptions!AC$42+(X144-Assumptions!AC$29)*Assumptions!AC$36)/X144,IF(X144&lt;Assumptions!AC$31,(Assumptions!AC$43+(X144-Assumptions!AC$30)*Assumptions!AC$37)/X144,IF(X144&lt;Assumptions!AC$32,(Assumptions!AC$44+(X144-Assumptions!AC$31)*Assumptions!AC$38)/X144,IF(X144&lt;Assumptions!AC$33,(Assumptions!AC$45+(X144-Assumptions!AC$32)*Assumptions!AC$39)/X144,(Assumptions!AC$46+(X144-Assumptions!AC$33)*Assumptions!AC$40)/X144)))))</f>
        <v>0.26348976328797208</v>
      </c>
      <c r="Y145" s="177">
        <f>IF(Y144&lt;Assumptions!AD$29,Assumptions!AD$35,IF(Y144&lt;Assumptions!AD$30,(Assumptions!AD$42+(Y144-Assumptions!AD$29)*Assumptions!AD$36)/Y144,IF(Y144&lt;Assumptions!AD$31,(Assumptions!AD$43+(Y144-Assumptions!AD$30)*Assumptions!AD$37)/Y144,IF(Y144&lt;Assumptions!AD$32,(Assumptions!AD$44+(Y144-Assumptions!AD$31)*Assumptions!AD$38)/Y144,IF(Y144&lt;Assumptions!AD$33,(Assumptions!AD$45+(Y144-Assumptions!AD$32)*Assumptions!AD$39)/Y144,(Assumptions!AD$46+(Y144-Assumptions!AD$33)*Assumptions!AD$40)/Y144)))))</f>
        <v>0.26701389506865286</v>
      </c>
      <c r="Z145" s="177">
        <f>IF(Z144&lt;Assumptions!AE$29,Assumptions!AE$35,IF(Z144&lt;Assumptions!AE$30,(Assumptions!AE$42+(Z144-Assumptions!AE$29)*Assumptions!AE$36)/Z144,IF(Z144&lt;Assumptions!AE$31,(Assumptions!AE$43+(Z144-Assumptions!AE$30)*Assumptions!AE$37)/Z144,IF(Z144&lt;Assumptions!AE$32,(Assumptions!AE$44+(Z144-Assumptions!AE$31)*Assumptions!AE$38)/Z144,IF(Z144&lt;Assumptions!AE$33,(Assumptions!AE$45+(Z144-Assumptions!AE$32)*Assumptions!AE$39)/Z144,(Assumptions!AE$46+(Z144-Assumptions!AE$33)*Assumptions!AE$40)/Z144)))))</f>
        <v>0.27044704828899446</v>
      </c>
      <c r="AA145" s="177">
        <f>IF(AA144&lt;Assumptions!AF$29,Assumptions!AF$35,IF(AA144&lt;Assumptions!AF$30,(Assumptions!AF$42+(AA144-Assumptions!AF$29)*Assumptions!AF$36)/AA144,IF(AA144&lt;Assumptions!AF$31,(Assumptions!AF$43+(AA144-Assumptions!AF$30)*Assumptions!AF$37)/AA144,IF(AA144&lt;Assumptions!AF$32,(Assumptions!AF$44+(AA144-Assumptions!AF$31)*Assumptions!AF$38)/AA144,IF(AA144&lt;Assumptions!AF$33,(Assumptions!AF$45+(AA144-Assumptions!AF$32)*Assumptions!AF$39)/AA144,(Assumptions!AF$46+(AA144-Assumptions!AF$33)*Assumptions!AF$40)/AA144)))))</f>
        <v>0.2737915716405207</v>
      </c>
      <c r="AB145" s="177">
        <f>IF(AB144&lt;Assumptions!AG$29,Assumptions!AG$35,IF(AB144&lt;Assumptions!AG$30,(Assumptions!AG$42+(AB144-Assumptions!AG$29)*Assumptions!AG$36)/AB144,IF(AB144&lt;Assumptions!AG$31,(Assumptions!AG$43+(AB144-Assumptions!AG$30)*Assumptions!AG$37)/AB144,IF(AB144&lt;Assumptions!AG$32,(Assumptions!AG$44+(AB144-Assumptions!AG$31)*Assumptions!AG$38)/AB144,IF(AB144&lt;Assumptions!AG$33,(Assumptions!AG$45+(AB144-Assumptions!AG$32)*Assumptions!AG$39)/AB144,(Assumptions!AG$46+(AB144-Assumptions!AG$33)*Assumptions!AG$40)/AB144)))))</f>
        <v>7.0000000000000007E-2</v>
      </c>
      <c r="AC145" s="177">
        <f>IF(AC144&lt;Assumptions!AH$29,Assumptions!AH$35,IF(AC144&lt;Assumptions!AH$30,(Assumptions!AH$42+(AC144-Assumptions!AH$29)*Assumptions!AH$36)/AC144,IF(AC144&lt;Assumptions!AH$31,(Assumptions!AH$43+(AC144-Assumptions!AH$30)*Assumptions!AH$37)/AC144,IF(AC144&lt;Assumptions!AH$32,(Assumptions!AH$44+(AC144-Assumptions!AH$31)*Assumptions!AH$38)/AC144,IF(AC144&lt;Assumptions!AH$33,(Assumptions!AH$45+(AC144-Assumptions!AH$32)*Assumptions!AH$39)/AC144,(Assumptions!AH$46+(AC144-Assumptions!AH$33)*Assumptions!AH$40)/AC144)))))</f>
        <v>7.0000000000000007E-2</v>
      </c>
      <c r="AD145" s="177">
        <f>IF(AD144&lt;Assumptions!AI$29,Assumptions!AI$35,IF(AD144&lt;Assumptions!AI$30,(Assumptions!AI$42+(AD144-Assumptions!AI$29)*Assumptions!AI$36)/AD144,IF(AD144&lt;Assumptions!AI$31,(Assumptions!AI$43+(AD144-Assumptions!AI$30)*Assumptions!AI$37)/AD144,IF(AD144&lt;Assumptions!AI$32,(Assumptions!AI$44+(AD144-Assumptions!AI$31)*Assumptions!AI$38)/AD144,IF(AD144&lt;Assumptions!AI$33,(Assumptions!AI$45+(AD144-Assumptions!AI$32)*Assumptions!AI$39)/AD144,(Assumptions!AI$46+(AD144-Assumptions!AI$33)*Assumptions!AI$40)/AD144)))))</f>
        <v>7.0000000000000007E-2</v>
      </c>
      <c r="AE145" s="177">
        <f>IF(AE144&lt;Assumptions!AI$29,Assumptions!AI$35,IF(AE144&lt;Assumptions!AI$30,(Assumptions!AI$42+(AE144-Assumptions!AI$29)*Assumptions!AI$36)/AE144,IF(AE144&lt;Assumptions!AI$31,(Assumptions!AI$43+(AE144-Assumptions!AI$30)*Assumptions!AI$37)/AE144,IF(AE144&lt;Assumptions!AI$32,(Assumptions!AI$44+(AE144-Assumptions!AI$31)*Assumptions!AI$38)/AE144,IF(AE144&lt;Assumptions!AI$33,(Assumptions!AI$45+(AE144-Assumptions!AI$32)*Assumptions!AI$39)/AE144,(Assumptions!AI$46+(AE144-Assumptions!AI$33)*Assumptions!AI$40)/AE144)))))</f>
        <v>7.0000000000000007E-2</v>
      </c>
      <c r="AF145" s="177">
        <f>IF(AF144&lt;Assumptions!AJ$29,Assumptions!AJ$35,IF(AF144&lt;Assumptions!AJ$30,(Assumptions!AJ$42+(AF144-Assumptions!AJ$29)*Assumptions!AJ$36)/AF144,IF(AF144&lt;Assumptions!AJ$31,(Assumptions!AJ$43+(AF144-Assumptions!AJ$30)*Assumptions!AJ$37)/AF144,IF(AF144&lt;Assumptions!AJ$32,(Assumptions!AJ$44+(AF144-Assumptions!AJ$31)*Assumptions!AJ$38)/AF144,IF(AF144&lt;Assumptions!AJ$33,(Assumptions!AJ$45+(AF144-Assumptions!AJ$32)*Assumptions!AJ$39)/AF144,(Assumptions!AJ$46+(AF144-Assumptions!AJ$33)*Assumptions!AJ$40)/AF144)))))</f>
        <v>7.0000000000000007E-2</v>
      </c>
      <c r="AG145" s="177">
        <f>IF(AG144&lt;Assumptions!AK$29,Assumptions!AK$35,IF(AG144&lt;Assumptions!AK$30,(Assumptions!AK$42+(AG144-Assumptions!AK$29)*Assumptions!AK$36)/AG144,IF(AG144&lt;Assumptions!AK$31,(Assumptions!AK$43+(AG144-Assumptions!AK$30)*Assumptions!AK$37)/AG144,IF(AG144&lt;Assumptions!AK$32,(Assumptions!AK$44+(AG144-Assumptions!AK$31)*Assumptions!AK$38)/AG144,IF(AG144&lt;Assumptions!AK$33,(Assumptions!AK$45+(AG144-Assumptions!AK$32)*Assumptions!AK$39)/AG144,(Assumptions!AK$46+(AG144-Assumptions!AK$33)*Assumptions!AK$40)/AG144)))))</f>
        <v>7.0000000000000007E-2</v>
      </c>
      <c r="AH145" s="177">
        <f>IF(AH144&lt;Assumptions!AL$29,Assumptions!AL$35,IF(AH144&lt;Assumptions!AL$30,(Assumptions!AL$42+(AH144-Assumptions!AL$29)*Assumptions!AL$36)/AH144,IF(AH144&lt;Assumptions!AL$31,(Assumptions!AL$43+(AH144-Assumptions!AL$30)*Assumptions!AL$37)/AH144,IF(AH144&lt;Assumptions!AL$32,(Assumptions!AL$44+(AH144-Assumptions!AL$31)*Assumptions!AL$38)/AH144,IF(AH144&lt;Assumptions!AL$33,(Assumptions!AL$45+(AH144-Assumptions!AL$32)*Assumptions!AL$39)/AH144,(Assumptions!AL$46+(AH144-Assumptions!AL$33)*Assumptions!AL$40)/AH144)))))</f>
        <v>7.0000000000000007E-2</v>
      </c>
      <c r="AI145" s="177">
        <f>IF(AI144&lt;Assumptions!AM$29,Assumptions!AM$35,IF(AI144&lt;Assumptions!AM$30,(Assumptions!AM$42+(AI144-Assumptions!AM$29)*Assumptions!AM$36)/AI144,IF(AI144&lt;Assumptions!AM$31,(Assumptions!AM$43+(AI144-Assumptions!AM$30)*Assumptions!AM$37)/AI144,IF(AI144&lt;Assumptions!AM$32,(Assumptions!AM$44+(AI144-Assumptions!AM$31)*Assumptions!AM$38)/AI144,IF(AI144&lt;Assumptions!AM$33,(Assumptions!AM$45+(AI144-Assumptions!AM$32)*Assumptions!AM$39)/AI144,(Assumptions!AM$46+(AI144-Assumptions!AM$33)*Assumptions!AM$40)/AI144)))))</f>
        <v>7.0000000000000007E-2</v>
      </c>
      <c r="AJ145" s="177">
        <f>IF(AJ144&lt;Assumptions!AN$29,Assumptions!AN$35,IF(AJ144&lt;Assumptions!AN$30,(Assumptions!AN$42+(AJ144-Assumptions!AN$29)*Assumptions!AN$36)/AJ144,IF(AJ144&lt;Assumptions!AN$31,(Assumptions!AN$43+(AJ144-Assumptions!AN$30)*Assumptions!AN$37)/AJ144,IF(AJ144&lt;Assumptions!AN$32,(Assumptions!AN$44+(AJ144-Assumptions!AN$31)*Assumptions!AN$38)/AJ144,IF(AJ144&lt;Assumptions!AN$33,(Assumptions!AN$45+(AJ144-Assumptions!AN$32)*Assumptions!AN$39)/AJ144,(Assumptions!AN$46+(AJ144-Assumptions!AN$33)*Assumptions!AN$40)/AJ144)))))</f>
        <v>7.0000000000000007E-2</v>
      </c>
      <c r="AK145" s="177">
        <f>IF(AK144&lt;Assumptions!AO$29,Assumptions!AO$35,IF(AK144&lt;Assumptions!AO$30,(Assumptions!AO$42+(AK144-Assumptions!AO$29)*Assumptions!AO$36)/AK144,IF(AK144&lt;Assumptions!AO$31,(Assumptions!AO$43+(AK144-Assumptions!AO$30)*Assumptions!AO$37)/AK144,IF(AK144&lt;Assumptions!AO$32,(Assumptions!AO$44+(AK144-Assumptions!AO$31)*Assumptions!AO$38)/AK144,IF(AK144&lt;Assumptions!AO$33,(Assumptions!AO$45+(AK144-Assumptions!AO$32)*Assumptions!AO$39)/AK144,(Assumptions!AO$46+(AK144-Assumptions!AO$33)*Assumptions!AO$40)/AK144)))))</f>
        <v>7.0000000000000007E-2</v>
      </c>
      <c r="AL145" s="177">
        <f>IF(AL144&lt;Assumptions!AP$29,Assumptions!AP$35,IF(AL144&lt;Assumptions!AP$30,(Assumptions!AP$42+(AL144-Assumptions!AP$29)*Assumptions!AP$36)/AL144,IF(AL144&lt;Assumptions!AP$31,(Assumptions!AP$43+(AL144-Assumptions!AP$30)*Assumptions!AP$37)/AL144,IF(AL144&lt;Assumptions!AP$32,(Assumptions!AP$44+(AL144-Assumptions!AP$31)*Assumptions!AP$38)/AL144,IF(AL144&lt;Assumptions!AP$33,(Assumptions!AP$45+(AL144-Assumptions!AP$32)*Assumptions!AP$39)/AL144,(Assumptions!AP$46+(AL144-Assumptions!AP$33)*Assumptions!AP$40)/AL144)))))</f>
        <v>7.0000000000000007E-2</v>
      </c>
      <c r="AM145" s="177">
        <f>IF(AM144&lt;Assumptions!AQ$29,Assumptions!AQ$35,IF(AM144&lt;Assumptions!AQ$30,(Assumptions!AQ$42+(AM144-Assumptions!AQ$29)*Assumptions!AQ$36)/AM144,IF(AM144&lt;Assumptions!AQ$31,(Assumptions!AQ$43+(AM144-Assumptions!AQ$30)*Assumptions!AQ$37)/AM144,IF(AM144&lt;Assumptions!AQ$32,(Assumptions!AQ$44+(AM144-Assumptions!AQ$31)*Assumptions!AQ$38)/AM144,IF(AM144&lt;Assumptions!AQ$33,(Assumptions!AQ$45+(AM144-Assumptions!AQ$32)*Assumptions!AQ$39)/AM144,(Assumptions!AQ$46+(AM144-Assumptions!AQ$33)*Assumptions!AQ$40)/AM144)))))</f>
        <v>7.0000000000000007E-2</v>
      </c>
      <c r="AN145" s="177">
        <f>IF(AN144&lt;Assumptions!AR$29,Assumptions!AR$35,IF(AN144&lt;Assumptions!AR$30,(Assumptions!AR$42+(AN144-Assumptions!AR$29)*Assumptions!AR$36)/AN144,IF(AN144&lt;Assumptions!AR$31,(Assumptions!AR$43+(AN144-Assumptions!AR$30)*Assumptions!AR$37)/AN144,IF(AN144&lt;Assumptions!AR$32,(Assumptions!AR$44+(AN144-Assumptions!AR$31)*Assumptions!AR$38)/AN144,IF(AN144&lt;Assumptions!AR$33,(Assumptions!AR$45+(AN144-Assumptions!AR$32)*Assumptions!AR$39)/AN144,(Assumptions!AR$46+(AN144-Assumptions!AR$33)*Assumptions!AR$40)/AN144)))))</f>
        <v>7.0000000000000007E-2</v>
      </c>
      <c r="AO145" s="177">
        <f>IF(AO144&lt;Assumptions!AS$29,Assumptions!AS$35,IF(AO144&lt;Assumptions!AS$30,(Assumptions!AS$42+(AO144-Assumptions!AS$29)*Assumptions!AS$36)/AO144,IF(AO144&lt;Assumptions!AS$31,(Assumptions!AS$43+(AO144-Assumptions!AS$30)*Assumptions!AS$37)/AO144,IF(AO144&lt;Assumptions!AS$32,(Assumptions!AS$44+(AO144-Assumptions!AS$31)*Assumptions!AS$38)/AO144,IF(AO144&lt;Assumptions!AS$33,(Assumptions!AS$45+(AO144-Assumptions!AS$32)*Assumptions!AS$39)/AO144,(Assumptions!AS$46+(AO144-Assumptions!AS$33)*Assumptions!AS$40)/AO144)))))</f>
        <v>7.0000000000000007E-2</v>
      </c>
      <c r="AP145" s="177">
        <f>IF(AP144&lt;Assumptions!AT$29,Assumptions!AT$35,IF(AP144&lt;Assumptions!AT$30,(Assumptions!AT$42+(AP144-Assumptions!AT$29)*Assumptions!AT$36)/AP144,IF(AP144&lt;Assumptions!AT$31,(Assumptions!AT$43+(AP144-Assumptions!AT$30)*Assumptions!AT$37)/AP144,IF(AP144&lt;Assumptions!AT$32,(Assumptions!AT$44+(AP144-Assumptions!AT$31)*Assumptions!AT$38)/AP144,IF(AP144&lt;Assumptions!AT$33,(Assumptions!AT$45+(AP144-Assumptions!AT$32)*Assumptions!AT$39)/AP144,(Assumptions!AT$46+(AP144-Assumptions!AT$33)*Assumptions!AT$40)/AP144)))))</f>
        <v>7.0000000000000007E-2</v>
      </c>
      <c r="AQ145" s="177">
        <f>IF(AQ144&lt;Assumptions!AU$29,Assumptions!AU$35,IF(AQ144&lt;Assumptions!AU$30,(Assumptions!AU$42+(AQ144-Assumptions!AU$29)*Assumptions!AU$36)/AQ144,IF(AQ144&lt;Assumptions!AU$31,(Assumptions!AU$43+(AQ144-Assumptions!AU$30)*Assumptions!AU$37)/AQ144,IF(AQ144&lt;Assumptions!AU$32,(Assumptions!AU$44+(AQ144-Assumptions!AU$31)*Assumptions!AU$38)/AQ144,IF(AQ144&lt;Assumptions!AU$33,(Assumptions!AU$45+(AQ144-Assumptions!AU$32)*Assumptions!AU$39)/AQ144,(Assumptions!AU$46+(AQ144-Assumptions!AU$33)*Assumptions!AU$40)/AQ144)))))</f>
        <v>7.0000000000000007E-2</v>
      </c>
      <c r="AR145" s="177">
        <f>IF(AR144&lt;Assumptions!AV$29,Assumptions!AV$35,IF(AR144&lt;Assumptions!AV$30,(Assumptions!AV$42+(AR144-Assumptions!AV$29)*Assumptions!AV$36)/AR144,IF(AR144&lt;Assumptions!AV$31,(Assumptions!AV$43+(AR144-Assumptions!AV$30)*Assumptions!AV$37)/AR144,IF(AR144&lt;Assumptions!AV$32,(Assumptions!AV$44+(AR144-Assumptions!AV$31)*Assumptions!AV$38)/AR144,IF(AR144&lt;Assumptions!AV$33,(Assumptions!AV$45+(AR144-Assumptions!AV$32)*Assumptions!AV$39)/AR144,(Assumptions!AV$46+(AR144-Assumptions!AV$33)*Assumptions!AV$40)/AR144)))))</f>
        <v>7.0000000000000007E-2</v>
      </c>
      <c r="AS145" s="177">
        <f>IF(AS144&lt;Assumptions!AW$29,Assumptions!AW$35,IF(AS144&lt;Assumptions!AW$30,(Assumptions!AW$42+(AS144-Assumptions!AW$29)*Assumptions!AW$36)/AS144,IF(AS144&lt;Assumptions!AW$31,(Assumptions!AW$43+(AS144-Assumptions!AW$30)*Assumptions!AW$37)/AS144,IF(AS144&lt;Assumptions!AW$32,(Assumptions!AW$44+(AS144-Assumptions!AW$31)*Assumptions!AW$38)/AS144,IF(AS144&lt;Assumptions!AW$33,(Assumptions!AW$45+(AS144-Assumptions!AW$32)*Assumptions!AW$39)/AS144,(Assumptions!AW$46+(AS144-Assumptions!AW$33)*Assumptions!AW$40)/AS144)))))</f>
        <v>7.0000000000000007E-2</v>
      </c>
      <c r="AT145" s="177">
        <f>IF(AT144&lt;Assumptions!AX$29,Assumptions!AX$35,IF(AT144&lt;Assumptions!AX$30,(Assumptions!AX$42+(AT144-Assumptions!AX$29)*Assumptions!AX$36)/AT144,IF(AT144&lt;Assumptions!AX$31,(Assumptions!AX$43+(AT144-Assumptions!AX$30)*Assumptions!AX$37)/AT144,IF(AT144&lt;Assumptions!AX$32,(Assumptions!AX$44+(AT144-Assumptions!AX$31)*Assumptions!AX$38)/AT144,IF(AT144&lt;Assumptions!AX$33,(Assumptions!AX$45+(AT144-Assumptions!AX$32)*Assumptions!AX$39)/AT144,(Assumptions!AX$46+(AT144-Assumptions!AX$33)*Assumptions!AX$40)/AT144)))))</f>
        <v>7.0000000000000007E-2</v>
      </c>
      <c r="AU145" s="177">
        <f>IF(AU144&lt;Assumptions!AY$29,Assumptions!AY$35,IF(AU144&lt;Assumptions!AY$30,(Assumptions!AY$42+(AU144-Assumptions!AY$29)*Assumptions!AY$36)/AU144,IF(AU144&lt;Assumptions!AY$31,(Assumptions!AY$43+(AU144-Assumptions!AY$30)*Assumptions!AY$37)/AU144,IF(AU144&lt;Assumptions!AY$32,(Assumptions!AY$44+(AU144-Assumptions!AY$31)*Assumptions!AY$38)/AU144,IF(AU144&lt;Assumptions!AY$33,(Assumptions!AY$45+(AU144-Assumptions!AY$32)*Assumptions!AY$39)/AU144,(Assumptions!AY$46+(AU144-Assumptions!AY$33)*Assumptions!AY$40)/AU144)))))</f>
        <v>7.0000000000000007E-2</v>
      </c>
      <c r="AV145" s="177">
        <f>IF(AV144&lt;Assumptions!AZ$29,Assumptions!AZ$35,IF(AV144&lt;Assumptions!AZ$30,(Assumptions!AZ$42+(AV144-Assumptions!AZ$29)*Assumptions!AZ$36)/AV144,IF(AV144&lt;Assumptions!AZ$31,(Assumptions!AZ$43+(AV144-Assumptions!AZ$30)*Assumptions!AZ$37)/AV144,IF(AV144&lt;Assumptions!AZ$32,(Assumptions!AZ$44+(AV144-Assumptions!AZ$31)*Assumptions!AZ$38)/AV144,IF(AV144&lt;Assumptions!AZ$33,(Assumptions!AZ$45+(AV144-Assumptions!AZ$32)*Assumptions!AZ$39)/AV144,(Assumptions!AZ$46+(AV144-Assumptions!AZ$33)*Assumptions!AZ$40)/AV144)))))</f>
        <v>7.0000000000000007E-2</v>
      </c>
      <c r="AW145" s="177">
        <f>IF(AW144&lt;Assumptions!BA$29,Assumptions!BA$35,IF(AW144&lt;Assumptions!BA$30,(Assumptions!BA$42+(AW144-Assumptions!BA$29)*Assumptions!BA$36)/AW144,IF(AW144&lt;Assumptions!BA$31,(Assumptions!BA$43+(AW144-Assumptions!BA$30)*Assumptions!BA$37)/AW144,IF(AW144&lt;Assumptions!BA$32,(Assumptions!BA$44+(AW144-Assumptions!BA$31)*Assumptions!BA$38)/AW144,IF(AW144&lt;Assumptions!BA$33,(Assumptions!BA$45+(AW144-Assumptions!BA$32)*Assumptions!BA$39)/AW144,(Assumptions!BA$46+(AW144-Assumptions!BA$33)*Assumptions!BA$40)/AW144)))))</f>
        <v>7.0000000000000007E-2</v>
      </c>
      <c r="AX145" s="177">
        <f>IF(AX144&lt;Assumptions!BB$29,Assumptions!BB$35,IF(AX144&lt;Assumptions!BB$30,(Assumptions!BB$42+(AX144-Assumptions!BB$29)*Assumptions!BB$36)/AX144,IF(AX144&lt;Assumptions!BB$31,(Assumptions!BB$43+(AX144-Assumptions!BB$30)*Assumptions!BB$37)/AX144,IF(AX144&lt;Assumptions!BB$32,(Assumptions!BB$44+(AX144-Assumptions!BB$31)*Assumptions!BB$38)/AX144,IF(AX144&lt;Assumptions!BB$33,(Assumptions!BB$45+(AX144-Assumptions!BB$32)*Assumptions!BB$39)/AX144,(Assumptions!BB$46+(AX144-Assumptions!BB$33)*Assumptions!BB$40)/AX144)))))</f>
        <v>7.0000000000000007E-2</v>
      </c>
      <c r="AY145" s="177">
        <f>IF(AY144&lt;Assumptions!BC$29,Assumptions!BC$35,IF(AY144&lt;Assumptions!BC$30,(Assumptions!BC$42+(AY144-Assumptions!BC$29)*Assumptions!BC$36)/AY144,IF(AY144&lt;Assumptions!BC$31,(Assumptions!BC$43+(AY144-Assumptions!BC$30)*Assumptions!BC$37)/AY144,IF(AY144&lt;Assumptions!BC$32,(Assumptions!BC$44+(AY144-Assumptions!BC$31)*Assumptions!BC$38)/AY144,IF(AY144&lt;Assumptions!BC$33,(Assumptions!BC$45+(AY144-Assumptions!BC$32)*Assumptions!BC$39)/AY144,(Assumptions!BC$46+(AY144-Assumptions!BC$33)*Assumptions!BC$40)/AY144)))))</f>
        <v>7.0000000000000007E-2</v>
      </c>
      <c r="AZ145" s="177">
        <f>IF(AZ144&lt;Assumptions!BD$29,Assumptions!BD$35,IF(AZ144&lt;Assumptions!BD$30,(Assumptions!BD$42+(AZ144-Assumptions!BD$29)*Assumptions!BD$36)/AZ144,IF(AZ144&lt;Assumptions!BD$31,(Assumptions!BD$43+(AZ144-Assumptions!BD$30)*Assumptions!BD$37)/AZ144,IF(AZ144&lt;Assumptions!BD$32,(Assumptions!BD$44+(AZ144-Assumptions!BD$31)*Assumptions!BD$38)/AZ144,IF(AZ144&lt;Assumptions!BD$33,(Assumptions!BD$45+(AZ144-Assumptions!BD$32)*Assumptions!BD$39)/AZ144,(Assumptions!BD$46+(AZ144-Assumptions!BD$33)*Assumptions!BD$40)/AZ144)))))</f>
        <v>7.0000000000000007E-2</v>
      </c>
      <c r="BA145" s="177">
        <f>IF(BA144&lt;Assumptions!BE$29,Assumptions!BE$35,IF(BA144&lt;Assumptions!BE$30,(Assumptions!BE$42+(BA144-Assumptions!BE$29)*Assumptions!BE$36)/BA144,IF(BA144&lt;Assumptions!BE$31,(Assumptions!BE$43+(BA144-Assumptions!BE$30)*Assumptions!BE$37)/BA144,IF(BA144&lt;Assumptions!BE$32,(Assumptions!BE$44+(BA144-Assumptions!BE$31)*Assumptions!BE$38)/BA144,IF(BA144&lt;Assumptions!BE$33,(Assumptions!BE$45+(BA144-Assumptions!BE$32)*Assumptions!BE$39)/BA144,(Assumptions!BE$46+(BA144-Assumptions!BE$33)*Assumptions!BE$40)/BA144)))))</f>
        <v>7.0000000000000007E-2</v>
      </c>
      <c r="BB145" s="177">
        <f>IF(BB144&lt;Assumptions!BF$29,Assumptions!BF$35,IF(BB144&lt;Assumptions!BF$30,(Assumptions!BF$42+(BB144-Assumptions!BF$29)*Assumptions!BF$36)/BB144,IF(BB144&lt;Assumptions!BF$31,(Assumptions!BF$43+(BB144-Assumptions!BF$30)*Assumptions!BF$37)/BB144,IF(BB144&lt;Assumptions!BF$32,(Assumptions!BF$44+(BB144-Assumptions!BF$31)*Assumptions!BF$38)/BB144,IF(BB144&lt;Assumptions!BF$33,(Assumptions!BF$45+(BB144-Assumptions!BF$32)*Assumptions!BF$39)/BB144,(Assumptions!BF$46+(BB144-Assumptions!BF$33)*Assumptions!BF$40)/BB144)))))</f>
        <v>7.0000000000000007E-2</v>
      </c>
      <c r="BC145" s="177">
        <f>IF(BC144&lt;Assumptions!BG$29,Assumptions!BG$35,IF(BC144&lt;Assumptions!BG$30,(Assumptions!BG$42+(BC144-Assumptions!BG$29)*Assumptions!BG$36)/BC144,IF(BC144&lt;Assumptions!BG$31,(Assumptions!BG$43+(BC144-Assumptions!BG$30)*Assumptions!BG$37)/BC144,IF(BC144&lt;Assumptions!BG$32,(Assumptions!BG$44+(BC144-Assumptions!BG$31)*Assumptions!BG$38)/BC144,IF(BC144&lt;Assumptions!BG$33,(Assumptions!BG$45+(BC144-Assumptions!BG$32)*Assumptions!BG$39)/BC144,(Assumptions!BG$46+(BC144-Assumptions!BG$33)*Assumptions!BG$40)/BC144)))))</f>
        <v>7.0000000000000007E-2</v>
      </c>
      <c r="BD145" s="177">
        <f>IF(BD144&lt;Assumptions!BH$29,Assumptions!BH$35,IF(BD144&lt;Assumptions!BH$30,(Assumptions!BH$42+(BD144-Assumptions!BH$29)*Assumptions!BH$36)/BD144,IF(BD144&lt;Assumptions!BH$31,(Assumptions!BH$43+(BD144-Assumptions!BH$30)*Assumptions!BH$37)/BD144,IF(BD144&lt;Assumptions!BH$32,(Assumptions!BH$44+(BD144-Assumptions!BH$31)*Assumptions!BH$38)/BD144,IF(BD144&lt;Assumptions!BH$33,(Assumptions!BH$45+(BD144-Assumptions!BH$32)*Assumptions!BH$39)/BD144,(Assumptions!BH$46+(BD144-Assumptions!BH$33)*Assumptions!BH$40)/BD144)))))</f>
        <v>7.0000000000000007E-2</v>
      </c>
      <c r="BE145" s="177">
        <f>IF(BE144&lt;Assumptions!BI$29,Assumptions!BI$35,IF(BE144&lt;Assumptions!BI$30,(Assumptions!BI$42+(BE144-Assumptions!BI$29)*Assumptions!BI$36)/BE144,IF(BE144&lt;Assumptions!BI$31,(Assumptions!BI$43+(BE144-Assumptions!BI$30)*Assumptions!BI$37)/BE144,IF(BE144&lt;Assumptions!BI$32,(Assumptions!BI$44+(BE144-Assumptions!BI$31)*Assumptions!BI$38)/BE144,IF(BE144&lt;Assumptions!BI$33,(Assumptions!BI$45+(BE144-Assumptions!BI$32)*Assumptions!BI$39)/BE144,(Assumptions!BI$46+(BE144-Assumptions!BI$33)*Assumptions!BI$40)/BE144)))))</f>
        <v>7.0000000000000007E-2</v>
      </c>
      <c r="BF145" s="177">
        <f>IF(BF144&lt;Assumptions!BJ$29,Assumptions!BJ$35,IF(BF144&lt;Assumptions!BJ$30,(Assumptions!BJ$42+(BF144-Assumptions!BJ$29)*Assumptions!BJ$36)/BF144,IF(BF144&lt;Assumptions!BJ$31,(Assumptions!BJ$43+(BF144-Assumptions!BJ$30)*Assumptions!BJ$37)/BF144,IF(BF144&lt;Assumptions!BJ$32,(Assumptions!BJ$44+(BF144-Assumptions!BJ$31)*Assumptions!BJ$38)/BF144,IF(BF144&lt;Assumptions!BJ$33,(Assumptions!BJ$45+(BF144-Assumptions!BJ$32)*Assumptions!BJ$39)/BF144,(Assumptions!BJ$46+(BF144-Assumptions!BJ$33)*Assumptions!BJ$40)/BF144)))))</f>
        <v>7.0000000000000007E-2</v>
      </c>
      <c r="BG145" s="177">
        <f>IF(BG144&lt;Assumptions!BK$29,Assumptions!BK$35,IF(BG144&lt;Assumptions!BK$30,(Assumptions!BK$42+(BG144-Assumptions!BK$29)*Assumptions!BK$36)/BG144,IF(BG144&lt;Assumptions!BK$31,(Assumptions!BK$43+(BG144-Assumptions!BK$30)*Assumptions!BK$37)/BG144,IF(BG144&lt;Assumptions!BK$32,(Assumptions!BK$44+(BG144-Assumptions!BK$31)*Assumptions!BK$38)/BG144,IF(BG144&lt;Assumptions!BK$33,(Assumptions!BK$45+(BG144-Assumptions!BK$32)*Assumptions!BK$39)/BG144,(Assumptions!BK$46+(BG144-Assumptions!BK$33)*Assumptions!BK$40)/BG144)))))</f>
        <v>7.0000000000000007E-2</v>
      </c>
      <c r="BH145" s="177">
        <f>IF(BH144&lt;Assumptions!BL$29,Assumptions!BL$35,IF(BH144&lt;Assumptions!BL$30,(Assumptions!BL$42+(BH144-Assumptions!BL$29)*Assumptions!BL$36)/BH144,IF(BH144&lt;Assumptions!BL$31,(Assumptions!BL$43+(BH144-Assumptions!BL$30)*Assumptions!BL$37)/BH144,IF(BH144&lt;Assumptions!BL$32,(Assumptions!BL$44+(BH144-Assumptions!BL$31)*Assumptions!BL$38)/BH144,IF(BH144&lt;Assumptions!BL$33,(Assumptions!BL$45+(BH144-Assumptions!BL$32)*Assumptions!BL$39)/BH144,(Assumptions!BL$46+(BH144-Assumptions!BL$33)*Assumptions!BL$40)/BH144)))))</f>
        <v>7.0000000000000007E-2</v>
      </c>
      <c r="BI145" s="177">
        <f>IF(BI144&lt;Assumptions!BM$29,Assumptions!BM$35,IF(BI144&lt;Assumptions!BM$30,(Assumptions!BM$42+(BI144-Assumptions!BM$29)*Assumptions!BM$36)/BI144,IF(BI144&lt;Assumptions!BM$31,(Assumptions!BM$43+(BI144-Assumptions!BM$30)*Assumptions!BM$37)/BI144,IF(BI144&lt;Assumptions!BM$32,(Assumptions!BM$44+(BI144-Assumptions!BM$31)*Assumptions!BM$38)/BI144,IF(BI144&lt;Assumptions!BM$33,(Assumptions!BM$45+(BI144-Assumptions!BM$32)*Assumptions!BM$39)/BI144,(Assumptions!BM$46+(BI144-Assumptions!BM$33)*Assumptions!BM$40)/BI144)))))</f>
        <v>7.0000000000000007E-2</v>
      </c>
      <c r="BJ145" s="177">
        <f>IF(BJ144&lt;Assumptions!BN$29,Assumptions!BN$35,IF(BJ144&lt;Assumptions!BN$30,(Assumptions!BN$42+(BJ144-Assumptions!BN$29)*Assumptions!BN$36)/BJ144,IF(BJ144&lt;Assumptions!BN$31,(Assumptions!BN$43+(BJ144-Assumptions!BN$30)*Assumptions!BN$37)/BJ144,IF(BJ144&lt;Assumptions!BN$32,(Assumptions!BN$44+(BJ144-Assumptions!BN$31)*Assumptions!BN$38)/BJ144,IF(BJ144&lt;Assumptions!BN$33,(Assumptions!BN$45+(BJ144-Assumptions!BN$32)*Assumptions!BN$39)/BJ144,(Assumptions!BN$46+(BJ144-Assumptions!BN$33)*Assumptions!BN$40)/BJ144)))))</f>
        <v>7.0000000000000007E-2</v>
      </c>
      <c r="BK145" s="177">
        <f>IF(BK144&lt;Assumptions!BO$29,Assumptions!BO$35,IF(BK144&lt;Assumptions!BO$30,(Assumptions!BO$42+(BK144-Assumptions!BO$29)*Assumptions!BO$36)/BK144,IF(BK144&lt;Assumptions!BO$31,(Assumptions!BO$43+(BK144-Assumptions!BO$30)*Assumptions!BO$37)/BK144,IF(BK144&lt;Assumptions!BO$32,(Assumptions!BO$44+(BK144-Assumptions!BO$31)*Assumptions!BO$38)/BK144,IF(BK144&lt;Assumptions!BO$33,(Assumptions!BO$45+(BK144-Assumptions!BO$32)*Assumptions!BO$39)/BK144,(Assumptions!BO$46+(BK144-Assumptions!BO$33)*Assumptions!BO$40)/BK144)))))</f>
        <v>7.0000000000000007E-2</v>
      </c>
      <c r="BL145" s="177">
        <f>IF(BL144&lt;Assumptions!BP$29,Assumptions!BP$35,IF(BL144&lt;Assumptions!BP$30,(Assumptions!BP$42+(BL144-Assumptions!BP$29)*Assumptions!BP$36)/BL144,IF(BL144&lt;Assumptions!BP$31,(Assumptions!BP$43+(BL144-Assumptions!BP$30)*Assumptions!BP$37)/BL144,IF(BL144&lt;Assumptions!BP$32,(Assumptions!BP$44+(BL144-Assumptions!BP$31)*Assumptions!BP$38)/BL144,IF(BL144&lt;Assumptions!BP$33,(Assumptions!BP$45+(BL144-Assumptions!BP$32)*Assumptions!BP$39)/BL144,(Assumptions!BP$46+(BL144-Assumptions!BP$33)*Assumptions!BP$40)/BL144)))))</f>
        <v>7.0000000000000007E-2</v>
      </c>
      <c r="BM145" s="177">
        <f>IF(BM144&lt;Assumptions!BQ$29,Assumptions!BQ$35,IF(BM144&lt;Assumptions!BQ$30,(Assumptions!BQ$42+(BM144-Assumptions!BQ$29)*Assumptions!BQ$36)/BM144,IF(BM144&lt;Assumptions!BQ$31,(Assumptions!BQ$43+(BM144-Assumptions!BQ$30)*Assumptions!BQ$37)/BM144,IF(BM144&lt;Assumptions!BQ$32,(Assumptions!BQ$44+(BM144-Assumptions!BQ$31)*Assumptions!BQ$38)/BM144,IF(BM144&lt;Assumptions!BQ$33,(Assumptions!BQ$45+(BM144-Assumptions!BQ$32)*Assumptions!BQ$39)/BM144,(Assumptions!BQ$46+(BM144-Assumptions!BQ$33)*Assumptions!BQ$40)/BM144)))))</f>
        <v>7.0000000000000007E-2</v>
      </c>
      <c r="BN145" s="177">
        <f>IF(BN144&lt;Assumptions!BR$29,Assumptions!BR$35,IF(BN144&lt;Assumptions!BR$30,(Assumptions!BR$42+(BN144-Assumptions!BR$29)*Assumptions!BR$36)/BN144,IF(BN144&lt;Assumptions!BR$31,(Assumptions!BR$43+(BN144-Assumptions!BR$30)*Assumptions!BR$37)/BN144,IF(BN144&lt;Assumptions!BR$32,(Assumptions!BR$44+(BN144-Assumptions!BR$31)*Assumptions!BR$38)/BN144,IF(BN144&lt;Assumptions!BR$33,(Assumptions!BR$45+(BN144-Assumptions!BR$32)*Assumptions!BR$39)/BN144,(Assumptions!BR$46+(BN144-Assumptions!BR$33)*Assumptions!BR$40)/BN144)))))</f>
        <v>7.0000000000000007E-2</v>
      </c>
      <c r="BO145" s="177">
        <f>IF(BO144&lt;Assumptions!BS$29,Assumptions!BS$35,IF(BO144&lt;Assumptions!BS$30,(Assumptions!BS$42+(BO144-Assumptions!BS$29)*Assumptions!BS$36)/BO144,IF(BO144&lt;Assumptions!BS$31,(Assumptions!BS$43+(BO144-Assumptions!BS$30)*Assumptions!BS$37)/BO144,IF(BO144&lt;Assumptions!BS$32,(Assumptions!BS$44+(BO144-Assumptions!BS$31)*Assumptions!BS$38)/BO144,IF(BO144&lt;Assumptions!BS$33,(Assumptions!BS$45+(BO144-Assumptions!BS$32)*Assumptions!BS$39)/BO144,(Assumptions!BS$46+(BO144-Assumptions!BS$33)*Assumptions!BS$40)/BO144)))))</f>
        <v>7.0000000000000007E-2</v>
      </c>
      <c r="BP145" s="177"/>
    </row>
    <row r="146" spans="1:68" hidden="1" outlineLevel="1">
      <c r="A146" t="s">
        <v>215</v>
      </c>
      <c r="B146" t="s">
        <v>213</v>
      </c>
      <c r="D146">
        <f t="shared" ref="D146:AI146" si="270">IFERROR((D93+D94)/D34,0)</f>
        <v>0</v>
      </c>
      <c r="E146">
        <f t="shared" si="270"/>
        <v>0</v>
      </c>
      <c r="F146">
        <f t="shared" si="270"/>
        <v>0</v>
      </c>
      <c r="G146">
        <f t="shared" si="270"/>
        <v>0</v>
      </c>
      <c r="H146">
        <f t="shared" si="270"/>
        <v>22</v>
      </c>
      <c r="I146">
        <f t="shared" si="270"/>
        <v>22</v>
      </c>
      <c r="J146">
        <f t="shared" si="270"/>
        <v>22</v>
      </c>
      <c r="K146">
        <f t="shared" si="270"/>
        <v>22</v>
      </c>
      <c r="L146">
        <f t="shared" si="270"/>
        <v>22</v>
      </c>
      <c r="M146">
        <f t="shared" si="270"/>
        <v>22</v>
      </c>
      <c r="N146">
        <f t="shared" si="270"/>
        <v>22</v>
      </c>
      <c r="O146">
        <f t="shared" si="270"/>
        <v>22</v>
      </c>
      <c r="P146">
        <f t="shared" si="270"/>
        <v>22</v>
      </c>
      <c r="Q146">
        <f t="shared" si="270"/>
        <v>22</v>
      </c>
      <c r="R146">
        <f t="shared" si="270"/>
        <v>22</v>
      </c>
      <c r="S146">
        <f t="shared" si="270"/>
        <v>22</v>
      </c>
      <c r="T146">
        <f t="shared" si="270"/>
        <v>22</v>
      </c>
      <c r="U146">
        <f t="shared" si="270"/>
        <v>22</v>
      </c>
      <c r="V146">
        <f t="shared" si="270"/>
        <v>22</v>
      </c>
      <c r="W146">
        <f t="shared" si="270"/>
        <v>22</v>
      </c>
      <c r="X146">
        <f t="shared" si="270"/>
        <v>22</v>
      </c>
      <c r="Y146">
        <f t="shared" si="270"/>
        <v>22</v>
      </c>
      <c r="Z146">
        <f t="shared" si="270"/>
        <v>22</v>
      </c>
      <c r="AA146">
        <f t="shared" si="270"/>
        <v>22</v>
      </c>
      <c r="AB146">
        <f t="shared" si="270"/>
        <v>0</v>
      </c>
      <c r="AC146">
        <f t="shared" si="270"/>
        <v>0</v>
      </c>
      <c r="AD146">
        <f t="shared" si="270"/>
        <v>0</v>
      </c>
      <c r="AE146">
        <f t="shared" si="270"/>
        <v>0</v>
      </c>
      <c r="AF146">
        <f t="shared" si="270"/>
        <v>0</v>
      </c>
      <c r="AG146">
        <f t="shared" si="270"/>
        <v>0</v>
      </c>
      <c r="AH146">
        <f t="shared" si="270"/>
        <v>0</v>
      </c>
      <c r="AI146">
        <f t="shared" si="270"/>
        <v>0</v>
      </c>
      <c r="AJ146">
        <f t="shared" ref="AJ146:BO146" si="271">IFERROR((AJ93+AJ94)/AJ34,0)</f>
        <v>0</v>
      </c>
      <c r="AK146">
        <f t="shared" si="271"/>
        <v>0</v>
      </c>
      <c r="AL146">
        <f t="shared" si="271"/>
        <v>0</v>
      </c>
      <c r="AM146">
        <f t="shared" si="271"/>
        <v>0</v>
      </c>
      <c r="AN146">
        <f t="shared" si="271"/>
        <v>0</v>
      </c>
      <c r="AO146">
        <f t="shared" si="271"/>
        <v>0</v>
      </c>
      <c r="AP146">
        <f t="shared" si="271"/>
        <v>0</v>
      </c>
      <c r="AQ146">
        <f t="shared" si="271"/>
        <v>0</v>
      </c>
      <c r="AR146">
        <f t="shared" si="271"/>
        <v>0</v>
      </c>
      <c r="AS146">
        <f t="shared" si="271"/>
        <v>0</v>
      </c>
      <c r="AT146">
        <f t="shared" si="271"/>
        <v>0</v>
      </c>
      <c r="AU146">
        <f t="shared" si="271"/>
        <v>0</v>
      </c>
      <c r="AV146">
        <f t="shared" si="271"/>
        <v>0</v>
      </c>
      <c r="AW146">
        <f t="shared" si="271"/>
        <v>0</v>
      </c>
      <c r="AX146">
        <f t="shared" si="271"/>
        <v>0</v>
      </c>
      <c r="AY146">
        <f t="shared" si="271"/>
        <v>0</v>
      </c>
      <c r="AZ146">
        <f t="shared" si="271"/>
        <v>0</v>
      </c>
      <c r="BA146">
        <f t="shared" si="271"/>
        <v>0</v>
      </c>
      <c r="BB146">
        <f t="shared" si="271"/>
        <v>0</v>
      </c>
      <c r="BC146">
        <f t="shared" si="271"/>
        <v>0</v>
      </c>
      <c r="BD146">
        <f t="shared" si="271"/>
        <v>0</v>
      </c>
      <c r="BE146">
        <f t="shared" si="271"/>
        <v>0</v>
      </c>
      <c r="BF146">
        <f t="shared" si="271"/>
        <v>0</v>
      </c>
      <c r="BG146">
        <f t="shared" si="271"/>
        <v>0</v>
      </c>
      <c r="BH146">
        <f t="shared" si="271"/>
        <v>0</v>
      </c>
      <c r="BI146">
        <f t="shared" si="271"/>
        <v>0</v>
      </c>
      <c r="BJ146">
        <f t="shared" si="271"/>
        <v>0</v>
      </c>
      <c r="BK146">
        <f t="shared" si="271"/>
        <v>0</v>
      </c>
      <c r="BL146">
        <f t="shared" si="271"/>
        <v>0</v>
      </c>
      <c r="BM146">
        <f t="shared" si="271"/>
        <v>0</v>
      </c>
      <c r="BN146">
        <f t="shared" si="271"/>
        <v>0</v>
      </c>
      <c r="BO146">
        <f t="shared" si="271"/>
        <v>0</v>
      </c>
    </row>
    <row r="147" spans="1:68" hidden="1" outlineLevel="1">
      <c r="A147" t="s">
        <v>216</v>
      </c>
      <c r="B147" t="s">
        <v>213</v>
      </c>
      <c r="D147" s="118">
        <f>(D144-D146)*D145</f>
        <v>0</v>
      </c>
      <c r="E147" s="118">
        <f t="shared" ref="E147:AD147" si="272">(E144-E146)*E145</f>
        <v>0</v>
      </c>
      <c r="F147" s="118">
        <f t="shared" si="272"/>
        <v>0</v>
      </c>
      <c r="G147" s="118">
        <f t="shared" si="272"/>
        <v>0</v>
      </c>
      <c r="H147" s="118">
        <f>(H144-H146)*H145</f>
        <v>61.201770638136118</v>
      </c>
      <c r="I147" s="118">
        <f t="shared" si="272"/>
        <v>64.686305845899625</v>
      </c>
      <c r="J147" s="118">
        <f t="shared" si="272"/>
        <v>68.269345080239134</v>
      </c>
      <c r="K147" s="118">
        <f t="shared" si="272"/>
        <v>71.953339572817882</v>
      </c>
      <c r="L147" s="118">
        <f t="shared" si="272"/>
        <v>75.740809620891056</v>
      </c>
      <c r="M147" s="118">
        <f t="shared" si="272"/>
        <v>79.634346311493474</v>
      </c>
      <c r="N147" s="118">
        <f t="shared" si="272"/>
        <v>83.636613294056204</v>
      </c>
      <c r="O147" s="118">
        <f t="shared" si="272"/>
        <v>87.750348602664459</v>
      </c>
      <c r="P147" s="118">
        <f t="shared" si="272"/>
        <v>91.978366529203754</v>
      </c>
      <c r="Q147" s="118">
        <f t="shared" si="272"/>
        <v>96.323559548675462</v>
      </c>
      <c r="R147" s="118">
        <f t="shared" si="272"/>
        <v>100.78890029799918</v>
      </c>
      <c r="S147" s="118">
        <f t="shared" si="272"/>
        <v>105.37744360965533</v>
      </c>
      <c r="T147" s="118">
        <f t="shared" si="272"/>
        <v>110.09232860155981</v>
      </c>
      <c r="U147" s="118">
        <f t="shared" si="272"/>
        <v>114.93678082459964</v>
      </c>
      <c r="V147" s="118">
        <f t="shared" si="272"/>
        <v>119.91411446929953</v>
      </c>
      <c r="W147" s="118">
        <f t="shared" si="272"/>
        <v>125.0277346331286</v>
      </c>
      <c r="X147" s="118">
        <f t="shared" si="272"/>
        <v>130.28113964999818</v>
      </c>
      <c r="Y147" s="118">
        <f t="shared" si="272"/>
        <v>135.67792348354513</v>
      </c>
      <c r="Z147" s="118">
        <f t="shared" si="272"/>
        <v>141.22177818583651</v>
      </c>
      <c r="AA147" s="118">
        <f t="shared" si="272"/>
        <v>146.91649642318009</v>
      </c>
      <c r="AB147" s="118">
        <f t="shared" si="272"/>
        <v>0</v>
      </c>
      <c r="AC147" s="118">
        <f t="shared" si="272"/>
        <v>0</v>
      </c>
      <c r="AD147" s="118">
        <f t="shared" si="272"/>
        <v>0</v>
      </c>
      <c r="AE147" s="118">
        <f t="shared" ref="AE147" si="273">(AE144-AE146)*AE145</f>
        <v>0</v>
      </c>
      <c r="AF147" s="118">
        <f t="shared" ref="AF147:BO147" si="274">(AF144-AF146)*AF145</f>
        <v>0</v>
      </c>
      <c r="AG147" s="118">
        <f t="shared" si="274"/>
        <v>0</v>
      </c>
      <c r="AH147" s="118">
        <f t="shared" si="274"/>
        <v>0</v>
      </c>
      <c r="AI147" s="118">
        <f t="shared" si="274"/>
        <v>0</v>
      </c>
      <c r="AJ147" s="118">
        <f t="shared" si="274"/>
        <v>0</v>
      </c>
      <c r="AK147" s="118">
        <f t="shared" si="274"/>
        <v>0</v>
      </c>
      <c r="AL147" s="118">
        <f t="shared" si="274"/>
        <v>0</v>
      </c>
      <c r="AM147" s="118">
        <f t="shared" si="274"/>
        <v>0</v>
      </c>
      <c r="AN147" s="118">
        <f t="shared" si="274"/>
        <v>0</v>
      </c>
      <c r="AO147" s="118">
        <f t="shared" si="274"/>
        <v>0</v>
      </c>
      <c r="AP147" s="118">
        <f t="shared" si="274"/>
        <v>0</v>
      </c>
      <c r="AQ147" s="118">
        <f t="shared" si="274"/>
        <v>0</v>
      </c>
      <c r="AR147" s="118">
        <f t="shared" si="274"/>
        <v>0</v>
      </c>
      <c r="AS147" s="118">
        <f t="shared" si="274"/>
        <v>0</v>
      </c>
      <c r="AT147" s="118">
        <f t="shared" si="274"/>
        <v>0</v>
      </c>
      <c r="AU147" s="118">
        <f t="shared" si="274"/>
        <v>0</v>
      </c>
      <c r="AV147" s="118">
        <f t="shared" si="274"/>
        <v>0</v>
      </c>
      <c r="AW147" s="118">
        <f t="shared" si="274"/>
        <v>0</v>
      </c>
      <c r="AX147" s="118">
        <f t="shared" si="274"/>
        <v>0</v>
      </c>
      <c r="AY147" s="118">
        <f t="shared" si="274"/>
        <v>0</v>
      </c>
      <c r="AZ147" s="118">
        <f t="shared" si="274"/>
        <v>0</v>
      </c>
      <c r="BA147" s="118">
        <f t="shared" si="274"/>
        <v>0</v>
      </c>
      <c r="BB147" s="118">
        <f t="shared" si="274"/>
        <v>0</v>
      </c>
      <c r="BC147" s="118">
        <f t="shared" si="274"/>
        <v>0</v>
      </c>
      <c r="BD147" s="118">
        <f t="shared" si="274"/>
        <v>0</v>
      </c>
      <c r="BE147" s="118">
        <f t="shared" si="274"/>
        <v>0</v>
      </c>
      <c r="BF147" s="118">
        <f t="shared" si="274"/>
        <v>0</v>
      </c>
      <c r="BG147" s="118">
        <f t="shared" si="274"/>
        <v>0</v>
      </c>
      <c r="BH147" s="118">
        <f t="shared" si="274"/>
        <v>0</v>
      </c>
      <c r="BI147" s="118">
        <f t="shared" si="274"/>
        <v>0</v>
      </c>
      <c r="BJ147" s="118">
        <f t="shared" si="274"/>
        <v>0</v>
      </c>
      <c r="BK147" s="118">
        <f t="shared" si="274"/>
        <v>0</v>
      </c>
      <c r="BL147" s="118">
        <f t="shared" si="274"/>
        <v>0</v>
      </c>
      <c r="BM147" s="118">
        <f t="shared" si="274"/>
        <v>0</v>
      </c>
      <c r="BN147" s="118">
        <f t="shared" si="274"/>
        <v>0</v>
      </c>
      <c r="BO147" s="118">
        <f t="shared" si="274"/>
        <v>0</v>
      </c>
      <c r="BP147" s="118"/>
    </row>
    <row r="148" spans="1:68" hidden="1" outlineLevel="1">
      <c r="A148" t="s">
        <v>217</v>
      </c>
      <c r="B148" t="s">
        <v>213</v>
      </c>
      <c r="D148" s="118">
        <f>D147/D142</f>
        <v>0</v>
      </c>
      <c r="E148" s="118">
        <f t="shared" ref="E148:AD148" si="275">E147/E142</f>
        <v>0</v>
      </c>
      <c r="F148" s="118">
        <f t="shared" si="275"/>
        <v>0</v>
      </c>
      <c r="G148" s="118">
        <f t="shared" si="275"/>
        <v>0</v>
      </c>
      <c r="H148" s="118">
        <f t="shared" si="275"/>
        <v>55.122406838829349</v>
      </c>
      <c r="I148" s="118">
        <f t="shared" si="275"/>
        <v>56.756758146417894</v>
      </c>
      <c r="J148" s="118">
        <f t="shared" si="275"/>
        <v>58.354185870330376</v>
      </c>
      <c r="K148" s="118">
        <f t="shared" si="275"/>
        <v>59.915374707925707</v>
      </c>
      <c r="L148" s="118">
        <f t="shared" si="275"/>
        <v>61.441005365568891</v>
      </c>
      <c r="M148" s="118">
        <f t="shared" si="275"/>
        <v>62.931753964198279</v>
      </c>
      <c r="N148" s="118">
        <f t="shared" si="275"/>
        <v>64.388291495785211</v>
      </c>
      <c r="O148" s="118">
        <f t="shared" si="275"/>
        <v>65.811283327560318</v>
      </c>
      <c r="P148" s="118">
        <f t="shared" si="275"/>
        <v>67.201388751054239</v>
      </c>
      <c r="Q148" s="118">
        <f t="shared" si="275"/>
        <v>68.559260573164011</v>
      </c>
      <c r="R148" s="118">
        <f t="shared" si="275"/>
        <v>69.885544746611828</v>
      </c>
      <c r="S148" s="118">
        <f t="shared" si="275"/>
        <v>71.180880037309436</v>
      </c>
      <c r="T148" s="118">
        <f t="shared" si="275"/>
        <v>72.445897726280933</v>
      </c>
      <c r="U148" s="118">
        <f t="shared" si="275"/>
        <v>73.681221343927902</v>
      </c>
      <c r="V148" s="118">
        <f t="shared" si="275"/>
        <v>74.887466434546184</v>
      </c>
      <c r="W148" s="118">
        <f t="shared" si="275"/>
        <v>76.065240349120742</v>
      </c>
      <c r="X148" s="118">
        <f t="shared" si="275"/>
        <v>77.215142064537432</v>
      </c>
      <c r="Y148" s="118">
        <f t="shared" si="275"/>
        <v>78.337762027456165</v>
      </c>
      <c r="Z148" s="118">
        <f t="shared" si="275"/>
        <v>79.433682021189128</v>
      </c>
      <c r="AA148" s="118">
        <f t="shared" si="275"/>
        <v>80.503475054024307</v>
      </c>
      <c r="AB148" s="118">
        <f t="shared" si="275"/>
        <v>0</v>
      </c>
      <c r="AC148" s="118">
        <f t="shared" si="275"/>
        <v>0</v>
      </c>
      <c r="AD148" s="118">
        <f t="shared" si="275"/>
        <v>0</v>
      </c>
      <c r="AE148" s="118">
        <f t="shared" ref="AE148" si="276">AE147/AE142</f>
        <v>0</v>
      </c>
      <c r="AF148" s="118">
        <f t="shared" ref="AF148:BO148" si="277">AF147/AF142</f>
        <v>0</v>
      </c>
      <c r="AG148" s="118">
        <f t="shared" si="277"/>
        <v>0</v>
      </c>
      <c r="AH148" s="118">
        <f t="shared" si="277"/>
        <v>0</v>
      </c>
      <c r="AI148" s="118">
        <f t="shared" si="277"/>
        <v>0</v>
      </c>
      <c r="AJ148" s="118">
        <f t="shared" si="277"/>
        <v>0</v>
      </c>
      <c r="AK148" s="118">
        <f t="shared" si="277"/>
        <v>0</v>
      </c>
      <c r="AL148" s="118">
        <f t="shared" si="277"/>
        <v>0</v>
      </c>
      <c r="AM148" s="118">
        <f t="shared" si="277"/>
        <v>0</v>
      </c>
      <c r="AN148" s="118">
        <f t="shared" si="277"/>
        <v>0</v>
      </c>
      <c r="AO148" s="118">
        <f t="shared" si="277"/>
        <v>0</v>
      </c>
      <c r="AP148" s="118">
        <f t="shared" si="277"/>
        <v>0</v>
      </c>
      <c r="AQ148" s="118">
        <f t="shared" si="277"/>
        <v>0</v>
      </c>
      <c r="AR148" s="118">
        <f t="shared" si="277"/>
        <v>0</v>
      </c>
      <c r="AS148" s="118">
        <f t="shared" si="277"/>
        <v>0</v>
      </c>
      <c r="AT148" s="118">
        <f t="shared" si="277"/>
        <v>0</v>
      </c>
      <c r="AU148" s="118">
        <f t="shared" si="277"/>
        <v>0</v>
      </c>
      <c r="AV148" s="118">
        <f t="shared" si="277"/>
        <v>0</v>
      </c>
      <c r="AW148" s="118">
        <f t="shared" si="277"/>
        <v>0</v>
      </c>
      <c r="AX148" s="118">
        <f t="shared" si="277"/>
        <v>0</v>
      </c>
      <c r="AY148" s="118">
        <f t="shared" si="277"/>
        <v>0</v>
      </c>
      <c r="AZ148" s="118">
        <f t="shared" si="277"/>
        <v>0</v>
      </c>
      <c r="BA148" s="118">
        <f t="shared" si="277"/>
        <v>0</v>
      </c>
      <c r="BB148" s="118">
        <f t="shared" si="277"/>
        <v>0</v>
      </c>
      <c r="BC148" s="118">
        <f t="shared" si="277"/>
        <v>0</v>
      </c>
      <c r="BD148" s="118">
        <f t="shared" si="277"/>
        <v>0</v>
      </c>
      <c r="BE148" s="118">
        <f t="shared" si="277"/>
        <v>0</v>
      </c>
      <c r="BF148" s="118">
        <f t="shared" si="277"/>
        <v>0</v>
      </c>
      <c r="BG148" s="118">
        <f t="shared" si="277"/>
        <v>0</v>
      </c>
      <c r="BH148" s="118">
        <f t="shared" si="277"/>
        <v>0</v>
      </c>
      <c r="BI148" s="118">
        <f t="shared" si="277"/>
        <v>0</v>
      </c>
      <c r="BJ148" s="118">
        <f t="shared" si="277"/>
        <v>0</v>
      </c>
      <c r="BK148" s="118">
        <f t="shared" si="277"/>
        <v>0</v>
      </c>
      <c r="BL148" s="118">
        <f t="shared" si="277"/>
        <v>0</v>
      </c>
      <c r="BM148" s="118">
        <f t="shared" si="277"/>
        <v>0</v>
      </c>
      <c r="BN148" s="118">
        <f t="shared" si="277"/>
        <v>0</v>
      </c>
      <c r="BO148" s="118">
        <f t="shared" si="277"/>
        <v>0</v>
      </c>
      <c r="BP148" s="118"/>
    </row>
    <row r="149" spans="1:68" hidden="1" outlineLevel="1"/>
    <row r="150" spans="1:68" hidden="1" outlineLevel="1">
      <c r="A150" t="s">
        <v>218</v>
      </c>
      <c r="D150" s="118">
        <f>D144*D145</f>
        <v>0</v>
      </c>
      <c r="E150" s="118">
        <f t="shared" ref="E150:AD150" si="278">E144*E145</f>
        <v>0</v>
      </c>
      <c r="F150" s="118">
        <f t="shared" si="278"/>
        <v>0</v>
      </c>
      <c r="G150" s="118">
        <f t="shared" si="278"/>
        <v>0</v>
      </c>
      <c r="H150" s="118">
        <f t="shared" si="278"/>
        <v>65.437922762637186</v>
      </c>
      <c r="I150" s="118">
        <f t="shared" si="278"/>
        <v>69.040277715847083</v>
      </c>
      <c r="J150" s="118">
        <f t="shared" si="278"/>
        <v>72.738095075317034</v>
      </c>
      <c r="K150" s="118">
        <f t="shared" si="278"/>
        <v>76.53390459481291</v>
      </c>
      <c r="L150" s="118">
        <f t="shared" si="278"/>
        <v>80.430303066575448</v>
      </c>
      <c r="M150" s="118">
        <f t="shared" si="278"/>
        <v>84.429956097839693</v>
      </c>
      <c r="N150" s="118">
        <f t="shared" si="278"/>
        <v>88.53559993443244</v>
      </c>
      <c r="O150" s="118">
        <f t="shared" si="278"/>
        <v>92.750043332694901</v>
      </c>
      <c r="P150" s="118">
        <f t="shared" si="278"/>
        <v>97.076169481011291</v>
      </c>
      <c r="Q150" s="118">
        <f t="shared" si="278"/>
        <v>101.51693797225806</v>
      </c>
      <c r="R150" s="118">
        <f t="shared" si="278"/>
        <v>106.07538682852289</v>
      </c>
      <c r="S150" s="118">
        <f t="shared" si="278"/>
        <v>110.75463457947873</v>
      </c>
      <c r="T150" s="118">
        <f t="shared" si="278"/>
        <v>115.55788239583492</v>
      </c>
      <c r="U150" s="118">
        <f t="shared" si="278"/>
        <v>120.48841627932454</v>
      </c>
      <c r="V150" s="118">
        <f t="shared" si="278"/>
        <v>125.54960931072661</v>
      </c>
      <c r="W150" s="118">
        <f t="shared" si="278"/>
        <v>130.74492395746088</v>
      </c>
      <c r="X150" s="118">
        <f t="shared" si="278"/>
        <v>136.07791444233357</v>
      </c>
      <c r="Y150" s="118">
        <f t="shared" si="278"/>
        <v>141.55222917505549</v>
      </c>
      <c r="Z150" s="118">
        <f t="shared" si="278"/>
        <v>147.1716132481944</v>
      </c>
      <c r="AA150" s="118">
        <f t="shared" si="278"/>
        <v>152.93991099927155</v>
      </c>
      <c r="AB150" s="118">
        <f t="shared" si="278"/>
        <v>0</v>
      </c>
      <c r="AC150" s="118">
        <f t="shared" si="278"/>
        <v>0</v>
      </c>
      <c r="AD150" s="118">
        <f t="shared" si="278"/>
        <v>0</v>
      </c>
      <c r="AE150" s="118">
        <f t="shared" ref="AE150" si="279">AE144*AE145</f>
        <v>0</v>
      </c>
      <c r="AF150" s="118">
        <f t="shared" ref="AF150:BO150" si="280">AF144*AF145</f>
        <v>0</v>
      </c>
      <c r="AG150" s="118">
        <f t="shared" si="280"/>
        <v>0</v>
      </c>
      <c r="AH150" s="118">
        <f t="shared" si="280"/>
        <v>0</v>
      </c>
      <c r="AI150" s="118">
        <f t="shared" si="280"/>
        <v>0</v>
      </c>
      <c r="AJ150" s="118">
        <f t="shared" si="280"/>
        <v>0</v>
      </c>
      <c r="AK150" s="118">
        <f t="shared" si="280"/>
        <v>0</v>
      </c>
      <c r="AL150" s="118">
        <f t="shared" si="280"/>
        <v>0</v>
      </c>
      <c r="AM150" s="118">
        <f t="shared" si="280"/>
        <v>0</v>
      </c>
      <c r="AN150" s="118">
        <f t="shared" si="280"/>
        <v>0</v>
      </c>
      <c r="AO150" s="118">
        <f t="shared" si="280"/>
        <v>0</v>
      </c>
      <c r="AP150" s="118">
        <f t="shared" si="280"/>
        <v>0</v>
      </c>
      <c r="AQ150" s="118">
        <f t="shared" si="280"/>
        <v>0</v>
      </c>
      <c r="AR150" s="118">
        <f t="shared" si="280"/>
        <v>0</v>
      </c>
      <c r="AS150" s="118">
        <f t="shared" si="280"/>
        <v>0</v>
      </c>
      <c r="AT150" s="118">
        <f t="shared" si="280"/>
        <v>0</v>
      </c>
      <c r="AU150" s="118">
        <f t="shared" si="280"/>
        <v>0</v>
      </c>
      <c r="AV150" s="118">
        <f t="shared" si="280"/>
        <v>0</v>
      </c>
      <c r="AW150" s="118">
        <f t="shared" si="280"/>
        <v>0</v>
      </c>
      <c r="AX150" s="118">
        <f t="shared" si="280"/>
        <v>0</v>
      </c>
      <c r="AY150" s="118">
        <f t="shared" si="280"/>
        <v>0</v>
      </c>
      <c r="AZ150" s="118">
        <f t="shared" si="280"/>
        <v>0</v>
      </c>
      <c r="BA150" s="118">
        <f t="shared" si="280"/>
        <v>0</v>
      </c>
      <c r="BB150" s="118">
        <f t="shared" si="280"/>
        <v>0</v>
      </c>
      <c r="BC150" s="118">
        <f t="shared" si="280"/>
        <v>0</v>
      </c>
      <c r="BD150" s="118">
        <f t="shared" si="280"/>
        <v>0</v>
      </c>
      <c r="BE150" s="118">
        <f t="shared" si="280"/>
        <v>0</v>
      </c>
      <c r="BF150" s="118">
        <f t="shared" si="280"/>
        <v>0</v>
      </c>
      <c r="BG150" s="118">
        <f t="shared" si="280"/>
        <v>0</v>
      </c>
      <c r="BH150" s="118">
        <f t="shared" si="280"/>
        <v>0</v>
      </c>
      <c r="BI150" s="118">
        <f t="shared" si="280"/>
        <v>0</v>
      </c>
      <c r="BJ150" s="118">
        <f t="shared" si="280"/>
        <v>0</v>
      </c>
      <c r="BK150" s="118">
        <f t="shared" si="280"/>
        <v>0</v>
      </c>
      <c r="BL150" s="118">
        <f t="shared" si="280"/>
        <v>0</v>
      </c>
      <c r="BM150" s="118">
        <f t="shared" si="280"/>
        <v>0</v>
      </c>
      <c r="BN150" s="118">
        <f t="shared" si="280"/>
        <v>0</v>
      </c>
      <c r="BO150" s="118">
        <f t="shared" si="280"/>
        <v>0</v>
      </c>
      <c r="BP150" s="118"/>
    </row>
    <row r="151" spans="1:68" collapsed="1"/>
  </sheetData>
  <pageMargins left="0.7" right="0.7" top="0.75" bottom="0.75" header="0.3" footer="0.3"/>
  <pageSetup paperSize="8" scale="35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9C49-3008-46F0-AE84-72162A94C122}">
  <sheetPr>
    <tabColor rgb="FF00B0F0"/>
  </sheetPr>
  <dimension ref="A1:AD6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56" sqref="C56"/>
    </sheetView>
  </sheetViews>
  <sheetFormatPr baseColWidth="10" defaultColWidth="8.83203125" defaultRowHeight="15"/>
  <cols>
    <col min="1" max="1" width="42.5" customWidth="1"/>
    <col min="2" max="2" width="15.83203125" customWidth="1"/>
    <col min="3" max="3" width="12.5" bestFit="1" customWidth="1"/>
  </cols>
  <sheetData>
    <row r="1" spans="1:30">
      <c r="A1" s="307" t="s">
        <v>321</v>
      </c>
      <c r="B1" s="307"/>
      <c r="C1" s="52"/>
      <c r="D1" s="53">
        <f>'Brave Blossom '!D2</f>
        <v>2027</v>
      </c>
      <c r="E1" s="53">
        <f>D1+1</f>
        <v>2028</v>
      </c>
      <c r="F1" s="53">
        <f t="shared" ref="F1:U1" si="0">E1+1</f>
        <v>2029</v>
      </c>
      <c r="G1" s="53">
        <f t="shared" si="0"/>
        <v>2030</v>
      </c>
      <c r="H1" s="53">
        <f t="shared" si="0"/>
        <v>2031</v>
      </c>
      <c r="I1" s="53">
        <f t="shared" si="0"/>
        <v>2032</v>
      </c>
      <c r="J1" s="53">
        <f t="shared" si="0"/>
        <v>2033</v>
      </c>
      <c r="K1" s="53">
        <f t="shared" si="0"/>
        <v>2034</v>
      </c>
      <c r="L1" s="53">
        <f t="shared" si="0"/>
        <v>2035</v>
      </c>
      <c r="M1" s="53">
        <f t="shared" si="0"/>
        <v>2036</v>
      </c>
      <c r="N1" s="53">
        <f t="shared" si="0"/>
        <v>2037</v>
      </c>
      <c r="O1" s="53">
        <f t="shared" si="0"/>
        <v>2038</v>
      </c>
      <c r="P1" s="53">
        <f t="shared" si="0"/>
        <v>2039</v>
      </c>
      <c r="Q1" s="53">
        <f t="shared" si="0"/>
        <v>2040</v>
      </c>
      <c r="R1" s="53">
        <f t="shared" si="0"/>
        <v>2041</v>
      </c>
      <c r="S1" s="53">
        <f t="shared" si="0"/>
        <v>2042</v>
      </c>
      <c r="T1" s="53">
        <f t="shared" si="0"/>
        <v>2043</v>
      </c>
      <c r="U1" s="53">
        <f t="shared" si="0"/>
        <v>2044</v>
      </c>
      <c r="V1" s="53">
        <f t="shared" ref="V1:AD1" si="1">U1+1</f>
        <v>2045</v>
      </c>
      <c r="W1" s="53">
        <f t="shared" si="1"/>
        <v>2046</v>
      </c>
      <c r="X1" s="53">
        <f t="shared" si="1"/>
        <v>2047</v>
      </c>
      <c r="Y1" s="53">
        <f t="shared" si="1"/>
        <v>2048</v>
      </c>
      <c r="Z1" s="53">
        <f t="shared" si="1"/>
        <v>2049</v>
      </c>
      <c r="AA1" s="53">
        <f t="shared" si="1"/>
        <v>2050</v>
      </c>
      <c r="AB1" s="53">
        <f t="shared" si="1"/>
        <v>2051</v>
      </c>
      <c r="AC1" s="53">
        <f t="shared" si="1"/>
        <v>2052</v>
      </c>
      <c r="AD1" s="53">
        <f t="shared" si="1"/>
        <v>2053</v>
      </c>
    </row>
    <row r="2" spans="1:30" ht="16" thickBot="1"/>
    <row r="3" spans="1:30">
      <c r="A3" s="96" t="s">
        <v>305</v>
      </c>
      <c r="B3" s="97"/>
      <c r="C3" s="97"/>
      <c r="D3" s="304" t="s">
        <v>306</v>
      </c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</row>
    <row r="4" spans="1:30">
      <c r="B4" s="146" t="s">
        <v>308</v>
      </c>
      <c r="C4" s="101">
        <v>5000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</row>
    <row r="5" spans="1:30">
      <c r="B5" s="146" t="s">
        <v>308</v>
      </c>
      <c r="C5" s="101">
        <v>5000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</row>
    <row r="6" spans="1:30">
      <c r="B6" s="146" t="s">
        <v>308</v>
      </c>
      <c r="C6" s="101">
        <v>15000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</row>
    <row r="7" spans="1:30">
      <c r="B7" s="146" t="s">
        <v>308</v>
      </c>
      <c r="C7" s="101">
        <v>20000</v>
      </c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</row>
    <row r="8" spans="1:30">
      <c r="B8" s="146" t="s">
        <v>308</v>
      </c>
      <c r="C8" s="101">
        <v>5000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</row>
    <row r="9" spans="1:30">
      <c r="B9" s="146" t="s">
        <v>308</v>
      </c>
      <c r="C9" s="101">
        <v>12000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</row>
    <row r="10" spans="1:30">
      <c r="B10" s="146" t="s">
        <v>308</v>
      </c>
      <c r="C10" s="101">
        <v>17000</v>
      </c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</row>
    <row r="11" spans="1:30">
      <c r="B11" s="146" t="s">
        <v>308</v>
      </c>
      <c r="C11" s="101">
        <v>5000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</row>
    <row r="12" spans="1:30">
      <c r="B12" s="146" t="s">
        <v>308</v>
      </c>
      <c r="C12" s="101">
        <v>20000</v>
      </c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</row>
    <row r="13" spans="1:30">
      <c r="B13" s="146" t="s">
        <v>308</v>
      </c>
      <c r="C13" s="101">
        <v>190000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</row>
    <row r="14" spans="1:30">
      <c r="B14" s="146" t="s">
        <v>308</v>
      </c>
      <c r="C14" s="101">
        <v>69900</v>
      </c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</row>
    <row r="15" spans="1:30">
      <c r="B15" s="146" t="s">
        <v>308</v>
      </c>
      <c r="C15" s="101">
        <v>24000</v>
      </c>
      <c r="D15" s="102"/>
      <c r="E15" s="147"/>
      <c r="F15" s="147"/>
      <c r="G15" s="147"/>
      <c r="H15" s="147"/>
      <c r="I15" s="147"/>
      <c r="J15" s="147"/>
      <c r="K15" s="147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</row>
    <row r="16" spans="1:30">
      <c r="A16" s="145" t="s">
        <v>322</v>
      </c>
      <c r="B16" s="146" t="s">
        <v>308</v>
      </c>
      <c r="C16" s="101"/>
      <c r="D16" s="102"/>
      <c r="E16" s="102"/>
      <c r="F16" s="102"/>
      <c r="G16" s="147"/>
      <c r="H16" s="159"/>
      <c r="I16" s="159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</row>
    <row r="17" spans="1:30">
      <c r="A17" s="145" t="s">
        <v>322</v>
      </c>
      <c r="B17" s="146" t="s">
        <v>308</v>
      </c>
      <c r="C17" s="101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</row>
    <row r="18" spans="1:30">
      <c r="A18" s="145" t="s">
        <v>322</v>
      </c>
      <c r="B18" s="146" t="s">
        <v>308</v>
      </c>
      <c r="C18" s="101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</row>
    <row r="19" spans="1:30">
      <c r="A19" s="145" t="s">
        <v>322</v>
      </c>
      <c r="B19" s="146" t="s">
        <v>308</v>
      </c>
      <c r="C19" s="101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</row>
    <row r="20" spans="1:30">
      <c r="A20" s="145" t="s">
        <v>322</v>
      </c>
      <c r="B20" s="146" t="s">
        <v>308</v>
      </c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</row>
    <row r="21" spans="1:30">
      <c r="A21" s="145" t="s">
        <v>322</v>
      </c>
      <c r="B21" s="146" t="s">
        <v>308</v>
      </c>
      <c r="C21" s="101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</row>
    <row r="22" spans="1:30">
      <c r="A22" s="145" t="s">
        <v>322</v>
      </c>
      <c r="B22" s="146" t="s">
        <v>308</v>
      </c>
      <c r="C22" s="104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</row>
    <row r="23" spans="1:30">
      <c r="A23" s="145" t="s">
        <v>322</v>
      </c>
      <c r="B23" s="146" t="s">
        <v>308</v>
      </c>
      <c r="C23" s="104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</row>
    <row r="24" spans="1:30">
      <c r="A24" s="145" t="s">
        <v>322</v>
      </c>
      <c r="B24" s="146" t="s">
        <v>308</v>
      </c>
      <c r="C24" s="117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</row>
    <row r="25" spans="1:30">
      <c r="A25" s="145" t="s">
        <v>322</v>
      </c>
      <c r="B25" s="146" t="s">
        <v>308</v>
      </c>
      <c r="C25" s="115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</row>
    <row r="26" spans="1:30">
      <c r="A26" s="145"/>
      <c r="B26" s="146"/>
      <c r="C26" s="115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</row>
    <row r="27" spans="1:30" ht="16" thickBot="1">
      <c r="A27" s="145"/>
      <c r="B27" s="146"/>
      <c r="C27" s="115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</row>
    <row r="28" spans="1:30">
      <c r="A28" s="97"/>
      <c r="B28" s="97"/>
      <c r="C28" s="10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</row>
    <row r="29" spans="1:30" ht="16" thickBot="1">
      <c r="A29" s="106"/>
      <c r="B29" s="106"/>
      <c r="C29" s="108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</row>
    <row r="30" spans="1:30">
      <c r="A30" s="96" t="s">
        <v>316</v>
      </c>
      <c r="B30" s="97"/>
      <c r="C30" s="107"/>
      <c r="D30" s="304" t="s">
        <v>317</v>
      </c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</row>
    <row r="31" spans="1:30">
      <c r="A31" s="100">
        <f>A4</f>
        <v>0</v>
      </c>
      <c r="B31" t="s">
        <v>308</v>
      </c>
      <c r="C31" s="101">
        <f>C4</f>
        <v>5000</v>
      </c>
      <c r="D31" s="109">
        <f t="shared" ref="D31:AD31" si="2">$C4*D4</f>
        <v>0</v>
      </c>
      <c r="E31" s="109">
        <f t="shared" si="2"/>
        <v>0</v>
      </c>
      <c r="F31" s="109">
        <f t="shared" si="2"/>
        <v>0</v>
      </c>
      <c r="G31" s="109">
        <f t="shared" si="2"/>
        <v>0</v>
      </c>
      <c r="H31" s="109">
        <f t="shared" si="2"/>
        <v>0</v>
      </c>
      <c r="I31" s="109">
        <f t="shared" si="2"/>
        <v>0</v>
      </c>
      <c r="J31" s="109">
        <f t="shared" si="2"/>
        <v>0</v>
      </c>
      <c r="K31" s="109">
        <f t="shared" si="2"/>
        <v>0</v>
      </c>
      <c r="L31" s="109">
        <f t="shared" si="2"/>
        <v>0</v>
      </c>
      <c r="M31" s="109">
        <f t="shared" si="2"/>
        <v>0</v>
      </c>
      <c r="N31" s="109">
        <f t="shared" si="2"/>
        <v>0</v>
      </c>
      <c r="O31" s="109">
        <f t="shared" si="2"/>
        <v>0</v>
      </c>
      <c r="P31" s="109">
        <f t="shared" si="2"/>
        <v>0</v>
      </c>
      <c r="Q31" s="109">
        <f t="shared" si="2"/>
        <v>0</v>
      </c>
      <c r="R31" s="109">
        <f t="shared" si="2"/>
        <v>0</v>
      </c>
      <c r="S31" s="109">
        <f t="shared" si="2"/>
        <v>0</v>
      </c>
      <c r="T31" s="109">
        <f t="shared" si="2"/>
        <v>0</v>
      </c>
      <c r="U31" s="109">
        <f t="shared" si="2"/>
        <v>0</v>
      </c>
      <c r="V31" s="109">
        <f t="shared" si="2"/>
        <v>0</v>
      </c>
      <c r="W31" s="109">
        <f t="shared" si="2"/>
        <v>0</v>
      </c>
      <c r="X31" s="109">
        <f t="shared" si="2"/>
        <v>0</v>
      </c>
      <c r="Y31" s="109">
        <f t="shared" si="2"/>
        <v>0</v>
      </c>
      <c r="Z31" s="109">
        <f t="shared" si="2"/>
        <v>0</v>
      </c>
      <c r="AA31" s="109">
        <f t="shared" si="2"/>
        <v>0</v>
      </c>
      <c r="AB31" s="109">
        <f t="shared" si="2"/>
        <v>0</v>
      </c>
      <c r="AC31" s="109">
        <f t="shared" si="2"/>
        <v>0</v>
      </c>
      <c r="AD31" s="109">
        <f t="shared" si="2"/>
        <v>0</v>
      </c>
    </row>
    <row r="32" spans="1:30">
      <c r="A32" s="100">
        <f t="shared" ref="A32:A34" si="3">A5</f>
        <v>0</v>
      </c>
      <c r="B32" t="s">
        <v>308</v>
      </c>
      <c r="C32" s="101">
        <f t="shared" ref="C32:C34" si="4">C5</f>
        <v>5000</v>
      </c>
      <c r="D32" s="109">
        <f t="shared" ref="D32:AD32" si="5">$C5*D5</f>
        <v>0</v>
      </c>
      <c r="E32" s="109">
        <f t="shared" si="5"/>
        <v>0</v>
      </c>
      <c r="F32" s="109">
        <f t="shared" si="5"/>
        <v>0</v>
      </c>
      <c r="G32" s="109">
        <f t="shared" si="5"/>
        <v>0</v>
      </c>
      <c r="H32" s="109">
        <f t="shared" si="5"/>
        <v>0</v>
      </c>
      <c r="I32" s="109">
        <f t="shared" si="5"/>
        <v>0</v>
      </c>
      <c r="J32" s="109">
        <f t="shared" si="5"/>
        <v>0</v>
      </c>
      <c r="K32" s="109">
        <f t="shared" si="5"/>
        <v>0</v>
      </c>
      <c r="L32" s="109">
        <f t="shared" si="5"/>
        <v>0</v>
      </c>
      <c r="M32" s="109">
        <f t="shared" si="5"/>
        <v>0</v>
      </c>
      <c r="N32" s="109">
        <f t="shared" si="5"/>
        <v>0</v>
      </c>
      <c r="O32" s="109">
        <f t="shared" si="5"/>
        <v>0</v>
      </c>
      <c r="P32" s="109">
        <f t="shared" si="5"/>
        <v>0</v>
      </c>
      <c r="Q32" s="109">
        <f t="shared" si="5"/>
        <v>0</v>
      </c>
      <c r="R32" s="109">
        <f t="shared" si="5"/>
        <v>0</v>
      </c>
      <c r="S32" s="109">
        <f t="shared" si="5"/>
        <v>0</v>
      </c>
      <c r="T32" s="109">
        <f t="shared" si="5"/>
        <v>0</v>
      </c>
      <c r="U32" s="109">
        <f t="shared" si="5"/>
        <v>0</v>
      </c>
      <c r="V32" s="109">
        <f t="shared" si="5"/>
        <v>0</v>
      </c>
      <c r="W32" s="109">
        <f t="shared" si="5"/>
        <v>0</v>
      </c>
      <c r="X32" s="109">
        <f t="shared" si="5"/>
        <v>0</v>
      </c>
      <c r="Y32" s="109">
        <f t="shared" si="5"/>
        <v>0</v>
      </c>
      <c r="Z32" s="109">
        <f t="shared" si="5"/>
        <v>0</v>
      </c>
      <c r="AA32" s="109">
        <f t="shared" si="5"/>
        <v>0</v>
      </c>
      <c r="AB32" s="109">
        <f t="shared" si="5"/>
        <v>0</v>
      </c>
      <c r="AC32" s="109">
        <f t="shared" si="5"/>
        <v>0</v>
      </c>
      <c r="AD32" s="109">
        <f t="shared" si="5"/>
        <v>0</v>
      </c>
    </row>
    <row r="33" spans="1:30">
      <c r="A33" s="100">
        <f t="shared" si="3"/>
        <v>0</v>
      </c>
      <c r="B33" t="s">
        <v>308</v>
      </c>
      <c r="C33" s="101">
        <f t="shared" si="4"/>
        <v>15000</v>
      </c>
      <c r="D33" s="109">
        <f t="shared" ref="D33:AD33" si="6">$C6*D6</f>
        <v>0</v>
      </c>
      <c r="E33" s="109">
        <f t="shared" si="6"/>
        <v>0</v>
      </c>
      <c r="F33" s="109">
        <f t="shared" si="6"/>
        <v>0</v>
      </c>
      <c r="G33" s="109">
        <f t="shared" si="6"/>
        <v>0</v>
      </c>
      <c r="H33" s="109">
        <f t="shared" si="6"/>
        <v>0</v>
      </c>
      <c r="I33" s="109">
        <f t="shared" si="6"/>
        <v>0</v>
      </c>
      <c r="J33" s="109">
        <f t="shared" si="6"/>
        <v>0</v>
      </c>
      <c r="K33" s="109">
        <f t="shared" si="6"/>
        <v>0</v>
      </c>
      <c r="L33" s="109">
        <f t="shared" si="6"/>
        <v>0</v>
      </c>
      <c r="M33" s="109">
        <f t="shared" si="6"/>
        <v>0</v>
      </c>
      <c r="N33" s="109">
        <f t="shared" si="6"/>
        <v>0</v>
      </c>
      <c r="O33" s="109">
        <f t="shared" si="6"/>
        <v>0</v>
      </c>
      <c r="P33" s="109">
        <f t="shared" si="6"/>
        <v>0</v>
      </c>
      <c r="Q33" s="109">
        <f t="shared" si="6"/>
        <v>0</v>
      </c>
      <c r="R33" s="109">
        <f t="shared" si="6"/>
        <v>0</v>
      </c>
      <c r="S33" s="109">
        <f t="shared" si="6"/>
        <v>0</v>
      </c>
      <c r="T33" s="109">
        <f t="shared" si="6"/>
        <v>0</v>
      </c>
      <c r="U33" s="109">
        <f t="shared" si="6"/>
        <v>0</v>
      </c>
      <c r="V33" s="109">
        <f t="shared" si="6"/>
        <v>0</v>
      </c>
      <c r="W33" s="109">
        <f t="shared" si="6"/>
        <v>0</v>
      </c>
      <c r="X33" s="109">
        <f t="shared" si="6"/>
        <v>0</v>
      </c>
      <c r="Y33" s="109">
        <f t="shared" si="6"/>
        <v>0</v>
      </c>
      <c r="Z33" s="109">
        <f t="shared" si="6"/>
        <v>0</v>
      </c>
      <c r="AA33" s="109">
        <f t="shared" si="6"/>
        <v>0</v>
      </c>
      <c r="AB33" s="109">
        <f t="shared" si="6"/>
        <v>0</v>
      </c>
      <c r="AC33" s="109">
        <f t="shared" si="6"/>
        <v>0</v>
      </c>
      <c r="AD33" s="109">
        <f t="shared" si="6"/>
        <v>0</v>
      </c>
    </row>
    <row r="34" spans="1:30">
      <c r="A34" s="100">
        <f t="shared" si="3"/>
        <v>0</v>
      </c>
      <c r="B34" t="s">
        <v>308</v>
      </c>
      <c r="C34" s="101">
        <f t="shared" si="4"/>
        <v>20000</v>
      </c>
      <c r="D34" s="109">
        <f t="shared" ref="D34:AD34" si="7">$C7*D7</f>
        <v>0</v>
      </c>
      <c r="E34" s="109">
        <f t="shared" si="7"/>
        <v>0</v>
      </c>
      <c r="F34" s="109">
        <f t="shared" si="7"/>
        <v>0</v>
      </c>
      <c r="G34" s="109">
        <f t="shared" si="7"/>
        <v>0</v>
      </c>
      <c r="H34" s="109">
        <f t="shared" si="7"/>
        <v>0</v>
      </c>
      <c r="I34" s="109">
        <f t="shared" si="7"/>
        <v>0</v>
      </c>
      <c r="J34" s="109">
        <f t="shared" si="7"/>
        <v>0</v>
      </c>
      <c r="K34" s="109">
        <f t="shared" si="7"/>
        <v>0</v>
      </c>
      <c r="L34" s="109">
        <f t="shared" si="7"/>
        <v>0</v>
      </c>
      <c r="M34" s="109">
        <f t="shared" si="7"/>
        <v>0</v>
      </c>
      <c r="N34" s="109">
        <f t="shared" si="7"/>
        <v>0</v>
      </c>
      <c r="O34" s="109">
        <f t="shared" si="7"/>
        <v>0</v>
      </c>
      <c r="P34" s="109">
        <f t="shared" si="7"/>
        <v>0</v>
      </c>
      <c r="Q34" s="109">
        <f t="shared" si="7"/>
        <v>0</v>
      </c>
      <c r="R34" s="109">
        <f t="shared" si="7"/>
        <v>0</v>
      </c>
      <c r="S34" s="109">
        <f t="shared" si="7"/>
        <v>0</v>
      </c>
      <c r="T34" s="109">
        <f t="shared" si="7"/>
        <v>0</v>
      </c>
      <c r="U34" s="109">
        <f t="shared" si="7"/>
        <v>0</v>
      </c>
      <c r="V34" s="109">
        <f t="shared" si="7"/>
        <v>0</v>
      </c>
      <c r="W34" s="109">
        <f t="shared" si="7"/>
        <v>0</v>
      </c>
      <c r="X34" s="109">
        <f t="shared" si="7"/>
        <v>0</v>
      </c>
      <c r="Y34" s="109">
        <f t="shared" si="7"/>
        <v>0</v>
      </c>
      <c r="Z34" s="109">
        <f t="shared" si="7"/>
        <v>0</v>
      </c>
      <c r="AA34" s="109">
        <f t="shared" si="7"/>
        <v>0</v>
      </c>
      <c r="AB34" s="109">
        <f t="shared" si="7"/>
        <v>0</v>
      </c>
      <c r="AC34" s="109">
        <f t="shared" si="7"/>
        <v>0</v>
      </c>
      <c r="AD34" s="109">
        <f t="shared" si="7"/>
        <v>0</v>
      </c>
    </row>
    <row r="35" spans="1:30">
      <c r="A35" s="100">
        <f t="shared" ref="A35:A54" si="8">A8</f>
        <v>0</v>
      </c>
      <c r="B35" t="s">
        <v>308</v>
      </c>
      <c r="C35" s="101">
        <f t="shared" ref="C35:C54" si="9">C8</f>
        <v>5000</v>
      </c>
      <c r="D35" s="109">
        <f t="shared" ref="D35:AB35" si="10">$C8*D8</f>
        <v>0</v>
      </c>
      <c r="E35" s="109">
        <f t="shared" si="10"/>
        <v>0</v>
      </c>
      <c r="F35" s="109">
        <f t="shared" si="10"/>
        <v>0</v>
      </c>
      <c r="G35" s="109">
        <f t="shared" si="10"/>
        <v>0</v>
      </c>
      <c r="H35" s="109">
        <f t="shared" si="10"/>
        <v>0</v>
      </c>
      <c r="I35" s="109">
        <f t="shared" si="10"/>
        <v>0</v>
      </c>
      <c r="J35" s="109">
        <f t="shared" si="10"/>
        <v>0</v>
      </c>
      <c r="K35" s="109">
        <f t="shared" si="10"/>
        <v>0</v>
      </c>
      <c r="L35" s="109">
        <f t="shared" si="10"/>
        <v>0</v>
      </c>
      <c r="M35" s="109">
        <f t="shared" si="10"/>
        <v>0</v>
      </c>
      <c r="N35" s="109">
        <f t="shared" si="10"/>
        <v>0</v>
      </c>
      <c r="O35" s="109">
        <f t="shared" si="10"/>
        <v>0</v>
      </c>
      <c r="P35" s="109">
        <f t="shared" si="10"/>
        <v>0</v>
      </c>
      <c r="Q35" s="109">
        <f t="shared" si="10"/>
        <v>0</v>
      </c>
      <c r="R35" s="109">
        <f t="shared" si="10"/>
        <v>0</v>
      </c>
      <c r="S35" s="109">
        <f t="shared" si="10"/>
        <v>0</v>
      </c>
      <c r="T35" s="109">
        <f t="shared" si="10"/>
        <v>0</v>
      </c>
      <c r="U35" s="109">
        <f t="shared" si="10"/>
        <v>0</v>
      </c>
      <c r="V35" s="109">
        <f t="shared" si="10"/>
        <v>0</v>
      </c>
      <c r="W35" s="109">
        <f t="shared" si="10"/>
        <v>0</v>
      </c>
      <c r="X35" s="109">
        <f t="shared" si="10"/>
        <v>0</v>
      </c>
      <c r="Y35" s="109">
        <f t="shared" si="10"/>
        <v>0</v>
      </c>
      <c r="Z35" s="109">
        <f t="shared" si="10"/>
        <v>0</v>
      </c>
      <c r="AA35" s="109">
        <f t="shared" si="10"/>
        <v>0</v>
      </c>
      <c r="AB35" s="109">
        <f t="shared" si="10"/>
        <v>0</v>
      </c>
      <c r="AC35" s="109">
        <f t="shared" ref="AC35:AD54" si="11">$C8*AC8</f>
        <v>0</v>
      </c>
      <c r="AD35" s="109">
        <f t="shared" si="11"/>
        <v>0</v>
      </c>
    </row>
    <row r="36" spans="1:30">
      <c r="A36" s="100">
        <f t="shared" si="8"/>
        <v>0</v>
      </c>
      <c r="B36" t="s">
        <v>308</v>
      </c>
      <c r="C36" s="101">
        <f t="shared" si="9"/>
        <v>12000</v>
      </c>
      <c r="D36" s="109">
        <f t="shared" ref="D36:AB36" si="12">$C9*D9</f>
        <v>0</v>
      </c>
      <c r="E36" s="109">
        <f t="shared" si="12"/>
        <v>0</v>
      </c>
      <c r="F36" s="109">
        <f t="shared" si="12"/>
        <v>0</v>
      </c>
      <c r="G36" s="109">
        <f t="shared" si="12"/>
        <v>0</v>
      </c>
      <c r="H36" s="109">
        <f t="shared" si="12"/>
        <v>0</v>
      </c>
      <c r="I36" s="109">
        <f t="shared" si="12"/>
        <v>0</v>
      </c>
      <c r="J36" s="109">
        <f t="shared" si="12"/>
        <v>0</v>
      </c>
      <c r="K36" s="109">
        <f t="shared" si="12"/>
        <v>0</v>
      </c>
      <c r="L36" s="109">
        <f t="shared" si="12"/>
        <v>0</v>
      </c>
      <c r="M36" s="109">
        <f t="shared" si="12"/>
        <v>0</v>
      </c>
      <c r="N36" s="109">
        <f t="shared" si="12"/>
        <v>0</v>
      </c>
      <c r="O36" s="109">
        <f t="shared" si="12"/>
        <v>0</v>
      </c>
      <c r="P36" s="109">
        <f t="shared" si="12"/>
        <v>0</v>
      </c>
      <c r="Q36" s="109">
        <f t="shared" si="12"/>
        <v>0</v>
      </c>
      <c r="R36" s="109">
        <f t="shared" si="12"/>
        <v>0</v>
      </c>
      <c r="S36" s="109">
        <f t="shared" si="12"/>
        <v>0</v>
      </c>
      <c r="T36" s="109">
        <f t="shared" si="12"/>
        <v>0</v>
      </c>
      <c r="U36" s="109">
        <f t="shared" si="12"/>
        <v>0</v>
      </c>
      <c r="V36" s="109">
        <f t="shared" si="12"/>
        <v>0</v>
      </c>
      <c r="W36" s="109">
        <f t="shared" si="12"/>
        <v>0</v>
      </c>
      <c r="X36" s="109">
        <f t="shared" si="12"/>
        <v>0</v>
      </c>
      <c r="Y36" s="109">
        <f t="shared" si="12"/>
        <v>0</v>
      </c>
      <c r="Z36" s="109">
        <f t="shared" si="12"/>
        <v>0</v>
      </c>
      <c r="AA36" s="109">
        <f t="shared" si="12"/>
        <v>0</v>
      </c>
      <c r="AB36" s="109">
        <f t="shared" si="12"/>
        <v>0</v>
      </c>
      <c r="AC36" s="109">
        <f t="shared" si="11"/>
        <v>0</v>
      </c>
      <c r="AD36" s="109">
        <f t="shared" si="11"/>
        <v>0</v>
      </c>
    </row>
    <row r="37" spans="1:30">
      <c r="A37" s="100">
        <f t="shared" si="8"/>
        <v>0</v>
      </c>
      <c r="B37" t="s">
        <v>308</v>
      </c>
      <c r="C37" s="101">
        <f t="shared" si="9"/>
        <v>17000</v>
      </c>
      <c r="D37" s="109">
        <f t="shared" ref="D37:AB37" si="13">$C10*D10</f>
        <v>0</v>
      </c>
      <c r="E37" s="109">
        <f t="shared" si="13"/>
        <v>0</v>
      </c>
      <c r="F37" s="109">
        <f t="shared" si="13"/>
        <v>0</v>
      </c>
      <c r="G37" s="109">
        <f t="shared" si="13"/>
        <v>0</v>
      </c>
      <c r="H37" s="109">
        <f t="shared" si="13"/>
        <v>0</v>
      </c>
      <c r="I37" s="109">
        <f t="shared" si="13"/>
        <v>0</v>
      </c>
      <c r="J37" s="109">
        <f t="shared" si="13"/>
        <v>0</v>
      </c>
      <c r="K37" s="109">
        <f t="shared" si="13"/>
        <v>0</v>
      </c>
      <c r="L37" s="109">
        <f t="shared" si="13"/>
        <v>0</v>
      </c>
      <c r="M37" s="109">
        <f t="shared" si="13"/>
        <v>0</v>
      </c>
      <c r="N37" s="109">
        <f t="shared" si="13"/>
        <v>0</v>
      </c>
      <c r="O37" s="109">
        <f t="shared" si="13"/>
        <v>0</v>
      </c>
      <c r="P37" s="109">
        <f t="shared" si="13"/>
        <v>0</v>
      </c>
      <c r="Q37" s="109">
        <f t="shared" si="13"/>
        <v>0</v>
      </c>
      <c r="R37" s="109">
        <f t="shared" si="13"/>
        <v>0</v>
      </c>
      <c r="S37" s="109">
        <f t="shared" si="13"/>
        <v>0</v>
      </c>
      <c r="T37" s="109">
        <f t="shared" si="13"/>
        <v>0</v>
      </c>
      <c r="U37" s="109">
        <f t="shared" si="13"/>
        <v>0</v>
      </c>
      <c r="V37" s="109">
        <f t="shared" si="13"/>
        <v>0</v>
      </c>
      <c r="W37" s="109">
        <f t="shared" si="13"/>
        <v>0</v>
      </c>
      <c r="X37" s="109">
        <f t="shared" si="13"/>
        <v>0</v>
      </c>
      <c r="Y37" s="109">
        <f t="shared" si="13"/>
        <v>0</v>
      </c>
      <c r="Z37" s="109">
        <f t="shared" si="13"/>
        <v>0</v>
      </c>
      <c r="AA37" s="109">
        <f t="shared" si="13"/>
        <v>0</v>
      </c>
      <c r="AB37" s="109">
        <f t="shared" si="13"/>
        <v>0</v>
      </c>
      <c r="AC37" s="109">
        <f t="shared" si="11"/>
        <v>0</v>
      </c>
      <c r="AD37" s="109">
        <f t="shared" si="11"/>
        <v>0</v>
      </c>
    </row>
    <row r="38" spans="1:30">
      <c r="A38" s="100">
        <f t="shared" si="8"/>
        <v>0</v>
      </c>
      <c r="B38" t="s">
        <v>308</v>
      </c>
      <c r="C38" s="101">
        <f t="shared" si="9"/>
        <v>5000</v>
      </c>
      <c r="D38" s="109">
        <f t="shared" ref="D38:AB38" si="14">$C11*D11</f>
        <v>0</v>
      </c>
      <c r="E38" s="109">
        <f t="shared" si="14"/>
        <v>0</v>
      </c>
      <c r="F38" s="109">
        <f t="shared" si="14"/>
        <v>0</v>
      </c>
      <c r="G38" s="109">
        <f t="shared" si="14"/>
        <v>0</v>
      </c>
      <c r="H38" s="109">
        <f t="shared" si="14"/>
        <v>0</v>
      </c>
      <c r="I38" s="109">
        <f t="shared" si="14"/>
        <v>0</v>
      </c>
      <c r="J38" s="109">
        <f t="shared" si="14"/>
        <v>0</v>
      </c>
      <c r="K38" s="109">
        <f t="shared" si="14"/>
        <v>0</v>
      </c>
      <c r="L38" s="109">
        <f t="shared" si="14"/>
        <v>0</v>
      </c>
      <c r="M38" s="109">
        <f t="shared" si="14"/>
        <v>0</v>
      </c>
      <c r="N38" s="109">
        <f t="shared" si="14"/>
        <v>0</v>
      </c>
      <c r="O38" s="109">
        <f t="shared" si="14"/>
        <v>0</v>
      </c>
      <c r="P38" s="109">
        <f t="shared" si="14"/>
        <v>0</v>
      </c>
      <c r="Q38" s="109">
        <f t="shared" si="14"/>
        <v>0</v>
      </c>
      <c r="R38" s="109">
        <f t="shared" si="14"/>
        <v>0</v>
      </c>
      <c r="S38" s="109">
        <f t="shared" si="14"/>
        <v>0</v>
      </c>
      <c r="T38" s="109">
        <f t="shared" si="14"/>
        <v>0</v>
      </c>
      <c r="U38" s="109">
        <f t="shared" si="14"/>
        <v>0</v>
      </c>
      <c r="V38" s="109">
        <f t="shared" si="14"/>
        <v>0</v>
      </c>
      <c r="W38" s="109">
        <f t="shared" si="14"/>
        <v>0</v>
      </c>
      <c r="X38" s="109">
        <f t="shared" si="14"/>
        <v>0</v>
      </c>
      <c r="Y38" s="109">
        <f t="shared" si="14"/>
        <v>0</v>
      </c>
      <c r="Z38" s="109">
        <f t="shared" si="14"/>
        <v>0</v>
      </c>
      <c r="AA38" s="109">
        <f t="shared" si="14"/>
        <v>0</v>
      </c>
      <c r="AB38" s="109">
        <f t="shared" si="14"/>
        <v>0</v>
      </c>
      <c r="AC38" s="109">
        <f t="shared" si="11"/>
        <v>0</v>
      </c>
      <c r="AD38" s="109">
        <f t="shared" si="11"/>
        <v>0</v>
      </c>
    </row>
    <row r="39" spans="1:30">
      <c r="A39" s="100">
        <f t="shared" si="8"/>
        <v>0</v>
      </c>
      <c r="B39" t="s">
        <v>308</v>
      </c>
      <c r="C39" s="101">
        <f t="shared" si="9"/>
        <v>20000</v>
      </c>
      <c r="D39" s="109">
        <f t="shared" ref="D39:AB39" si="15">$C12*D12</f>
        <v>0</v>
      </c>
      <c r="E39" s="109">
        <f t="shared" si="15"/>
        <v>0</v>
      </c>
      <c r="F39" s="109">
        <f t="shared" si="15"/>
        <v>0</v>
      </c>
      <c r="G39" s="109">
        <f t="shared" si="15"/>
        <v>0</v>
      </c>
      <c r="H39" s="109">
        <f t="shared" si="15"/>
        <v>0</v>
      </c>
      <c r="I39" s="109">
        <f t="shared" si="15"/>
        <v>0</v>
      </c>
      <c r="J39" s="109">
        <f t="shared" si="15"/>
        <v>0</v>
      </c>
      <c r="K39" s="109">
        <f t="shared" si="15"/>
        <v>0</v>
      </c>
      <c r="L39" s="109">
        <f t="shared" si="15"/>
        <v>0</v>
      </c>
      <c r="M39" s="109">
        <f t="shared" si="15"/>
        <v>0</v>
      </c>
      <c r="N39" s="109">
        <f t="shared" si="15"/>
        <v>0</v>
      </c>
      <c r="O39" s="109">
        <f t="shared" si="15"/>
        <v>0</v>
      </c>
      <c r="P39" s="109">
        <f t="shared" si="15"/>
        <v>0</v>
      </c>
      <c r="Q39" s="109">
        <f t="shared" si="15"/>
        <v>0</v>
      </c>
      <c r="R39" s="109">
        <f t="shared" si="15"/>
        <v>0</v>
      </c>
      <c r="S39" s="109">
        <f t="shared" si="15"/>
        <v>0</v>
      </c>
      <c r="T39" s="109">
        <f t="shared" si="15"/>
        <v>0</v>
      </c>
      <c r="U39" s="109">
        <f t="shared" si="15"/>
        <v>0</v>
      </c>
      <c r="V39" s="109">
        <f t="shared" si="15"/>
        <v>0</v>
      </c>
      <c r="W39" s="109">
        <f t="shared" si="15"/>
        <v>0</v>
      </c>
      <c r="X39" s="109">
        <f t="shared" si="15"/>
        <v>0</v>
      </c>
      <c r="Y39" s="109">
        <f t="shared" si="15"/>
        <v>0</v>
      </c>
      <c r="Z39" s="109">
        <f t="shared" si="15"/>
        <v>0</v>
      </c>
      <c r="AA39" s="109">
        <f t="shared" si="15"/>
        <v>0</v>
      </c>
      <c r="AB39" s="109">
        <f t="shared" si="15"/>
        <v>0</v>
      </c>
      <c r="AC39" s="109">
        <f t="shared" si="11"/>
        <v>0</v>
      </c>
      <c r="AD39" s="109">
        <f t="shared" si="11"/>
        <v>0</v>
      </c>
    </row>
    <row r="40" spans="1:30">
      <c r="A40" s="100">
        <f t="shared" si="8"/>
        <v>0</v>
      </c>
      <c r="B40" t="s">
        <v>308</v>
      </c>
      <c r="C40" s="101">
        <f t="shared" si="9"/>
        <v>190000</v>
      </c>
      <c r="D40" s="109">
        <f t="shared" ref="D40:AB40" si="16">$C13*D13</f>
        <v>0</v>
      </c>
      <c r="E40" s="109">
        <f t="shared" si="16"/>
        <v>0</v>
      </c>
      <c r="F40" s="109">
        <f t="shared" si="16"/>
        <v>0</v>
      </c>
      <c r="G40" s="109">
        <f t="shared" si="16"/>
        <v>0</v>
      </c>
      <c r="H40" s="109">
        <f t="shared" si="16"/>
        <v>0</v>
      </c>
      <c r="I40" s="109">
        <f t="shared" si="16"/>
        <v>0</v>
      </c>
      <c r="J40" s="109">
        <f t="shared" si="16"/>
        <v>0</v>
      </c>
      <c r="K40" s="109">
        <f t="shared" si="16"/>
        <v>0</v>
      </c>
      <c r="L40" s="109">
        <f t="shared" si="16"/>
        <v>0</v>
      </c>
      <c r="M40" s="109">
        <f t="shared" si="16"/>
        <v>0</v>
      </c>
      <c r="N40" s="109">
        <f t="shared" si="16"/>
        <v>0</v>
      </c>
      <c r="O40" s="109">
        <f t="shared" si="16"/>
        <v>0</v>
      </c>
      <c r="P40" s="109">
        <f t="shared" si="16"/>
        <v>0</v>
      </c>
      <c r="Q40" s="109">
        <f t="shared" si="16"/>
        <v>0</v>
      </c>
      <c r="R40" s="109">
        <f t="shared" si="16"/>
        <v>0</v>
      </c>
      <c r="S40" s="109">
        <f t="shared" si="16"/>
        <v>0</v>
      </c>
      <c r="T40" s="109">
        <f t="shared" si="16"/>
        <v>0</v>
      </c>
      <c r="U40" s="109">
        <f t="shared" si="16"/>
        <v>0</v>
      </c>
      <c r="V40" s="109">
        <f t="shared" si="16"/>
        <v>0</v>
      </c>
      <c r="W40" s="109">
        <f t="shared" si="16"/>
        <v>0</v>
      </c>
      <c r="X40" s="109">
        <f t="shared" si="16"/>
        <v>0</v>
      </c>
      <c r="Y40" s="109">
        <f t="shared" si="16"/>
        <v>0</v>
      </c>
      <c r="Z40" s="109">
        <f t="shared" si="16"/>
        <v>0</v>
      </c>
      <c r="AA40" s="109">
        <f t="shared" si="16"/>
        <v>0</v>
      </c>
      <c r="AB40" s="109">
        <f t="shared" si="16"/>
        <v>0</v>
      </c>
      <c r="AC40" s="109">
        <f t="shared" si="11"/>
        <v>0</v>
      </c>
      <c r="AD40" s="109">
        <f t="shared" si="11"/>
        <v>0</v>
      </c>
    </row>
    <row r="41" spans="1:30">
      <c r="A41" s="100">
        <f t="shared" si="8"/>
        <v>0</v>
      </c>
      <c r="B41" t="s">
        <v>308</v>
      </c>
      <c r="C41" s="101">
        <f t="shared" si="9"/>
        <v>69900</v>
      </c>
      <c r="D41" s="109">
        <f t="shared" ref="D41:AB41" si="17">$C14*D14</f>
        <v>0</v>
      </c>
      <c r="E41" s="109">
        <f t="shared" si="17"/>
        <v>0</v>
      </c>
      <c r="F41" s="109">
        <f t="shared" si="17"/>
        <v>0</v>
      </c>
      <c r="G41" s="109">
        <f t="shared" si="17"/>
        <v>0</v>
      </c>
      <c r="H41" s="109">
        <f t="shared" si="17"/>
        <v>0</v>
      </c>
      <c r="I41" s="109">
        <f t="shared" si="17"/>
        <v>0</v>
      </c>
      <c r="J41" s="109">
        <f t="shared" si="17"/>
        <v>0</v>
      </c>
      <c r="K41" s="109">
        <f t="shared" si="17"/>
        <v>0</v>
      </c>
      <c r="L41" s="109">
        <f t="shared" si="17"/>
        <v>0</v>
      </c>
      <c r="M41" s="109">
        <f t="shared" si="17"/>
        <v>0</v>
      </c>
      <c r="N41" s="109">
        <f t="shared" si="17"/>
        <v>0</v>
      </c>
      <c r="O41" s="109">
        <f t="shared" si="17"/>
        <v>0</v>
      </c>
      <c r="P41" s="109">
        <f t="shared" si="17"/>
        <v>0</v>
      </c>
      <c r="Q41" s="109">
        <f t="shared" si="17"/>
        <v>0</v>
      </c>
      <c r="R41" s="109">
        <f t="shared" si="17"/>
        <v>0</v>
      </c>
      <c r="S41" s="109">
        <f t="shared" si="17"/>
        <v>0</v>
      </c>
      <c r="T41" s="109">
        <f t="shared" si="17"/>
        <v>0</v>
      </c>
      <c r="U41" s="109">
        <f t="shared" si="17"/>
        <v>0</v>
      </c>
      <c r="V41" s="109">
        <f t="shared" si="17"/>
        <v>0</v>
      </c>
      <c r="W41" s="109">
        <f t="shared" si="17"/>
        <v>0</v>
      </c>
      <c r="X41" s="109">
        <f t="shared" si="17"/>
        <v>0</v>
      </c>
      <c r="Y41" s="109">
        <f t="shared" si="17"/>
        <v>0</v>
      </c>
      <c r="Z41" s="109">
        <f t="shared" si="17"/>
        <v>0</v>
      </c>
      <c r="AA41" s="109">
        <f t="shared" si="17"/>
        <v>0</v>
      </c>
      <c r="AB41" s="109">
        <f t="shared" si="17"/>
        <v>0</v>
      </c>
      <c r="AC41" s="109">
        <f t="shared" si="11"/>
        <v>0</v>
      </c>
      <c r="AD41" s="109">
        <f t="shared" si="11"/>
        <v>0</v>
      </c>
    </row>
    <row r="42" spans="1:30">
      <c r="A42" s="100">
        <f t="shared" si="8"/>
        <v>0</v>
      </c>
      <c r="B42" t="s">
        <v>308</v>
      </c>
      <c r="C42" s="101">
        <f t="shared" si="9"/>
        <v>24000</v>
      </c>
      <c r="D42" s="109">
        <f t="shared" ref="D42:AB42" si="18">$C15*D15</f>
        <v>0</v>
      </c>
      <c r="E42" s="109">
        <f t="shared" si="18"/>
        <v>0</v>
      </c>
      <c r="F42" s="109">
        <f t="shared" si="18"/>
        <v>0</v>
      </c>
      <c r="G42" s="109">
        <f t="shared" si="18"/>
        <v>0</v>
      </c>
      <c r="H42" s="109">
        <f t="shared" si="18"/>
        <v>0</v>
      </c>
      <c r="I42" s="109">
        <f t="shared" si="18"/>
        <v>0</v>
      </c>
      <c r="J42" s="109">
        <f>$C15*J15</f>
        <v>0</v>
      </c>
      <c r="K42" s="109">
        <f t="shared" si="18"/>
        <v>0</v>
      </c>
      <c r="L42" s="109">
        <f t="shared" si="18"/>
        <v>0</v>
      </c>
      <c r="M42" s="109">
        <f t="shared" si="18"/>
        <v>0</v>
      </c>
      <c r="N42" s="109">
        <f t="shared" si="18"/>
        <v>0</v>
      </c>
      <c r="O42" s="109">
        <f t="shared" si="18"/>
        <v>0</v>
      </c>
      <c r="P42" s="109">
        <f t="shared" si="18"/>
        <v>0</v>
      </c>
      <c r="Q42" s="109">
        <f t="shared" si="18"/>
        <v>0</v>
      </c>
      <c r="R42" s="109">
        <f t="shared" si="18"/>
        <v>0</v>
      </c>
      <c r="S42" s="109">
        <f t="shared" si="18"/>
        <v>0</v>
      </c>
      <c r="T42" s="109">
        <f t="shared" si="18"/>
        <v>0</v>
      </c>
      <c r="U42" s="109">
        <f t="shared" si="18"/>
        <v>0</v>
      </c>
      <c r="V42" s="109">
        <f t="shared" si="18"/>
        <v>0</v>
      </c>
      <c r="W42" s="109">
        <f t="shared" si="18"/>
        <v>0</v>
      </c>
      <c r="X42" s="109">
        <f t="shared" si="18"/>
        <v>0</v>
      </c>
      <c r="Y42" s="109">
        <f t="shared" si="18"/>
        <v>0</v>
      </c>
      <c r="Z42" s="109">
        <f t="shared" si="18"/>
        <v>0</v>
      </c>
      <c r="AA42" s="109">
        <f t="shared" si="18"/>
        <v>0</v>
      </c>
      <c r="AB42" s="109">
        <f t="shared" si="18"/>
        <v>0</v>
      </c>
      <c r="AC42" s="109">
        <f t="shared" si="11"/>
        <v>0</v>
      </c>
      <c r="AD42" s="109">
        <f t="shared" si="11"/>
        <v>0</v>
      </c>
    </row>
    <row r="43" spans="1:30">
      <c r="A43" s="100" t="str">
        <f t="shared" si="8"/>
        <v>Other Items (as required)</v>
      </c>
      <c r="B43" t="s">
        <v>308</v>
      </c>
      <c r="C43" s="101">
        <f t="shared" si="9"/>
        <v>0</v>
      </c>
      <c r="D43" s="109">
        <f t="shared" ref="D43:AB43" si="19">$C16*D16</f>
        <v>0</v>
      </c>
      <c r="E43" s="109">
        <f t="shared" si="19"/>
        <v>0</v>
      </c>
      <c r="F43" s="109">
        <f t="shared" si="19"/>
        <v>0</v>
      </c>
      <c r="G43" s="109">
        <f t="shared" si="19"/>
        <v>0</v>
      </c>
      <c r="H43" s="109">
        <f t="shared" si="19"/>
        <v>0</v>
      </c>
      <c r="I43" s="109">
        <f t="shared" si="19"/>
        <v>0</v>
      </c>
      <c r="J43" s="109">
        <f t="shared" si="19"/>
        <v>0</v>
      </c>
      <c r="K43" s="109">
        <f t="shared" si="19"/>
        <v>0</v>
      </c>
      <c r="L43" s="109">
        <f t="shared" si="19"/>
        <v>0</v>
      </c>
      <c r="M43" s="109">
        <f t="shared" si="19"/>
        <v>0</v>
      </c>
      <c r="N43" s="109">
        <f t="shared" si="19"/>
        <v>0</v>
      </c>
      <c r="O43" s="109">
        <f t="shared" si="19"/>
        <v>0</v>
      </c>
      <c r="P43" s="109">
        <f t="shared" si="19"/>
        <v>0</v>
      </c>
      <c r="Q43" s="109">
        <f t="shared" si="19"/>
        <v>0</v>
      </c>
      <c r="R43" s="109">
        <f t="shared" si="19"/>
        <v>0</v>
      </c>
      <c r="S43" s="109">
        <f t="shared" si="19"/>
        <v>0</v>
      </c>
      <c r="T43" s="109">
        <f t="shared" si="19"/>
        <v>0</v>
      </c>
      <c r="U43" s="109">
        <f t="shared" si="19"/>
        <v>0</v>
      </c>
      <c r="V43" s="109">
        <f t="shared" si="19"/>
        <v>0</v>
      </c>
      <c r="W43" s="109">
        <f t="shared" si="19"/>
        <v>0</v>
      </c>
      <c r="X43" s="109">
        <f t="shared" si="19"/>
        <v>0</v>
      </c>
      <c r="Y43" s="109">
        <f t="shared" si="19"/>
        <v>0</v>
      </c>
      <c r="Z43" s="109">
        <f t="shared" si="19"/>
        <v>0</v>
      </c>
      <c r="AA43" s="109">
        <f t="shared" si="19"/>
        <v>0</v>
      </c>
      <c r="AB43" s="109">
        <f t="shared" si="19"/>
        <v>0</v>
      </c>
      <c r="AC43" s="109">
        <f t="shared" si="11"/>
        <v>0</v>
      </c>
      <c r="AD43" s="109">
        <f t="shared" si="11"/>
        <v>0</v>
      </c>
    </row>
    <row r="44" spans="1:30">
      <c r="A44" s="100" t="str">
        <f t="shared" si="8"/>
        <v>Other Items (as required)</v>
      </c>
      <c r="B44" t="s">
        <v>308</v>
      </c>
      <c r="C44" s="101">
        <f t="shared" si="9"/>
        <v>0</v>
      </c>
      <c r="D44" s="109">
        <f t="shared" ref="D44:AB44" si="20">$C17*D17</f>
        <v>0</v>
      </c>
      <c r="E44" s="109">
        <f t="shared" si="20"/>
        <v>0</v>
      </c>
      <c r="F44" s="109">
        <f t="shared" si="20"/>
        <v>0</v>
      </c>
      <c r="G44" s="109">
        <f t="shared" si="20"/>
        <v>0</v>
      </c>
      <c r="H44" s="109">
        <f t="shared" si="20"/>
        <v>0</v>
      </c>
      <c r="I44" s="109">
        <f t="shared" si="20"/>
        <v>0</v>
      </c>
      <c r="J44" s="109">
        <f t="shared" si="20"/>
        <v>0</v>
      </c>
      <c r="K44" s="109">
        <f t="shared" si="20"/>
        <v>0</v>
      </c>
      <c r="L44" s="109">
        <f t="shared" si="20"/>
        <v>0</v>
      </c>
      <c r="M44" s="109">
        <f t="shared" si="20"/>
        <v>0</v>
      </c>
      <c r="N44" s="109">
        <f t="shared" si="20"/>
        <v>0</v>
      </c>
      <c r="O44" s="109">
        <f t="shared" si="20"/>
        <v>0</v>
      </c>
      <c r="P44" s="109">
        <f t="shared" si="20"/>
        <v>0</v>
      </c>
      <c r="Q44" s="109">
        <f t="shared" si="20"/>
        <v>0</v>
      </c>
      <c r="R44" s="109">
        <f t="shared" si="20"/>
        <v>0</v>
      </c>
      <c r="S44" s="109">
        <f t="shared" si="20"/>
        <v>0</v>
      </c>
      <c r="T44" s="109">
        <f t="shared" si="20"/>
        <v>0</v>
      </c>
      <c r="U44" s="109">
        <f t="shared" si="20"/>
        <v>0</v>
      </c>
      <c r="V44" s="109">
        <f t="shared" si="20"/>
        <v>0</v>
      </c>
      <c r="W44" s="109">
        <f t="shared" si="20"/>
        <v>0</v>
      </c>
      <c r="X44" s="109">
        <f t="shared" si="20"/>
        <v>0</v>
      </c>
      <c r="Y44" s="109">
        <f t="shared" si="20"/>
        <v>0</v>
      </c>
      <c r="Z44" s="109">
        <f t="shared" si="20"/>
        <v>0</v>
      </c>
      <c r="AA44" s="109">
        <f t="shared" si="20"/>
        <v>0</v>
      </c>
      <c r="AB44" s="109">
        <f t="shared" si="20"/>
        <v>0</v>
      </c>
      <c r="AC44" s="109">
        <f t="shared" si="11"/>
        <v>0</v>
      </c>
      <c r="AD44" s="109">
        <f t="shared" si="11"/>
        <v>0</v>
      </c>
    </row>
    <row r="45" spans="1:30">
      <c r="A45" s="100" t="str">
        <f t="shared" si="8"/>
        <v>Other Items (as required)</v>
      </c>
      <c r="B45" t="s">
        <v>308</v>
      </c>
      <c r="C45" s="101">
        <f t="shared" si="9"/>
        <v>0</v>
      </c>
      <c r="D45" s="109">
        <f t="shared" ref="D45:AB45" si="21">$C18*D18</f>
        <v>0</v>
      </c>
      <c r="E45" s="109">
        <f t="shared" si="21"/>
        <v>0</v>
      </c>
      <c r="F45" s="109">
        <f t="shared" si="21"/>
        <v>0</v>
      </c>
      <c r="G45" s="109">
        <f t="shared" si="21"/>
        <v>0</v>
      </c>
      <c r="H45" s="109">
        <f t="shared" si="21"/>
        <v>0</v>
      </c>
      <c r="I45" s="109">
        <f t="shared" si="21"/>
        <v>0</v>
      </c>
      <c r="J45" s="109">
        <f t="shared" si="21"/>
        <v>0</v>
      </c>
      <c r="K45" s="109">
        <f t="shared" si="21"/>
        <v>0</v>
      </c>
      <c r="L45" s="109">
        <f t="shared" si="21"/>
        <v>0</v>
      </c>
      <c r="M45" s="109">
        <f t="shared" si="21"/>
        <v>0</v>
      </c>
      <c r="N45" s="109">
        <f t="shared" si="21"/>
        <v>0</v>
      </c>
      <c r="O45" s="109">
        <f t="shared" si="21"/>
        <v>0</v>
      </c>
      <c r="P45" s="109">
        <f t="shared" si="21"/>
        <v>0</v>
      </c>
      <c r="Q45" s="109">
        <f t="shared" si="21"/>
        <v>0</v>
      </c>
      <c r="R45" s="109">
        <f t="shared" si="21"/>
        <v>0</v>
      </c>
      <c r="S45" s="109">
        <f t="shared" si="21"/>
        <v>0</v>
      </c>
      <c r="T45" s="109">
        <f t="shared" si="21"/>
        <v>0</v>
      </c>
      <c r="U45" s="109">
        <f t="shared" si="21"/>
        <v>0</v>
      </c>
      <c r="V45" s="109">
        <f t="shared" si="21"/>
        <v>0</v>
      </c>
      <c r="W45" s="109">
        <f t="shared" si="21"/>
        <v>0</v>
      </c>
      <c r="X45" s="109">
        <f t="shared" si="21"/>
        <v>0</v>
      </c>
      <c r="Y45" s="109">
        <f t="shared" si="21"/>
        <v>0</v>
      </c>
      <c r="Z45" s="109">
        <f t="shared" si="21"/>
        <v>0</v>
      </c>
      <c r="AA45" s="109">
        <f t="shared" si="21"/>
        <v>0</v>
      </c>
      <c r="AB45" s="109">
        <f t="shared" si="21"/>
        <v>0</v>
      </c>
      <c r="AC45" s="109">
        <f t="shared" si="11"/>
        <v>0</v>
      </c>
      <c r="AD45" s="109">
        <f t="shared" si="11"/>
        <v>0</v>
      </c>
    </row>
    <row r="46" spans="1:30">
      <c r="A46" s="100" t="str">
        <f t="shared" si="8"/>
        <v>Other Items (as required)</v>
      </c>
      <c r="B46" t="s">
        <v>308</v>
      </c>
      <c r="C46" s="101">
        <f t="shared" si="9"/>
        <v>0</v>
      </c>
      <c r="D46" s="109">
        <f t="shared" ref="D46:AB46" si="22">$C19*D19</f>
        <v>0</v>
      </c>
      <c r="E46" s="109">
        <f t="shared" si="22"/>
        <v>0</v>
      </c>
      <c r="F46" s="109">
        <f t="shared" si="22"/>
        <v>0</v>
      </c>
      <c r="G46" s="109">
        <f t="shared" si="22"/>
        <v>0</v>
      </c>
      <c r="H46" s="109">
        <f t="shared" si="22"/>
        <v>0</v>
      </c>
      <c r="I46" s="109">
        <f t="shared" si="22"/>
        <v>0</v>
      </c>
      <c r="J46" s="109">
        <f t="shared" si="22"/>
        <v>0</v>
      </c>
      <c r="K46" s="109">
        <f t="shared" si="22"/>
        <v>0</v>
      </c>
      <c r="L46" s="109">
        <f t="shared" si="22"/>
        <v>0</v>
      </c>
      <c r="M46" s="109">
        <f t="shared" si="22"/>
        <v>0</v>
      </c>
      <c r="N46" s="109">
        <f t="shared" si="22"/>
        <v>0</v>
      </c>
      <c r="O46" s="109">
        <f t="shared" si="22"/>
        <v>0</v>
      </c>
      <c r="P46" s="109">
        <f t="shared" si="22"/>
        <v>0</v>
      </c>
      <c r="Q46" s="109">
        <f t="shared" si="22"/>
        <v>0</v>
      </c>
      <c r="R46" s="109">
        <f t="shared" si="22"/>
        <v>0</v>
      </c>
      <c r="S46" s="109">
        <f t="shared" si="22"/>
        <v>0</v>
      </c>
      <c r="T46" s="109">
        <f t="shared" si="22"/>
        <v>0</v>
      </c>
      <c r="U46" s="109">
        <f t="shared" si="22"/>
        <v>0</v>
      </c>
      <c r="V46" s="109">
        <f t="shared" si="22"/>
        <v>0</v>
      </c>
      <c r="W46" s="109">
        <f t="shared" si="22"/>
        <v>0</v>
      </c>
      <c r="X46" s="109">
        <f t="shared" si="22"/>
        <v>0</v>
      </c>
      <c r="Y46" s="109">
        <f t="shared" si="22"/>
        <v>0</v>
      </c>
      <c r="Z46" s="109">
        <f t="shared" si="22"/>
        <v>0</v>
      </c>
      <c r="AA46" s="109">
        <f t="shared" si="22"/>
        <v>0</v>
      </c>
      <c r="AB46" s="109">
        <f t="shared" si="22"/>
        <v>0</v>
      </c>
      <c r="AC46" s="109">
        <f t="shared" si="11"/>
        <v>0</v>
      </c>
      <c r="AD46" s="109">
        <f t="shared" si="11"/>
        <v>0</v>
      </c>
    </row>
    <row r="47" spans="1:30">
      <c r="A47" s="100" t="str">
        <f t="shared" si="8"/>
        <v>Other Items (as required)</v>
      </c>
      <c r="B47" t="s">
        <v>308</v>
      </c>
      <c r="C47" s="101">
        <f t="shared" si="9"/>
        <v>0</v>
      </c>
      <c r="D47" s="109">
        <f t="shared" ref="D47:AB47" si="23">$C20*D20</f>
        <v>0</v>
      </c>
      <c r="E47" s="109">
        <f t="shared" si="23"/>
        <v>0</v>
      </c>
      <c r="F47" s="109">
        <f t="shared" si="23"/>
        <v>0</v>
      </c>
      <c r="G47" s="109">
        <f t="shared" si="23"/>
        <v>0</v>
      </c>
      <c r="H47" s="109">
        <f t="shared" si="23"/>
        <v>0</v>
      </c>
      <c r="I47" s="109">
        <f t="shared" si="23"/>
        <v>0</v>
      </c>
      <c r="J47" s="109">
        <f t="shared" si="23"/>
        <v>0</v>
      </c>
      <c r="K47" s="109">
        <f t="shared" si="23"/>
        <v>0</v>
      </c>
      <c r="L47" s="109">
        <f t="shared" si="23"/>
        <v>0</v>
      </c>
      <c r="M47" s="109">
        <f t="shared" si="23"/>
        <v>0</v>
      </c>
      <c r="N47" s="109">
        <f t="shared" si="23"/>
        <v>0</v>
      </c>
      <c r="O47" s="109">
        <f t="shared" si="23"/>
        <v>0</v>
      </c>
      <c r="P47" s="109">
        <f t="shared" si="23"/>
        <v>0</v>
      </c>
      <c r="Q47" s="109">
        <f t="shared" si="23"/>
        <v>0</v>
      </c>
      <c r="R47" s="109">
        <f t="shared" si="23"/>
        <v>0</v>
      </c>
      <c r="S47" s="109">
        <f t="shared" si="23"/>
        <v>0</v>
      </c>
      <c r="T47" s="109">
        <f t="shared" si="23"/>
        <v>0</v>
      </c>
      <c r="U47" s="109">
        <f t="shared" si="23"/>
        <v>0</v>
      </c>
      <c r="V47" s="109">
        <f t="shared" si="23"/>
        <v>0</v>
      </c>
      <c r="W47" s="109">
        <f t="shared" si="23"/>
        <v>0</v>
      </c>
      <c r="X47" s="109">
        <f t="shared" si="23"/>
        <v>0</v>
      </c>
      <c r="Y47" s="109">
        <f t="shared" si="23"/>
        <v>0</v>
      </c>
      <c r="Z47" s="109">
        <f t="shared" si="23"/>
        <v>0</v>
      </c>
      <c r="AA47" s="109">
        <f t="shared" si="23"/>
        <v>0</v>
      </c>
      <c r="AB47" s="109">
        <f t="shared" si="23"/>
        <v>0</v>
      </c>
      <c r="AC47" s="109">
        <f t="shared" si="11"/>
        <v>0</v>
      </c>
      <c r="AD47" s="109">
        <f t="shared" si="11"/>
        <v>0</v>
      </c>
    </row>
    <row r="48" spans="1:30">
      <c r="A48" s="100" t="str">
        <f t="shared" si="8"/>
        <v>Other Items (as required)</v>
      </c>
      <c r="B48" t="s">
        <v>308</v>
      </c>
      <c r="C48" s="101">
        <f t="shared" si="9"/>
        <v>0</v>
      </c>
      <c r="D48" s="109">
        <f t="shared" ref="D48:AB48" si="24">$C21*D21</f>
        <v>0</v>
      </c>
      <c r="E48" s="109">
        <f t="shared" si="24"/>
        <v>0</v>
      </c>
      <c r="F48" s="109">
        <f t="shared" si="24"/>
        <v>0</v>
      </c>
      <c r="G48" s="109">
        <f t="shared" si="24"/>
        <v>0</v>
      </c>
      <c r="H48" s="109">
        <f t="shared" si="24"/>
        <v>0</v>
      </c>
      <c r="I48" s="109">
        <f t="shared" si="24"/>
        <v>0</v>
      </c>
      <c r="J48" s="109">
        <f t="shared" si="24"/>
        <v>0</v>
      </c>
      <c r="K48" s="109">
        <f t="shared" si="24"/>
        <v>0</v>
      </c>
      <c r="L48" s="109">
        <f t="shared" si="24"/>
        <v>0</v>
      </c>
      <c r="M48" s="109">
        <f t="shared" si="24"/>
        <v>0</v>
      </c>
      <c r="N48" s="109">
        <f t="shared" si="24"/>
        <v>0</v>
      </c>
      <c r="O48" s="109">
        <f t="shared" si="24"/>
        <v>0</v>
      </c>
      <c r="P48" s="109">
        <f t="shared" si="24"/>
        <v>0</v>
      </c>
      <c r="Q48" s="109">
        <f t="shared" si="24"/>
        <v>0</v>
      </c>
      <c r="R48" s="109">
        <f t="shared" si="24"/>
        <v>0</v>
      </c>
      <c r="S48" s="109">
        <f t="shared" si="24"/>
        <v>0</v>
      </c>
      <c r="T48" s="109">
        <f t="shared" si="24"/>
        <v>0</v>
      </c>
      <c r="U48" s="109">
        <f t="shared" si="24"/>
        <v>0</v>
      </c>
      <c r="V48" s="109">
        <f t="shared" si="24"/>
        <v>0</v>
      </c>
      <c r="W48" s="109">
        <f t="shared" si="24"/>
        <v>0</v>
      </c>
      <c r="X48" s="109">
        <f t="shared" si="24"/>
        <v>0</v>
      </c>
      <c r="Y48" s="109">
        <f t="shared" si="24"/>
        <v>0</v>
      </c>
      <c r="Z48" s="109">
        <f t="shared" si="24"/>
        <v>0</v>
      </c>
      <c r="AA48" s="109">
        <f t="shared" si="24"/>
        <v>0</v>
      </c>
      <c r="AB48" s="109">
        <f t="shared" si="24"/>
        <v>0</v>
      </c>
      <c r="AC48" s="109">
        <f t="shared" si="11"/>
        <v>0</v>
      </c>
      <c r="AD48" s="109">
        <f t="shared" si="11"/>
        <v>0</v>
      </c>
    </row>
    <row r="49" spans="1:30">
      <c r="A49" s="100" t="str">
        <f t="shared" si="8"/>
        <v>Other Items (as required)</v>
      </c>
      <c r="B49" t="s">
        <v>308</v>
      </c>
      <c r="C49" s="101">
        <f t="shared" si="9"/>
        <v>0</v>
      </c>
      <c r="D49" s="109">
        <f t="shared" ref="D49:AB49" si="25">$C22*D22</f>
        <v>0</v>
      </c>
      <c r="E49" s="109">
        <f t="shared" si="25"/>
        <v>0</v>
      </c>
      <c r="F49" s="109">
        <f t="shared" si="25"/>
        <v>0</v>
      </c>
      <c r="G49" s="109">
        <f t="shared" si="25"/>
        <v>0</v>
      </c>
      <c r="H49" s="109">
        <f t="shared" si="25"/>
        <v>0</v>
      </c>
      <c r="I49" s="109">
        <f t="shared" si="25"/>
        <v>0</v>
      </c>
      <c r="J49" s="109">
        <f t="shared" si="25"/>
        <v>0</v>
      </c>
      <c r="K49" s="109">
        <f t="shared" si="25"/>
        <v>0</v>
      </c>
      <c r="L49" s="109">
        <f t="shared" si="25"/>
        <v>0</v>
      </c>
      <c r="M49" s="109">
        <f t="shared" si="25"/>
        <v>0</v>
      </c>
      <c r="N49" s="109">
        <f t="shared" si="25"/>
        <v>0</v>
      </c>
      <c r="O49" s="109">
        <f t="shared" si="25"/>
        <v>0</v>
      </c>
      <c r="P49" s="109">
        <f t="shared" si="25"/>
        <v>0</v>
      </c>
      <c r="Q49" s="109">
        <f t="shared" si="25"/>
        <v>0</v>
      </c>
      <c r="R49" s="109">
        <f t="shared" si="25"/>
        <v>0</v>
      </c>
      <c r="S49" s="109">
        <f t="shared" si="25"/>
        <v>0</v>
      </c>
      <c r="T49" s="109">
        <f t="shared" si="25"/>
        <v>0</v>
      </c>
      <c r="U49" s="109">
        <f t="shared" si="25"/>
        <v>0</v>
      </c>
      <c r="V49" s="109">
        <f t="shared" si="25"/>
        <v>0</v>
      </c>
      <c r="W49" s="109">
        <f t="shared" si="25"/>
        <v>0</v>
      </c>
      <c r="X49" s="109">
        <f t="shared" si="25"/>
        <v>0</v>
      </c>
      <c r="Y49" s="109">
        <f t="shared" si="25"/>
        <v>0</v>
      </c>
      <c r="Z49" s="109">
        <f t="shared" si="25"/>
        <v>0</v>
      </c>
      <c r="AA49" s="109">
        <f t="shared" si="25"/>
        <v>0</v>
      </c>
      <c r="AB49" s="109">
        <f t="shared" si="25"/>
        <v>0</v>
      </c>
      <c r="AC49" s="109">
        <f t="shared" si="11"/>
        <v>0</v>
      </c>
      <c r="AD49" s="109">
        <f t="shared" si="11"/>
        <v>0</v>
      </c>
    </row>
    <row r="50" spans="1:30">
      <c r="A50" s="100" t="str">
        <f t="shared" si="8"/>
        <v>Other Items (as required)</v>
      </c>
      <c r="B50" t="s">
        <v>308</v>
      </c>
      <c r="C50" s="101">
        <f t="shared" si="9"/>
        <v>0</v>
      </c>
      <c r="D50" s="109">
        <f t="shared" ref="D50:AB50" si="26">$C23*D23</f>
        <v>0</v>
      </c>
      <c r="E50" s="109">
        <f t="shared" si="26"/>
        <v>0</v>
      </c>
      <c r="F50" s="109">
        <f t="shared" si="26"/>
        <v>0</v>
      </c>
      <c r="G50" s="109">
        <f t="shared" si="26"/>
        <v>0</v>
      </c>
      <c r="H50" s="109">
        <f t="shared" si="26"/>
        <v>0</v>
      </c>
      <c r="I50" s="109">
        <f t="shared" si="26"/>
        <v>0</v>
      </c>
      <c r="J50" s="109">
        <f t="shared" si="26"/>
        <v>0</v>
      </c>
      <c r="K50" s="109">
        <f t="shared" si="26"/>
        <v>0</v>
      </c>
      <c r="L50" s="109">
        <f t="shared" si="26"/>
        <v>0</v>
      </c>
      <c r="M50" s="109">
        <f t="shared" si="26"/>
        <v>0</v>
      </c>
      <c r="N50" s="109">
        <f t="shared" si="26"/>
        <v>0</v>
      </c>
      <c r="O50" s="109">
        <f t="shared" si="26"/>
        <v>0</v>
      </c>
      <c r="P50" s="109">
        <f t="shared" si="26"/>
        <v>0</v>
      </c>
      <c r="Q50" s="109">
        <f t="shared" si="26"/>
        <v>0</v>
      </c>
      <c r="R50" s="109">
        <f t="shared" si="26"/>
        <v>0</v>
      </c>
      <c r="S50" s="109">
        <f t="shared" si="26"/>
        <v>0</v>
      </c>
      <c r="T50" s="109">
        <f t="shared" si="26"/>
        <v>0</v>
      </c>
      <c r="U50" s="109">
        <f t="shared" si="26"/>
        <v>0</v>
      </c>
      <c r="V50" s="109">
        <f t="shared" si="26"/>
        <v>0</v>
      </c>
      <c r="W50" s="109">
        <f t="shared" si="26"/>
        <v>0</v>
      </c>
      <c r="X50" s="109">
        <f t="shared" si="26"/>
        <v>0</v>
      </c>
      <c r="Y50" s="109">
        <f t="shared" si="26"/>
        <v>0</v>
      </c>
      <c r="Z50" s="109">
        <f t="shared" si="26"/>
        <v>0</v>
      </c>
      <c r="AA50" s="109">
        <f t="shared" si="26"/>
        <v>0</v>
      </c>
      <c r="AB50" s="109">
        <f t="shared" si="26"/>
        <v>0</v>
      </c>
      <c r="AC50" s="109">
        <f t="shared" si="11"/>
        <v>0</v>
      </c>
      <c r="AD50" s="109">
        <f t="shared" si="11"/>
        <v>0</v>
      </c>
    </row>
    <row r="51" spans="1:30">
      <c r="A51" s="100" t="str">
        <f t="shared" si="8"/>
        <v>Other Items (as required)</v>
      </c>
      <c r="B51" t="s">
        <v>308</v>
      </c>
      <c r="C51" s="101">
        <f t="shared" si="9"/>
        <v>0</v>
      </c>
      <c r="D51" s="109">
        <f t="shared" ref="D51:AB51" si="27">$C24*D24</f>
        <v>0</v>
      </c>
      <c r="E51" s="109">
        <f t="shared" si="27"/>
        <v>0</v>
      </c>
      <c r="F51" s="109">
        <f t="shared" si="27"/>
        <v>0</v>
      </c>
      <c r="G51" s="109">
        <f t="shared" si="27"/>
        <v>0</v>
      </c>
      <c r="H51" s="109">
        <f t="shared" si="27"/>
        <v>0</v>
      </c>
      <c r="I51" s="109">
        <f t="shared" si="27"/>
        <v>0</v>
      </c>
      <c r="J51" s="109">
        <f t="shared" si="27"/>
        <v>0</v>
      </c>
      <c r="K51" s="109">
        <f t="shared" si="27"/>
        <v>0</v>
      </c>
      <c r="L51" s="109">
        <f t="shared" si="27"/>
        <v>0</v>
      </c>
      <c r="M51" s="109">
        <f t="shared" si="27"/>
        <v>0</v>
      </c>
      <c r="N51" s="109">
        <f t="shared" si="27"/>
        <v>0</v>
      </c>
      <c r="O51" s="109">
        <f t="shared" si="27"/>
        <v>0</v>
      </c>
      <c r="P51" s="109">
        <f t="shared" si="27"/>
        <v>0</v>
      </c>
      <c r="Q51" s="109">
        <f t="shared" si="27"/>
        <v>0</v>
      </c>
      <c r="R51" s="109">
        <f t="shared" si="27"/>
        <v>0</v>
      </c>
      <c r="S51" s="109">
        <f t="shared" si="27"/>
        <v>0</v>
      </c>
      <c r="T51" s="109">
        <f t="shared" si="27"/>
        <v>0</v>
      </c>
      <c r="U51" s="109">
        <f t="shared" si="27"/>
        <v>0</v>
      </c>
      <c r="V51" s="109">
        <f t="shared" si="27"/>
        <v>0</v>
      </c>
      <c r="W51" s="109">
        <f t="shared" si="27"/>
        <v>0</v>
      </c>
      <c r="X51" s="109">
        <f t="shared" si="27"/>
        <v>0</v>
      </c>
      <c r="Y51" s="109">
        <f t="shared" si="27"/>
        <v>0</v>
      </c>
      <c r="Z51" s="109">
        <f t="shared" si="27"/>
        <v>0</v>
      </c>
      <c r="AA51" s="109">
        <f t="shared" si="27"/>
        <v>0</v>
      </c>
      <c r="AB51" s="109">
        <f t="shared" si="27"/>
        <v>0</v>
      </c>
      <c r="AC51" s="109">
        <f t="shared" si="11"/>
        <v>0</v>
      </c>
      <c r="AD51" s="109">
        <f t="shared" si="11"/>
        <v>0</v>
      </c>
    </row>
    <row r="52" spans="1:30">
      <c r="A52" s="100" t="str">
        <f t="shared" si="8"/>
        <v>Other Items (as required)</v>
      </c>
      <c r="B52" t="s">
        <v>308</v>
      </c>
      <c r="C52" s="101">
        <f t="shared" si="9"/>
        <v>0</v>
      </c>
      <c r="D52" s="109">
        <f t="shared" ref="D52:AB52" si="28">$C25*D25</f>
        <v>0</v>
      </c>
      <c r="E52" s="109">
        <f t="shared" si="28"/>
        <v>0</v>
      </c>
      <c r="F52" s="109">
        <f t="shared" si="28"/>
        <v>0</v>
      </c>
      <c r="G52" s="109">
        <f t="shared" si="28"/>
        <v>0</v>
      </c>
      <c r="H52" s="109">
        <f t="shared" si="28"/>
        <v>0</v>
      </c>
      <c r="I52" s="109">
        <f t="shared" si="28"/>
        <v>0</v>
      </c>
      <c r="J52" s="109">
        <f t="shared" si="28"/>
        <v>0</v>
      </c>
      <c r="K52" s="109">
        <f t="shared" si="28"/>
        <v>0</v>
      </c>
      <c r="L52" s="109">
        <f t="shared" si="28"/>
        <v>0</v>
      </c>
      <c r="M52" s="109">
        <f t="shared" si="28"/>
        <v>0</v>
      </c>
      <c r="N52" s="109">
        <f t="shared" si="28"/>
        <v>0</v>
      </c>
      <c r="O52" s="109">
        <f t="shared" si="28"/>
        <v>0</v>
      </c>
      <c r="P52" s="109">
        <f t="shared" si="28"/>
        <v>0</v>
      </c>
      <c r="Q52" s="109">
        <f t="shared" si="28"/>
        <v>0</v>
      </c>
      <c r="R52" s="109">
        <f t="shared" si="28"/>
        <v>0</v>
      </c>
      <c r="S52" s="109">
        <f t="shared" si="28"/>
        <v>0</v>
      </c>
      <c r="T52" s="109">
        <f t="shared" si="28"/>
        <v>0</v>
      </c>
      <c r="U52" s="109">
        <f t="shared" si="28"/>
        <v>0</v>
      </c>
      <c r="V52" s="109">
        <f t="shared" si="28"/>
        <v>0</v>
      </c>
      <c r="W52" s="109">
        <f t="shared" si="28"/>
        <v>0</v>
      </c>
      <c r="X52" s="109">
        <f t="shared" si="28"/>
        <v>0</v>
      </c>
      <c r="Y52" s="109">
        <f t="shared" si="28"/>
        <v>0</v>
      </c>
      <c r="Z52" s="109">
        <f t="shared" si="28"/>
        <v>0</v>
      </c>
      <c r="AA52" s="109">
        <f t="shared" si="28"/>
        <v>0</v>
      </c>
      <c r="AB52" s="109">
        <f t="shared" si="28"/>
        <v>0</v>
      </c>
      <c r="AC52" s="109">
        <f t="shared" si="11"/>
        <v>0</v>
      </c>
      <c r="AD52" s="109">
        <f t="shared" si="11"/>
        <v>0</v>
      </c>
    </row>
    <row r="53" spans="1:30">
      <c r="A53" s="100">
        <f t="shared" si="8"/>
        <v>0</v>
      </c>
      <c r="B53" t="s">
        <v>308</v>
      </c>
      <c r="C53" s="101">
        <f t="shared" si="9"/>
        <v>0</v>
      </c>
      <c r="D53" s="109">
        <f t="shared" ref="D53:AB53" si="29">$C26*D26</f>
        <v>0</v>
      </c>
      <c r="E53" s="109">
        <f t="shared" si="29"/>
        <v>0</v>
      </c>
      <c r="F53" s="109">
        <f t="shared" si="29"/>
        <v>0</v>
      </c>
      <c r="G53" s="109">
        <f t="shared" si="29"/>
        <v>0</v>
      </c>
      <c r="H53" s="109">
        <f t="shared" si="29"/>
        <v>0</v>
      </c>
      <c r="I53" s="109">
        <f t="shared" si="29"/>
        <v>0</v>
      </c>
      <c r="J53" s="109">
        <f t="shared" si="29"/>
        <v>0</v>
      </c>
      <c r="K53" s="109">
        <f t="shared" si="29"/>
        <v>0</v>
      </c>
      <c r="L53" s="109">
        <f t="shared" si="29"/>
        <v>0</v>
      </c>
      <c r="M53" s="109">
        <f t="shared" si="29"/>
        <v>0</v>
      </c>
      <c r="N53" s="109">
        <f t="shared" si="29"/>
        <v>0</v>
      </c>
      <c r="O53" s="109">
        <f t="shared" si="29"/>
        <v>0</v>
      </c>
      <c r="P53" s="109">
        <f t="shared" si="29"/>
        <v>0</v>
      </c>
      <c r="Q53" s="109">
        <f t="shared" si="29"/>
        <v>0</v>
      </c>
      <c r="R53" s="109">
        <f t="shared" si="29"/>
        <v>0</v>
      </c>
      <c r="S53" s="109">
        <f t="shared" si="29"/>
        <v>0</v>
      </c>
      <c r="T53" s="109">
        <f t="shared" si="29"/>
        <v>0</v>
      </c>
      <c r="U53" s="109">
        <f t="shared" si="29"/>
        <v>0</v>
      </c>
      <c r="V53" s="109">
        <f t="shared" si="29"/>
        <v>0</v>
      </c>
      <c r="W53" s="109">
        <f t="shared" si="29"/>
        <v>0</v>
      </c>
      <c r="X53" s="109">
        <f t="shared" si="29"/>
        <v>0</v>
      </c>
      <c r="Y53" s="109">
        <f t="shared" si="29"/>
        <v>0</v>
      </c>
      <c r="Z53" s="109">
        <f t="shared" si="29"/>
        <v>0</v>
      </c>
      <c r="AA53" s="109">
        <f t="shared" si="29"/>
        <v>0</v>
      </c>
      <c r="AB53" s="109">
        <f t="shared" si="29"/>
        <v>0</v>
      </c>
      <c r="AC53" s="109">
        <f t="shared" si="11"/>
        <v>0</v>
      </c>
      <c r="AD53" s="109">
        <f t="shared" si="11"/>
        <v>0</v>
      </c>
    </row>
    <row r="54" spans="1:30">
      <c r="A54" s="100">
        <f t="shared" si="8"/>
        <v>0</v>
      </c>
      <c r="B54" t="s">
        <v>308</v>
      </c>
      <c r="C54" s="101">
        <f t="shared" si="9"/>
        <v>0</v>
      </c>
      <c r="D54" s="109">
        <f t="shared" ref="D54:AB54" si="30">$C27*D27</f>
        <v>0</v>
      </c>
      <c r="E54" s="109">
        <f t="shared" si="30"/>
        <v>0</v>
      </c>
      <c r="F54" s="109">
        <f t="shared" si="30"/>
        <v>0</v>
      </c>
      <c r="G54" s="109">
        <f t="shared" si="30"/>
        <v>0</v>
      </c>
      <c r="H54" s="109">
        <f t="shared" si="30"/>
        <v>0</v>
      </c>
      <c r="I54" s="109">
        <f t="shared" si="30"/>
        <v>0</v>
      </c>
      <c r="J54" s="109">
        <f t="shared" si="30"/>
        <v>0</v>
      </c>
      <c r="K54" s="109">
        <f t="shared" si="30"/>
        <v>0</v>
      </c>
      <c r="L54" s="109">
        <f t="shared" si="30"/>
        <v>0</v>
      </c>
      <c r="M54" s="109">
        <f t="shared" si="30"/>
        <v>0</v>
      </c>
      <c r="N54" s="109">
        <f t="shared" si="30"/>
        <v>0</v>
      </c>
      <c r="O54" s="109">
        <f t="shared" si="30"/>
        <v>0</v>
      </c>
      <c r="P54" s="109">
        <f t="shared" si="30"/>
        <v>0</v>
      </c>
      <c r="Q54" s="109">
        <f t="shared" si="30"/>
        <v>0</v>
      </c>
      <c r="R54" s="109">
        <f t="shared" si="30"/>
        <v>0</v>
      </c>
      <c r="S54" s="109">
        <f t="shared" si="30"/>
        <v>0</v>
      </c>
      <c r="T54" s="109">
        <f t="shared" si="30"/>
        <v>0</v>
      </c>
      <c r="U54" s="109">
        <f t="shared" si="30"/>
        <v>0</v>
      </c>
      <c r="V54" s="109">
        <f t="shared" si="30"/>
        <v>0</v>
      </c>
      <c r="W54" s="109">
        <f t="shared" si="30"/>
        <v>0</v>
      </c>
      <c r="X54" s="109">
        <f t="shared" si="30"/>
        <v>0</v>
      </c>
      <c r="Y54" s="109">
        <f t="shared" si="30"/>
        <v>0</v>
      </c>
      <c r="Z54" s="109">
        <f t="shared" si="30"/>
        <v>0</v>
      </c>
      <c r="AA54" s="109">
        <f t="shared" si="30"/>
        <v>0</v>
      </c>
      <c r="AB54" s="109">
        <f t="shared" si="30"/>
        <v>0</v>
      </c>
      <c r="AC54" s="109">
        <f t="shared" si="11"/>
        <v>0</v>
      </c>
      <c r="AD54" s="109">
        <f t="shared" si="11"/>
        <v>0</v>
      </c>
    </row>
    <row r="55" spans="1:30">
      <c r="A55" s="100" t="s">
        <v>230</v>
      </c>
      <c r="D55" s="109">
        <f>SUM(D31:D54)</f>
        <v>0</v>
      </c>
      <c r="E55" s="109">
        <f t="shared" ref="E55:AD55" si="31">SUM(E31:E54)</f>
        <v>0</v>
      </c>
      <c r="F55" s="109">
        <f t="shared" si="31"/>
        <v>0</v>
      </c>
      <c r="G55" s="109">
        <f t="shared" si="31"/>
        <v>0</v>
      </c>
      <c r="H55" s="109">
        <f t="shared" si="31"/>
        <v>0</v>
      </c>
      <c r="I55" s="109">
        <f t="shared" si="31"/>
        <v>0</v>
      </c>
      <c r="J55" s="109">
        <f t="shared" si="31"/>
        <v>0</v>
      </c>
      <c r="K55" s="109">
        <f t="shared" si="31"/>
        <v>0</v>
      </c>
      <c r="L55" s="109">
        <f t="shared" si="31"/>
        <v>0</v>
      </c>
      <c r="M55" s="109">
        <f t="shared" si="31"/>
        <v>0</v>
      </c>
      <c r="N55" s="109">
        <f t="shared" si="31"/>
        <v>0</v>
      </c>
      <c r="O55" s="109">
        <f t="shared" si="31"/>
        <v>0</v>
      </c>
      <c r="P55" s="109">
        <f t="shared" si="31"/>
        <v>0</v>
      </c>
      <c r="Q55" s="109">
        <f t="shared" si="31"/>
        <v>0</v>
      </c>
      <c r="R55" s="109">
        <f t="shared" si="31"/>
        <v>0</v>
      </c>
      <c r="S55" s="109">
        <f t="shared" si="31"/>
        <v>0</v>
      </c>
      <c r="T55" s="109">
        <f t="shared" si="31"/>
        <v>0</v>
      </c>
      <c r="U55" s="109">
        <f t="shared" si="31"/>
        <v>0</v>
      </c>
      <c r="V55" s="109">
        <f t="shared" si="31"/>
        <v>0</v>
      </c>
      <c r="W55" s="109">
        <f t="shared" si="31"/>
        <v>0</v>
      </c>
      <c r="X55" s="109">
        <f t="shared" si="31"/>
        <v>0</v>
      </c>
      <c r="Y55" s="109">
        <f t="shared" si="31"/>
        <v>0</v>
      </c>
      <c r="Z55" s="109">
        <f t="shared" si="31"/>
        <v>0</v>
      </c>
      <c r="AA55" s="109">
        <f t="shared" si="31"/>
        <v>0</v>
      </c>
      <c r="AB55" s="109">
        <f t="shared" si="31"/>
        <v>0</v>
      </c>
      <c r="AC55" s="109">
        <f t="shared" si="31"/>
        <v>0</v>
      </c>
      <c r="AD55" s="109">
        <f t="shared" si="31"/>
        <v>0</v>
      </c>
    </row>
    <row r="56" spans="1:30">
      <c r="A56" s="100" t="s">
        <v>318</v>
      </c>
      <c r="B56" s="34" t="s">
        <v>43</v>
      </c>
      <c r="C56" s="43">
        <v>0.3</v>
      </c>
      <c r="D56" s="109">
        <f>$C$56*D55</f>
        <v>0</v>
      </c>
      <c r="E56" s="109">
        <f t="shared" ref="E56:U56" si="32">$C$56*E55</f>
        <v>0</v>
      </c>
      <c r="F56" s="109">
        <f t="shared" si="32"/>
        <v>0</v>
      </c>
      <c r="G56" s="109">
        <f t="shared" si="32"/>
        <v>0</v>
      </c>
      <c r="H56" s="109">
        <f t="shared" si="32"/>
        <v>0</v>
      </c>
      <c r="I56" s="109">
        <f t="shared" si="32"/>
        <v>0</v>
      </c>
      <c r="J56" s="109">
        <f t="shared" si="32"/>
        <v>0</v>
      </c>
      <c r="K56" s="109">
        <f t="shared" si="32"/>
        <v>0</v>
      </c>
      <c r="L56" s="109">
        <f t="shared" si="32"/>
        <v>0</v>
      </c>
      <c r="M56" s="109">
        <f t="shared" si="32"/>
        <v>0</v>
      </c>
      <c r="N56" s="109">
        <f t="shared" si="32"/>
        <v>0</v>
      </c>
      <c r="O56" s="109">
        <f t="shared" si="32"/>
        <v>0</v>
      </c>
      <c r="P56" s="109">
        <f t="shared" si="32"/>
        <v>0</v>
      </c>
      <c r="Q56" s="109">
        <f t="shared" si="32"/>
        <v>0</v>
      </c>
      <c r="R56" s="109">
        <f t="shared" si="32"/>
        <v>0</v>
      </c>
      <c r="S56" s="109">
        <f t="shared" si="32"/>
        <v>0</v>
      </c>
      <c r="T56" s="109">
        <f t="shared" si="32"/>
        <v>0</v>
      </c>
      <c r="U56" s="109">
        <f t="shared" si="32"/>
        <v>0</v>
      </c>
      <c r="V56" s="109">
        <f t="shared" ref="V56:AB56" si="33">$C$56*V55</f>
        <v>0</v>
      </c>
      <c r="W56" s="109">
        <f t="shared" si="33"/>
        <v>0</v>
      </c>
      <c r="X56" s="109">
        <f t="shared" si="33"/>
        <v>0</v>
      </c>
      <c r="Y56" s="109">
        <f t="shared" si="33"/>
        <v>0</v>
      </c>
      <c r="Z56" s="109">
        <f t="shared" si="33"/>
        <v>0</v>
      </c>
      <c r="AA56" s="109">
        <f t="shared" si="33"/>
        <v>0</v>
      </c>
      <c r="AB56" s="109">
        <f t="shared" si="33"/>
        <v>0</v>
      </c>
      <c r="AC56" s="109">
        <f>$C$56*AC55</f>
        <v>0</v>
      </c>
      <c r="AD56" s="109">
        <f>$C$56*AD55</f>
        <v>0</v>
      </c>
    </row>
    <row r="57" spans="1:30" ht="16" thickBot="1">
      <c r="A57" s="105" t="s">
        <v>319</v>
      </c>
      <c r="B57" s="106"/>
      <c r="C57" s="106"/>
      <c r="D57" s="111">
        <f t="shared" ref="D57:U57" si="34">D56+D55</f>
        <v>0</v>
      </c>
      <c r="E57" s="111">
        <f t="shared" si="34"/>
        <v>0</v>
      </c>
      <c r="F57" s="111">
        <f t="shared" si="34"/>
        <v>0</v>
      </c>
      <c r="G57" s="111">
        <f t="shared" si="34"/>
        <v>0</v>
      </c>
      <c r="H57" s="111">
        <f t="shared" si="34"/>
        <v>0</v>
      </c>
      <c r="I57" s="111">
        <f t="shared" si="34"/>
        <v>0</v>
      </c>
      <c r="J57" s="111">
        <f t="shared" si="34"/>
        <v>0</v>
      </c>
      <c r="K57" s="111">
        <f t="shared" si="34"/>
        <v>0</v>
      </c>
      <c r="L57" s="111">
        <f t="shared" si="34"/>
        <v>0</v>
      </c>
      <c r="M57" s="111">
        <f t="shared" si="34"/>
        <v>0</v>
      </c>
      <c r="N57" s="111">
        <f t="shared" si="34"/>
        <v>0</v>
      </c>
      <c r="O57" s="111">
        <f t="shared" si="34"/>
        <v>0</v>
      </c>
      <c r="P57" s="111">
        <f t="shared" si="34"/>
        <v>0</v>
      </c>
      <c r="Q57" s="111">
        <f t="shared" si="34"/>
        <v>0</v>
      </c>
      <c r="R57" s="111">
        <f t="shared" si="34"/>
        <v>0</v>
      </c>
      <c r="S57" s="111">
        <f t="shared" si="34"/>
        <v>0</v>
      </c>
      <c r="T57" s="111">
        <f t="shared" si="34"/>
        <v>0</v>
      </c>
      <c r="U57" s="111">
        <f t="shared" si="34"/>
        <v>0</v>
      </c>
      <c r="V57" s="111">
        <f t="shared" ref="V57:AB57" si="35">V56+V55</f>
        <v>0</v>
      </c>
      <c r="W57" s="111">
        <f t="shared" si="35"/>
        <v>0</v>
      </c>
      <c r="X57" s="111">
        <f t="shared" si="35"/>
        <v>0</v>
      </c>
      <c r="Y57" s="111">
        <f t="shared" si="35"/>
        <v>0</v>
      </c>
      <c r="Z57" s="111">
        <f t="shared" si="35"/>
        <v>0</v>
      </c>
      <c r="AA57" s="111">
        <f t="shared" si="35"/>
        <v>0</v>
      </c>
      <c r="AB57" s="111">
        <f t="shared" si="35"/>
        <v>0</v>
      </c>
      <c r="AC57" s="111">
        <f>AC56+AC55</f>
        <v>0</v>
      </c>
      <c r="AD57" s="111">
        <f>AD56+AD55</f>
        <v>0</v>
      </c>
    </row>
    <row r="62" spans="1:30">
      <c r="B62" s="89"/>
    </row>
    <row r="63" spans="1:30">
      <c r="B63" s="89"/>
    </row>
    <row r="64" spans="1:30">
      <c r="B64" s="89"/>
    </row>
    <row r="65" spans="2:2">
      <c r="B65" s="89"/>
    </row>
    <row r="66" spans="2:2">
      <c r="B66" s="89"/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ED3E-5611-447F-8D65-430CF158DB8A}">
  <sheetPr>
    <tabColor rgb="FFFFCCFF"/>
  </sheetPr>
  <dimension ref="A2:H1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30" sqref="R30"/>
    </sheetView>
  </sheetViews>
  <sheetFormatPr baseColWidth="10" defaultColWidth="8.83203125" defaultRowHeight="15"/>
  <cols>
    <col min="2" max="2" width="43.33203125" bestFit="1" customWidth="1"/>
    <col min="3" max="3" width="13.5" customWidth="1"/>
    <col min="4" max="4" width="11.6640625" bestFit="1" customWidth="1"/>
    <col min="5" max="5" width="13.33203125" bestFit="1" customWidth="1"/>
    <col min="6" max="8" width="11.5" bestFit="1" customWidth="1"/>
  </cols>
  <sheetData>
    <row r="2" spans="2:8" ht="16">
      <c r="B2" s="201"/>
      <c r="C2" s="1"/>
    </row>
    <row r="3" spans="2:8">
      <c r="B3" s="51" t="s">
        <v>323</v>
      </c>
      <c r="C3" s="51"/>
      <c r="D3" s="51">
        <v>2011</v>
      </c>
      <c r="E3" s="51">
        <f>D3+1</f>
        <v>2012</v>
      </c>
      <c r="F3" s="51">
        <f t="shared" ref="F3:H3" si="0">E3+1</f>
        <v>2013</v>
      </c>
      <c r="G3" s="51">
        <f t="shared" si="0"/>
        <v>2014</v>
      </c>
      <c r="H3" s="51">
        <f t="shared" si="0"/>
        <v>2015</v>
      </c>
    </row>
    <row r="4" spans="2:8">
      <c r="B4" s="160" t="s">
        <v>101</v>
      </c>
      <c r="C4" s="160"/>
      <c r="D4" s="160"/>
      <c r="E4" s="160"/>
      <c r="F4" s="160"/>
      <c r="G4" s="160"/>
      <c r="H4" s="160"/>
    </row>
    <row r="5" spans="2:8" ht="6" customHeight="1">
      <c r="B5" s="160"/>
      <c r="C5" s="160"/>
      <c r="D5" s="160"/>
      <c r="E5" s="37"/>
      <c r="F5" s="37"/>
      <c r="G5" s="37"/>
      <c r="H5" s="37"/>
    </row>
    <row r="6" spans="2:8">
      <c r="B6" s="160" t="s">
        <v>324</v>
      </c>
      <c r="C6" s="17" t="s">
        <v>105</v>
      </c>
      <c r="D6" s="37">
        <v>1286.2549070396901</v>
      </c>
      <c r="E6" s="37">
        <v>1281.1511242434901</v>
      </c>
      <c r="F6" s="37">
        <v>1349.06798</v>
      </c>
      <c r="G6" s="37">
        <v>1281.2426499999999</v>
      </c>
      <c r="H6" s="37">
        <v>1000</v>
      </c>
    </row>
    <row r="7" spans="2:8">
      <c r="B7" s="160" t="s">
        <v>325</v>
      </c>
      <c r="C7" s="17" t="s">
        <v>326</v>
      </c>
      <c r="D7" s="37">
        <v>6022.1683999999996</v>
      </c>
      <c r="E7" s="37">
        <v>5784.5680000000002</v>
      </c>
      <c r="F7" s="37">
        <v>6373.7344999999996</v>
      </c>
      <c r="G7" s="37">
        <v>5948.3679000000002</v>
      </c>
      <c r="H7" s="37">
        <v>4948.3679000000002</v>
      </c>
    </row>
    <row r="8" spans="2:8">
      <c r="B8" s="160" t="s">
        <v>327</v>
      </c>
      <c r="C8" s="17" t="s">
        <v>326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</row>
    <row r="9" spans="2:8">
      <c r="B9" s="160" t="s">
        <v>328</v>
      </c>
      <c r="C9" s="17" t="s">
        <v>105</v>
      </c>
      <c r="D9" s="118">
        <f>D7/D6</f>
        <v>4.6819400781607072</v>
      </c>
      <c r="E9" s="118">
        <f t="shared" ref="E9:H9" si="1">E7/E6</f>
        <v>4.5151332192880389</v>
      </c>
      <c r="F9" s="118">
        <f t="shared" si="1"/>
        <v>4.7245465717746855</v>
      </c>
      <c r="G9" s="118">
        <f t="shared" si="1"/>
        <v>4.6426552378661459</v>
      </c>
      <c r="H9" s="118">
        <f t="shared" si="1"/>
        <v>4.9483679</v>
      </c>
    </row>
    <row r="10" spans="2:8">
      <c r="B10" s="160" t="s">
        <v>329</v>
      </c>
      <c r="C10" s="17" t="s">
        <v>326</v>
      </c>
      <c r="D10" s="37">
        <f>D6*1.45+D7</f>
        <v>7887.2380152075502</v>
      </c>
      <c r="E10" s="37">
        <f t="shared" ref="E10:H10" si="2">E6*1.45+E7</f>
        <v>7642.2371301530611</v>
      </c>
      <c r="F10" s="37">
        <f t="shared" si="2"/>
        <v>8329.8830710000002</v>
      </c>
      <c r="G10" s="37">
        <f t="shared" si="2"/>
        <v>7806.1697425000002</v>
      </c>
      <c r="H10" s="37">
        <f t="shared" si="2"/>
        <v>6398.3679000000002</v>
      </c>
    </row>
    <row r="11" spans="2:8">
      <c r="B11" s="160"/>
      <c r="C11" s="160"/>
      <c r="D11" s="37"/>
      <c r="E11" s="37"/>
      <c r="F11" s="37"/>
      <c r="G11" s="37"/>
      <c r="H11" s="37"/>
    </row>
    <row r="12" spans="2:8">
      <c r="B12" s="160" t="s">
        <v>108</v>
      </c>
      <c r="C12" s="160"/>
      <c r="D12" s="37"/>
      <c r="E12" s="37"/>
      <c r="F12" s="37"/>
      <c r="G12" s="37"/>
      <c r="H12" s="37"/>
    </row>
    <row r="13" spans="2:8">
      <c r="B13" t="s">
        <v>109</v>
      </c>
      <c r="C13" s="17" t="s">
        <v>105</v>
      </c>
      <c r="D13" s="37">
        <f>D6</f>
        <v>1286.2549070396901</v>
      </c>
      <c r="E13" s="37">
        <f t="shared" ref="E13:H13" si="3">E6</f>
        <v>1281.1511242434901</v>
      </c>
      <c r="F13" s="37">
        <f t="shared" si="3"/>
        <v>1349.06798</v>
      </c>
      <c r="G13" s="37">
        <f t="shared" si="3"/>
        <v>1281.2426499999999</v>
      </c>
      <c r="H13" s="37">
        <f t="shared" si="3"/>
        <v>1000</v>
      </c>
    </row>
    <row r="14" spans="2:8">
      <c r="B14" t="s">
        <v>110</v>
      </c>
      <c r="C14" s="17" t="s">
        <v>105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</row>
    <row r="15" spans="2:8">
      <c r="B15" t="s">
        <v>111</v>
      </c>
      <c r="C15" s="17" t="s">
        <v>105</v>
      </c>
      <c r="D15" s="37">
        <v>900.37843492778302</v>
      </c>
      <c r="E15" s="37">
        <v>885</v>
      </c>
      <c r="F15" s="37">
        <v>925</v>
      </c>
      <c r="G15" s="37">
        <v>929.36926700000004</v>
      </c>
      <c r="H15" s="37">
        <v>750</v>
      </c>
    </row>
    <row r="16" spans="2:8">
      <c r="B16" t="s">
        <v>112</v>
      </c>
      <c r="C16" s="17" t="s">
        <v>43</v>
      </c>
      <c r="D16" s="165">
        <f t="shared" ref="D16:H16" si="4">D15/(D13+D14)</f>
        <v>0.7</v>
      </c>
      <c r="E16" s="165">
        <f t="shared" si="4"/>
        <v>0.69078501611009058</v>
      </c>
      <c r="F16" s="165">
        <f t="shared" si="4"/>
        <v>0.68565855369275019</v>
      </c>
      <c r="G16" s="165">
        <f t="shared" si="4"/>
        <v>0.72536554024329436</v>
      </c>
      <c r="H16" s="165">
        <f t="shared" si="4"/>
        <v>0.75</v>
      </c>
    </row>
    <row r="17" spans="2:8">
      <c r="B17" s="160"/>
      <c r="C17" s="160"/>
      <c r="D17" s="37"/>
      <c r="E17" s="37"/>
      <c r="F17" s="37"/>
      <c r="G17" s="37"/>
      <c r="H17" s="37"/>
    </row>
    <row r="18" spans="2:8">
      <c r="B18" s="160" t="s">
        <v>113</v>
      </c>
      <c r="C18" s="160"/>
      <c r="D18" s="37"/>
      <c r="E18" s="37"/>
      <c r="F18" s="37"/>
      <c r="G18" s="37"/>
      <c r="H18" s="37"/>
    </row>
    <row r="19" spans="2:8">
      <c r="B19" s="113" t="s">
        <v>114</v>
      </c>
      <c r="C19" s="17" t="s">
        <v>105</v>
      </c>
      <c r="D19" s="37">
        <v>270.11353047833489</v>
      </c>
      <c r="E19" s="37">
        <v>309.75</v>
      </c>
      <c r="F19" s="37">
        <v>296</v>
      </c>
      <c r="G19" s="37">
        <v>232.34231675000001</v>
      </c>
      <c r="H19" s="37">
        <v>300</v>
      </c>
    </row>
    <row r="20" spans="2:8">
      <c r="B20" s="113" t="s">
        <v>330</v>
      </c>
      <c r="C20" s="17" t="s">
        <v>105</v>
      </c>
      <c r="D20" s="37">
        <f>D15-D19</f>
        <v>630.26490444944807</v>
      </c>
      <c r="E20" s="37">
        <f t="shared" ref="E20:H20" si="5">E15-E19</f>
        <v>575.25</v>
      </c>
      <c r="F20" s="37">
        <f t="shared" si="5"/>
        <v>629</v>
      </c>
      <c r="G20" s="37">
        <f t="shared" si="5"/>
        <v>697.02695025000003</v>
      </c>
      <c r="H20" s="37">
        <f t="shared" si="5"/>
        <v>450</v>
      </c>
    </row>
    <row r="21" spans="2:8">
      <c r="B21" t="s">
        <v>115</v>
      </c>
      <c r="C21" s="17" t="s">
        <v>105</v>
      </c>
      <c r="D21" s="35">
        <f t="shared" ref="D21:H21" si="6">SUM(D19:D20)</f>
        <v>900.37843492778302</v>
      </c>
      <c r="E21" s="35">
        <f t="shared" si="6"/>
        <v>885</v>
      </c>
      <c r="F21" s="35">
        <f t="shared" si="6"/>
        <v>925</v>
      </c>
      <c r="G21" s="35">
        <f t="shared" si="6"/>
        <v>929.36926700000004</v>
      </c>
      <c r="H21" s="35">
        <f t="shared" si="6"/>
        <v>750</v>
      </c>
    </row>
    <row r="22" spans="2:8">
      <c r="C22" s="17"/>
      <c r="D22" s="37"/>
      <c r="E22" s="37"/>
      <c r="F22" s="37"/>
      <c r="G22" s="37"/>
      <c r="H22" s="37"/>
    </row>
    <row r="23" spans="2:8">
      <c r="B23" s="160"/>
      <c r="C23" s="160"/>
      <c r="D23" s="167"/>
      <c r="E23" s="167"/>
      <c r="F23" s="167"/>
      <c r="G23" s="167"/>
      <c r="H23" s="167"/>
    </row>
    <row r="24" spans="2:8">
      <c r="B24" s="160" t="s">
        <v>331</v>
      </c>
      <c r="C24" s="17" t="s">
        <v>268</v>
      </c>
      <c r="D24" s="37">
        <v>6250</v>
      </c>
      <c r="E24" s="37">
        <v>6250</v>
      </c>
      <c r="F24" s="37">
        <v>6250</v>
      </c>
      <c r="G24" s="37">
        <v>6212</v>
      </c>
      <c r="H24" s="37">
        <v>6290</v>
      </c>
    </row>
    <row r="25" spans="2:8" s="1" customFormat="1">
      <c r="B25" s="166" t="s">
        <v>332</v>
      </c>
      <c r="C25" s="166" t="s">
        <v>43</v>
      </c>
      <c r="D25" s="175">
        <v>9.6</v>
      </c>
      <c r="E25" s="175">
        <v>9.6</v>
      </c>
      <c r="F25" s="175">
        <v>9.6</v>
      </c>
      <c r="G25" s="175">
        <v>10.1</v>
      </c>
      <c r="H25" s="175">
        <v>9.1999999999999993</v>
      </c>
    </row>
    <row r="26" spans="2:8" s="1" customFormat="1">
      <c r="B26" s="166"/>
      <c r="C26" s="166"/>
      <c r="D26" s="166"/>
      <c r="E26" s="166"/>
      <c r="F26" s="166"/>
      <c r="G26" s="166"/>
      <c r="H26" s="166"/>
    </row>
    <row r="27" spans="2:8" s="1" customFormat="1">
      <c r="B27" s="166"/>
      <c r="C27" s="166"/>
      <c r="D27" s="46"/>
      <c r="E27" s="46"/>
      <c r="F27" s="46"/>
      <c r="G27" s="46"/>
      <c r="H27" s="46"/>
    </row>
    <row r="28" spans="2:8">
      <c r="B28" s="160"/>
      <c r="D28" s="37"/>
      <c r="E28" s="37"/>
      <c r="F28" s="37"/>
      <c r="G28" s="37"/>
      <c r="H28" s="37"/>
    </row>
    <row r="29" spans="2:8">
      <c r="B29" s="160"/>
      <c r="D29" s="37"/>
      <c r="E29" s="37"/>
      <c r="F29" s="37"/>
      <c r="G29" s="37"/>
      <c r="H29" s="37"/>
    </row>
    <row r="30" spans="2:8">
      <c r="B30" s="160"/>
      <c r="D30" s="37"/>
      <c r="E30" s="37"/>
      <c r="F30" s="37"/>
      <c r="G30" s="37"/>
      <c r="H30" s="37"/>
    </row>
    <row r="31" spans="2:8">
      <c r="B31" s="160"/>
      <c r="D31" s="37"/>
      <c r="E31" s="37"/>
      <c r="F31" s="37"/>
      <c r="G31" s="37"/>
      <c r="H31" s="37"/>
    </row>
    <row r="32" spans="2:8">
      <c r="B32" s="160"/>
      <c r="D32" s="37"/>
      <c r="E32" s="37"/>
      <c r="F32" s="37"/>
      <c r="G32" s="37"/>
      <c r="H32" s="37"/>
    </row>
    <row r="33" spans="2:8">
      <c r="B33" s="160"/>
      <c r="D33" s="37"/>
      <c r="E33" s="37"/>
      <c r="F33" s="37"/>
      <c r="G33" s="37"/>
      <c r="H33" s="37"/>
    </row>
    <row r="34" spans="2:8" s="1" customFormat="1">
      <c r="B34" s="166"/>
      <c r="C34"/>
      <c r="D34" s="162"/>
      <c r="E34" s="162"/>
      <c r="F34" s="162"/>
      <c r="G34" s="162"/>
      <c r="H34" s="162"/>
    </row>
    <row r="35" spans="2:8">
      <c r="B35" s="160"/>
      <c r="C35" s="160"/>
      <c r="D35" s="136"/>
      <c r="E35" s="136"/>
      <c r="F35" s="136"/>
      <c r="G35" s="136"/>
      <c r="H35" s="136"/>
    </row>
    <row r="36" spans="2:8" s="1" customFormat="1">
      <c r="B36" s="166"/>
      <c r="C36" s="166"/>
      <c r="D36" s="46"/>
      <c r="E36" s="46"/>
      <c r="F36" s="46"/>
      <c r="G36" s="46"/>
      <c r="H36" s="46"/>
    </row>
    <row r="37" spans="2:8">
      <c r="B37" s="160"/>
      <c r="D37" s="37"/>
      <c r="E37" s="37"/>
      <c r="F37" s="37"/>
      <c r="G37" s="37"/>
      <c r="H37" s="37"/>
    </row>
    <row r="38" spans="2:8">
      <c r="B38" s="160"/>
      <c r="D38" s="37"/>
      <c r="E38" s="37"/>
      <c r="F38" s="37"/>
      <c r="G38" s="37"/>
      <c r="H38" s="37"/>
    </row>
    <row r="39" spans="2:8">
      <c r="B39" s="160"/>
      <c r="D39" s="37"/>
      <c r="E39" s="37"/>
      <c r="F39" s="37"/>
      <c r="G39" s="37"/>
      <c r="H39" s="37"/>
    </row>
    <row r="40" spans="2:8">
      <c r="B40" s="160"/>
      <c r="D40" s="37"/>
      <c r="E40" s="37"/>
      <c r="F40" s="37"/>
      <c r="G40" s="37"/>
      <c r="H40" s="37"/>
    </row>
    <row r="41" spans="2:8">
      <c r="B41" s="160"/>
      <c r="D41" s="37"/>
      <c r="E41" s="37"/>
      <c r="F41" s="37"/>
      <c r="G41" s="37"/>
      <c r="H41" s="37"/>
    </row>
    <row r="42" spans="2:8" s="1" customFormat="1">
      <c r="B42" s="166"/>
      <c r="C42"/>
      <c r="D42" s="162"/>
      <c r="E42" s="162"/>
      <c r="F42" s="162"/>
      <c r="G42" s="162"/>
      <c r="H42" s="162"/>
    </row>
    <row r="43" spans="2:8">
      <c r="B43" s="160"/>
      <c r="C43" s="160"/>
      <c r="D43" s="37"/>
      <c r="E43" s="37"/>
      <c r="F43" s="37"/>
      <c r="G43" s="37"/>
      <c r="H43" s="37"/>
    </row>
    <row r="44" spans="2:8" s="1" customFormat="1">
      <c r="B44" s="166"/>
      <c r="C44" s="166"/>
      <c r="D44" s="46"/>
      <c r="E44" s="46"/>
      <c r="F44" s="46"/>
      <c r="G44" s="46"/>
      <c r="H44" s="46"/>
    </row>
    <row r="45" spans="2:8">
      <c r="B45" s="160"/>
      <c r="D45" s="37"/>
      <c r="E45" s="37"/>
      <c r="F45" s="37"/>
      <c r="G45" s="37"/>
      <c r="H45" s="37"/>
    </row>
    <row r="46" spans="2:8">
      <c r="B46" s="160"/>
      <c r="D46" s="37"/>
      <c r="E46" s="37"/>
      <c r="F46" s="37"/>
      <c r="G46" s="37"/>
      <c r="H46" s="37"/>
    </row>
    <row r="47" spans="2:8">
      <c r="B47" s="160"/>
      <c r="D47" s="37"/>
      <c r="E47" s="37"/>
      <c r="F47" s="37"/>
      <c r="G47" s="37"/>
      <c r="H47" s="37"/>
    </row>
    <row r="48" spans="2:8">
      <c r="B48" s="160"/>
      <c r="D48" s="37"/>
      <c r="E48" s="37"/>
      <c r="F48" s="37"/>
      <c r="G48" s="37"/>
      <c r="H48" s="37"/>
    </row>
    <row r="49" spans="2:8">
      <c r="B49" s="160"/>
      <c r="D49" s="37"/>
      <c r="E49" s="37"/>
      <c r="F49" s="37"/>
      <c r="G49" s="37"/>
      <c r="H49" s="37"/>
    </row>
    <row r="50" spans="2:8">
      <c r="B50" s="160"/>
      <c r="D50" s="37"/>
      <c r="E50" s="37"/>
      <c r="F50" s="37"/>
      <c r="G50" s="37"/>
      <c r="H50" s="37"/>
    </row>
    <row r="51" spans="2:8">
      <c r="B51" s="160"/>
      <c r="D51" s="37"/>
      <c r="E51" s="37"/>
      <c r="F51" s="37"/>
      <c r="G51" s="37"/>
      <c r="H51" s="37"/>
    </row>
    <row r="52" spans="2:8">
      <c r="B52" s="160"/>
      <c r="D52" s="37"/>
      <c r="E52" s="37"/>
      <c r="F52" s="37"/>
      <c r="G52" s="37"/>
      <c r="H52" s="37"/>
    </row>
    <row r="53" spans="2:8" s="1" customFormat="1">
      <c r="B53" s="166"/>
      <c r="C53"/>
      <c r="D53" s="162"/>
      <c r="E53" s="162"/>
      <c r="F53" s="162"/>
      <c r="G53" s="162"/>
      <c r="H53" s="162"/>
    </row>
    <row r="54" spans="2:8">
      <c r="B54" s="160"/>
      <c r="C54" s="160"/>
      <c r="D54" s="37"/>
      <c r="E54" s="37"/>
      <c r="F54" s="37"/>
      <c r="G54" s="37"/>
      <c r="H54" s="37"/>
    </row>
    <row r="55" spans="2:8" s="1" customFormat="1">
      <c r="B55" s="166"/>
      <c r="C55" s="166"/>
      <c r="D55" s="46"/>
      <c r="E55" s="46"/>
      <c r="F55" s="46"/>
      <c r="G55" s="46"/>
      <c r="H55" s="46"/>
    </row>
    <row r="56" spans="2:8">
      <c r="B56" s="160"/>
      <c r="D56" s="37"/>
      <c r="E56" s="37"/>
      <c r="F56" s="37"/>
      <c r="G56" s="37"/>
      <c r="H56" s="37"/>
    </row>
    <row r="57" spans="2:8">
      <c r="B57" s="160"/>
      <c r="D57" s="37"/>
      <c r="E57" s="37"/>
      <c r="F57" s="37"/>
      <c r="G57" s="37"/>
      <c r="H57" s="37"/>
    </row>
    <row r="58" spans="2:8">
      <c r="B58" s="160"/>
      <c r="D58" s="162"/>
      <c r="E58" s="162"/>
      <c r="F58" s="162"/>
      <c r="G58" s="162"/>
      <c r="H58" s="162"/>
    </row>
    <row r="59" spans="2:8">
      <c r="B59" s="160"/>
      <c r="C59" s="160"/>
      <c r="D59" s="37"/>
      <c r="E59" s="37"/>
      <c r="F59" s="37"/>
      <c r="G59" s="37"/>
      <c r="H59" s="37"/>
    </row>
    <row r="60" spans="2:8" s="1" customFormat="1">
      <c r="B60" s="166"/>
      <c r="C60" s="166"/>
      <c r="D60" s="46"/>
      <c r="E60" s="46"/>
      <c r="F60" s="46"/>
      <c r="G60" s="46"/>
      <c r="H60" s="46"/>
    </row>
    <row r="61" spans="2:8">
      <c r="B61" s="160"/>
      <c r="D61" s="37"/>
      <c r="E61" s="37"/>
      <c r="F61" s="37"/>
      <c r="G61" s="37"/>
      <c r="H61" s="37"/>
    </row>
    <row r="62" spans="2:8">
      <c r="B62" s="160"/>
      <c r="D62" s="37"/>
      <c r="E62" s="37"/>
      <c r="F62" s="37"/>
      <c r="G62" s="37"/>
      <c r="H62" s="37"/>
    </row>
    <row r="63" spans="2:8">
      <c r="B63" s="160"/>
      <c r="D63" s="37"/>
      <c r="E63" s="37"/>
      <c r="F63" s="37"/>
      <c r="G63" s="37"/>
      <c r="H63" s="37"/>
    </row>
    <row r="64" spans="2:8">
      <c r="B64" s="160"/>
      <c r="D64" s="37"/>
      <c r="E64" s="37"/>
      <c r="F64" s="37"/>
      <c r="G64" s="37"/>
      <c r="H64" s="37"/>
    </row>
    <row r="65" spans="2:8">
      <c r="B65" s="160"/>
      <c r="D65" s="37"/>
      <c r="E65" s="37"/>
      <c r="F65" s="37"/>
      <c r="G65" s="37"/>
      <c r="H65" s="37"/>
    </row>
    <row r="66" spans="2:8">
      <c r="B66" s="160"/>
      <c r="D66" s="37"/>
      <c r="E66" s="37"/>
      <c r="F66" s="37"/>
      <c r="G66" s="37"/>
      <c r="H66" s="37"/>
    </row>
    <row r="67" spans="2:8">
      <c r="B67" s="160"/>
      <c r="D67" s="161"/>
      <c r="E67" s="161"/>
      <c r="F67" s="161"/>
      <c r="G67" s="161"/>
      <c r="H67" s="161"/>
    </row>
    <row r="68" spans="2:8">
      <c r="B68" s="160"/>
      <c r="D68" s="162"/>
      <c r="E68" s="162"/>
      <c r="F68" s="162"/>
      <c r="G68" s="162"/>
      <c r="H68" s="162"/>
    </row>
    <row r="69" spans="2:8">
      <c r="B69" s="160"/>
      <c r="C69" s="160"/>
      <c r="D69" s="37"/>
      <c r="E69" s="37"/>
      <c r="F69" s="37"/>
      <c r="G69" s="37"/>
      <c r="H69" s="37"/>
    </row>
    <row r="70" spans="2:8" s="1" customFormat="1">
      <c r="C70"/>
      <c r="D70" s="46"/>
      <c r="E70" s="46"/>
      <c r="F70" s="46"/>
      <c r="G70" s="46"/>
      <c r="H70" s="46"/>
    </row>
    <row r="71" spans="2:8">
      <c r="B71" s="160"/>
      <c r="C71" s="160"/>
      <c r="D71" s="37"/>
      <c r="E71" s="37"/>
      <c r="F71" s="37"/>
      <c r="G71" s="37"/>
      <c r="H71" s="37"/>
    </row>
    <row r="72" spans="2:8" s="1" customFormat="1">
      <c r="B72" s="166"/>
      <c r="C72" s="166"/>
      <c r="D72" s="46"/>
      <c r="E72" s="46"/>
      <c r="F72" s="46"/>
      <c r="G72" s="46"/>
      <c r="H72" s="46"/>
    </row>
    <row r="73" spans="2:8">
      <c r="B73" s="160"/>
      <c r="C73" s="160"/>
      <c r="D73" s="37"/>
      <c r="E73" s="37"/>
      <c r="F73" s="37"/>
      <c r="G73" s="37"/>
      <c r="H73" s="37"/>
    </row>
    <row r="74" spans="2:8">
      <c r="B74" s="160"/>
      <c r="D74" s="37"/>
      <c r="E74" s="37"/>
      <c r="F74" s="37"/>
      <c r="G74" s="37"/>
      <c r="H74" s="37"/>
    </row>
    <row r="75" spans="2:8">
      <c r="B75" s="160"/>
      <c r="C75" s="160"/>
      <c r="D75" s="37"/>
      <c r="E75" s="37"/>
      <c r="F75" s="37"/>
      <c r="G75" s="37"/>
      <c r="H75" s="37"/>
    </row>
    <row r="76" spans="2:8">
      <c r="B76" s="160"/>
      <c r="C76" s="160"/>
      <c r="D76" s="37"/>
      <c r="E76" s="37"/>
      <c r="F76" s="37"/>
      <c r="G76" s="37"/>
      <c r="H76" s="37"/>
    </row>
    <row r="77" spans="2:8">
      <c r="B77" s="160"/>
      <c r="C77" s="160"/>
      <c r="D77" s="37"/>
      <c r="E77" s="37"/>
      <c r="F77" s="37"/>
      <c r="G77" s="37"/>
      <c r="H77" s="37"/>
    </row>
    <row r="78" spans="2:8">
      <c r="B78" s="160"/>
      <c r="D78" s="37"/>
      <c r="E78" s="37"/>
      <c r="F78" s="37"/>
      <c r="G78" s="37"/>
      <c r="H78" s="37"/>
    </row>
    <row r="79" spans="2:8">
      <c r="B79" s="160"/>
      <c r="D79" s="37"/>
      <c r="E79" s="37"/>
      <c r="F79" s="37"/>
      <c r="G79" s="37"/>
      <c r="H79" s="37"/>
    </row>
    <row r="80" spans="2:8">
      <c r="B80" s="160"/>
      <c r="C80" s="160"/>
      <c r="D80" s="161"/>
      <c r="E80" s="161"/>
      <c r="F80" s="161"/>
      <c r="G80" s="161"/>
      <c r="H80" s="161"/>
    </row>
    <row r="81" spans="2:8">
      <c r="B81" s="160"/>
      <c r="D81" s="162"/>
      <c r="E81" s="162"/>
      <c r="F81" s="162"/>
      <c r="G81" s="162"/>
      <c r="H81" s="162"/>
    </row>
    <row r="82" spans="2:8">
      <c r="B82" s="160"/>
      <c r="C82" s="160"/>
      <c r="D82" s="37"/>
      <c r="E82" s="37"/>
      <c r="F82" s="37"/>
      <c r="G82" s="37"/>
      <c r="H82" s="37"/>
    </row>
    <row r="83" spans="2:8" s="1" customFormat="1">
      <c r="C83"/>
      <c r="D83" s="46"/>
      <c r="E83" s="46"/>
      <c r="F83" s="46"/>
      <c r="G83" s="46"/>
      <c r="H83" s="46"/>
    </row>
    <row r="84" spans="2:8" s="1" customFormat="1">
      <c r="D84" s="46"/>
      <c r="E84" s="46"/>
      <c r="F84" s="46"/>
      <c r="G84" s="46"/>
      <c r="H84" s="46"/>
    </row>
    <row r="85" spans="2:8" s="1" customFormat="1">
      <c r="B85" s="166"/>
      <c r="C85" s="166"/>
      <c r="D85" s="166"/>
      <c r="E85" s="166"/>
      <c r="F85" s="166"/>
      <c r="G85" s="166"/>
      <c r="H85" s="166"/>
    </row>
    <row r="86" spans="2:8" s="1" customFormat="1">
      <c r="B86" s="166"/>
      <c r="C86" s="166"/>
      <c r="D86" s="46"/>
      <c r="E86" s="46"/>
      <c r="F86" s="46"/>
      <c r="G86" s="46"/>
      <c r="H86" s="46"/>
    </row>
    <row r="87" spans="2:8">
      <c r="B87" s="160"/>
      <c r="D87" s="37"/>
      <c r="E87" s="37"/>
      <c r="F87" s="37"/>
      <c r="G87" s="37"/>
      <c r="H87" s="37"/>
    </row>
    <row r="88" spans="2:8">
      <c r="B88" s="160"/>
      <c r="D88" s="37"/>
      <c r="E88" s="37"/>
      <c r="F88" s="37"/>
      <c r="G88" s="37"/>
      <c r="H88" s="37"/>
    </row>
    <row r="89" spans="2:8">
      <c r="B89" s="160"/>
      <c r="D89" s="37"/>
      <c r="E89" s="37"/>
      <c r="F89" s="37"/>
      <c r="G89" s="37"/>
      <c r="H89" s="37"/>
    </row>
    <row r="90" spans="2:8">
      <c r="B90" s="160"/>
      <c r="D90" s="37"/>
      <c r="E90" s="37"/>
      <c r="F90" s="37"/>
      <c r="G90" s="37"/>
      <c r="H90" s="37"/>
    </row>
    <row r="91" spans="2:8">
      <c r="B91" s="160"/>
      <c r="D91" s="37"/>
      <c r="E91" s="37"/>
      <c r="F91" s="37"/>
      <c r="G91" s="37"/>
      <c r="H91" s="37"/>
    </row>
    <row r="92" spans="2:8">
      <c r="B92" s="160"/>
      <c r="D92" s="37"/>
      <c r="E92" s="37"/>
      <c r="F92" s="37"/>
      <c r="G92" s="37"/>
      <c r="H92" s="37"/>
    </row>
    <row r="93" spans="2:8">
      <c r="B93" s="160"/>
      <c r="D93" s="37"/>
      <c r="E93" s="37"/>
      <c r="F93" s="37"/>
      <c r="G93" s="37"/>
      <c r="H93" s="37"/>
    </row>
    <row r="94" spans="2:8">
      <c r="B94" s="160"/>
      <c r="D94" s="37"/>
      <c r="E94" s="37"/>
      <c r="F94" s="37"/>
      <c r="G94" s="37"/>
      <c r="H94" s="37"/>
    </row>
    <row r="95" spans="2:8">
      <c r="B95" s="160"/>
      <c r="D95" s="37"/>
      <c r="E95" s="37"/>
      <c r="F95" s="37"/>
      <c r="G95" s="37"/>
      <c r="H95" s="37"/>
    </row>
    <row r="96" spans="2:8">
      <c r="B96" s="160"/>
      <c r="D96" s="161"/>
      <c r="E96" s="161"/>
      <c r="F96" s="161"/>
      <c r="G96" s="161"/>
      <c r="H96" s="161"/>
    </row>
    <row r="97" spans="1:8">
      <c r="B97" s="160"/>
      <c r="D97" s="37"/>
      <c r="E97" s="37"/>
      <c r="F97" s="37"/>
      <c r="G97" s="37"/>
      <c r="H97" s="37"/>
    </row>
    <row r="98" spans="1:8">
      <c r="B98" s="160"/>
      <c r="D98" s="161"/>
      <c r="E98" s="161"/>
      <c r="F98" s="161"/>
      <c r="G98" s="161"/>
      <c r="H98" s="161"/>
    </row>
    <row r="99" spans="1:8">
      <c r="B99" s="160"/>
      <c r="D99" s="37"/>
      <c r="E99" s="37"/>
      <c r="F99" s="37"/>
      <c r="G99" s="37"/>
      <c r="H99" s="37"/>
    </row>
    <row r="100" spans="1:8">
      <c r="B100" s="160"/>
      <c r="D100" s="161"/>
      <c r="E100" s="161"/>
      <c r="F100" s="161"/>
      <c r="G100" s="161"/>
      <c r="H100" s="161"/>
    </row>
    <row r="101" spans="1:8" s="1" customFormat="1">
      <c r="B101" s="166"/>
      <c r="C101"/>
      <c r="D101" s="162"/>
      <c r="E101" s="162"/>
      <c r="F101" s="162"/>
      <c r="G101" s="162"/>
      <c r="H101" s="162"/>
    </row>
    <row r="102" spans="1:8">
      <c r="B102" s="160"/>
      <c r="C102" s="160"/>
    </row>
    <row r="103" spans="1:8" s="1" customFormat="1">
      <c r="B103" s="166"/>
      <c r="C103" s="166"/>
      <c r="D103" s="46"/>
      <c r="E103" s="46"/>
      <c r="F103" s="46"/>
      <c r="G103" s="46"/>
      <c r="H103" s="46"/>
    </row>
    <row r="104" spans="1:8" s="1" customFormat="1">
      <c r="B104" s="166"/>
      <c r="C104"/>
      <c r="D104" s="162"/>
      <c r="E104" s="162"/>
      <c r="F104" s="162"/>
      <c r="G104" s="162"/>
      <c r="H104" s="162"/>
    </row>
    <row r="105" spans="1:8">
      <c r="B105" s="160"/>
      <c r="C105" s="160"/>
      <c r="D105" s="136"/>
      <c r="E105" s="136"/>
      <c r="F105" s="136"/>
      <c r="G105" s="136"/>
      <c r="H105" s="136"/>
    </row>
    <row r="106" spans="1:8" s="1" customFormat="1">
      <c r="C106"/>
      <c r="D106" s="46"/>
      <c r="E106" s="46"/>
      <c r="F106" s="46"/>
      <c r="G106" s="46"/>
      <c r="H106" s="46"/>
    </row>
    <row r="107" spans="1:8" s="1" customFormat="1">
      <c r="B107" s="166"/>
      <c r="C107"/>
      <c r="D107" s="162"/>
      <c r="E107" s="162"/>
      <c r="F107" s="162"/>
      <c r="G107" s="162"/>
      <c r="H107" s="162"/>
    </row>
    <row r="108" spans="1:8" s="1" customFormat="1">
      <c r="B108" s="166"/>
      <c r="C108"/>
      <c r="D108" s="162"/>
      <c r="E108" s="162"/>
      <c r="F108" s="162"/>
      <c r="G108" s="162"/>
      <c r="H108" s="162"/>
    </row>
    <row r="109" spans="1:8" s="1" customFormat="1">
      <c r="C109" s="199"/>
      <c r="D109" s="198"/>
      <c r="E109" s="198"/>
      <c r="F109" s="198"/>
      <c r="G109" s="198"/>
      <c r="H109" s="198"/>
    </row>
    <row r="110" spans="1:8">
      <c r="A110" s="1"/>
    </row>
    <row r="111" spans="1:8">
      <c r="D111" s="118"/>
      <c r="E111" s="118"/>
      <c r="F111" s="118"/>
      <c r="G111" s="118"/>
      <c r="H111" s="118"/>
    </row>
    <row r="112" spans="1:8">
      <c r="D112" s="118"/>
      <c r="E112" s="118"/>
      <c r="F112" s="118"/>
      <c r="G112" s="118"/>
      <c r="H112" s="118"/>
    </row>
    <row r="113" spans="2:8">
      <c r="D113" s="118"/>
      <c r="E113" s="118"/>
      <c r="F113" s="118"/>
      <c r="G113" s="118"/>
      <c r="H113" s="118"/>
    </row>
    <row r="115" spans="2:8">
      <c r="B115" s="1"/>
      <c r="D115" s="162"/>
      <c r="E115" s="162"/>
      <c r="F115" s="162"/>
      <c r="G115" s="162"/>
      <c r="H115" s="162"/>
    </row>
    <row r="116" spans="2:8">
      <c r="B116" s="1"/>
      <c r="C116" s="56"/>
      <c r="D116" s="24"/>
      <c r="E116" s="24"/>
      <c r="F116" s="24"/>
      <c r="G116" s="24"/>
      <c r="H116" s="24"/>
    </row>
    <row r="118" spans="2:8">
      <c r="D118" s="118"/>
      <c r="E118" s="118"/>
      <c r="F118" s="118"/>
      <c r="G118" s="118"/>
      <c r="H118" s="118"/>
    </row>
    <row r="120" spans="2:8" s="1" customFormat="1">
      <c r="D120" s="47"/>
      <c r="E120" s="47"/>
      <c r="F120" s="47"/>
      <c r="G120" s="47"/>
      <c r="H120" s="47"/>
    </row>
    <row r="121" spans="2:8">
      <c r="D121" s="12"/>
      <c r="E121" s="12"/>
      <c r="F121" s="12"/>
      <c r="G121" s="12"/>
      <c r="H121" s="12"/>
    </row>
    <row r="122" spans="2:8">
      <c r="D122" s="12"/>
      <c r="E122" s="12"/>
      <c r="F122" s="12"/>
      <c r="G122" s="12"/>
      <c r="H122" s="12"/>
    </row>
    <row r="123" spans="2:8">
      <c r="D123" s="295"/>
      <c r="E123" s="295"/>
      <c r="F123" s="12"/>
      <c r="G123" s="12"/>
      <c r="H123" s="12"/>
    </row>
    <row r="124" spans="2:8">
      <c r="D124" s="12"/>
      <c r="E124" s="12"/>
      <c r="F124" s="12"/>
      <c r="G124" s="12"/>
      <c r="H124" s="12"/>
    </row>
    <row r="125" spans="2:8" s="1" customFormat="1">
      <c r="D125" s="47"/>
      <c r="E125" s="47"/>
      <c r="F125" s="47"/>
      <c r="G125" s="47"/>
      <c r="H125" s="47"/>
    </row>
    <row r="126" spans="2:8">
      <c r="D126" s="12"/>
      <c r="E126" s="12"/>
      <c r="F126" s="12"/>
      <c r="G126" s="12"/>
      <c r="H126" s="12"/>
    </row>
    <row r="127" spans="2:8">
      <c r="D127" s="12"/>
      <c r="E127" s="12"/>
      <c r="F127" s="12"/>
      <c r="G127" s="12"/>
      <c r="H127" s="12"/>
    </row>
    <row r="128" spans="2:8" s="1" customFormat="1">
      <c r="D128" s="47"/>
      <c r="E128" s="47"/>
      <c r="F128" s="47"/>
      <c r="G128" s="47"/>
      <c r="H128" s="47"/>
    </row>
    <row r="129" spans="1:8">
      <c r="D129" s="12"/>
      <c r="E129" s="12"/>
      <c r="F129" s="12"/>
      <c r="G129" s="12"/>
      <c r="H129" s="12"/>
    </row>
    <row r="130" spans="1:8">
      <c r="D130" s="12"/>
      <c r="E130" s="12"/>
      <c r="F130" s="12"/>
      <c r="G130" s="12"/>
      <c r="H130" s="12"/>
    </row>
    <row r="131" spans="1:8">
      <c r="D131" s="12"/>
      <c r="E131" s="12"/>
      <c r="F131" s="12"/>
      <c r="G131" s="12"/>
      <c r="H131" s="12"/>
    </row>
    <row r="132" spans="1:8" s="1" customFormat="1">
      <c r="D132" s="47"/>
      <c r="E132" s="47"/>
      <c r="F132" s="47"/>
      <c r="G132" s="47"/>
      <c r="H132" s="47"/>
    </row>
    <row r="133" spans="1:8">
      <c r="D133" s="12"/>
      <c r="E133" s="12"/>
      <c r="F133" s="12"/>
      <c r="G133" s="12"/>
      <c r="H133" s="12"/>
    </row>
    <row r="134" spans="1:8">
      <c r="D134" s="12"/>
      <c r="E134" s="12"/>
      <c r="F134" s="12"/>
      <c r="G134" s="12"/>
      <c r="H134" s="12"/>
    </row>
    <row r="135" spans="1:8" s="1" customFormat="1">
      <c r="D135" s="47"/>
      <c r="E135" s="47"/>
      <c r="F135" s="47"/>
      <c r="G135" s="47"/>
      <c r="H135" s="47"/>
    </row>
    <row r="136" spans="1:8">
      <c r="A136" s="33"/>
      <c r="D136" s="12"/>
      <c r="E136" s="12"/>
      <c r="F136" s="12"/>
      <c r="G136" s="12"/>
      <c r="H136" s="12"/>
    </row>
    <row r="137" spans="1:8">
      <c r="C137" s="118"/>
      <c r="D137" s="12"/>
      <c r="E137" s="12"/>
      <c r="F137" s="12"/>
      <c r="G137" s="12"/>
      <c r="H137" s="12"/>
    </row>
    <row r="138" spans="1:8">
      <c r="C138" s="118"/>
      <c r="D138" s="12"/>
      <c r="E138" s="12"/>
      <c r="F138" s="12"/>
      <c r="G138" s="12"/>
      <c r="H138" s="12"/>
    </row>
    <row r="139" spans="1:8" s="1" customFormat="1">
      <c r="D139" s="47"/>
      <c r="E139" s="47"/>
      <c r="F139" s="47"/>
      <c r="G139" s="47"/>
      <c r="H139" s="47"/>
    </row>
    <row r="140" spans="1:8">
      <c r="A140" s="34"/>
      <c r="D140" s="47"/>
      <c r="E140" s="47"/>
      <c r="F140" s="47"/>
      <c r="G140" s="47"/>
      <c r="H140" s="47"/>
    </row>
    <row r="145" spans="4:8">
      <c r="D145" s="24"/>
      <c r="E145" s="24"/>
      <c r="F145" s="24"/>
      <c r="G145" s="24"/>
      <c r="H145" s="24"/>
    </row>
    <row r="147" spans="4:8">
      <c r="D147" s="175"/>
      <c r="E147" s="175"/>
      <c r="F147" s="175"/>
      <c r="G147" s="175"/>
      <c r="H147" s="175"/>
    </row>
    <row r="148" spans="4:8">
      <c r="D148" s="296"/>
      <c r="E148" s="296"/>
      <c r="F148" s="296"/>
      <c r="G148" s="296"/>
      <c r="H148" s="296"/>
    </row>
    <row r="149" spans="4:8">
      <c r="D149" s="24"/>
      <c r="E149" s="24"/>
      <c r="F149" s="24"/>
      <c r="G149" s="24"/>
      <c r="H149" s="24"/>
    </row>
    <row r="150" spans="4:8">
      <c r="D150" s="118"/>
      <c r="E150" s="118"/>
      <c r="F150" s="118"/>
      <c r="G150" s="118"/>
      <c r="H150" s="118"/>
    </row>
    <row r="151" spans="4:8">
      <c r="D151" s="118"/>
      <c r="E151" s="118"/>
      <c r="F151" s="118"/>
      <c r="G151" s="118"/>
      <c r="H151" s="118"/>
    </row>
    <row r="153" spans="4:8">
      <c r="D153" s="118"/>
      <c r="E153" s="118"/>
      <c r="F153" s="118"/>
      <c r="G153" s="118"/>
      <c r="H153" s="118"/>
    </row>
    <row r="156" spans="4:8">
      <c r="H156" s="176"/>
    </row>
    <row r="158" spans="4:8">
      <c r="H158" s="176"/>
    </row>
    <row r="159" spans="4:8">
      <c r="H159" s="176"/>
    </row>
    <row r="160" spans="4:8">
      <c r="H160" s="176"/>
    </row>
    <row r="162" spans="4:4">
      <c r="D162" s="17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7F63-4CC1-4D78-85D3-4B06923B6D3D}">
  <sheetPr>
    <tabColor rgb="FF00B050"/>
    <pageSetUpPr fitToPage="1"/>
  </sheetPr>
  <dimension ref="A1:AI154"/>
  <sheetViews>
    <sheetView topLeftCell="A2" zoomScale="85" zoomScaleNormal="85" workbookViewId="0">
      <pane xSplit="3" ySplit="1" topLeftCell="D3" activePane="bottomRight" state="frozen"/>
      <selection pane="topRight" activeCell="D2" sqref="D2"/>
      <selection pane="bottomLeft" activeCell="A3" sqref="A3"/>
      <selection pane="bottomRight" activeCell="C67" sqref="C67"/>
    </sheetView>
  </sheetViews>
  <sheetFormatPr baseColWidth="10" defaultColWidth="8.83203125" defaultRowHeight="15" outlineLevelRow="1"/>
  <cols>
    <col min="1" max="1" width="40.5" bestFit="1" customWidth="1"/>
    <col min="2" max="2" width="13.6640625" customWidth="1"/>
    <col min="3" max="3" width="17" customWidth="1"/>
    <col min="4" max="4" width="13.6640625" customWidth="1"/>
    <col min="5" max="9" width="10.83203125" customWidth="1"/>
    <col min="10" max="24" width="14.33203125" customWidth="1"/>
    <col min="25" max="30" width="10.83203125" customWidth="1"/>
    <col min="31" max="31" width="5.1640625" bestFit="1" customWidth="1"/>
    <col min="32" max="32" width="17.1640625" bestFit="1" customWidth="1"/>
    <col min="34" max="34" width="33.83203125" bestFit="1" customWidth="1"/>
    <col min="35" max="35" width="15.83203125" bestFit="1" customWidth="1"/>
  </cols>
  <sheetData>
    <row r="1" spans="1:35" hidden="1">
      <c r="A1" s="10"/>
      <c r="B1" s="36"/>
      <c r="C1" s="36"/>
      <c r="D1" s="29">
        <v>2</v>
      </c>
      <c r="E1" s="29">
        <f>+D1+1</f>
        <v>3</v>
      </c>
      <c r="F1" s="29">
        <f t="shared" ref="F1:AD1" si="0">+E1+1</f>
        <v>4</v>
      </c>
      <c r="G1" s="29">
        <f t="shared" si="0"/>
        <v>5</v>
      </c>
      <c r="H1" s="29">
        <f t="shared" si="0"/>
        <v>6</v>
      </c>
      <c r="I1" s="29">
        <f t="shared" si="0"/>
        <v>7</v>
      </c>
      <c r="J1" s="29">
        <f t="shared" si="0"/>
        <v>8</v>
      </c>
      <c r="K1" s="29">
        <f t="shared" si="0"/>
        <v>9</v>
      </c>
      <c r="L1" s="29">
        <f t="shared" si="0"/>
        <v>10</v>
      </c>
      <c r="M1" s="29">
        <f t="shared" si="0"/>
        <v>11</v>
      </c>
      <c r="N1" s="29">
        <f t="shared" si="0"/>
        <v>12</v>
      </c>
      <c r="O1" s="29">
        <f t="shared" si="0"/>
        <v>13</v>
      </c>
      <c r="P1" s="29">
        <f t="shared" si="0"/>
        <v>14</v>
      </c>
      <c r="Q1" s="29">
        <f t="shared" si="0"/>
        <v>15</v>
      </c>
      <c r="R1" s="29">
        <f t="shared" si="0"/>
        <v>16</v>
      </c>
      <c r="S1" s="29">
        <f t="shared" si="0"/>
        <v>17</v>
      </c>
      <c r="T1" s="29">
        <f t="shared" si="0"/>
        <v>18</v>
      </c>
      <c r="U1" s="29">
        <f t="shared" si="0"/>
        <v>19</v>
      </c>
      <c r="V1" s="29">
        <f t="shared" si="0"/>
        <v>20</v>
      </c>
      <c r="W1" s="29">
        <f t="shared" si="0"/>
        <v>21</v>
      </c>
      <c r="X1" s="29">
        <f t="shared" si="0"/>
        <v>22</v>
      </c>
      <c r="Y1" s="29">
        <f t="shared" si="0"/>
        <v>23</v>
      </c>
      <c r="Z1" s="29">
        <f t="shared" si="0"/>
        <v>24</v>
      </c>
      <c r="AA1" s="29">
        <f t="shared" si="0"/>
        <v>25</v>
      </c>
      <c r="AB1" s="29">
        <f t="shared" si="0"/>
        <v>26</v>
      </c>
      <c r="AC1" s="29">
        <f t="shared" si="0"/>
        <v>27</v>
      </c>
      <c r="AD1" s="29">
        <f t="shared" si="0"/>
        <v>28</v>
      </c>
      <c r="AE1" s="50"/>
      <c r="AF1" s="3"/>
    </row>
    <row r="2" spans="1:35" ht="16">
      <c r="A2" s="52" t="s">
        <v>333</v>
      </c>
      <c r="B2" s="51"/>
      <c r="C2" s="53"/>
      <c r="D2" s="53">
        <f>Assumptions!J1</f>
        <v>2027</v>
      </c>
      <c r="E2" s="53">
        <f>Assumptions!J1</f>
        <v>2027</v>
      </c>
      <c r="F2" s="53">
        <f>Assumptions!K1</f>
        <v>2028</v>
      </c>
      <c r="G2" s="53">
        <f>Assumptions!L1</f>
        <v>2029</v>
      </c>
      <c r="H2" s="53">
        <f>Assumptions!M1</f>
        <v>2030</v>
      </c>
      <c r="I2" s="53">
        <f>Assumptions!N1</f>
        <v>2031</v>
      </c>
      <c r="J2" s="53">
        <f>Assumptions!O1</f>
        <v>2032</v>
      </c>
      <c r="K2" s="53">
        <f>Assumptions!P1</f>
        <v>2033</v>
      </c>
      <c r="L2" s="53">
        <f>Assumptions!Q1</f>
        <v>2034</v>
      </c>
      <c r="M2" s="53">
        <f>Assumptions!R1</f>
        <v>2035</v>
      </c>
      <c r="N2" s="53">
        <f>Assumptions!S1</f>
        <v>2036</v>
      </c>
      <c r="O2" s="53">
        <f>Assumptions!T1</f>
        <v>2037</v>
      </c>
      <c r="P2" s="53">
        <f>Assumptions!U1</f>
        <v>2038</v>
      </c>
      <c r="Q2" s="53">
        <f>Assumptions!V1</f>
        <v>2039</v>
      </c>
      <c r="R2" s="53">
        <f>Assumptions!W1</f>
        <v>2040</v>
      </c>
      <c r="S2" s="53">
        <f>Assumptions!X1</f>
        <v>2041</v>
      </c>
      <c r="T2" s="53">
        <f>Assumptions!Y1</f>
        <v>2042</v>
      </c>
      <c r="U2" s="53">
        <f>Assumptions!Z1</f>
        <v>2043</v>
      </c>
      <c r="V2" s="53">
        <f>Assumptions!AA1</f>
        <v>2044</v>
      </c>
      <c r="W2" s="53">
        <f>Assumptions!AB1</f>
        <v>2045</v>
      </c>
      <c r="X2" s="53">
        <f>Assumptions!AC1</f>
        <v>2046</v>
      </c>
      <c r="Y2" s="53">
        <f>Assumptions!AD1</f>
        <v>2047</v>
      </c>
      <c r="Z2" s="53">
        <f>Assumptions!AE1</f>
        <v>2048</v>
      </c>
      <c r="AA2" s="53">
        <f>Assumptions!AF1</f>
        <v>2049</v>
      </c>
      <c r="AB2" s="53">
        <f>Assumptions!AG1</f>
        <v>2050</v>
      </c>
      <c r="AC2" s="53">
        <f>Assumptions!AH1</f>
        <v>2051</v>
      </c>
      <c r="AD2" s="53">
        <f>Assumptions!AI1</f>
        <v>2052</v>
      </c>
      <c r="AE2" s="53"/>
      <c r="AF2" s="54" t="s">
        <v>230</v>
      </c>
      <c r="AH2" s="15" t="s">
        <v>231</v>
      </c>
      <c r="AI2" s="16"/>
    </row>
    <row r="3" spans="1:35">
      <c r="A3" s="2" t="s">
        <v>232</v>
      </c>
      <c r="B3" s="36"/>
      <c r="C3" s="36"/>
      <c r="D3" s="36"/>
      <c r="E3" s="36"/>
      <c r="F3" s="36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"/>
      <c r="AH3" s="4" t="s">
        <v>233</v>
      </c>
      <c r="AI3" s="74">
        <f>AF126/1000</f>
        <v>0</v>
      </c>
    </row>
    <row r="4" spans="1:35">
      <c r="A4" s="28" t="s">
        <v>334</v>
      </c>
      <c r="B4" s="17" t="s">
        <v>105</v>
      </c>
      <c r="C4" s="41">
        <v>20000</v>
      </c>
      <c r="AF4" s="25"/>
      <c r="AH4" s="8"/>
      <c r="AI4" s="73"/>
    </row>
    <row r="5" spans="1:35">
      <c r="A5" s="28" t="s">
        <v>234</v>
      </c>
      <c r="B5" s="84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25"/>
    </row>
    <row r="6" spans="1:35">
      <c r="A6" s="4" t="s">
        <v>335</v>
      </c>
      <c r="B6" s="17" t="s">
        <v>326</v>
      </c>
      <c r="C6" s="65"/>
      <c r="D6" s="12">
        <f>$C$6</f>
        <v>0</v>
      </c>
      <c r="E6" s="12">
        <f t="shared" ref="E6:AD6" si="1">$C$6</f>
        <v>0</v>
      </c>
      <c r="F6" s="12">
        <f t="shared" si="1"/>
        <v>0</v>
      </c>
      <c r="G6" s="12">
        <f t="shared" si="1"/>
        <v>0</v>
      </c>
      <c r="H6" s="12">
        <f t="shared" si="1"/>
        <v>0</v>
      </c>
      <c r="I6" s="12">
        <f t="shared" si="1"/>
        <v>0</v>
      </c>
      <c r="J6" s="12">
        <f t="shared" si="1"/>
        <v>0</v>
      </c>
      <c r="K6" s="12">
        <f t="shared" si="1"/>
        <v>0</v>
      </c>
      <c r="L6" s="12">
        <f t="shared" si="1"/>
        <v>0</v>
      </c>
      <c r="M6" s="12">
        <f t="shared" si="1"/>
        <v>0</v>
      </c>
      <c r="N6" s="12">
        <f t="shared" si="1"/>
        <v>0</v>
      </c>
      <c r="O6" s="12">
        <f t="shared" si="1"/>
        <v>0</v>
      </c>
      <c r="P6" s="12">
        <f t="shared" si="1"/>
        <v>0</v>
      </c>
      <c r="Q6" s="12">
        <f t="shared" si="1"/>
        <v>0</v>
      </c>
      <c r="R6" s="12">
        <f t="shared" si="1"/>
        <v>0</v>
      </c>
      <c r="S6" s="12">
        <f t="shared" si="1"/>
        <v>0</v>
      </c>
      <c r="T6" s="12">
        <f t="shared" si="1"/>
        <v>0</v>
      </c>
      <c r="U6" s="12">
        <f t="shared" si="1"/>
        <v>0</v>
      </c>
      <c r="V6" s="12">
        <f t="shared" si="1"/>
        <v>0</v>
      </c>
      <c r="W6" s="12">
        <f t="shared" si="1"/>
        <v>0</v>
      </c>
      <c r="X6" s="12">
        <f t="shared" si="1"/>
        <v>0</v>
      </c>
      <c r="Y6" s="12">
        <f t="shared" si="1"/>
        <v>0</v>
      </c>
      <c r="Z6" s="12">
        <f t="shared" si="1"/>
        <v>0</v>
      </c>
      <c r="AA6" s="12">
        <f t="shared" si="1"/>
        <v>0</v>
      </c>
      <c r="AB6" s="12">
        <f t="shared" si="1"/>
        <v>0</v>
      </c>
      <c r="AC6" s="12">
        <f t="shared" si="1"/>
        <v>0</v>
      </c>
      <c r="AD6" s="12">
        <f t="shared" si="1"/>
        <v>0</v>
      </c>
      <c r="AE6" s="12"/>
      <c r="AF6" s="5">
        <f>SUM(D6:AD6)</f>
        <v>0</v>
      </c>
      <c r="AH6" s="15" t="s">
        <v>235</v>
      </c>
      <c r="AI6" s="16"/>
    </row>
    <row r="7" spans="1:35">
      <c r="A7" s="4" t="s">
        <v>336</v>
      </c>
      <c r="B7" s="17" t="s">
        <v>326</v>
      </c>
      <c r="C7" s="65"/>
      <c r="D7" s="12">
        <f>C7</f>
        <v>0</v>
      </c>
      <c r="E7" s="12">
        <f t="shared" ref="E7:AD7" si="2">D7</f>
        <v>0</v>
      </c>
      <c r="F7" s="12">
        <f t="shared" si="2"/>
        <v>0</v>
      </c>
      <c r="G7" s="12">
        <f t="shared" si="2"/>
        <v>0</v>
      </c>
      <c r="H7" s="12">
        <f t="shared" si="2"/>
        <v>0</v>
      </c>
      <c r="I7" s="12">
        <f t="shared" si="2"/>
        <v>0</v>
      </c>
      <c r="J7" s="12">
        <f t="shared" si="2"/>
        <v>0</v>
      </c>
      <c r="K7" s="12">
        <f t="shared" si="2"/>
        <v>0</v>
      </c>
      <c r="L7" s="12">
        <f t="shared" si="2"/>
        <v>0</v>
      </c>
      <c r="M7" s="12">
        <f t="shared" si="2"/>
        <v>0</v>
      </c>
      <c r="N7" s="12">
        <f t="shared" si="2"/>
        <v>0</v>
      </c>
      <c r="O7" s="12">
        <f t="shared" si="2"/>
        <v>0</v>
      </c>
      <c r="P7" s="12">
        <f t="shared" si="2"/>
        <v>0</v>
      </c>
      <c r="Q7" s="12">
        <f t="shared" si="2"/>
        <v>0</v>
      </c>
      <c r="R7" s="12">
        <f t="shared" si="2"/>
        <v>0</v>
      </c>
      <c r="S7" s="12">
        <f t="shared" si="2"/>
        <v>0</v>
      </c>
      <c r="T7" s="12">
        <f t="shared" si="2"/>
        <v>0</v>
      </c>
      <c r="U7" s="12">
        <f t="shared" si="2"/>
        <v>0</v>
      </c>
      <c r="V7" s="12">
        <f t="shared" si="2"/>
        <v>0</v>
      </c>
      <c r="W7" s="12">
        <f t="shared" si="2"/>
        <v>0</v>
      </c>
      <c r="X7" s="12">
        <f t="shared" si="2"/>
        <v>0</v>
      </c>
      <c r="Y7" s="12">
        <f t="shared" si="2"/>
        <v>0</v>
      </c>
      <c r="Z7" s="12">
        <f t="shared" si="2"/>
        <v>0</v>
      </c>
      <c r="AA7" s="12">
        <f t="shared" si="2"/>
        <v>0</v>
      </c>
      <c r="AB7" s="12">
        <f t="shared" si="2"/>
        <v>0</v>
      </c>
      <c r="AC7" s="12">
        <f t="shared" si="2"/>
        <v>0</v>
      </c>
      <c r="AD7" s="12">
        <f t="shared" si="2"/>
        <v>0</v>
      </c>
      <c r="AE7" s="12"/>
      <c r="AF7" s="5">
        <f>SUM(D7:AD7)</f>
        <v>0</v>
      </c>
      <c r="AH7" s="4" t="s">
        <v>237</v>
      </c>
      <c r="AI7" s="39">
        <v>0</v>
      </c>
    </row>
    <row r="8" spans="1:35">
      <c r="A8" s="4" t="s">
        <v>337</v>
      </c>
      <c r="B8" s="17" t="s">
        <v>326</v>
      </c>
      <c r="C8" s="69"/>
      <c r="D8" s="69">
        <f>SUM(D6:D7)</f>
        <v>0</v>
      </c>
      <c r="E8" s="69">
        <f t="shared" ref="E8:I8" si="3">SUM(E6:E7)</f>
        <v>0</v>
      </c>
      <c r="F8" s="69">
        <f t="shared" si="3"/>
        <v>0</v>
      </c>
      <c r="G8" s="69">
        <f t="shared" si="3"/>
        <v>0</v>
      </c>
      <c r="H8" s="69">
        <f t="shared" si="3"/>
        <v>0</v>
      </c>
      <c r="I8" s="69">
        <f t="shared" si="3"/>
        <v>0</v>
      </c>
      <c r="J8" s="69">
        <f t="shared" ref="J8:W8" si="4">SUM(J6:J7)</f>
        <v>0</v>
      </c>
      <c r="K8" s="69">
        <f t="shared" si="4"/>
        <v>0</v>
      </c>
      <c r="L8" s="69">
        <f t="shared" si="4"/>
        <v>0</v>
      </c>
      <c r="M8" s="69">
        <f t="shared" si="4"/>
        <v>0</v>
      </c>
      <c r="N8" s="69">
        <f t="shared" si="4"/>
        <v>0</v>
      </c>
      <c r="O8" s="69">
        <f t="shared" si="4"/>
        <v>0</v>
      </c>
      <c r="P8" s="69">
        <f t="shared" si="4"/>
        <v>0</v>
      </c>
      <c r="Q8" s="69">
        <f t="shared" si="4"/>
        <v>0</v>
      </c>
      <c r="R8" s="69">
        <f t="shared" si="4"/>
        <v>0</v>
      </c>
      <c r="S8" s="69">
        <f t="shared" si="4"/>
        <v>0</v>
      </c>
      <c r="T8" s="69">
        <f t="shared" si="4"/>
        <v>0</v>
      </c>
      <c r="U8" s="69">
        <f t="shared" si="4"/>
        <v>0</v>
      </c>
      <c r="V8" s="69">
        <f t="shared" si="4"/>
        <v>0</v>
      </c>
      <c r="W8" s="69">
        <f t="shared" si="4"/>
        <v>0</v>
      </c>
      <c r="X8" s="69">
        <f>SUM(X6:X7)</f>
        <v>0</v>
      </c>
      <c r="Y8" s="69">
        <f t="shared" ref="Y8:AD8" si="5">SUM(Y6:Y7)</f>
        <v>0</v>
      </c>
      <c r="Z8" s="69">
        <f t="shared" si="5"/>
        <v>0</v>
      </c>
      <c r="AA8" s="69">
        <f t="shared" si="5"/>
        <v>0</v>
      </c>
      <c r="AB8" s="69">
        <f t="shared" si="5"/>
        <v>0</v>
      </c>
      <c r="AC8" s="69">
        <f t="shared" si="5"/>
        <v>0</v>
      </c>
      <c r="AD8" s="69">
        <f t="shared" si="5"/>
        <v>0</v>
      </c>
      <c r="AE8" s="69"/>
      <c r="AF8" s="5">
        <f>SUM(D8:AD8)</f>
        <v>0</v>
      </c>
      <c r="AH8" s="4" t="s">
        <v>338</v>
      </c>
      <c r="AI8" s="39">
        <v>0</v>
      </c>
    </row>
    <row r="9" spans="1:35">
      <c r="A9" s="4" t="s">
        <v>339</v>
      </c>
      <c r="B9" s="17" t="s">
        <v>326</v>
      </c>
      <c r="C9" s="12"/>
      <c r="D9" s="12">
        <f>D8</f>
        <v>0</v>
      </c>
      <c r="E9" s="12">
        <f t="shared" ref="E9:I9" si="6">E8</f>
        <v>0</v>
      </c>
      <c r="F9" s="12">
        <f t="shared" si="6"/>
        <v>0</v>
      </c>
      <c r="G9" s="12">
        <f t="shared" si="6"/>
        <v>0</v>
      </c>
      <c r="H9" s="12">
        <f t="shared" si="6"/>
        <v>0</v>
      </c>
      <c r="I9" s="12">
        <f t="shared" si="6"/>
        <v>0</v>
      </c>
      <c r="J9" s="12">
        <f>J8</f>
        <v>0</v>
      </c>
      <c r="K9" s="12">
        <f t="shared" ref="K9:X9" si="7">K8</f>
        <v>0</v>
      </c>
      <c r="L9" s="12">
        <f t="shared" si="7"/>
        <v>0</v>
      </c>
      <c r="M9" s="12">
        <f t="shared" si="7"/>
        <v>0</v>
      </c>
      <c r="N9" s="12">
        <f t="shared" si="7"/>
        <v>0</v>
      </c>
      <c r="O9" s="12">
        <f t="shared" si="7"/>
        <v>0</v>
      </c>
      <c r="P9" s="12">
        <f t="shared" si="7"/>
        <v>0</v>
      </c>
      <c r="Q9" s="12">
        <f t="shared" si="7"/>
        <v>0</v>
      </c>
      <c r="R9" s="12">
        <f t="shared" si="7"/>
        <v>0</v>
      </c>
      <c r="S9" s="12">
        <f t="shared" si="7"/>
        <v>0</v>
      </c>
      <c r="T9" s="12">
        <f t="shared" si="7"/>
        <v>0</v>
      </c>
      <c r="U9" s="12">
        <f t="shared" si="7"/>
        <v>0</v>
      </c>
      <c r="V9" s="12">
        <f t="shared" si="7"/>
        <v>0</v>
      </c>
      <c r="W9" s="12">
        <f t="shared" si="7"/>
        <v>0</v>
      </c>
      <c r="X9" s="12">
        <f t="shared" si="7"/>
        <v>0</v>
      </c>
      <c r="Y9" s="12">
        <f t="shared" ref="Y9" si="8">Y8</f>
        <v>0</v>
      </c>
      <c r="Z9" s="12">
        <f t="shared" ref="Z9" si="9">Z8</f>
        <v>0</v>
      </c>
      <c r="AA9" s="12">
        <f t="shared" ref="AA9" si="10">AA8</f>
        <v>0</v>
      </c>
      <c r="AB9" s="12">
        <f t="shared" ref="AB9" si="11">AB8</f>
        <v>0</v>
      </c>
      <c r="AC9" s="12">
        <f t="shared" ref="AC9" si="12">AC8</f>
        <v>0</v>
      </c>
      <c r="AD9" s="12">
        <f t="shared" ref="AD9" si="13">AD8</f>
        <v>0</v>
      </c>
      <c r="AE9" s="12"/>
      <c r="AF9" s="5">
        <f>SUM(D9:AD9)</f>
        <v>0</v>
      </c>
      <c r="AH9" s="4" t="s">
        <v>340</v>
      </c>
      <c r="AI9" s="39">
        <v>0</v>
      </c>
    </row>
    <row r="10" spans="1:35">
      <c r="A10" s="4"/>
      <c r="B10" s="17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5"/>
      <c r="AH10" s="4" t="s">
        <v>341</v>
      </c>
      <c r="AI10" s="39">
        <v>0</v>
      </c>
    </row>
    <row r="11" spans="1:35">
      <c r="A11" s="4" t="s">
        <v>342</v>
      </c>
      <c r="B11" s="17" t="s">
        <v>105</v>
      </c>
      <c r="C11" s="65"/>
      <c r="D11" s="76">
        <f>$C$11</f>
        <v>0</v>
      </c>
      <c r="E11" s="76">
        <f t="shared" ref="E11:AD11" si="14">$C$11</f>
        <v>0</v>
      </c>
      <c r="F11" s="76">
        <f t="shared" si="14"/>
        <v>0</v>
      </c>
      <c r="G11" s="76">
        <f t="shared" si="14"/>
        <v>0</v>
      </c>
      <c r="H11" s="76">
        <f t="shared" si="14"/>
        <v>0</v>
      </c>
      <c r="I11" s="76">
        <f t="shared" si="14"/>
        <v>0</v>
      </c>
      <c r="J11" s="76">
        <f t="shared" si="14"/>
        <v>0</v>
      </c>
      <c r="K11" s="76">
        <f t="shared" si="14"/>
        <v>0</v>
      </c>
      <c r="L11" s="76">
        <f t="shared" si="14"/>
        <v>0</v>
      </c>
      <c r="M11" s="76">
        <f t="shared" si="14"/>
        <v>0</v>
      </c>
      <c r="N11" s="76">
        <f t="shared" si="14"/>
        <v>0</v>
      </c>
      <c r="O11" s="76">
        <f t="shared" si="14"/>
        <v>0</v>
      </c>
      <c r="P11" s="76">
        <f t="shared" si="14"/>
        <v>0</v>
      </c>
      <c r="Q11" s="76">
        <f t="shared" si="14"/>
        <v>0</v>
      </c>
      <c r="R11" s="76">
        <f t="shared" si="14"/>
        <v>0</v>
      </c>
      <c r="S11" s="76">
        <f t="shared" si="14"/>
        <v>0</v>
      </c>
      <c r="T11" s="76">
        <f t="shared" si="14"/>
        <v>0</v>
      </c>
      <c r="U11" s="76">
        <f t="shared" si="14"/>
        <v>0</v>
      </c>
      <c r="V11" s="76">
        <f t="shared" si="14"/>
        <v>0</v>
      </c>
      <c r="W11" s="76">
        <f t="shared" si="14"/>
        <v>0</v>
      </c>
      <c r="X11" s="76">
        <f t="shared" si="14"/>
        <v>0</v>
      </c>
      <c r="Y11" s="76">
        <f t="shared" si="14"/>
        <v>0</v>
      </c>
      <c r="Z11" s="76">
        <f t="shared" si="14"/>
        <v>0</v>
      </c>
      <c r="AA11" s="76">
        <f t="shared" si="14"/>
        <v>0</v>
      </c>
      <c r="AB11" s="76">
        <f t="shared" si="14"/>
        <v>0</v>
      </c>
      <c r="AC11" s="76">
        <f t="shared" si="14"/>
        <v>0</v>
      </c>
      <c r="AD11" s="76">
        <f t="shared" si="14"/>
        <v>0</v>
      </c>
      <c r="AE11" s="76"/>
      <c r="AF11" s="5">
        <f>SUM(D11:AD11)</f>
        <v>0</v>
      </c>
      <c r="AH11" s="4" t="s">
        <v>343</v>
      </c>
      <c r="AI11" s="39">
        <v>0</v>
      </c>
    </row>
    <row r="12" spans="1:35">
      <c r="A12" s="4" t="s">
        <v>328</v>
      </c>
      <c r="B12" s="17"/>
      <c r="C12" s="64"/>
      <c r="D12" s="13">
        <f>IFERROR(D8/D11,0)</f>
        <v>0</v>
      </c>
      <c r="E12" s="13">
        <f t="shared" ref="E12:X12" si="15">IFERROR(E8/E11,0)</f>
        <v>0</v>
      </c>
      <c r="F12" s="13">
        <f t="shared" si="15"/>
        <v>0</v>
      </c>
      <c r="G12" s="13">
        <f t="shared" si="15"/>
        <v>0</v>
      </c>
      <c r="H12" s="13">
        <f t="shared" si="15"/>
        <v>0</v>
      </c>
      <c r="I12" s="13">
        <f t="shared" si="15"/>
        <v>0</v>
      </c>
      <c r="J12" s="13">
        <f t="shared" si="15"/>
        <v>0</v>
      </c>
      <c r="K12" s="13">
        <f t="shared" si="15"/>
        <v>0</v>
      </c>
      <c r="L12" s="13">
        <f t="shared" si="15"/>
        <v>0</v>
      </c>
      <c r="M12" s="13">
        <f t="shared" si="15"/>
        <v>0</v>
      </c>
      <c r="N12" s="13">
        <f t="shared" si="15"/>
        <v>0</v>
      </c>
      <c r="O12" s="13">
        <f t="shared" si="15"/>
        <v>0</v>
      </c>
      <c r="P12" s="13">
        <f t="shared" si="15"/>
        <v>0</v>
      </c>
      <c r="Q12" s="13">
        <f t="shared" si="15"/>
        <v>0</v>
      </c>
      <c r="R12" s="13">
        <f t="shared" si="15"/>
        <v>0</v>
      </c>
      <c r="S12" s="13">
        <f t="shared" si="15"/>
        <v>0</v>
      </c>
      <c r="T12" s="13">
        <f t="shared" si="15"/>
        <v>0</v>
      </c>
      <c r="U12" s="13">
        <f t="shared" si="15"/>
        <v>0</v>
      </c>
      <c r="V12" s="13">
        <f t="shared" si="15"/>
        <v>0</v>
      </c>
      <c r="W12" s="13">
        <f t="shared" si="15"/>
        <v>0</v>
      </c>
      <c r="X12" s="13">
        <f t="shared" si="15"/>
        <v>0</v>
      </c>
      <c r="Y12" s="13">
        <f t="shared" ref="Y12" si="16">IFERROR(Y8/Y11,0)</f>
        <v>0</v>
      </c>
      <c r="Z12" s="13">
        <f t="shared" ref="Z12" si="17">IFERROR(Z8/Z11,0)</f>
        <v>0</v>
      </c>
      <c r="AA12" s="13">
        <f t="shared" ref="AA12" si="18">IFERROR(AA8/AA11,0)</f>
        <v>0</v>
      </c>
      <c r="AB12" s="13">
        <f t="shared" ref="AB12" si="19">IFERROR(AB8/AB11,0)</f>
        <v>0</v>
      </c>
      <c r="AC12" s="13">
        <f t="shared" ref="AC12" si="20">IFERROR(AC8/AC11,0)</f>
        <v>0</v>
      </c>
      <c r="AD12" s="13">
        <f t="shared" ref="AD12" si="21">IFERROR(AD8/AD11,0)</f>
        <v>0</v>
      </c>
      <c r="AE12" s="13"/>
      <c r="AF12" s="6">
        <f>IFERROR(AF8/AF11,0)</f>
        <v>0</v>
      </c>
      <c r="AH12" s="4" t="s">
        <v>344</v>
      </c>
      <c r="AI12" s="39">
        <v>0</v>
      </c>
    </row>
    <row r="13" spans="1:35">
      <c r="A13" s="4"/>
      <c r="B13" s="17"/>
      <c r="C13" s="76"/>
      <c r="D13" s="76"/>
      <c r="E13" s="76"/>
      <c r="F13" s="76"/>
      <c r="G13" s="76"/>
      <c r="H13" s="76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5"/>
      <c r="AH13" s="4" t="s">
        <v>244</v>
      </c>
      <c r="AI13" s="39">
        <v>0</v>
      </c>
    </row>
    <row r="14" spans="1:35">
      <c r="A14" s="4" t="s">
        <v>345</v>
      </c>
      <c r="B14" s="17" t="s">
        <v>346</v>
      </c>
      <c r="C14" s="79"/>
      <c r="D14" s="79">
        <f>D8+(D11/1.45)</f>
        <v>0</v>
      </c>
      <c r="E14" s="79">
        <f t="shared" ref="E14:I14" si="22">E8+(E11/1.45)</f>
        <v>0</v>
      </c>
      <c r="F14" s="79">
        <f t="shared" si="22"/>
        <v>0</v>
      </c>
      <c r="G14" s="79">
        <f t="shared" si="22"/>
        <v>0</v>
      </c>
      <c r="H14" s="79">
        <f t="shared" si="22"/>
        <v>0</v>
      </c>
      <c r="I14" s="79">
        <f t="shared" si="22"/>
        <v>0</v>
      </c>
      <c r="J14" s="79">
        <f t="shared" ref="J14:Q14" si="23">J8+(J11/1.45)</f>
        <v>0</v>
      </c>
      <c r="K14" s="79">
        <f t="shared" si="23"/>
        <v>0</v>
      </c>
      <c r="L14" s="79">
        <f t="shared" si="23"/>
        <v>0</v>
      </c>
      <c r="M14" s="79">
        <f t="shared" si="23"/>
        <v>0</v>
      </c>
      <c r="N14" s="79">
        <f t="shared" si="23"/>
        <v>0</v>
      </c>
      <c r="O14" s="79">
        <f t="shared" si="23"/>
        <v>0</v>
      </c>
      <c r="P14" s="79">
        <f t="shared" si="23"/>
        <v>0</v>
      </c>
      <c r="Q14" s="79">
        <f t="shared" si="23"/>
        <v>0</v>
      </c>
      <c r="R14" s="41">
        <f t="shared" ref="R14:W14" si="24">R8+(R11/1.4)</f>
        <v>0</v>
      </c>
      <c r="S14" s="41">
        <f t="shared" si="24"/>
        <v>0</v>
      </c>
      <c r="T14" s="41">
        <f t="shared" si="24"/>
        <v>0</v>
      </c>
      <c r="U14" s="41">
        <f t="shared" si="24"/>
        <v>0</v>
      </c>
      <c r="V14" s="41">
        <f t="shared" si="24"/>
        <v>0</v>
      </c>
      <c r="W14" s="41">
        <f t="shared" si="24"/>
        <v>0</v>
      </c>
      <c r="X14" s="41">
        <f>X8+(X11/1.4)</f>
        <v>0</v>
      </c>
      <c r="Y14" s="41">
        <f t="shared" ref="Y14:AD14" si="25">Y8+(Y11/1.4)</f>
        <v>0</v>
      </c>
      <c r="Z14" s="41">
        <f t="shared" si="25"/>
        <v>0</v>
      </c>
      <c r="AA14" s="41">
        <f t="shared" si="25"/>
        <v>0</v>
      </c>
      <c r="AB14" s="41">
        <f t="shared" si="25"/>
        <v>0</v>
      </c>
      <c r="AC14" s="41">
        <f t="shared" si="25"/>
        <v>0</v>
      </c>
      <c r="AD14" s="41">
        <f t="shared" si="25"/>
        <v>0</v>
      </c>
      <c r="AE14" s="41"/>
      <c r="AF14" s="5">
        <f>SUM(D14:AD14)</f>
        <v>0</v>
      </c>
      <c r="AH14" s="4" t="s">
        <v>245</v>
      </c>
      <c r="AI14" s="39">
        <v>0</v>
      </c>
    </row>
    <row r="15" spans="1:35">
      <c r="A15" s="4"/>
      <c r="B15" s="87"/>
      <c r="C15" s="76"/>
      <c r="D15" s="76"/>
      <c r="E15" s="76"/>
      <c r="F15" s="76"/>
      <c r="G15" s="76"/>
      <c r="H15" s="76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5"/>
      <c r="AH15" s="8" t="s">
        <v>246</v>
      </c>
      <c r="AI15" s="40">
        <v>0</v>
      </c>
    </row>
    <row r="16" spans="1:35">
      <c r="A16" s="28" t="s">
        <v>108</v>
      </c>
      <c r="B16" s="87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5"/>
    </row>
    <row r="17" spans="1:35">
      <c r="A17" s="4" t="s">
        <v>347</v>
      </c>
      <c r="B17" s="17" t="s">
        <v>105</v>
      </c>
      <c r="C17" s="299"/>
      <c r="D17" s="76">
        <f>$C$17*D11</f>
        <v>0</v>
      </c>
      <c r="E17" s="76">
        <f t="shared" ref="E17:AD17" si="26">$C$17*E11</f>
        <v>0</v>
      </c>
      <c r="F17" s="76">
        <f t="shared" si="26"/>
        <v>0</v>
      </c>
      <c r="G17" s="76">
        <f t="shared" si="26"/>
        <v>0</v>
      </c>
      <c r="H17" s="76">
        <f t="shared" si="26"/>
        <v>0</v>
      </c>
      <c r="I17" s="76">
        <f t="shared" si="26"/>
        <v>0</v>
      </c>
      <c r="J17" s="76">
        <f t="shared" si="26"/>
        <v>0</v>
      </c>
      <c r="K17" s="76">
        <f t="shared" si="26"/>
        <v>0</v>
      </c>
      <c r="L17" s="76">
        <f t="shared" si="26"/>
        <v>0</v>
      </c>
      <c r="M17" s="76">
        <f t="shared" si="26"/>
        <v>0</v>
      </c>
      <c r="N17" s="76">
        <f t="shared" si="26"/>
        <v>0</v>
      </c>
      <c r="O17" s="76">
        <f t="shared" si="26"/>
        <v>0</v>
      </c>
      <c r="P17" s="76">
        <f t="shared" si="26"/>
        <v>0</v>
      </c>
      <c r="Q17" s="76">
        <f t="shared" si="26"/>
        <v>0</v>
      </c>
      <c r="R17" s="76">
        <f t="shared" si="26"/>
        <v>0</v>
      </c>
      <c r="S17" s="76">
        <f t="shared" si="26"/>
        <v>0</v>
      </c>
      <c r="T17" s="76">
        <f t="shared" si="26"/>
        <v>0</v>
      </c>
      <c r="U17" s="76">
        <f t="shared" si="26"/>
        <v>0</v>
      </c>
      <c r="V17" s="76">
        <f t="shared" si="26"/>
        <v>0</v>
      </c>
      <c r="W17" s="76">
        <f t="shared" si="26"/>
        <v>0</v>
      </c>
      <c r="X17" s="76">
        <f t="shared" si="26"/>
        <v>0</v>
      </c>
      <c r="Y17" s="76">
        <f t="shared" si="26"/>
        <v>0</v>
      </c>
      <c r="Z17" s="76">
        <f t="shared" si="26"/>
        <v>0</v>
      </c>
      <c r="AA17" s="76">
        <f t="shared" si="26"/>
        <v>0</v>
      </c>
      <c r="AB17" s="76">
        <f t="shared" si="26"/>
        <v>0</v>
      </c>
      <c r="AC17" s="76">
        <f t="shared" si="26"/>
        <v>0</v>
      </c>
      <c r="AD17" s="76">
        <f t="shared" si="26"/>
        <v>0</v>
      </c>
      <c r="AE17" s="76"/>
      <c r="AF17" s="5">
        <f>SUM(D17:AD17)</f>
        <v>0</v>
      </c>
    </row>
    <row r="18" spans="1:35">
      <c r="A18" s="4" t="s">
        <v>110</v>
      </c>
      <c r="B18" s="17" t="s">
        <v>105</v>
      </c>
      <c r="C18" s="65"/>
      <c r="D18" s="12">
        <f>$C$18*D11</f>
        <v>0</v>
      </c>
      <c r="E18" s="12">
        <f t="shared" ref="E18:AD18" si="27">$C$18*E11</f>
        <v>0</v>
      </c>
      <c r="F18" s="12">
        <f t="shared" si="27"/>
        <v>0</v>
      </c>
      <c r="G18" s="12">
        <f t="shared" si="27"/>
        <v>0</v>
      </c>
      <c r="H18" s="12">
        <f t="shared" si="27"/>
        <v>0</v>
      </c>
      <c r="I18" s="12">
        <f t="shared" si="27"/>
        <v>0</v>
      </c>
      <c r="J18" s="12">
        <f t="shared" si="27"/>
        <v>0</v>
      </c>
      <c r="K18" s="12">
        <f t="shared" si="27"/>
        <v>0</v>
      </c>
      <c r="L18" s="12">
        <f t="shared" si="27"/>
        <v>0</v>
      </c>
      <c r="M18" s="12">
        <f t="shared" si="27"/>
        <v>0</v>
      </c>
      <c r="N18" s="12">
        <f t="shared" si="27"/>
        <v>0</v>
      </c>
      <c r="O18" s="12">
        <f t="shared" si="27"/>
        <v>0</v>
      </c>
      <c r="P18" s="12">
        <f t="shared" si="27"/>
        <v>0</v>
      </c>
      <c r="Q18" s="12">
        <f t="shared" si="27"/>
        <v>0</v>
      </c>
      <c r="R18" s="12">
        <f t="shared" si="27"/>
        <v>0</v>
      </c>
      <c r="S18" s="12">
        <f t="shared" si="27"/>
        <v>0</v>
      </c>
      <c r="T18" s="12">
        <f t="shared" si="27"/>
        <v>0</v>
      </c>
      <c r="U18" s="12">
        <f t="shared" si="27"/>
        <v>0</v>
      </c>
      <c r="V18" s="12">
        <f t="shared" si="27"/>
        <v>0</v>
      </c>
      <c r="W18" s="12">
        <f t="shared" si="27"/>
        <v>0</v>
      </c>
      <c r="X18" s="12">
        <f t="shared" si="27"/>
        <v>0</v>
      </c>
      <c r="Y18" s="12">
        <f t="shared" si="27"/>
        <v>0</v>
      </c>
      <c r="Z18" s="12">
        <f t="shared" si="27"/>
        <v>0</v>
      </c>
      <c r="AA18" s="12">
        <f t="shared" si="27"/>
        <v>0</v>
      </c>
      <c r="AB18" s="12">
        <f t="shared" si="27"/>
        <v>0</v>
      </c>
      <c r="AC18" s="12">
        <f t="shared" si="27"/>
        <v>0</v>
      </c>
      <c r="AD18" s="12">
        <f t="shared" si="27"/>
        <v>0</v>
      </c>
      <c r="AE18" s="12"/>
      <c r="AF18" s="5">
        <f>SUM(D18:AD18)</f>
        <v>0</v>
      </c>
    </row>
    <row r="19" spans="1:35">
      <c r="A19" s="4" t="s">
        <v>111</v>
      </c>
      <c r="B19" s="17" t="s">
        <v>105</v>
      </c>
      <c r="C19" s="12"/>
      <c r="D19" s="12">
        <f>D20*D17</f>
        <v>0</v>
      </c>
      <c r="E19" s="12">
        <f t="shared" ref="E19:AD19" si="28">E20*E17</f>
        <v>0</v>
      </c>
      <c r="F19" s="12">
        <f t="shared" si="28"/>
        <v>0</v>
      </c>
      <c r="G19" s="12">
        <f t="shared" si="28"/>
        <v>0</v>
      </c>
      <c r="H19" s="12">
        <f t="shared" si="28"/>
        <v>0</v>
      </c>
      <c r="I19" s="12">
        <f t="shared" si="28"/>
        <v>0</v>
      </c>
      <c r="J19" s="12">
        <f t="shared" si="28"/>
        <v>0</v>
      </c>
      <c r="K19" s="12">
        <f t="shared" si="28"/>
        <v>0</v>
      </c>
      <c r="L19" s="12">
        <f t="shared" si="28"/>
        <v>0</v>
      </c>
      <c r="M19" s="12">
        <f t="shared" si="28"/>
        <v>0</v>
      </c>
      <c r="N19" s="12">
        <f t="shared" si="28"/>
        <v>0</v>
      </c>
      <c r="O19" s="12">
        <f t="shared" si="28"/>
        <v>0</v>
      </c>
      <c r="P19" s="12">
        <f t="shared" si="28"/>
        <v>0</v>
      </c>
      <c r="Q19" s="12">
        <f t="shared" si="28"/>
        <v>0</v>
      </c>
      <c r="R19" s="12">
        <f t="shared" si="28"/>
        <v>0</v>
      </c>
      <c r="S19" s="12">
        <f t="shared" si="28"/>
        <v>0</v>
      </c>
      <c r="T19" s="12">
        <f t="shared" si="28"/>
        <v>0</v>
      </c>
      <c r="U19" s="12">
        <f t="shared" si="28"/>
        <v>0</v>
      </c>
      <c r="V19" s="12">
        <f t="shared" si="28"/>
        <v>0</v>
      </c>
      <c r="W19" s="12">
        <f t="shared" si="28"/>
        <v>0</v>
      </c>
      <c r="X19" s="12">
        <f t="shared" si="28"/>
        <v>0</v>
      </c>
      <c r="Y19" s="12">
        <f t="shared" si="28"/>
        <v>0</v>
      </c>
      <c r="Z19" s="12">
        <f t="shared" si="28"/>
        <v>0</v>
      </c>
      <c r="AA19" s="12">
        <f t="shared" si="28"/>
        <v>0</v>
      </c>
      <c r="AB19" s="12">
        <f t="shared" si="28"/>
        <v>0</v>
      </c>
      <c r="AC19" s="12">
        <f t="shared" si="28"/>
        <v>0</v>
      </c>
      <c r="AD19" s="12">
        <f t="shared" si="28"/>
        <v>0</v>
      </c>
      <c r="AE19" s="12"/>
      <c r="AF19" s="5">
        <f>SUM(D19:W19)</f>
        <v>0</v>
      </c>
    </row>
    <row r="20" spans="1:35">
      <c r="A20" s="4" t="s">
        <v>112</v>
      </c>
      <c r="B20" s="17"/>
      <c r="C20" s="297"/>
      <c r="D20" s="14">
        <f>$C$20</f>
        <v>0</v>
      </c>
      <c r="E20" s="14">
        <f t="shared" ref="E20:AD20" si="29">$C$20</f>
        <v>0</v>
      </c>
      <c r="F20" s="14">
        <f t="shared" si="29"/>
        <v>0</v>
      </c>
      <c r="G20" s="14">
        <f t="shared" si="29"/>
        <v>0</v>
      </c>
      <c r="H20" s="14">
        <f t="shared" si="29"/>
        <v>0</v>
      </c>
      <c r="I20" s="14">
        <f t="shared" si="29"/>
        <v>0</v>
      </c>
      <c r="J20" s="14">
        <f t="shared" si="29"/>
        <v>0</v>
      </c>
      <c r="K20" s="14">
        <f t="shared" si="29"/>
        <v>0</v>
      </c>
      <c r="L20" s="14">
        <f t="shared" si="29"/>
        <v>0</v>
      </c>
      <c r="M20" s="14">
        <f t="shared" si="29"/>
        <v>0</v>
      </c>
      <c r="N20" s="14">
        <f t="shared" si="29"/>
        <v>0</v>
      </c>
      <c r="O20" s="14">
        <f t="shared" si="29"/>
        <v>0</v>
      </c>
      <c r="P20" s="14">
        <f t="shared" si="29"/>
        <v>0</v>
      </c>
      <c r="Q20" s="14">
        <f t="shared" si="29"/>
        <v>0</v>
      </c>
      <c r="R20" s="14">
        <f t="shared" si="29"/>
        <v>0</v>
      </c>
      <c r="S20" s="14">
        <f t="shared" si="29"/>
        <v>0</v>
      </c>
      <c r="T20" s="14">
        <f t="shared" si="29"/>
        <v>0</v>
      </c>
      <c r="U20" s="14">
        <f t="shared" si="29"/>
        <v>0</v>
      </c>
      <c r="V20" s="14">
        <f t="shared" si="29"/>
        <v>0</v>
      </c>
      <c r="W20" s="14">
        <f t="shared" si="29"/>
        <v>0</v>
      </c>
      <c r="X20" s="14">
        <f t="shared" si="29"/>
        <v>0</v>
      </c>
      <c r="Y20" s="14">
        <f t="shared" si="29"/>
        <v>0</v>
      </c>
      <c r="Z20" s="14">
        <f t="shared" si="29"/>
        <v>0</v>
      </c>
      <c r="AA20" s="14">
        <f t="shared" si="29"/>
        <v>0</v>
      </c>
      <c r="AB20" s="14">
        <f t="shared" si="29"/>
        <v>0</v>
      </c>
      <c r="AC20" s="14">
        <f t="shared" si="29"/>
        <v>0</v>
      </c>
      <c r="AD20" s="14">
        <f t="shared" si="29"/>
        <v>0</v>
      </c>
      <c r="AE20" s="14"/>
      <c r="AF20" s="7">
        <f>IFERROR(AF19/AF17,0)</f>
        <v>0</v>
      </c>
    </row>
    <row r="21" spans="1:35">
      <c r="A21" s="4"/>
      <c r="B21" s="17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5"/>
      <c r="AH21" s="15" t="s">
        <v>247</v>
      </c>
      <c r="AI21" s="16"/>
    </row>
    <row r="22" spans="1:35">
      <c r="A22" s="4" t="s">
        <v>248</v>
      </c>
      <c r="B22" s="17"/>
      <c r="C22" s="14"/>
      <c r="D22" s="14">
        <f>IFERROR(D24/D11,0)</f>
        <v>0</v>
      </c>
      <c r="E22" s="14">
        <f t="shared" ref="E22:I22" si="30">IFERROR(E24/E11,0)</f>
        <v>0</v>
      </c>
      <c r="F22" s="14">
        <f t="shared" si="30"/>
        <v>0</v>
      </c>
      <c r="G22" s="14">
        <f t="shared" si="30"/>
        <v>0</v>
      </c>
      <c r="H22" s="14">
        <f t="shared" si="30"/>
        <v>0</v>
      </c>
      <c r="I22" s="14">
        <f t="shared" si="30"/>
        <v>0</v>
      </c>
      <c r="J22" s="14">
        <f t="shared" ref="J22:W22" si="31">IFERROR(J24/J11,0)</f>
        <v>0</v>
      </c>
      <c r="K22" s="14">
        <f t="shared" si="31"/>
        <v>0</v>
      </c>
      <c r="L22" s="14">
        <f t="shared" si="31"/>
        <v>0</v>
      </c>
      <c r="M22" s="14">
        <f t="shared" si="31"/>
        <v>0</v>
      </c>
      <c r="N22" s="14">
        <f t="shared" si="31"/>
        <v>0</v>
      </c>
      <c r="O22" s="14">
        <f t="shared" si="31"/>
        <v>0</v>
      </c>
      <c r="P22" s="14">
        <f t="shared" si="31"/>
        <v>0</v>
      </c>
      <c r="Q22" s="14">
        <f t="shared" si="31"/>
        <v>0</v>
      </c>
      <c r="R22" s="14">
        <f t="shared" si="31"/>
        <v>0</v>
      </c>
      <c r="S22" s="14">
        <f t="shared" si="31"/>
        <v>0</v>
      </c>
      <c r="T22" s="14">
        <f t="shared" si="31"/>
        <v>0</v>
      </c>
      <c r="U22" s="14">
        <f t="shared" si="31"/>
        <v>0</v>
      </c>
      <c r="V22" s="14">
        <f t="shared" si="31"/>
        <v>0</v>
      </c>
      <c r="W22" s="14">
        <f t="shared" si="31"/>
        <v>0</v>
      </c>
      <c r="X22" s="14">
        <f>IFERROR(X24/X11,0)</f>
        <v>0</v>
      </c>
      <c r="Y22" s="14">
        <f t="shared" ref="Y22:AD22" si="32">IFERROR(Y24/Y11,0)</f>
        <v>0</v>
      </c>
      <c r="Z22" s="14">
        <f t="shared" si="32"/>
        <v>0</v>
      </c>
      <c r="AA22" s="14">
        <f t="shared" si="32"/>
        <v>0</v>
      </c>
      <c r="AB22" s="14">
        <f t="shared" si="32"/>
        <v>0</v>
      </c>
      <c r="AC22" s="14">
        <f t="shared" si="32"/>
        <v>0</v>
      </c>
      <c r="AD22" s="14">
        <f t="shared" si="32"/>
        <v>0</v>
      </c>
      <c r="AE22" s="14"/>
      <c r="AF22" s="7">
        <f>IFERROR(AF24/AF9,0)</f>
        <v>0</v>
      </c>
      <c r="AH22" s="4"/>
      <c r="AI22" s="5"/>
    </row>
    <row r="23" spans="1:35">
      <c r="A23" s="4"/>
      <c r="B23" s="17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5"/>
      <c r="AH23" s="4"/>
      <c r="AI23" s="6"/>
    </row>
    <row r="24" spans="1:35">
      <c r="A24" s="4" t="s">
        <v>251</v>
      </c>
      <c r="B24" s="17" t="s">
        <v>105</v>
      </c>
      <c r="C24" s="12"/>
      <c r="D24" s="12">
        <f>D19+D18</f>
        <v>0</v>
      </c>
      <c r="E24" s="12">
        <f t="shared" ref="E24:I24" si="33">E19+E18</f>
        <v>0</v>
      </c>
      <c r="F24" s="12">
        <f t="shared" si="33"/>
        <v>0</v>
      </c>
      <c r="G24" s="12">
        <f t="shared" si="33"/>
        <v>0</v>
      </c>
      <c r="H24" s="12">
        <f t="shared" si="33"/>
        <v>0</v>
      </c>
      <c r="I24" s="12">
        <f t="shared" si="33"/>
        <v>0</v>
      </c>
      <c r="J24" s="12">
        <f>J18+J19</f>
        <v>0</v>
      </c>
      <c r="K24" s="12">
        <f t="shared" ref="K24:W24" si="34">K18+K19</f>
        <v>0</v>
      </c>
      <c r="L24" s="12">
        <f t="shared" si="34"/>
        <v>0</v>
      </c>
      <c r="M24" s="12">
        <f t="shared" si="34"/>
        <v>0</v>
      </c>
      <c r="N24" s="12">
        <f t="shared" si="34"/>
        <v>0</v>
      </c>
      <c r="O24" s="12">
        <f t="shared" si="34"/>
        <v>0</v>
      </c>
      <c r="P24" s="12">
        <f t="shared" si="34"/>
        <v>0</v>
      </c>
      <c r="Q24" s="12">
        <f t="shared" si="34"/>
        <v>0</v>
      </c>
      <c r="R24" s="12">
        <f t="shared" si="34"/>
        <v>0</v>
      </c>
      <c r="S24" s="12">
        <f t="shared" si="34"/>
        <v>0</v>
      </c>
      <c r="T24" s="12">
        <f t="shared" si="34"/>
        <v>0</v>
      </c>
      <c r="U24" s="12">
        <f t="shared" si="34"/>
        <v>0</v>
      </c>
      <c r="V24" s="12">
        <f t="shared" si="34"/>
        <v>0</v>
      </c>
      <c r="W24" s="12">
        <f t="shared" si="34"/>
        <v>0</v>
      </c>
      <c r="X24" s="12">
        <f>X18+X19</f>
        <v>0</v>
      </c>
      <c r="Y24" s="12">
        <f t="shared" ref="Y24:AD24" si="35">Y18+Y19</f>
        <v>0</v>
      </c>
      <c r="Z24" s="12">
        <f t="shared" si="35"/>
        <v>0</v>
      </c>
      <c r="AA24" s="12">
        <f t="shared" si="35"/>
        <v>0</v>
      </c>
      <c r="AB24" s="12">
        <f t="shared" si="35"/>
        <v>0</v>
      </c>
      <c r="AC24" s="12">
        <f t="shared" si="35"/>
        <v>0</v>
      </c>
      <c r="AD24" s="12">
        <f t="shared" si="35"/>
        <v>0</v>
      </c>
      <c r="AE24" s="12"/>
      <c r="AF24" s="5">
        <f>SUM(D24:AD24)</f>
        <v>0</v>
      </c>
      <c r="AH24" s="4" t="s">
        <v>348</v>
      </c>
      <c r="AI24" s="5">
        <f>AF7</f>
        <v>0</v>
      </c>
    </row>
    <row r="25" spans="1:35">
      <c r="A25" s="8"/>
      <c r="B25" s="21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7"/>
      <c r="AH25" s="4"/>
      <c r="AI25" s="5"/>
    </row>
    <row r="26" spans="1:35">
      <c r="A26" s="1" t="s">
        <v>254</v>
      </c>
      <c r="C26" s="142"/>
      <c r="D26" s="143">
        <f>C26-(1/26)</f>
        <v>-3.8461538461538464E-2</v>
      </c>
      <c r="E26" s="143">
        <f>D26-(1/26)</f>
        <v>-7.6923076923076927E-2</v>
      </c>
      <c r="F26" s="143">
        <f t="shared" ref="F26:AD26" si="36">E26-(1/26)</f>
        <v>-0.11538461538461539</v>
      </c>
      <c r="G26" s="143">
        <f t="shared" si="36"/>
        <v>-0.15384615384615385</v>
      </c>
      <c r="H26" s="143">
        <f t="shared" si="36"/>
        <v>-0.19230769230769232</v>
      </c>
      <c r="I26" s="143">
        <f t="shared" si="36"/>
        <v>-0.23076923076923078</v>
      </c>
      <c r="J26" s="143">
        <f t="shared" si="36"/>
        <v>-0.26923076923076927</v>
      </c>
      <c r="K26" s="143">
        <f t="shared" si="36"/>
        <v>-0.30769230769230771</v>
      </c>
      <c r="L26" s="143">
        <f t="shared" si="36"/>
        <v>-0.34615384615384615</v>
      </c>
      <c r="M26" s="143">
        <f t="shared" si="36"/>
        <v>-0.38461538461538458</v>
      </c>
      <c r="N26" s="143">
        <f t="shared" si="36"/>
        <v>-0.42307692307692302</v>
      </c>
      <c r="O26" s="143">
        <f t="shared" si="36"/>
        <v>-0.46153846153846145</v>
      </c>
      <c r="P26" s="143">
        <f t="shared" si="36"/>
        <v>-0.49999999999999989</v>
      </c>
      <c r="Q26" s="143">
        <f t="shared" si="36"/>
        <v>-0.53846153846153832</v>
      </c>
      <c r="R26" s="143">
        <f t="shared" si="36"/>
        <v>-0.57692307692307676</v>
      </c>
      <c r="S26" s="143">
        <f t="shared" si="36"/>
        <v>-0.6153846153846152</v>
      </c>
      <c r="T26" s="143">
        <f t="shared" si="36"/>
        <v>-0.65384615384615363</v>
      </c>
      <c r="U26" s="143">
        <f t="shared" si="36"/>
        <v>-0.69230769230769207</v>
      </c>
      <c r="V26" s="143">
        <f t="shared" si="36"/>
        <v>-0.7307692307692305</v>
      </c>
      <c r="W26" s="143">
        <f t="shared" si="36"/>
        <v>-0.76923076923076894</v>
      </c>
      <c r="X26" s="143">
        <f t="shared" si="36"/>
        <v>-0.80769230769230738</v>
      </c>
      <c r="Y26" s="143">
        <f t="shared" si="36"/>
        <v>-0.84615384615384581</v>
      </c>
      <c r="Z26" s="143">
        <f t="shared" si="36"/>
        <v>-0.88461538461538425</v>
      </c>
      <c r="AA26" s="143">
        <f t="shared" si="36"/>
        <v>-0.92307692307692268</v>
      </c>
      <c r="AB26" s="143">
        <f t="shared" si="36"/>
        <v>-0.96153846153846112</v>
      </c>
      <c r="AC26" s="143">
        <f t="shared" si="36"/>
        <v>-0.99999999999999956</v>
      </c>
      <c r="AD26" s="143">
        <f t="shared" si="36"/>
        <v>-1.0384615384615381</v>
      </c>
      <c r="AE26" s="143"/>
      <c r="AH26" s="4" t="s">
        <v>255</v>
      </c>
      <c r="AI26" s="5">
        <f>AF11</f>
        <v>0</v>
      </c>
    </row>
    <row r="27" spans="1:35">
      <c r="A27" s="4" t="s">
        <v>349</v>
      </c>
      <c r="B27" s="17" t="s">
        <v>257</v>
      </c>
      <c r="C27" s="120">
        <v>0.1</v>
      </c>
      <c r="D27" s="120">
        <f t="shared" ref="D27" si="37">D9*1000*$C$27</f>
        <v>0</v>
      </c>
      <c r="E27" s="120">
        <f t="shared" ref="E27:I27" si="38">E9*1000*$C$27</f>
        <v>0</v>
      </c>
      <c r="F27" s="120">
        <f t="shared" si="38"/>
        <v>0</v>
      </c>
      <c r="G27" s="120">
        <f t="shared" si="38"/>
        <v>0</v>
      </c>
      <c r="H27" s="120">
        <f t="shared" si="38"/>
        <v>0</v>
      </c>
      <c r="I27" s="120">
        <f t="shared" si="38"/>
        <v>0</v>
      </c>
      <c r="J27" s="120">
        <f>J9*1000*$C$27</f>
        <v>0</v>
      </c>
      <c r="K27" s="120">
        <f t="shared" ref="K27:AD27" si="39">K9*1000*$C$27</f>
        <v>0</v>
      </c>
      <c r="L27" s="120">
        <f t="shared" si="39"/>
        <v>0</v>
      </c>
      <c r="M27" s="120">
        <f t="shared" si="39"/>
        <v>0</v>
      </c>
      <c r="N27" s="120">
        <f t="shared" si="39"/>
        <v>0</v>
      </c>
      <c r="O27" s="120">
        <f t="shared" si="39"/>
        <v>0</v>
      </c>
      <c r="P27" s="120">
        <f t="shared" si="39"/>
        <v>0</v>
      </c>
      <c r="Q27" s="120">
        <f t="shared" si="39"/>
        <v>0</v>
      </c>
      <c r="R27" s="120">
        <f t="shared" si="39"/>
        <v>0</v>
      </c>
      <c r="S27" s="120">
        <f t="shared" si="39"/>
        <v>0</v>
      </c>
      <c r="T27" s="120">
        <f t="shared" si="39"/>
        <v>0</v>
      </c>
      <c r="U27" s="120">
        <f t="shared" si="39"/>
        <v>0</v>
      </c>
      <c r="V27" s="120">
        <f t="shared" si="39"/>
        <v>0</v>
      </c>
      <c r="W27" s="120">
        <f t="shared" si="39"/>
        <v>0</v>
      </c>
      <c r="X27" s="120">
        <f t="shared" si="39"/>
        <v>0</v>
      </c>
      <c r="Y27" s="120">
        <f t="shared" si="39"/>
        <v>0</v>
      </c>
      <c r="Z27" s="120">
        <f t="shared" si="39"/>
        <v>0</v>
      </c>
      <c r="AA27" s="120">
        <f t="shared" si="39"/>
        <v>0</v>
      </c>
      <c r="AB27" s="120">
        <f t="shared" si="39"/>
        <v>0</v>
      </c>
      <c r="AC27" s="120">
        <f t="shared" si="39"/>
        <v>0</v>
      </c>
      <c r="AD27" s="120">
        <f t="shared" si="39"/>
        <v>0</v>
      </c>
      <c r="AE27" s="120"/>
      <c r="AF27" s="47">
        <f>SUM(D27:AD27)</f>
        <v>0</v>
      </c>
      <c r="AH27" s="8" t="s">
        <v>260</v>
      </c>
      <c r="AI27" s="9">
        <v>21</v>
      </c>
    </row>
    <row r="28" spans="1:35">
      <c r="A28" t="s">
        <v>262</v>
      </c>
      <c r="B28" s="17" t="s">
        <v>257</v>
      </c>
      <c r="C28" s="120">
        <v>0</v>
      </c>
      <c r="D28" s="114">
        <f>D11*'Decommissioned Mine'!E35</f>
        <v>0</v>
      </c>
      <c r="E28" s="114">
        <f>E11*'Decommissioned Mine'!F35</f>
        <v>0</v>
      </c>
      <c r="F28" s="114">
        <f>F11*'Decommissioned Mine'!G35</f>
        <v>0</v>
      </c>
      <c r="G28" s="114">
        <f>G11*'Decommissioned Mine'!H35</f>
        <v>0</v>
      </c>
      <c r="H28" s="114">
        <f>H11*'Decommissioned Mine'!I35</f>
        <v>0</v>
      </c>
      <c r="I28" s="114">
        <f>I11*'Decommissioned Mine'!J35</f>
        <v>0</v>
      </c>
      <c r="J28" s="114">
        <f>J11*'Decommissioned Mine'!K35</f>
        <v>0</v>
      </c>
      <c r="K28" s="114">
        <f>K11*'Decommissioned Mine'!L35</f>
        <v>0</v>
      </c>
      <c r="L28" s="114">
        <f>L11*'Decommissioned Mine'!M35</f>
        <v>0</v>
      </c>
      <c r="M28" s="114">
        <f>M11*'Decommissioned Mine'!N35</f>
        <v>0</v>
      </c>
      <c r="N28" s="114">
        <f>N11*'Decommissioned Mine'!O35</f>
        <v>0</v>
      </c>
      <c r="O28" s="114">
        <f>O11*'Decommissioned Mine'!P35</f>
        <v>0</v>
      </c>
      <c r="P28" s="114">
        <f>P11*'Decommissioned Mine'!Q35</f>
        <v>0</v>
      </c>
      <c r="Q28" s="114">
        <f>Q11*'Decommissioned Mine'!R35</f>
        <v>0</v>
      </c>
      <c r="R28" s="114">
        <f>R11*'Decommissioned Mine'!S35</f>
        <v>0</v>
      </c>
      <c r="S28" s="114">
        <f>S11*'Decommissioned Mine'!T35</f>
        <v>0</v>
      </c>
      <c r="T28" s="114">
        <f>T11*'Decommissioned Mine'!U35</f>
        <v>0</v>
      </c>
      <c r="U28" s="114">
        <f>U11*'Decommissioned Mine'!V35</f>
        <v>0</v>
      </c>
      <c r="V28" s="114">
        <f>V11*'Decommissioned Mine'!W35</f>
        <v>0</v>
      </c>
      <c r="W28" s="114">
        <f>W11*'Decommissioned Mine'!X35</f>
        <v>0</v>
      </c>
      <c r="X28" s="114">
        <f>X11*'Decommissioned Mine'!Y35</f>
        <v>0</v>
      </c>
      <c r="Y28" s="114">
        <f>Y11*'Decommissioned Mine'!Z35</f>
        <v>0</v>
      </c>
      <c r="Z28" s="114">
        <f>Z11*'Decommissioned Mine'!AA35</f>
        <v>0</v>
      </c>
      <c r="AA28" s="114">
        <f>AA11*'Decommissioned Mine'!AB35</f>
        <v>0</v>
      </c>
      <c r="AB28" s="114">
        <f>AB11*'Decommissioned Mine'!AC35</f>
        <v>0</v>
      </c>
      <c r="AC28" s="114">
        <f>AC11*'Decommissioned Mine'!AD35</f>
        <v>0</v>
      </c>
      <c r="AD28" s="114">
        <f>AD11*'Decommissioned Mine'!AE35</f>
        <v>0</v>
      </c>
      <c r="AE28" s="114"/>
      <c r="AF28" s="47"/>
      <c r="AI28" s="76"/>
    </row>
    <row r="29" spans="1:35">
      <c r="A29" t="s">
        <v>263</v>
      </c>
      <c r="B29" s="17" t="s">
        <v>257</v>
      </c>
      <c r="C29" s="120"/>
      <c r="D29" s="120">
        <f>D27-D28</f>
        <v>0</v>
      </c>
      <c r="E29" s="120">
        <f t="shared" ref="E29:I29" si="40">E27-E28</f>
        <v>0</v>
      </c>
      <c r="F29" s="120">
        <f t="shared" si="40"/>
        <v>0</v>
      </c>
      <c r="G29" s="120">
        <f t="shared" si="40"/>
        <v>0</v>
      </c>
      <c r="H29" s="120">
        <f t="shared" si="40"/>
        <v>0</v>
      </c>
      <c r="I29" s="120">
        <f t="shared" si="40"/>
        <v>0</v>
      </c>
      <c r="J29" s="120">
        <f t="shared" ref="J29:AD29" si="41">J27-J28</f>
        <v>0</v>
      </c>
      <c r="K29" s="120">
        <f t="shared" si="41"/>
        <v>0</v>
      </c>
      <c r="L29" s="120">
        <f t="shared" si="41"/>
        <v>0</v>
      </c>
      <c r="M29" s="120">
        <f t="shared" si="41"/>
        <v>0</v>
      </c>
      <c r="N29" s="120">
        <f t="shared" si="41"/>
        <v>0</v>
      </c>
      <c r="O29" s="120">
        <f t="shared" si="41"/>
        <v>0</v>
      </c>
      <c r="P29" s="120">
        <f t="shared" si="41"/>
        <v>0</v>
      </c>
      <c r="Q29" s="120">
        <f t="shared" si="41"/>
        <v>0</v>
      </c>
      <c r="R29" s="120">
        <f t="shared" si="41"/>
        <v>0</v>
      </c>
      <c r="S29" s="120">
        <f t="shared" si="41"/>
        <v>0</v>
      </c>
      <c r="T29" s="120">
        <f t="shared" si="41"/>
        <v>0</v>
      </c>
      <c r="U29" s="120">
        <f t="shared" si="41"/>
        <v>0</v>
      </c>
      <c r="V29" s="120">
        <f t="shared" si="41"/>
        <v>0</v>
      </c>
      <c r="W29" s="120">
        <f t="shared" si="41"/>
        <v>0</v>
      </c>
      <c r="X29" s="120">
        <f t="shared" si="41"/>
        <v>0</v>
      </c>
      <c r="Y29" s="120">
        <f t="shared" si="41"/>
        <v>0</v>
      </c>
      <c r="Z29" s="120">
        <f t="shared" si="41"/>
        <v>0</v>
      </c>
      <c r="AA29" s="120">
        <f t="shared" si="41"/>
        <v>0</v>
      </c>
      <c r="AB29" s="120">
        <f t="shared" si="41"/>
        <v>0</v>
      </c>
      <c r="AC29" s="120">
        <f t="shared" si="41"/>
        <v>0</v>
      </c>
      <c r="AD29" s="120">
        <f t="shared" si="41"/>
        <v>0</v>
      </c>
      <c r="AE29" s="120"/>
      <c r="AF29" s="47"/>
      <c r="AI29" s="76"/>
    </row>
    <row r="30" spans="1:35"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</row>
    <row r="31" spans="1:35">
      <c r="A31" s="2" t="s">
        <v>113</v>
      </c>
      <c r="B31" s="29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95"/>
      <c r="V31" s="36"/>
      <c r="W31" s="36"/>
      <c r="X31" s="36"/>
      <c r="Y31" s="95"/>
      <c r="Z31" s="36"/>
      <c r="AA31" s="36"/>
      <c r="AB31" s="95"/>
      <c r="AC31" s="36"/>
      <c r="AD31" s="36"/>
      <c r="AE31" s="36"/>
      <c r="AF31" s="3"/>
    </row>
    <row r="32" spans="1:35">
      <c r="A32" s="28"/>
      <c r="B32" s="17"/>
      <c r="AF32" s="25"/>
    </row>
    <row r="33" spans="1:32">
      <c r="A33" s="28" t="s">
        <v>264</v>
      </c>
      <c r="B33" s="17"/>
      <c r="AF33" s="25"/>
    </row>
    <row r="34" spans="1:32">
      <c r="A34" s="94" t="s">
        <v>350</v>
      </c>
      <c r="B34" s="17" t="s">
        <v>105</v>
      </c>
      <c r="C34" s="283"/>
      <c r="D34" s="37">
        <f>D24*$C$34</f>
        <v>0</v>
      </c>
      <c r="E34" s="37">
        <f t="shared" ref="E34:AD34" si="42">E24*$C$34</f>
        <v>0</v>
      </c>
      <c r="F34" s="37">
        <f t="shared" si="42"/>
        <v>0</v>
      </c>
      <c r="G34" s="37">
        <f t="shared" si="42"/>
        <v>0</v>
      </c>
      <c r="H34" s="37">
        <f t="shared" si="42"/>
        <v>0</v>
      </c>
      <c r="I34" s="37">
        <f t="shared" si="42"/>
        <v>0</v>
      </c>
      <c r="J34" s="37">
        <f t="shared" si="42"/>
        <v>0</v>
      </c>
      <c r="K34" s="37">
        <f t="shared" si="42"/>
        <v>0</v>
      </c>
      <c r="L34" s="37">
        <f t="shared" si="42"/>
        <v>0</v>
      </c>
      <c r="M34" s="37">
        <f t="shared" si="42"/>
        <v>0</v>
      </c>
      <c r="N34" s="37">
        <f t="shared" si="42"/>
        <v>0</v>
      </c>
      <c r="O34" s="37">
        <f t="shared" si="42"/>
        <v>0</v>
      </c>
      <c r="P34" s="37">
        <f t="shared" si="42"/>
        <v>0</v>
      </c>
      <c r="Q34" s="37">
        <f t="shared" si="42"/>
        <v>0</v>
      </c>
      <c r="R34" s="37">
        <f t="shared" si="42"/>
        <v>0</v>
      </c>
      <c r="S34" s="37">
        <f t="shared" si="42"/>
        <v>0</v>
      </c>
      <c r="T34" s="37">
        <f t="shared" si="42"/>
        <v>0</v>
      </c>
      <c r="U34" s="37">
        <f t="shared" si="42"/>
        <v>0</v>
      </c>
      <c r="V34" s="37">
        <f t="shared" si="42"/>
        <v>0</v>
      </c>
      <c r="W34" s="37">
        <f t="shared" si="42"/>
        <v>0</v>
      </c>
      <c r="X34" s="37">
        <f t="shared" si="42"/>
        <v>0</v>
      </c>
      <c r="Y34" s="37">
        <f t="shared" si="42"/>
        <v>0</v>
      </c>
      <c r="Z34" s="37">
        <f t="shared" si="42"/>
        <v>0</v>
      </c>
      <c r="AA34" s="37">
        <f t="shared" si="42"/>
        <v>0</v>
      </c>
      <c r="AB34" s="37">
        <f t="shared" si="42"/>
        <v>0</v>
      </c>
      <c r="AC34" s="37">
        <f t="shared" si="42"/>
        <v>0</v>
      </c>
      <c r="AD34" s="37">
        <f t="shared" si="42"/>
        <v>0</v>
      </c>
      <c r="AE34" s="37"/>
      <c r="AF34" s="5">
        <f>SUM(D34:AD34)</f>
        <v>0</v>
      </c>
    </row>
    <row r="35" spans="1:32">
      <c r="A35" s="94" t="s">
        <v>12</v>
      </c>
      <c r="B35" s="17" t="s">
        <v>105</v>
      </c>
      <c r="C35" s="283"/>
      <c r="D35" s="37">
        <f>$C$35*D24</f>
        <v>0</v>
      </c>
      <c r="E35" s="37">
        <f t="shared" ref="E35:AD35" si="43">$C$35*E24</f>
        <v>0</v>
      </c>
      <c r="F35" s="37">
        <f t="shared" si="43"/>
        <v>0</v>
      </c>
      <c r="G35" s="37">
        <f t="shared" si="43"/>
        <v>0</v>
      </c>
      <c r="H35" s="37">
        <f t="shared" si="43"/>
        <v>0</v>
      </c>
      <c r="I35" s="37">
        <f t="shared" si="43"/>
        <v>0</v>
      </c>
      <c r="J35" s="37">
        <f t="shared" si="43"/>
        <v>0</v>
      </c>
      <c r="K35" s="37">
        <f t="shared" si="43"/>
        <v>0</v>
      </c>
      <c r="L35" s="37">
        <f t="shared" si="43"/>
        <v>0</v>
      </c>
      <c r="M35" s="37">
        <f t="shared" si="43"/>
        <v>0</v>
      </c>
      <c r="N35" s="37">
        <f t="shared" si="43"/>
        <v>0</v>
      </c>
      <c r="O35" s="37">
        <f t="shared" si="43"/>
        <v>0</v>
      </c>
      <c r="P35" s="37">
        <f t="shared" si="43"/>
        <v>0</v>
      </c>
      <c r="Q35" s="37">
        <f t="shared" si="43"/>
        <v>0</v>
      </c>
      <c r="R35" s="37">
        <f t="shared" si="43"/>
        <v>0</v>
      </c>
      <c r="S35" s="37">
        <f t="shared" si="43"/>
        <v>0</v>
      </c>
      <c r="T35" s="37">
        <f t="shared" si="43"/>
        <v>0</v>
      </c>
      <c r="U35" s="37">
        <f t="shared" si="43"/>
        <v>0</v>
      </c>
      <c r="V35" s="37">
        <f t="shared" si="43"/>
        <v>0</v>
      </c>
      <c r="W35" s="37">
        <f t="shared" si="43"/>
        <v>0</v>
      </c>
      <c r="X35" s="37">
        <f t="shared" si="43"/>
        <v>0</v>
      </c>
      <c r="Y35" s="37">
        <f t="shared" si="43"/>
        <v>0</v>
      </c>
      <c r="Z35" s="37">
        <f t="shared" si="43"/>
        <v>0</v>
      </c>
      <c r="AA35" s="37">
        <f t="shared" si="43"/>
        <v>0</v>
      </c>
      <c r="AB35" s="37">
        <f t="shared" si="43"/>
        <v>0</v>
      </c>
      <c r="AC35" s="37">
        <f t="shared" si="43"/>
        <v>0</v>
      </c>
      <c r="AD35" s="37">
        <f t="shared" si="43"/>
        <v>0</v>
      </c>
      <c r="AE35" s="37"/>
      <c r="AF35" s="5">
        <f>SUM(D35:AD35)</f>
        <v>0</v>
      </c>
    </row>
    <row r="36" spans="1:32">
      <c r="A36" s="4" t="s">
        <v>115</v>
      </c>
      <c r="B36" s="17" t="s">
        <v>105</v>
      </c>
      <c r="C36" s="35"/>
      <c r="D36" s="35">
        <f t="shared" ref="D36" si="44">SUM(D34:D35)</f>
        <v>0</v>
      </c>
      <c r="E36" s="35">
        <f t="shared" ref="E36:AD36" si="45">SUM(E34:E35)</f>
        <v>0</v>
      </c>
      <c r="F36" s="35">
        <f t="shared" si="45"/>
        <v>0</v>
      </c>
      <c r="G36" s="35">
        <f t="shared" si="45"/>
        <v>0</v>
      </c>
      <c r="H36" s="35">
        <f t="shared" si="45"/>
        <v>0</v>
      </c>
      <c r="I36" s="35">
        <f t="shared" si="45"/>
        <v>0</v>
      </c>
      <c r="J36" s="35">
        <f t="shared" si="45"/>
        <v>0</v>
      </c>
      <c r="K36" s="35">
        <f t="shared" si="45"/>
        <v>0</v>
      </c>
      <c r="L36" s="35">
        <f t="shared" si="45"/>
        <v>0</v>
      </c>
      <c r="M36" s="35">
        <f t="shared" si="45"/>
        <v>0</v>
      </c>
      <c r="N36" s="35">
        <f t="shared" si="45"/>
        <v>0</v>
      </c>
      <c r="O36" s="35">
        <f t="shared" si="45"/>
        <v>0</v>
      </c>
      <c r="P36" s="35">
        <f t="shared" si="45"/>
        <v>0</v>
      </c>
      <c r="Q36" s="35">
        <f t="shared" si="45"/>
        <v>0</v>
      </c>
      <c r="R36" s="35">
        <f t="shared" si="45"/>
        <v>0</v>
      </c>
      <c r="S36" s="35">
        <f t="shared" si="45"/>
        <v>0</v>
      </c>
      <c r="T36" s="35">
        <f t="shared" si="45"/>
        <v>0</v>
      </c>
      <c r="U36" s="35">
        <f t="shared" si="45"/>
        <v>0</v>
      </c>
      <c r="V36" s="35">
        <f t="shared" si="45"/>
        <v>0</v>
      </c>
      <c r="W36" s="35">
        <f t="shared" si="45"/>
        <v>0</v>
      </c>
      <c r="X36" s="35">
        <f t="shared" si="45"/>
        <v>0</v>
      </c>
      <c r="Y36" s="35">
        <f t="shared" si="45"/>
        <v>0</v>
      </c>
      <c r="Z36" s="35">
        <f t="shared" si="45"/>
        <v>0</v>
      </c>
      <c r="AA36" s="35">
        <f t="shared" si="45"/>
        <v>0</v>
      </c>
      <c r="AB36" s="35">
        <f t="shared" si="45"/>
        <v>0</v>
      </c>
      <c r="AC36" s="35">
        <f t="shared" si="45"/>
        <v>0</v>
      </c>
      <c r="AD36" s="35">
        <f t="shared" si="45"/>
        <v>0</v>
      </c>
      <c r="AE36" s="35"/>
      <c r="AF36" s="35">
        <f>SUM(AF34:AF35)</f>
        <v>0</v>
      </c>
    </row>
    <row r="37" spans="1:32">
      <c r="A37" s="4"/>
      <c r="B37" s="17"/>
      <c r="AF37" s="25"/>
    </row>
    <row r="38" spans="1:32">
      <c r="A38" s="28" t="s">
        <v>266</v>
      </c>
      <c r="B38" s="17"/>
      <c r="AF38" s="25"/>
    </row>
    <row r="39" spans="1:32">
      <c r="A39" s="94" t="s">
        <v>350</v>
      </c>
      <c r="B39" s="17" t="s">
        <v>43</v>
      </c>
      <c r="C39" s="297"/>
      <c r="D39" s="14">
        <f>$C$39</f>
        <v>0</v>
      </c>
      <c r="E39" s="14">
        <f t="shared" ref="E39:AD39" si="46">$C$39</f>
        <v>0</v>
      </c>
      <c r="F39" s="14">
        <f t="shared" si="46"/>
        <v>0</v>
      </c>
      <c r="G39" s="14">
        <f t="shared" si="46"/>
        <v>0</v>
      </c>
      <c r="H39" s="14">
        <f t="shared" si="46"/>
        <v>0</v>
      </c>
      <c r="I39" s="14">
        <f t="shared" si="46"/>
        <v>0</v>
      </c>
      <c r="J39" s="14">
        <f t="shared" si="46"/>
        <v>0</v>
      </c>
      <c r="K39" s="14">
        <f t="shared" si="46"/>
        <v>0</v>
      </c>
      <c r="L39" s="14">
        <f t="shared" si="46"/>
        <v>0</v>
      </c>
      <c r="M39" s="14">
        <f t="shared" si="46"/>
        <v>0</v>
      </c>
      <c r="N39" s="14">
        <f t="shared" si="46"/>
        <v>0</v>
      </c>
      <c r="O39" s="14">
        <f t="shared" si="46"/>
        <v>0</v>
      </c>
      <c r="P39" s="14">
        <f t="shared" si="46"/>
        <v>0</v>
      </c>
      <c r="Q39" s="14">
        <f t="shared" si="46"/>
        <v>0</v>
      </c>
      <c r="R39" s="14">
        <f t="shared" si="46"/>
        <v>0</v>
      </c>
      <c r="S39" s="14">
        <f t="shared" si="46"/>
        <v>0</v>
      </c>
      <c r="T39" s="14">
        <f t="shared" si="46"/>
        <v>0</v>
      </c>
      <c r="U39" s="14">
        <f t="shared" si="46"/>
        <v>0</v>
      </c>
      <c r="V39" s="14">
        <f t="shared" si="46"/>
        <v>0</v>
      </c>
      <c r="W39" s="14">
        <f t="shared" si="46"/>
        <v>0</v>
      </c>
      <c r="X39" s="14">
        <f t="shared" si="46"/>
        <v>0</v>
      </c>
      <c r="Y39" s="14">
        <f t="shared" si="46"/>
        <v>0</v>
      </c>
      <c r="Z39" s="14">
        <f t="shared" si="46"/>
        <v>0</v>
      </c>
      <c r="AA39" s="14">
        <f t="shared" si="46"/>
        <v>0</v>
      </c>
      <c r="AB39" s="14">
        <f t="shared" si="46"/>
        <v>0</v>
      </c>
      <c r="AC39" s="14">
        <f t="shared" si="46"/>
        <v>0</v>
      </c>
      <c r="AD39" s="14">
        <f t="shared" si="46"/>
        <v>0</v>
      </c>
      <c r="AE39" s="14"/>
      <c r="AF39" s="5"/>
    </row>
    <row r="40" spans="1:32">
      <c r="A40" s="94" t="s">
        <v>12</v>
      </c>
      <c r="B40" s="17" t="s">
        <v>43</v>
      </c>
      <c r="C40" s="297"/>
      <c r="D40" s="14">
        <f>$C$40</f>
        <v>0</v>
      </c>
      <c r="E40" s="14">
        <f t="shared" ref="E40:AD40" si="47">$C$40</f>
        <v>0</v>
      </c>
      <c r="F40" s="14">
        <f t="shared" si="47"/>
        <v>0</v>
      </c>
      <c r="G40" s="14">
        <f t="shared" si="47"/>
        <v>0</v>
      </c>
      <c r="H40" s="14">
        <f t="shared" si="47"/>
        <v>0</v>
      </c>
      <c r="I40" s="14">
        <f t="shared" si="47"/>
        <v>0</v>
      </c>
      <c r="J40" s="14">
        <f t="shared" si="47"/>
        <v>0</v>
      </c>
      <c r="K40" s="14">
        <f t="shared" si="47"/>
        <v>0</v>
      </c>
      <c r="L40" s="14">
        <f t="shared" si="47"/>
        <v>0</v>
      </c>
      <c r="M40" s="14">
        <f t="shared" si="47"/>
        <v>0</v>
      </c>
      <c r="N40" s="14">
        <f t="shared" si="47"/>
        <v>0</v>
      </c>
      <c r="O40" s="14">
        <f t="shared" si="47"/>
        <v>0</v>
      </c>
      <c r="P40" s="14">
        <f t="shared" si="47"/>
        <v>0</v>
      </c>
      <c r="Q40" s="14">
        <f t="shared" si="47"/>
        <v>0</v>
      </c>
      <c r="R40" s="14">
        <f t="shared" si="47"/>
        <v>0</v>
      </c>
      <c r="S40" s="14">
        <f t="shared" si="47"/>
        <v>0</v>
      </c>
      <c r="T40" s="14">
        <f t="shared" si="47"/>
        <v>0</v>
      </c>
      <c r="U40" s="14">
        <f t="shared" si="47"/>
        <v>0</v>
      </c>
      <c r="V40" s="14">
        <f t="shared" si="47"/>
        <v>0</v>
      </c>
      <c r="W40" s="14">
        <f t="shared" si="47"/>
        <v>0</v>
      </c>
      <c r="X40" s="14">
        <f t="shared" si="47"/>
        <v>0</v>
      </c>
      <c r="Y40" s="14">
        <f t="shared" si="47"/>
        <v>0</v>
      </c>
      <c r="Z40" s="14">
        <f t="shared" si="47"/>
        <v>0</v>
      </c>
      <c r="AA40" s="14">
        <f t="shared" si="47"/>
        <v>0</v>
      </c>
      <c r="AB40" s="14">
        <f t="shared" si="47"/>
        <v>0</v>
      </c>
      <c r="AC40" s="14">
        <f t="shared" si="47"/>
        <v>0</v>
      </c>
      <c r="AD40" s="14">
        <f t="shared" si="47"/>
        <v>0</v>
      </c>
      <c r="AE40" s="14"/>
      <c r="AF40" s="5"/>
    </row>
    <row r="41" spans="1:32">
      <c r="A41" s="4"/>
      <c r="B41" s="17"/>
      <c r="AF41" s="25"/>
    </row>
    <row r="42" spans="1:32">
      <c r="A42" s="28" t="s">
        <v>267</v>
      </c>
      <c r="B42" s="17"/>
      <c r="AF42" s="25"/>
    </row>
    <row r="43" spans="1:32">
      <c r="A43" s="94" t="s">
        <v>350</v>
      </c>
      <c r="B43" s="17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5"/>
    </row>
    <row r="44" spans="1:32">
      <c r="A44" s="94" t="s">
        <v>12</v>
      </c>
      <c r="B44" s="17" t="s">
        <v>268</v>
      </c>
      <c r="C44" s="65"/>
      <c r="D44" s="12">
        <f>$C$44</f>
        <v>0</v>
      </c>
      <c r="E44" s="12">
        <f t="shared" ref="E44:AD44" si="48">$C$44</f>
        <v>0</v>
      </c>
      <c r="F44" s="12">
        <f t="shared" si="48"/>
        <v>0</v>
      </c>
      <c r="G44" s="12">
        <f t="shared" si="48"/>
        <v>0</v>
      </c>
      <c r="H44" s="12">
        <f t="shared" si="48"/>
        <v>0</v>
      </c>
      <c r="I44" s="12">
        <f t="shared" si="48"/>
        <v>0</v>
      </c>
      <c r="J44" s="12">
        <f t="shared" si="48"/>
        <v>0</v>
      </c>
      <c r="K44" s="12">
        <f t="shared" si="48"/>
        <v>0</v>
      </c>
      <c r="L44" s="12">
        <f t="shared" si="48"/>
        <v>0</v>
      </c>
      <c r="M44" s="12">
        <f t="shared" si="48"/>
        <v>0</v>
      </c>
      <c r="N44" s="12">
        <f t="shared" si="48"/>
        <v>0</v>
      </c>
      <c r="O44" s="12">
        <f t="shared" si="48"/>
        <v>0</v>
      </c>
      <c r="P44" s="12">
        <f t="shared" si="48"/>
        <v>0</v>
      </c>
      <c r="Q44" s="12">
        <f t="shared" si="48"/>
        <v>0</v>
      </c>
      <c r="R44" s="12">
        <f t="shared" si="48"/>
        <v>0</v>
      </c>
      <c r="S44" s="12">
        <f t="shared" si="48"/>
        <v>0</v>
      </c>
      <c r="T44" s="12">
        <f t="shared" si="48"/>
        <v>0</v>
      </c>
      <c r="U44" s="12">
        <f t="shared" si="48"/>
        <v>0</v>
      </c>
      <c r="V44" s="12">
        <f t="shared" si="48"/>
        <v>0</v>
      </c>
      <c r="W44" s="12">
        <f t="shared" si="48"/>
        <v>0</v>
      </c>
      <c r="X44" s="12">
        <f t="shared" si="48"/>
        <v>0</v>
      </c>
      <c r="Y44" s="12">
        <f t="shared" si="48"/>
        <v>0</v>
      </c>
      <c r="Z44" s="12">
        <f t="shared" si="48"/>
        <v>0</v>
      </c>
      <c r="AA44" s="12">
        <f t="shared" si="48"/>
        <v>0</v>
      </c>
      <c r="AB44" s="12">
        <f t="shared" si="48"/>
        <v>0</v>
      </c>
      <c r="AC44" s="12">
        <f t="shared" si="48"/>
        <v>0</v>
      </c>
      <c r="AD44" s="12">
        <f t="shared" si="48"/>
        <v>0</v>
      </c>
      <c r="AE44" s="12"/>
      <c r="AF44" s="5"/>
    </row>
    <row r="45" spans="1:32">
      <c r="A45" s="4"/>
      <c r="B45" s="17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5"/>
    </row>
    <row r="46" spans="1:32">
      <c r="A46" s="4" t="s">
        <v>20</v>
      </c>
      <c r="B46" s="17"/>
      <c r="C46" s="12"/>
      <c r="D46" s="12">
        <f>Assumptions!$B$16</f>
        <v>260</v>
      </c>
      <c r="E46" s="12">
        <f>Assumptions!$B$16</f>
        <v>260</v>
      </c>
      <c r="F46" s="12">
        <f>Assumptions!$B$16</f>
        <v>260</v>
      </c>
      <c r="G46" s="12">
        <f>Assumptions!$B$16</f>
        <v>260</v>
      </c>
      <c r="H46" s="12">
        <f>Assumptions!$B$16</f>
        <v>260</v>
      </c>
      <c r="I46" s="12">
        <f>Assumptions!$B$16</f>
        <v>260</v>
      </c>
      <c r="J46" s="12">
        <f>Assumptions!$B$16</f>
        <v>260</v>
      </c>
      <c r="K46" s="12">
        <f>Assumptions!$B$16</f>
        <v>260</v>
      </c>
      <c r="L46" s="12">
        <f>Assumptions!$B$16</f>
        <v>260</v>
      </c>
      <c r="M46" s="12">
        <f>Assumptions!$B$16</f>
        <v>260</v>
      </c>
      <c r="N46" s="12">
        <f>Assumptions!$B$16</f>
        <v>260</v>
      </c>
      <c r="O46" s="12">
        <f>Assumptions!$B$16</f>
        <v>260</v>
      </c>
      <c r="P46" s="12">
        <f>Assumptions!$B$16</f>
        <v>260</v>
      </c>
      <c r="Q46" s="12">
        <f>Assumptions!$B$16</f>
        <v>260</v>
      </c>
      <c r="R46" s="12">
        <f>Assumptions!$B$16</f>
        <v>260</v>
      </c>
      <c r="S46" s="12">
        <f>Assumptions!$B$16</f>
        <v>260</v>
      </c>
      <c r="T46" s="12">
        <f>Assumptions!$B$16</f>
        <v>260</v>
      </c>
      <c r="U46" s="12">
        <f>Assumptions!$B$16</f>
        <v>260</v>
      </c>
      <c r="V46" s="12">
        <f>Assumptions!$B$16</f>
        <v>260</v>
      </c>
      <c r="W46" s="12">
        <f>Assumptions!$B$16</f>
        <v>260</v>
      </c>
      <c r="X46" s="12">
        <f>Assumptions!$B$16</f>
        <v>260</v>
      </c>
      <c r="Y46" s="12">
        <f>Assumptions!$B$16</f>
        <v>260</v>
      </c>
      <c r="Z46" s="12">
        <f>Assumptions!$B$16</f>
        <v>260</v>
      </c>
      <c r="AA46" s="12">
        <f>Assumptions!$B$16</f>
        <v>260</v>
      </c>
      <c r="AB46" s="12">
        <f>Assumptions!$B$16</f>
        <v>260</v>
      </c>
      <c r="AC46" s="12">
        <f>Assumptions!$B$16</f>
        <v>260</v>
      </c>
      <c r="AD46" s="12">
        <f>Assumptions!$B$16</f>
        <v>260</v>
      </c>
      <c r="AE46" s="12"/>
      <c r="AF46" s="5"/>
    </row>
    <row r="47" spans="1:32">
      <c r="A47" t="s">
        <v>22</v>
      </c>
      <c r="B47" s="17"/>
      <c r="C47" s="12"/>
      <c r="D47" s="12">
        <f>Assumptions!$B$17</f>
        <v>6000</v>
      </c>
      <c r="E47" s="12">
        <f>Assumptions!$B$17</f>
        <v>6000</v>
      </c>
      <c r="F47" s="12">
        <f>Assumptions!$B$17</f>
        <v>6000</v>
      </c>
      <c r="G47" s="12">
        <f>Assumptions!$B$17</f>
        <v>6000</v>
      </c>
      <c r="H47" s="12">
        <f>Assumptions!$B$17</f>
        <v>6000</v>
      </c>
      <c r="I47" s="12">
        <f>Assumptions!$B$17</f>
        <v>6000</v>
      </c>
      <c r="J47" s="12">
        <f>Assumptions!$B$17</f>
        <v>6000</v>
      </c>
      <c r="K47" s="12">
        <f>Assumptions!$B$17</f>
        <v>6000</v>
      </c>
      <c r="L47" s="12">
        <f>Assumptions!$B$17</f>
        <v>6000</v>
      </c>
      <c r="M47" s="12">
        <f>Assumptions!$B$17</f>
        <v>6000</v>
      </c>
      <c r="N47" s="12">
        <f>Assumptions!$B$17</f>
        <v>6000</v>
      </c>
      <c r="O47" s="12">
        <f>Assumptions!$B$17</f>
        <v>6000</v>
      </c>
      <c r="P47" s="12">
        <f>Assumptions!$B$17</f>
        <v>6000</v>
      </c>
      <c r="Q47" s="12">
        <f>Assumptions!$B$17</f>
        <v>6000</v>
      </c>
      <c r="R47" s="12">
        <f>Assumptions!$B$17</f>
        <v>6000</v>
      </c>
      <c r="S47" s="12">
        <f>Assumptions!$B$17</f>
        <v>6000</v>
      </c>
      <c r="T47" s="12">
        <f>Assumptions!$B$17</f>
        <v>6000</v>
      </c>
      <c r="U47" s="12">
        <f>Assumptions!$B$17</f>
        <v>6000</v>
      </c>
      <c r="V47" s="12">
        <f>Assumptions!$B$17</f>
        <v>6000</v>
      </c>
      <c r="W47" s="12">
        <f>Assumptions!$B$17</f>
        <v>6000</v>
      </c>
      <c r="X47" s="12">
        <f>Assumptions!$B$17</f>
        <v>6000</v>
      </c>
      <c r="Y47" s="12">
        <f>Assumptions!$B$17</f>
        <v>6000</v>
      </c>
      <c r="Z47" s="12">
        <f>Assumptions!$B$17</f>
        <v>6000</v>
      </c>
      <c r="AA47" s="12">
        <f>Assumptions!$B$17</f>
        <v>6000</v>
      </c>
      <c r="AB47" s="12">
        <f>Assumptions!$B$17</f>
        <v>6000</v>
      </c>
      <c r="AC47" s="12">
        <f>Assumptions!$B$17</f>
        <v>6000</v>
      </c>
      <c r="AD47" s="12">
        <f>Assumptions!$B$17</f>
        <v>6000</v>
      </c>
      <c r="AE47" s="12"/>
      <c r="AF47" s="5"/>
    </row>
    <row r="48" spans="1:32">
      <c r="B48" s="17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5"/>
    </row>
    <row r="49" spans="1:32">
      <c r="A49" s="28" t="s">
        <v>269</v>
      </c>
      <c r="B49" s="17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5"/>
    </row>
    <row r="50" spans="1:32">
      <c r="A50" s="94" t="s">
        <v>350</v>
      </c>
      <c r="B50" s="17" t="s">
        <v>18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5"/>
    </row>
    <row r="51" spans="1:32">
      <c r="A51" s="94" t="s">
        <v>12</v>
      </c>
      <c r="B51" s="17" t="s">
        <v>18</v>
      </c>
      <c r="C51" s="12"/>
      <c r="D51" s="12">
        <f>IF(D35&gt;0,D44-D$46,0)</f>
        <v>0</v>
      </c>
      <c r="E51" s="12">
        <f t="shared" ref="E51:AD51" si="49">IF(E35&gt;0,E44-E$46,0)</f>
        <v>0</v>
      </c>
      <c r="F51" s="12">
        <f t="shared" si="49"/>
        <v>0</v>
      </c>
      <c r="G51" s="12">
        <f t="shared" si="49"/>
        <v>0</v>
      </c>
      <c r="H51" s="12">
        <f t="shared" si="49"/>
        <v>0</v>
      </c>
      <c r="I51" s="12">
        <f t="shared" si="49"/>
        <v>0</v>
      </c>
      <c r="J51" s="12">
        <f t="shared" si="49"/>
        <v>0</v>
      </c>
      <c r="K51" s="12">
        <f t="shared" si="49"/>
        <v>0</v>
      </c>
      <c r="L51" s="12">
        <f t="shared" si="49"/>
        <v>0</v>
      </c>
      <c r="M51" s="12">
        <f t="shared" si="49"/>
        <v>0</v>
      </c>
      <c r="N51" s="12">
        <f t="shared" si="49"/>
        <v>0</v>
      </c>
      <c r="O51" s="12">
        <f t="shared" si="49"/>
        <v>0</v>
      </c>
      <c r="P51" s="12">
        <f t="shared" si="49"/>
        <v>0</v>
      </c>
      <c r="Q51" s="12">
        <f t="shared" si="49"/>
        <v>0</v>
      </c>
      <c r="R51" s="12">
        <f t="shared" si="49"/>
        <v>0</v>
      </c>
      <c r="S51" s="12">
        <f t="shared" si="49"/>
        <v>0</v>
      </c>
      <c r="T51" s="12">
        <f t="shared" si="49"/>
        <v>0</v>
      </c>
      <c r="U51" s="12">
        <f t="shared" si="49"/>
        <v>0</v>
      </c>
      <c r="V51" s="12">
        <f t="shared" si="49"/>
        <v>0</v>
      </c>
      <c r="W51" s="12">
        <f t="shared" si="49"/>
        <v>0</v>
      </c>
      <c r="X51" s="12">
        <f t="shared" si="49"/>
        <v>0</v>
      </c>
      <c r="Y51" s="12">
        <f t="shared" si="49"/>
        <v>0</v>
      </c>
      <c r="Z51" s="12">
        <f t="shared" si="49"/>
        <v>0</v>
      </c>
      <c r="AA51" s="12">
        <f t="shared" si="49"/>
        <v>0</v>
      </c>
      <c r="AB51" s="12">
        <f t="shared" si="49"/>
        <v>0</v>
      </c>
      <c r="AC51" s="12">
        <f t="shared" si="49"/>
        <v>0</v>
      </c>
      <c r="AD51" s="12">
        <f t="shared" si="49"/>
        <v>0</v>
      </c>
      <c r="AE51" s="12"/>
      <c r="AF51" s="5"/>
    </row>
    <row r="52" spans="1:32">
      <c r="A52" s="4"/>
      <c r="B52" s="17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5"/>
    </row>
    <row r="53" spans="1:32">
      <c r="A53" s="28" t="s">
        <v>116</v>
      </c>
      <c r="B53" s="17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5"/>
    </row>
    <row r="54" spans="1:32">
      <c r="A54" s="94" t="s">
        <v>350</v>
      </c>
      <c r="B54" s="17" t="s">
        <v>7</v>
      </c>
      <c r="C54" s="12"/>
      <c r="D54" s="12">
        <f>IF(D34&gt;0,Assumptions!J6,0)</f>
        <v>0</v>
      </c>
      <c r="E54" s="12">
        <f>IF(E34&gt;0,Assumptions!K6,0)</f>
        <v>0</v>
      </c>
      <c r="F54" s="12">
        <f>IF(F34&gt;0,Assumptions!L6,0)</f>
        <v>0</v>
      </c>
      <c r="G54" s="12">
        <f>IF(G34&gt;0,Assumptions!M6,0)</f>
        <v>0</v>
      </c>
      <c r="H54" s="12">
        <f>IF(H34&gt;0,Assumptions!N6,0)</f>
        <v>0</v>
      </c>
      <c r="I54" s="12">
        <f>IF(I34&gt;0,Assumptions!O6,0)</f>
        <v>0</v>
      </c>
      <c r="J54" s="12">
        <f>IF(J34&gt;0,Assumptions!P6,0)</f>
        <v>0</v>
      </c>
      <c r="K54" s="12">
        <f>IF(K34&gt;0,Assumptions!Q6,0)</f>
        <v>0</v>
      </c>
      <c r="L54" s="12">
        <f>IF(L34&gt;0,Assumptions!R6,0)</f>
        <v>0</v>
      </c>
      <c r="M54" s="12">
        <f>IF(M34&gt;0,Assumptions!S6,0)</f>
        <v>0</v>
      </c>
      <c r="N54" s="12">
        <f>IF(N34&gt;0,Assumptions!T6,0)</f>
        <v>0</v>
      </c>
      <c r="O54" s="12">
        <f>IF(O34&gt;0,Assumptions!U6,0)</f>
        <v>0</v>
      </c>
      <c r="P54" s="12">
        <f>IF(P34&gt;0,Assumptions!V6,0)</f>
        <v>0</v>
      </c>
      <c r="Q54" s="12">
        <f>IF(Q34&gt;0,Assumptions!W6,0)</f>
        <v>0</v>
      </c>
      <c r="R54" s="12">
        <f>IF(R34&gt;0,Assumptions!X6,0)</f>
        <v>0</v>
      </c>
      <c r="S54" s="12">
        <f>IF(S34&gt;0,Assumptions!Y6,0)</f>
        <v>0</v>
      </c>
      <c r="T54" s="12">
        <f>IF(T34&gt;0,Assumptions!Z6,0)</f>
        <v>0</v>
      </c>
      <c r="U54" s="12">
        <f>IF(U34&gt;0,Assumptions!AA6,0)</f>
        <v>0</v>
      </c>
      <c r="V54" s="12">
        <f>IF(V34&gt;0,Assumptions!AB6,0)</f>
        <v>0</v>
      </c>
      <c r="W54" s="12">
        <f>IF(W34&gt;0,Assumptions!AC6,0)</f>
        <v>0</v>
      </c>
      <c r="X54" s="12">
        <f>IF(X34&gt;0,Assumptions!AD6,0)</f>
        <v>0</v>
      </c>
      <c r="Y54" s="12">
        <f>IF(Y34&gt;0,Assumptions!AE6,0)</f>
        <v>0</v>
      </c>
      <c r="Z54" s="12">
        <f>IF(Z34&gt;0,Assumptions!AF6,0)</f>
        <v>0</v>
      </c>
      <c r="AA54" s="12">
        <f>IF(AA34&gt;0,Assumptions!AG6,0)</f>
        <v>0</v>
      </c>
      <c r="AB54" s="12">
        <f>IF(AB34&gt;0,Assumptions!AH6,0)</f>
        <v>0</v>
      </c>
      <c r="AC54" s="12">
        <f>IF(AC34&gt;0,Assumptions!AI6,0)</f>
        <v>0</v>
      </c>
      <c r="AD54" s="12">
        <f>IF(AD34&gt;0,Assumptions!AJ6,0)</f>
        <v>0</v>
      </c>
      <c r="AE54" s="12"/>
      <c r="AF54" s="59">
        <f>X54</f>
        <v>0</v>
      </c>
    </row>
    <row r="55" spans="1:32">
      <c r="A55" s="94" t="s">
        <v>12</v>
      </c>
      <c r="B55" s="17" t="s">
        <v>7</v>
      </c>
      <c r="C55" s="12"/>
      <c r="D55" s="12">
        <f>IF(D35&gt;0,IF(D51&gt;Assumptions!J$12,Assumptions!J$7,IF(D51&gt;Assumptions!J$13,Assumptions!J$8,Assumptions!J$9))*(D51/D$47),0)</f>
        <v>0</v>
      </c>
      <c r="E55" s="12">
        <f>IF(E35&gt;0,IF(E51&gt;Assumptions!K$12,Assumptions!K$7,IF(E51&gt;Assumptions!K$13,Assumptions!K$8,Assumptions!K$9))*(E51/E$47),0)</f>
        <v>0</v>
      </c>
      <c r="F55" s="12">
        <f>IF(F35&gt;0,IF(F51&gt;Assumptions!L$12,Assumptions!L$7,IF(F51&gt;Assumptions!L$13,Assumptions!L$8,Assumptions!L$9))*(F51/F$47),0)</f>
        <v>0</v>
      </c>
      <c r="G55" s="12">
        <f>IF(G35&gt;0,IF(G51&gt;Assumptions!M$12,Assumptions!M$7,IF(G51&gt;Assumptions!M$13,Assumptions!M$8,Assumptions!M$9))*(G51/G$47),0)</f>
        <v>0</v>
      </c>
      <c r="H55" s="12">
        <f>IF(H35&gt;0,IF(H51&gt;Assumptions!N$12,Assumptions!N$7,IF(H51&gt;Assumptions!N$13,Assumptions!N$8,Assumptions!N$9))*(H51/H$47),0)</f>
        <v>0</v>
      </c>
      <c r="I55" s="12">
        <f>IF(I35&gt;0,IF(I51&gt;Assumptions!O$12,Assumptions!O$7,IF(I51&gt;Assumptions!O$13,Assumptions!O$8,Assumptions!O$9))*(I51/I$47),0)</f>
        <v>0</v>
      </c>
      <c r="J55" s="12">
        <f>IF(J35&gt;0,IF(J51&gt;Assumptions!P$12,Assumptions!P$7,IF(J51&gt;Assumptions!P$13,Assumptions!P$8,Assumptions!P$9))*(J51/J$47),0)</f>
        <v>0</v>
      </c>
      <c r="K55" s="12">
        <f>IF(K35&gt;0,IF(K51&gt;Assumptions!Q$12,Assumptions!Q$7,IF(K51&gt;Assumptions!Q$13,Assumptions!Q$8,Assumptions!Q$9))*(K51/K$47),0)</f>
        <v>0</v>
      </c>
      <c r="L55" s="12">
        <f>IF(L35&gt;0,IF(L51&gt;Assumptions!R$12,Assumptions!R$7,IF(L51&gt;Assumptions!R$13,Assumptions!R$8,Assumptions!R$9))*(L51/L$47),0)</f>
        <v>0</v>
      </c>
      <c r="M55" s="12">
        <f>IF(M35&gt;0,IF(M51&gt;Assumptions!S$12,Assumptions!S$7,IF(M51&gt;Assumptions!S$13,Assumptions!S$8,Assumptions!S$9))*(M51/M$47),0)</f>
        <v>0</v>
      </c>
      <c r="N55" s="12">
        <f>IF(N35&gt;0,IF(N51&gt;Assumptions!T$12,Assumptions!T$7,IF(N51&gt;Assumptions!T$13,Assumptions!T$8,Assumptions!T$9))*(N51/N$47),0)</f>
        <v>0</v>
      </c>
      <c r="O55" s="12">
        <f>IF(O35&gt;0,IF(O51&gt;Assumptions!U$12,Assumptions!U$7,IF(O51&gt;Assumptions!U$13,Assumptions!U$8,Assumptions!U$9))*(O51/O$47),0)</f>
        <v>0</v>
      </c>
      <c r="P55" s="12">
        <f>IF(P35&gt;0,IF(P51&gt;Assumptions!V$12,Assumptions!V$7,IF(P51&gt;Assumptions!V$13,Assumptions!V$8,Assumptions!V$9))*(P51/P$47),0)</f>
        <v>0</v>
      </c>
      <c r="Q55" s="12">
        <f>IF(Q35&gt;0,IF(Q51&gt;Assumptions!W$12,Assumptions!W$7,IF(Q51&gt;Assumptions!W$13,Assumptions!W$8,Assumptions!W$9))*(Q51/Q$47),0)</f>
        <v>0</v>
      </c>
      <c r="R55" s="12">
        <f>IF(R35&gt;0,IF(R51&gt;Assumptions!X$12,Assumptions!X$7,IF(R51&gt;Assumptions!X$13,Assumptions!X$8,Assumptions!X$9))*(R51/R$47),0)</f>
        <v>0</v>
      </c>
      <c r="S55" s="12">
        <f>IF(S35&gt;0,IF(S51&gt;Assumptions!Y$12,Assumptions!Y$7,IF(S51&gt;Assumptions!Y$13,Assumptions!Y$8,Assumptions!Y$9))*(S51/S$47),0)</f>
        <v>0</v>
      </c>
      <c r="T55" s="12">
        <f>IF(T35&gt;0,IF(T51&gt;Assumptions!Z$12,Assumptions!Z$7,IF(T51&gt;Assumptions!Z$13,Assumptions!Z$8,Assumptions!Z$9))*(T51/T$47),0)</f>
        <v>0</v>
      </c>
      <c r="U55" s="12">
        <f>IF(U35&gt;0,IF(U51&gt;Assumptions!AA$12,Assumptions!AA$7,IF(U51&gt;Assumptions!AA$13,Assumptions!AA$8,Assumptions!AA$9))*(U51/U$47),0)</f>
        <v>0</v>
      </c>
      <c r="V55" s="12">
        <f>IF(V35&gt;0,IF(V51&gt;Assumptions!AB$12,Assumptions!AB$7,IF(V51&gt;Assumptions!AB$13,Assumptions!AB$8,Assumptions!AB$9))*(V51/V$47),0)</f>
        <v>0</v>
      </c>
      <c r="W55" s="12">
        <f>IF(W35&gt;0,IF(W51&gt;Assumptions!AC$12,Assumptions!AC$7,IF(W51&gt;Assumptions!AC$13,Assumptions!AC$8,Assumptions!AC$9))*(W51/W$47),0)</f>
        <v>0</v>
      </c>
      <c r="X55" s="12">
        <f>IF(X35&gt;0,IF(X51&gt;Assumptions!AD$12,Assumptions!AD$7,IF(X51&gt;Assumptions!AD$13,Assumptions!AD$8,Assumptions!AD$9))*(X51/X$47),0)</f>
        <v>0</v>
      </c>
      <c r="Y55" s="12">
        <f>IF(Y35&gt;0,IF(Y51&gt;Assumptions!AE$12,Assumptions!AE$7,IF(Y51&gt;Assumptions!AE$13,Assumptions!AE$8,Assumptions!AE$9))*(Y51/Y$47),0)</f>
        <v>0</v>
      </c>
      <c r="Z55" s="12">
        <f>IF(Z35&gt;0,IF(Z51&gt;Assumptions!AF$12,Assumptions!AF$7,IF(Z51&gt;Assumptions!AF$13,Assumptions!AF$8,Assumptions!AF$9))*(Z51/Z$47),0)</f>
        <v>0</v>
      </c>
      <c r="AA55" s="12">
        <f>IF(AA35&gt;0,IF(AA51&gt;Assumptions!AG$12,Assumptions!AG$7,IF(AA51&gt;Assumptions!AG$13,Assumptions!AG$8,Assumptions!AG$9))*(AA51/AA$47),0)</f>
        <v>0</v>
      </c>
      <c r="AB55" s="12">
        <f>IF(AB35&gt;0,IF(AB51&gt;Assumptions!AH$12,Assumptions!AH$7,IF(AB51&gt;Assumptions!AH$13,Assumptions!AH$8,Assumptions!AH$9))*(AB51/AB$47),0)</f>
        <v>0</v>
      </c>
      <c r="AC55" s="12">
        <f>IF(AC35&gt;0,IF(AC51&gt;Assumptions!AI$12,Assumptions!AI$7,IF(AC51&gt;Assumptions!AI$13,Assumptions!AI$8,Assumptions!AI$9))*(AC51/AC$47),0)</f>
        <v>0</v>
      </c>
      <c r="AD55" s="12">
        <f>IF(AD35&gt;0,IF(AD51&gt;Assumptions!AJ$12,Assumptions!AJ$7,IF(AD51&gt;Assumptions!AJ$13,Assumptions!AJ$8,Assumptions!AJ$9))*(AD51/AD$47),0)</f>
        <v>0</v>
      </c>
      <c r="AE55" s="12"/>
      <c r="AF55" s="59">
        <f>X55</f>
        <v>0</v>
      </c>
    </row>
    <row r="56" spans="1:32">
      <c r="A56" s="4" t="s">
        <v>117</v>
      </c>
      <c r="B56" s="17" t="s">
        <v>7</v>
      </c>
      <c r="C56" s="12"/>
      <c r="D56" s="300">
        <f t="shared" ref="D56" si="50">IFERROR(SUMPRODUCT(D34:D35,D54:D55)/D36,0)</f>
        <v>0</v>
      </c>
      <c r="E56" s="300">
        <f t="shared" ref="E56:AD56" si="51">IFERROR(SUMPRODUCT(E34:E35,E54:E55)/E36,0)</f>
        <v>0</v>
      </c>
      <c r="F56" s="300">
        <f t="shared" si="51"/>
        <v>0</v>
      </c>
      <c r="G56" s="300">
        <f t="shared" si="51"/>
        <v>0</v>
      </c>
      <c r="H56" s="300">
        <f t="shared" si="51"/>
        <v>0</v>
      </c>
      <c r="I56" s="300">
        <f t="shared" si="51"/>
        <v>0</v>
      </c>
      <c r="J56" s="300">
        <f t="shared" si="51"/>
        <v>0</v>
      </c>
      <c r="K56" s="300">
        <f t="shared" si="51"/>
        <v>0</v>
      </c>
      <c r="L56" s="300">
        <f t="shared" si="51"/>
        <v>0</v>
      </c>
      <c r="M56" s="300">
        <f t="shared" si="51"/>
        <v>0</v>
      </c>
      <c r="N56" s="300">
        <f t="shared" si="51"/>
        <v>0</v>
      </c>
      <c r="O56" s="300">
        <f t="shared" si="51"/>
        <v>0</v>
      </c>
      <c r="P56" s="300">
        <f t="shared" si="51"/>
        <v>0</v>
      </c>
      <c r="Q56" s="300">
        <f t="shared" si="51"/>
        <v>0</v>
      </c>
      <c r="R56" s="300">
        <f t="shared" si="51"/>
        <v>0</v>
      </c>
      <c r="S56" s="300">
        <f t="shared" si="51"/>
        <v>0</v>
      </c>
      <c r="T56" s="300">
        <f t="shared" si="51"/>
        <v>0</v>
      </c>
      <c r="U56" s="300">
        <f t="shared" si="51"/>
        <v>0</v>
      </c>
      <c r="V56" s="300">
        <f t="shared" si="51"/>
        <v>0</v>
      </c>
      <c r="W56" s="300">
        <f t="shared" si="51"/>
        <v>0</v>
      </c>
      <c r="X56" s="300">
        <f t="shared" si="51"/>
        <v>0</v>
      </c>
      <c r="Y56" s="300">
        <f t="shared" si="51"/>
        <v>0</v>
      </c>
      <c r="Z56" s="300">
        <f t="shared" si="51"/>
        <v>0</v>
      </c>
      <c r="AA56" s="300">
        <f t="shared" si="51"/>
        <v>0</v>
      </c>
      <c r="AB56" s="300">
        <f t="shared" si="51"/>
        <v>0</v>
      </c>
      <c r="AC56" s="300">
        <f t="shared" si="51"/>
        <v>0</v>
      </c>
      <c r="AD56" s="300">
        <f t="shared" si="51"/>
        <v>0</v>
      </c>
      <c r="AE56" s="12"/>
      <c r="AF56" s="59">
        <f>X56</f>
        <v>0</v>
      </c>
    </row>
    <row r="57" spans="1:32">
      <c r="A57" s="4"/>
      <c r="B57" s="17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25"/>
    </row>
    <row r="58" spans="1:32">
      <c r="A58" s="4" t="s">
        <v>118</v>
      </c>
      <c r="B58" s="17" t="s">
        <v>119</v>
      </c>
      <c r="C58" s="12"/>
      <c r="D58" s="12">
        <f t="shared" ref="D58:AD58" si="52">SUMPRODUCT(D34:D35,D54:D55)</f>
        <v>0</v>
      </c>
      <c r="E58" s="12">
        <f t="shared" si="52"/>
        <v>0</v>
      </c>
      <c r="F58" s="12">
        <f t="shared" si="52"/>
        <v>0</v>
      </c>
      <c r="G58" s="12">
        <f t="shared" si="52"/>
        <v>0</v>
      </c>
      <c r="H58" s="12">
        <f t="shared" si="52"/>
        <v>0</v>
      </c>
      <c r="I58" s="12">
        <f t="shared" si="52"/>
        <v>0</v>
      </c>
      <c r="J58" s="12">
        <f t="shared" si="52"/>
        <v>0</v>
      </c>
      <c r="K58" s="12">
        <f t="shared" si="52"/>
        <v>0</v>
      </c>
      <c r="L58" s="12">
        <f t="shared" si="52"/>
        <v>0</v>
      </c>
      <c r="M58" s="12">
        <f t="shared" si="52"/>
        <v>0</v>
      </c>
      <c r="N58" s="12">
        <f t="shared" si="52"/>
        <v>0</v>
      </c>
      <c r="O58" s="12">
        <f t="shared" si="52"/>
        <v>0</v>
      </c>
      <c r="P58" s="12">
        <f t="shared" si="52"/>
        <v>0</v>
      </c>
      <c r="Q58" s="12">
        <f t="shared" si="52"/>
        <v>0</v>
      </c>
      <c r="R58" s="12">
        <f t="shared" si="52"/>
        <v>0</v>
      </c>
      <c r="S58" s="12">
        <f t="shared" si="52"/>
        <v>0</v>
      </c>
      <c r="T58" s="12">
        <f t="shared" si="52"/>
        <v>0</v>
      </c>
      <c r="U58" s="12">
        <f t="shared" si="52"/>
        <v>0</v>
      </c>
      <c r="V58" s="12">
        <f t="shared" si="52"/>
        <v>0</v>
      </c>
      <c r="W58" s="12">
        <f t="shared" si="52"/>
        <v>0</v>
      </c>
      <c r="X58" s="12">
        <f t="shared" si="52"/>
        <v>0</v>
      </c>
      <c r="Y58" s="12">
        <f t="shared" si="52"/>
        <v>0</v>
      </c>
      <c r="Z58" s="12">
        <f t="shared" si="52"/>
        <v>0</v>
      </c>
      <c r="AA58" s="12">
        <f t="shared" si="52"/>
        <v>0</v>
      </c>
      <c r="AB58" s="12">
        <f t="shared" si="52"/>
        <v>0</v>
      </c>
      <c r="AC58" s="12">
        <f t="shared" si="52"/>
        <v>0</v>
      </c>
      <c r="AD58" s="12">
        <f t="shared" si="52"/>
        <v>0</v>
      </c>
      <c r="AE58" s="12"/>
      <c r="AF58" s="12">
        <f>SUM(D58:AD58)</f>
        <v>0</v>
      </c>
    </row>
    <row r="59" spans="1:32">
      <c r="A59" s="4" t="s">
        <v>120</v>
      </c>
      <c r="B59" s="17" t="s">
        <v>4</v>
      </c>
      <c r="C59" s="24"/>
      <c r="D59" s="24">
        <f>Assumptions!I4</f>
        <v>0.69</v>
      </c>
      <c r="E59" s="24">
        <f>Assumptions!J4</f>
        <v>0.69</v>
      </c>
      <c r="F59" s="24">
        <f>Assumptions!K4</f>
        <v>0.69</v>
      </c>
      <c r="G59" s="24">
        <f>Assumptions!L4</f>
        <v>0.69</v>
      </c>
      <c r="H59" s="24">
        <f>Assumptions!M4</f>
        <v>0.69</v>
      </c>
      <c r="I59" s="24">
        <f>Assumptions!N4</f>
        <v>0.69</v>
      </c>
      <c r="J59" s="24">
        <f>Assumptions!O4</f>
        <v>0.69</v>
      </c>
      <c r="K59" s="24">
        <f>Assumptions!P4</f>
        <v>0.69</v>
      </c>
      <c r="L59" s="24">
        <f>Assumptions!Q4</f>
        <v>0.69</v>
      </c>
      <c r="M59" s="24">
        <f>Assumptions!R4</f>
        <v>0.69</v>
      </c>
      <c r="N59" s="24">
        <f>Assumptions!S4</f>
        <v>0.69</v>
      </c>
      <c r="O59" s="24">
        <f>Assumptions!T4</f>
        <v>0.69</v>
      </c>
      <c r="P59" s="24">
        <f>Assumptions!U4</f>
        <v>0.69</v>
      </c>
      <c r="Q59" s="24">
        <f>Assumptions!V4</f>
        <v>0.69</v>
      </c>
      <c r="R59" s="24">
        <f>Assumptions!W4</f>
        <v>0.69</v>
      </c>
      <c r="S59" s="24">
        <f>Assumptions!X4</f>
        <v>0.69</v>
      </c>
      <c r="T59" s="24">
        <f>Assumptions!Y4</f>
        <v>0.69</v>
      </c>
      <c r="U59" s="24">
        <f>Assumptions!Z4</f>
        <v>0.69</v>
      </c>
      <c r="V59" s="24">
        <f>Assumptions!AA4</f>
        <v>0.69</v>
      </c>
      <c r="W59" s="24">
        <f>Assumptions!AB4</f>
        <v>0.69</v>
      </c>
      <c r="X59" s="24">
        <f>Assumptions!AC4</f>
        <v>0.69</v>
      </c>
      <c r="Y59" s="24">
        <f>Assumptions!AD4</f>
        <v>0.69</v>
      </c>
      <c r="Z59" s="24">
        <f>Assumptions!AE4</f>
        <v>0.69</v>
      </c>
      <c r="AA59" s="24">
        <f>Assumptions!AF4</f>
        <v>0.69</v>
      </c>
      <c r="AB59" s="24">
        <f>Assumptions!AG4</f>
        <v>0.69</v>
      </c>
      <c r="AC59" s="24">
        <f>Assumptions!AH4</f>
        <v>0.69</v>
      </c>
      <c r="AD59" s="24">
        <f>Assumptions!AI4</f>
        <v>0.69</v>
      </c>
      <c r="AE59" s="24"/>
      <c r="AF59" s="25"/>
    </row>
    <row r="60" spans="1:32">
      <c r="A60" s="4" t="s">
        <v>118</v>
      </c>
      <c r="B60" s="17" t="s">
        <v>121</v>
      </c>
      <c r="C60" s="47"/>
      <c r="D60" s="47">
        <f t="shared" ref="D60:AD60" si="53">(D58/D59)*(1+$AI$7)</f>
        <v>0</v>
      </c>
      <c r="E60" s="47">
        <f t="shared" si="53"/>
        <v>0</v>
      </c>
      <c r="F60" s="47">
        <f t="shared" si="53"/>
        <v>0</v>
      </c>
      <c r="G60" s="47">
        <f t="shared" si="53"/>
        <v>0</v>
      </c>
      <c r="H60" s="47">
        <f t="shared" si="53"/>
        <v>0</v>
      </c>
      <c r="I60" s="47">
        <f t="shared" si="53"/>
        <v>0</v>
      </c>
      <c r="J60" s="47">
        <f t="shared" si="53"/>
        <v>0</v>
      </c>
      <c r="K60" s="47">
        <f t="shared" si="53"/>
        <v>0</v>
      </c>
      <c r="L60" s="47">
        <f t="shared" si="53"/>
        <v>0</v>
      </c>
      <c r="M60" s="47">
        <f t="shared" si="53"/>
        <v>0</v>
      </c>
      <c r="N60" s="47">
        <f t="shared" si="53"/>
        <v>0</v>
      </c>
      <c r="O60" s="47">
        <f t="shared" si="53"/>
        <v>0</v>
      </c>
      <c r="P60" s="47">
        <f t="shared" si="53"/>
        <v>0</v>
      </c>
      <c r="Q60" s="47">
        <f t="shared" si="53"/>
        <v>0</v>
      </c>
      <c r="R60" s="47">
        <f t="shared" si="53"/>
        <v>0</v>
      </c>
      <c r="S60" s="47">
        <f t="shared" si="53"/>
        <v>0</v>
      </c>
      <c r="T60" s="47">
        <f t="shared" si="53"/>
        <v>0</v>
      </c>
      <c r="U60" s="47">
        <f t="shared" si="53"/>
        <v>0</v>
      </c>
      <c r="V60" s="47">
        <f t="shared" si="53"/>
        <v>0</v>
      </c>
      <c r="W60" s="47">
        <f t="shared" si="53"/>
        <v>0</v>
      </c>
      <c r="X60" s="47">
        <f t="shared" si="53"/>
        <v>0</v>
      </c>
      <c r="Y60" s="47">
        <f t="shared" si="53"/>
        <v>0</v>
      </c>
      <c r="Z60" s="47">
        <f t="shared" si="53"/>
        <v>0</v>
      </c>
      <c r="AA60" s="47">
        <f t="shared" si="53"/>
        <v>0</v>
      </c>
      <c r="AB60" s="47">
        <f t="shared" si="53"/>
        <v>0</v>
      </c>
      <c r="AC60" s="47">
        <f t="shared" si="53"/>
        <v>0</v>
      </c>
      <c r="AD60" s="47">
        <f t="shared" si="53"/>
        <v>0</v>
      </c>
      <c r="AE60" s="47"/>
      <c r="AF60" s="49">
        <f>SUM(D60:AD60)</f>
        <v>0</v>
      </c>
    </row>
    <row r="61" spans="1:32">
      <c r="A61" s="4" t="s">
        <v>122</v>
      </c>
      <c r="B61" s="17" t="s">
        <v>53</v>
      </c>
      <c r="C61" s="67"/>
      <c r="D61" s="67">
        <f t="shared" ref="D61:AD61" si="54">IFERROR(D60/D24,0)</f>
        <v>0</v>
      </c>
      <c r="E61" s="67">
        <f t="shared" si="54"/>
        <v>0</v>
      </c>
      <c r="F61" s="67">
        <f t="shared" si="54"/>
        <v>0</v>
      </c>
      <c r="G61" s="67">
        <f t="shared" si="54"/>
        <v>0</v>
      </c>
      <c r="H61" s="67">
        <f t="shared" si="54"/>
        <v>0</v>
      </c>
      <c r="I61" s="67">
        <f t="shared" si="54"/>
        <v>0</v>
      </c>
      <c r="J61" s="67">
        <f t="shared" si="54"/>
        <v>0</v>
      </c>
      <c r="K61" s="67">
        <f t="shared" si="54"/>
        <v>0</v>
      </c>
      <c r="L61" s="67">
        <f t="shared" si="54"/>
        <v>0</v>
      </c>
      <c r="M61" s="67">
        <f t="shared" si="54"/>
        <v>0</v>
      </c>
      <c r="N61" s="67">
        <f t="shared" si="54"/>
        <v>0</v>
      </c>
      <c r="O61" s="67">
        <f t="shared" si="54"/>
        <v>0</v>
      </c>
      <c r="P61" s="67">
        <f t="shared" si="54"/>
        <v>0</v>
      </c>
      <c r="Q61" s="67">
        <f t="shared" si="54"/>
        <v>0</v>
      </c>
      <c r="R61" s="67">
        <f t="shared" si="54"/>
        <v>0</v>
      </c>
      <c r="S61" s="67">
        <f t="shared" si="54"/>
        <v>0</v>
      </c>
      <c r="T61" s="67">
        <f t="shared" si="54"/>
        <v>0</v>
      </c>
      <c r="U61" s="67">
        <f t="shared" si="54"/>
        <v>0</v>
      </c>
      <c r="V61" s="67">
        <f t="shared" si="54"/>
        <v>0</v>
      </c>
      <c r="W61" s="67">
        <f t="shared" si="54"/>
        <v>0</v>
      </c>
      <c r="X61" s="67">
        <f t="shared" si="54"/>
        <v>0</v>
      </c>
      <c r="Y61" s="67">
        <f t="shared" si="54"/>
        <v>0</v>
      </c>
      <c r="Z61" s="67">
        <f t="shared" si="54"/>
        <v>0</v>
      </c>
      <c r="AA61" s="67">
        <f t="shared" si="54"/>
        <v>0</v>
      </c>
      <c r="AB61" s="67">
        <f t="shared" si="54"/>
        <v>0</v>
      </c>
      <c r="AC61" s="67">
        <f t="shared" si="54"/>
        <v>0</v>
      </c>
      <c r="AD61" s="67">
        <f t="shared" si="54"/>
        <v>0</v>
      </c>
      <c r="AE61" s="67"/>
      <c r="AF61" s="68">
        <f>IFERROR(AF60/AF24,0)</f>
        <v>0</v>
      </c>
    </row>
    <row r="62" spans="1:32">
      <c r="A62" s="8"/>
      <c r="B62" s="21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7"/>
    </row>
    <row r="63" spans="1:32">
      <c r="A63" s="2" t="s">
        <v>270</v>
      </c>
      <c r="B63" s="29"/>
      <c r="C63" s="55"/>
      <c r="D63" s="55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"/>
    </row>
    <row r="64" spans="1:32">
      <c r="A64" s="28"/>
      <c r="B64" s="17"/>
      <c r="C64" s="13"/>
      <c r="D64" s="13"/>
      <c r="AF64" s="25"/>
    </row>
    <row r="65" spans="1:32">
      <c r="A65" s="28" t="s">
        <v>271</v>
      </c>
      <c r="B65" s="17"/>
      <c r="C65" s="13"/>
      <c r="D65" s="13"/>
      <c r="AF65" s="25"/>
    </row>
    <row r="66" spans="1:32">
      <c r="A66" s="28"/>
      <c r="B66" s="17"/>
      <c r="C66" s="13"/>
      <c r="D66" s="13"/>
      <c r="AF66" s="25"/>
    </row>
    <row r="67" spans="1:32">
      <c r="A67" s="4" t="s">
        <v>351</v>
      </c>
      <c r="B67" s="17" t="s">
        <v>352</v>
      </c>
      <c r="C67" s="298"/>
      <c r="D67" s="42">
        <f>IF(D6&gt;0,$C$67*(1+$AI$8),0)</f>
        <v>0</v>
      </c>
      <c r="E67" s="42">
        <f>IF(E6&gt;0,$C$67*(1+$AI$8),0)</f>
        <v>0</v>
      </c>
      <c r="F67" s="42">
        <f t="shared" ref="F67:AD67" si="55">IF(F6&gt;0,$C$67*(1+$AI$8),0)</f>
        <v>0</v>
      </c>
      <c r="G67" s="42">
        <f t="shared" si="55"/>
        <v>0</v>
      </c>
      <c r="H67" s="42">
        <f t="shared" si="55"/>
        <v>0</v>
      </c>
      <c r="I67" s="42">
        <f t="shared" si="55"/>
        <v>0</v>
      </c>
      <c r="J67" s="42">
        <f t="shared" si="55"/>
        <v>0</v>
      </c>
      <c r="K67" s="42">
        <f t="shared" si="55"/>
        <v>0</v>
      </c>
      <c r="L67" s="42">
        <f t="shared" si="55"/>
        <v>0</v>
      </c>
      <c r="M67" s="42">
        <f t="shared" si="55"/>
        <v>0</v>
      </c>
      <c r="N67" s="42">
        <f t="shared" si="55"/>
        <v>0</v>
      </c>
      <c r="O67" s="42">
        <f t="shared" si="55"/>
        <v>0</v>
      </c>
      <c r="P67" s="42">
        <f t="shared" si="55"/>
        <v>0</v>
      </c>
      <c r="Q67" s="42">
        <f t="shared" si="55"/>
        <v>0</v>
      </c>
      <c r="R67" s="42">
        <f t="shared" si="55"/>
        <v>0</v>
      </c>
      <c r="S67" s="42">
        <f t="shared" si="55"/>
        <v>0</v>
      </c>
      <c r="T67" s="42">
        <f t="shared" si="55"/>
        <v>0</v>
      </c>
      <c r="U67" s="42">
        <f t="shared" si="55"/>
        <v>0</v>
      </c>
      <c r="V67" s="42">
        <f t="shared" si="55"/>
        <v>0</v>
      </c>
      <c r="W67" s="42">
        <f t="shared" si="55"/>
        <v>0</v>
      </c>
      <c r="X67" s="42">
        <f t="shared" si="55"/>
        <v>0</v>
      </c>
      <c r="Y67" s="42">
        <f t="shared" si="55"/>
        <v>0</v>
      </c>
      <c r="Z67" s="42">
        <f t="shared" si="55"/>
        <v>0</v>
      </c>
      <c r="AA67" s="42">
        <f t="shared" si="55"/>
        <v>0</v>
      </c>
      <c r="AB67" s="42">
        <f t="shared" si="55"/>
        <v>0</v>
      </c>
      <c r="AC67" s="42">
        <f t="shared" si="55"/>
        <v>0</v>
      </c>
      <c r="AD67" s="42">
        <f t="shared" si="55"/>
        <v>0</v>
      </c>
      <c r="AE67" s="42"/>
      <c r="AF67" s="27"/>
    </row>
    <row r="68" spans="1:32">
      <c r="A68" s="4" t="s">
        <v>353</v>
      </c>
      <c r="B68" s="17" t="s">
        <v>56</v>
      </c>
      <c r="C68" s="12"/>
      <c r="D68" s="12">
        <f>D6*D67</f>
        <v>0</v>
      </c>
      <c r="E68" s="12">
        <f>E6*E67</f>
        <v>0</v>
      </c>
      <c r="F68" s="12">
        <f t="shared" ref="F68:AD68" si="56">F6*F67</f>
        <v>0</v>
      </c>
      <c r="G68" s="12">
        <f t="shared" si="56"/>
        <v>0</v>
      </c>
      <c r="H68" s="12">
        <f t="shared" si="56"/>
        <v>0</v>
      </c>
      <c r="I68" s="12">
        <f t="shared" si="56"/>
        <v>0</v>
      </c>
      <c r="J68" s="12">
        <f t="shared" si="56"/>
        <v>0</v>
      </c>
      <c r="K68" s="12">
        <f t="shared" si="56"/>
        <v>0</v>
      </c>
      <c r="L68" s="12">
        <f t="shared" si="56"/>
        <v>0</v>
      </c>
      <c r="M68" s="12">
        <f t="shared" si="56"/>
        <v>0</v>
      </c>
      <c r="N68" s="12">
        <f t="shared" si="56"/>
        <v>0</v>
      </c>
      <c r="O68" s="12">
        <f t="shared" si="56"/>
        <v>0</v>
      </c>
      <c r="P68" s="12">
        <f t="shared" si="56"/>
        <v>0</v>
      </c>
      <c r="Q68" s="12">
        <f t="shared" si="56"/>
        <v>0</v>
      </c>
      <c r="R68" s="12">
        <f t="shared" si="56"/>
        <v>0</v>
      </c>
      <c r="S68" s="12">
        <f t="shared" si="56"/>
        <v>0</v>
      </c>
      <c r="T68" s="12">
        <f t="shared" si="56"/>
        <v>0</v>
      </c>
      <c r="U68" s="12">
        <f t="shared" si="56"/>
        <v>0</v>
      </c>
      <c r="V68" s="12">
        <f t="shared" si="56"/>
        <v>0</v>
      </c>
      <c r="W68" s="12">
        <f t="shared" si="56"/>
        <v>0</v>
      </c>
      <c r="X68" s="12">
        <f t="shared" si="56"/>
        <v>0</v>
      </c>
      <c r="Y68" s="12">
        <f t="shared" si="56"/>
        <v>0</v>
      </c>
      <c r="Z68" s="12">
        <f t="shared" si="56"/>
        <v>0</v>
      </c>
      <c r="AA68" s="12">
        <f t="shared" si="56"/>
        <v>0</v>
      </c>
      <c r="AB68" s="12">
        <f t="shared" si="56"/>
        <v>0</v>
      </c>
      <c r="AC68" s="12">
        <f t="shared" si="56"/>
        <v>0</v>
      </c>
      <c r="AD68" s="12">
        <f t="shared" si="56"/>
        <v>0</v>
      </c>
      <c r="AE68" s="12"/>
      <c r="AF68" s="5">
        <f>SUM(D68:W68)</f>
        <v>0</v>
      </c>
    </row>
    <row r="69" spans="1:32">
      <c r="A69" s="4"/>
      <c r="B69" s="17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25"/>
    </row>
    <row r="70" spans="1:32">
      <c r="A70" s="4" t="s">
        <v>340</v>
      </c>
      <c r="B70" s="17" t="s">
        <v>352</v>
      </c>
      <c r="C70" s="298"/>
      <c r="D70" s="42">
        <f>IF(D7&gt;0,$C$70*(1+$AI$9),0)</f>
        <v>0</v>
      </c>
      <c r="E70" s="42">
        <f t="shared" ref="E70:AD70" si="57">IF(E7&gt;0,$C$70*(1+$AI$9),0)</f>
        <v>0</v>
      </c>
      <c r="F70" s="42">
        <f t="shared" si="57"/>
        <v>0</v>
      </c>
      <c r="G70" s="42">
        <f t="shared" si="57"/>
        <v>0</v>
      </c>
      <c r="H70" s="42">
        <f t="shared" si="57"/>
        <v>0</v>
      </c>
      <c r="I70" s="42">
        <f t="shared" si="57"/>
        <v>0</v>
      </c>
      <c r="J70" s="42">
        <f t="shared" si="57"/>
        <v>0</v>
      </c>
      <c r="K70" s="42">
        <f t="shared" si="57"/>
        <v>0</v>
      </c>
      <c r="L70" s="42">
        <f t="shared" si="57"/>
        <v>0</v>
      </c>
      <c r="M70" s="42">
        <f t="shared" si="57"/>
        <v>0</v>
      </c>
      <c r="N70" s="42">
        <f t="shared" si="57"/>
        <v>0</v>
      </c>
      <c r="O70" s="42">
        <f t="shared" si="57"/>
        <v>0</v>
      </c>
      <c r="P70" s="42">
        <f t="shared" si="57"/>
        <v>0</v>
      </c>
      <c r="Q70" s="42">
        <f t="shared" si="57"/>
        <v>0</v>
      </c>
      <c r="R70" s="42">
        <f t="shared" si="57"/>
        <v>0</v>
      </c>
      <c r="S70" s="42">
        <f t="shared" si="57"/>
        <v>0</v>
      </c>
      <c r="T70" s="42">
        <f t="shared" si="57"/>
        <v>0</v>
      </c>
      <c r="U70" s="42">
        <f t="shared" si="57"/>
        <v>0</v>
      </c>
      <c r="V70" s="42">
        <f t="shared" si="57"/>
        <v>0</v>
      </c>
      <c r="W70" s="42">
        <f t="shared" si="57"/>
        <v>0</v>
      </c>
      <c r="X70" s="42">
        <f t="shared" si="57"/>
        <v>0</v>
      </c>
      <c r="Y70" s="42">
        <f t="shared" si="57"/>
        <v>0</v>
      </c>
      <c r="Z70" s="42">
        <f t="shared" si="57"/>
        <v>0</v>
      </c>
      <c r="AA70" s="42">
        <f t="shared" si="57"/>
        <v>0</v>
      </c>
      <c r="AB70" s="42">
        <f t="shared" si="57"/>
        <v>0</v>
      </c>
      <c r="AC70" s="42">
        <f t="shared" si="57"/>
        <v>0</v>
      </c>
      <c r="AD70" s="42">
        <f t="shared" si="57"/>
        <v>0</v>
      </c>
      <c r="AE70" s="42"/>
      <c r="AF70" s="27"/>
    </row>
    <row r="71" spans="1:32">
      <c r="A71" s="4" t="s">
        <v>354</v>
      </c>
      <c r="B71" s="17" t="s">
        <v>56</v>
      </c>
      <c r="C71" s="12"/>
      <c r="D71" s="12">
        <f>D7*D70</f>
        <v>0</v>
      </c>
      <c r="E71" s="12">
        <f t="shared" ref="E71:AD71" si="58">E7*E70</f>
        <v>0</v>
      </c>
      <c r="F71" s="12">
        <f t="shared" si="58"/>
        <v>0</v>
      </c>
      <c r="G71" s="12">
        <f t="shared" si="58"/>
        <v>0</v>
      </c>
      <c r="H71" s="12">
        <f t="shared" si="58"/>
        <v>0</v>
      </c>
      <c r="I71" s="12">
        <f t="shared" si="58"/>
        <v>0</v>
      </c>
      <c r="J71" s="12">
        <f t="shared" si="58"/>
        <v>0</v>
      </c>
      <c r="K71" s="12">
        <f t="shared" si="58"/>
        <v>0</v>
      </c>
      <c r="L71" s="12">
        <f t="shared" si="58"/>
        <v>0</v>
      </c>
      <c r="M71" s="12">
        <f t="shared" si="58"/>
        <v>0</v>
      </c>
      <c r="N71" s="12">
        <f t="shared" si="58"/>
        <v>0</v>
      </c>
      <c r="O71" s="12">
        <f t="shared" si="58"/>
        <v>0</v>
      </c>
      <c r="P71" s="12">
        <f t="shared" si="58"/>
        <v>0</v>
      </c>
      <c r="Q71" s="12">
        <f t="shared" si="58"/>
        <v>0</v>
      </c>
      <c r="R71" s="12">
        <f t="shared" si="58"/>
        <v>0</v>
      </c>
      <c r="S71" s="12">
        <f t="shared" si="58"/>
        <v>0</v>
      </c>
      <c r="T71" s="12">
        <f t="shared" si="58"/>
        <v>0</v>
      </c>
      <c r="U71" s="12">
        <f t="shared" si="58"/>
        <v>0</v>
      </c>
      <c r="V71" s="12">
        <f t="shared" si="58"/>
        <v>0</v>
      </c>
      <c r="W71" s="12">
        <f t="shared" si="58"/>
        <v>0</v>
      </c>
      <c r="X71" s="12">
        <f t="shared" si="58"/>
        <v>0</v>
      </c>
      <c r="Y71" s="12">
        <f t="shared" si="58"/>
        <v>0</v>
      </c>
      <c r="Z71" s="12">
        <f t="shared" si="58"/>
        <v>0</v>
      </c>
      <c r="AA71" s="12">
        <f t="shared" si="58"/>
        <v>0</v>
      </c>
      <c r="AB71" s="12">
        <f t="shared" si="58"/>
        <v>0</v>
      </c>
      <c r="AC71" s="12">
        <f t="shared" si="58"/>
        <v>0</v>
      </c>
      <c r="AD71" s="12">
        <f t="shared" si="58"/>
        <v>0</v>
      </c>
      <c r="AE71" s="12"/>
      <c r="AF71" s="5">
        <f>SUM(D71:AD71)</f>
        <v>0</v>
      </c>
    </row>
    <row r="72" spans="1:32">
      <c r="A72" s="4"/>
      <c r="B72" s="17"/>
      <c r="AF72" s="25"/>
    </row>
    <row r="73" spans="1:32">
      <c r="A73" s="4" t="s">
        <v>355</v>
      </c>
      <c r="B73" s="17" t="s">
        <v>352</v>
      </c>
      <c r="C73" s="298"/>
      <c r="D73" s="42">
        <f t="shared" ref="D73:AD73" si="59">IF(D9&gt;0,$C$73*(1+$AI$10),0)</f>
        <v>0</v>
      </c>
      <c r="E73" s="42">
        <f t="shared" si="59"/>
        <v>0</v>
      </c>
      <c r="F73" s="42">
        <f t="shared" si="59"/>
        <v>0</v>
      </c>
      <c r="G73" s="42">
        <f t="shared" si="59"/>
        <v>0</v>
      </c>
      <c r="H73" s="42">
        <f t="shared" si="59"/>
        <v>0</v>
      </c>
      <c r="I73" s="42">
        <f t="shared" si="59"/>
        <v>0</v>
      </c>
      <c r="J73" s="42">
        <f t="shared" si="59"/>
        <v>0</v>
      </c>
      <c r="K73" s="42">
        <f t="shared" si="59"/>
        <v>0</v>
      </c>
      <c r="L73" s="42">
        <f t="shared" si="59"/>
        <v>0</v>
      </c>
      <c r="M73" s="42">
        <f t="shared" si="59"/>
        <v>0</v>
      </c>
      <c r="N73" s="42">
        <f t="shared" si="59"/>
        <v>0</v>
      </c>
      <c r="O73" s="42">
        <f t="shared" si="59"/>
        <v>0</v>
      </c>
      <c r="P73" s="42">
        <f t="shared" si="59"/>
        <v>0</v>
      </c>
      <c r="Q73" s="42">
        <f t="shared" si="59"/>
        <v>0</v>
      </c>
      <c r="R73" s="42">
        <f t="shared" si="59"/>
        <v>0</v>
      </c>
      <c r="S73" s="42">
        <f t="shared" si="59"/>
        <v>0</v>
      </c>
      <c r="T73" s="42">
        <f t="shared" si="59"/>
        <v>0</v>
      </c>
      <c r="U73" s="42">
        <f t="shared" si="59"/>
        <v>0</v>
      </c>
      <c r="V73" s="42">
        <f t="shared" si="59"/>
        <v>0</v>
      </c>
      <c r="W73" s="42">
        <f t="shared" si="59"/>
        <v>0</v>
      </c>
      <c r="X73" s="42">
        <f t="shared" si="59"/>
        <v>0</v>
      </c>
      <c r="Y73" s="42">
        <f t="shared" si="59"/>
        <v>0</v>
      </c>
      <c r="Z73" s="42">
        <f t="shared" si="59"/>
        <v>0</v>
      </c>
      <c r="AA73" s="42">
        <f t="shared" si="59"/>
        <v>0</v>
      </c>
      <c r="AB73" s="42">
        <f t="shared" si="59"/>
        <v>0</v>
      </c>
      <c r="AC73" s="42">
        <f t="shared" si="59"/>
        <v>0</v>
      </c>
      <c r="AD73" s="42">
        <f t="shared" si="59"/>
        <v>0</v>
      </c>
      <c r="AE73" s="42"/>
      <c r="AF73" s="5"/>
    </row>
    <row r="74" spans="1:32">
      <c r="A74" s="4" t="s">
        <v>356</v>
      </c>
      <c r="B74" s="17" t="s">
        <v>56</v>
      </c>
      <c r="C74" s="12"/>
      <c r="D74" s="12">
        <f>D9*D73</f>
        <v>0</v>
      </c>
      <c r="E74" s="12">
        <f t="shared" ref="E74:AD74" si="60">E9*E73</f>
        <v>0</v>
      </c>
      <c r="F74" s="12">
        <f t="shared" si="60"/>
        <v>0</v>
      </c>
      <c r="G74" s="12">
        <f t="shared" si="60"/>
        <v>0</v>
      </c>
      <c r="H74" s="12">
        <f t="shared" si="60"/>
        <v>0</v>
      </c>
      <c r="I74" s="12">
        <f t="shared" si="60"/>
        <v>0</v>
      </c>
      <c r="J74" s="12">
        <f t="shared" si="60"/>
        <v>0</v>
      </c>
      <c r="K74" s="12">
        <f t="shared" si="60"/>
        <v>0</v>
      </c>
      <c r="L74" s="12">
        <f t="shared" si="60"/>
        <v>0</v>
      </c>
      <c r="M74" s="12">
        <f t="shared" si="60"/>
        <v>0</v>
      </c>
      <c r="N74" s="12">
        <f t="shared" si="60"/>
        <v>0</v>
      </c>
      <c r="O74" s="12">
        <f t="shared" si="60"/>
        <v>0</v>
      </c>
      <c r="P74" s="12">
        <f t="shared" si="60"/>
        <v>0</v>
      </c>
      <c r="Q74" s="12">
        <f t="shared" si="60"/>
        <v>0</v>
      </c>
      <c r="R74" s="12">
        <f t="shared" si="60"/>
        <v>0</v>
      </c>
      <c r="S74" s="12">
        <f t="shared" si="60"/>
        <v>0</v>
      </c>
      <c r="T74" s="12">
        <f t="shared" si="60"/>
        <v>0</v>
      </c>
      <c r="U74" s="12">
        <f t="shared" si="60"/>
        <v>0</v>
      </c>
      <c r="V74" s="12">
        <f t="shared" si="60"/>
        <v>0</v>
      </c>
      <c r="W74" s="12">
        <f t="shared" si="60"/>
        <v>0</v>
      </c>
      <c r="X74" s="12">
        <f t="shared" si="60"/>
        <v>0</v>
      </c>
      <c r="Y74" s="12">
        <f t="shared" si="60"/>
        <v>0</v>
      </c>
      <c r="Z74" s="12">
        <f t="shared" si="60"/>
        <v>0</v>
      </c>
      <c r="AA74" s="12">
        <f t="shared" si="60"/>
        <v>0</v>
      </c>
      <c r="AB74" s="12">
        <f t="shared" si="60"/>
        <v>0</v>
      </c>
      <c r="AC74" s="12">
        <f t="shared" si="60"/>
        <v>0</v>
      </c>
      <c r="AD74" s="12">
        <f t="shared" si="60"/>
        <v>0</v>
      </c>
      <c r="AE74" s="12"/>
      <c r="AF74" s="5">
        <f>SUM(D74:AD74)</f>
        <v>0</v>
      </c>
    </row>
    <row r="75" spans="1:32">
      <c r="A75" s="4"/>
      <c r="B75" s="17"/>
      <c r="AF75" s="25"/>
    </row>
    <row r="76" spans="1:32">
      <c r="A76" s="4" t="s">
        <v>357</v>
      </c>
      <c r="B76" s="17" t="s">
        <v>56</v>
      </c>
      <c r="C76" s="65"/>
      <c r="D76" s="12">
        <f t="shared" ref="D76:AD76" si="61">IF(D14&gt;0,$C$76)*(1+$AI$11)</f>
        <v>0</v>
      </c>
      <c r="E76" s="12">
        <f t="shared" si="61"/>
        <v>0</v>
      </c>
      <c r="F76" s="12">
        <f t="shared" si="61"/>
        <v>0</v>
      </c>
      <c r="G76" s="12">
        <f t="shared" si="61"/>
        <v>0</v>
      </c>
      <c r="H76" s="12">
        <f t="shared" si="61"/>
        <v>0</v>
      </c>
      <c r="I76" s="12">
        <f t="shared" si="61"/>
        <v>0</v>
      </c>
      <c r="J76" s="12">
        <f t="shared" si="61"/>
        <v>0</v>
      </c>
      <c r="K76" s="12">
        <f t="shared" si="61"/>
        <v>0</v>
      </c>
      <c r="L76" s="12">
        <f t="shared" si="61"/>
        <v>0</v>
      </c>
      <c r="M76" s="12">
        <f t="shared" si="61"/>
        <v>0</v>
      </c>
      <c r="N76" s="12">
        <f t="shared" si="61"/>
        <v>0</v>
      </c>
      <c r="O76" s="12">
        <f t="shared" si="61"/>
        <v>0</v>
      </c>
      <c r="P76" s="12">
        <f t="shared" si="61"/>
        <v>0</v>
      </c>
      <c r="Q76" s="12">
        <f t="shared" si="61"/>
        <v>0</v>
      </c>
      <c r="R76" s="12">
        <f t="shared" si="61"/>
        <v>0</v>
      </c>
      <c r="S76" s="12">
        <f t="shared" si="61"/>
        <v>0</v>
      </c>
      <c r="T76" s="12">
        <f t="shared" si="61"/>
        <v>0</v>
      </c>
      <c r="U76" s="12">
        <f t="shared" si="61"/>
        <v>0</v>
      </c>
      <c r="V76" s="12">
        <f t="shared" si="61"/>
        <v>0</v>
      </c>
      <c r="W76" s="12">
        <f t="shared" si="61"/>
        <v>0</v>
      </c>
      <c r="X76" s="12">
        <f t="shared" si="61"/>
        <v>0</v>
      </c>
      <c r="Y76" s="12">
        <f t="shared" si="61"/>
        <v>0</v>
      </c>
      <c r="Z76" s="12">
        <f t="shared" si="61"/>
        <v>0</v>
      </c>
      <c r="AA76" s="12">
        <f t="shared" si="61"/>
        <v>0</v>
      </c>
      <c r="AB76" s="12">
        <f t="shared" si="61"/>
        <v>0</v>
      </c>
      <c r="AC76" s="12">
        <f t="shared" si="61"/>
        <v>0</v>
      </c>
      <c r="AD76" s="12">
        <f t="shared" si="61"/>
        <v>0</v>
      </c>
      <c r="AE76" s="12"/>
      <c r="AF76" s="5">
        <f>SUM(D76:AE76)</f>
        <v>0</v>
      </c>
    </row>
    <row r="77" spans="1:32">
      <c r="A77" s="4"/>
      <c r="B77" s="17"/>
      <c r="AF77" s="25"/>
    </row>
    <row r="78" spans="1:32">
      <c r="A78" s="4" t="s">
        <v>344</v>
      </c>
      <c r="B78" s="17" t="s">
        <v>203</v>
      </c>
      <c r="C78" s="298"/>
      <c r="D78" s="42">
        <f t="shared" ref="D78:AD78" si="62">IF(D11&gt;0,$C$78*(1+$AI$12),0)</f>
        <v>0</v>
      </c>
      <c r="E78" s="42">
        <f t="shared" si="62"/>
        <v>0</v>
      </c>
      <c r="F78" s="42">
        <f t="shared" si="62"/>
        <v>0</v>
      </c>
      <c r="G78" s="42">
        <f t="shared" si="62"/>
        <v>0</v>
      </c>
      <c r="H78" s="42">
        <f t="shared" si="62"/>
        <v>0</v>
      </c>
      <c r="I78" s="42">
        <f t="shared" si="62"/>
        <v>0</v>
      </c>
      <c r="J78" s="42">
        <f t="shared" si="62"/>
        <v>0</v>
      </c>
      <c r="K78" s="42">
        <f t="shared" si="62"/>
        <v>0</v>
      </c>
      <c r="L78" s="42">
        <f t="shared" si="62"/>
        <v>0</v>
      </c>
      <c r="M78" s="42">
        <f t="shared" si="62"/>
        <v>0</v>
      </c>
      <c r="N78" s="42">
        <f t="shared" si="62"/>
        <v>0</v>
      </c>
      <c r="O78" s="42">
        <f t="shared" si="62"/>
        <v>0</v>
      </c>
      <c r="P78" s="42">
        <f t="shared" si="62"/>
        <v>0</v>
      </c>
      <c r="Q78" s="42">
        <f t="shared" si="62"/>
        <v>0</v>
      </c>
      <c r="R78" s="42">
        <f t="shared" si="62"/>
        <v>0</v>
      </c>
      <c r="S78" s="42">
        <f t="shared" si="62"/>
        <v>0</v>
      </c>
      <c r="T78" s="42">
        <f t="shared" si="62"/>
        <v>0</v>
      </c>
      <c r="U78" s="42">
        <f t="shared" si="62"/>
        <v>0</v>
      </c>
      <c r="V78" s="42">
        <f t="shared" si="62"/>
        <v>0</v>
      </c>
      <c r="W78" s="42">
        <f t="shared" si="62"/>
        <v>0</v>
      </c>
      <c r="X78" s="42">
        <f t="shared" si="62"/>
        <v>0</v>
      </c>
      <c r="Y78" s="42">
        <f t="shared" si="62"/>
        <v>0</v>
      </c>
      <c r="Z78" s="42">
        <f t="shared" si="62"/>
        <v>0</v>
      </c>
      <c r="AA78" s="42">
        <f t="shared" si="62"/>
        <v>0</v>
      </c>
      <c r="AB78" s="42">
        <f t="shared" si="62"/>
        <v>0</v>
      </c>
      <c r="AC78" s="42">
        <f t="shared" si="62"/>
        <v>0</v>
      </c>
      <c r="AD78" s="42">
        <f t="shared" si="62"/>
        <v>0</v>
      </c>
      <c r="AE78" s="42"/>
      <c r="AF78" s="27"/>
    </row>
    <row r="79" spans="1:32">
      <c r="A79" s="4" t="s">
        <v>358</v>
      </c>
      <c r="B79" s="17" t="s">
        <v>56</v>
      </c>
      <c r="C79" s="12"/>
      <c r="D79" s="12">
        <f>D78*D11</f>
        <v>0</v>
      </c>
      <c r="E79" s="12">
        <f t="shared" ref="E79:AD79" si="63">E78*E11</f>
        <v>0</v>
      </c>
      <c r="F79" s="12">
        <f t="shared" si="63"/>
        <v>0</v>
      </c>
      <c r="G79" s="12">
        <f t="shared" si="63"/>
        <v>0</v>
      </c>
      <c r="H79" s="12">
        <f t="shared" si="63"/>
        <v>0</v>
      </c>
      <c r="I79" s="12">
        <f t="shared" si="63"/>
        <v>0</v>
      </c>
      <c r="J79" s="12">
        <f t="shared" si="63"/>
        <v>0</v>
      </c>
      <c r="K79" s="12">
        <f t="shared" si="63"/>
        <v>0</v>
      </c>
      <c r="L79" s="12">
        <f t="shared" si="63"/>
        <v>0</v>
      </c>
      <c r="M79" s="12">
        <f t="shared" si="63"/>
        <v>0</v>
      </c>
      <c r="N79" s="12">
        <f t="shared" si="63"/>
        <v>0</v>
      </c>
      <c r="O79" s="12">
        <f t="shared" si="63"/>
        <v>0</v>
      </c>
      <c r="P79" s="12">
        <f t="shared" si="63"/>
        <v>0</v>
      </c>
      <c r="Q79" s="12">
        <f t="shared" si="63"/>
        <v>0</v>
      </c>
      <c r="R79" s="12">
        <f t="shared" si="63"/>
        <v>0</v>
      </c>
      <c r="S79" s="12">
        <f t="shared" si="63"/>
        <v>0</v>
      </c>
      <c r="T79" s="12">
        <f t="shared" si="63"/>
        <v>0</v>
      </c>
      <c r="U79" s="12">
        <f t="shared" si="63"/>
        <v>0</v>
      </c>
      <c r="V79" s="12">
        <f t="shared" si="63"/>
        <v>0</v>
      </c>
      <c r="W79" s="12">
        <f t="shared" si="63"/>
        <v>0</v>
      </c>
      <c r="X79" s="12">
        <f t="shared" si="63"/>
        <v>0</v>
      </c>
      <c r="Y79" s="12">
        <f t="shared" si="63"/>
        <v>0</v>
      </c>
      <c r="Z79" s="12">
        <f t="shared" si="63"/>
        <v>0</v>
      </c>
      <c r="AA79" s="12">
        <f t="shared" si="63"/>
        <v>0</v>
      </c>
      <c r="AB79" s="12">
        <f t="shared" si="63"/>
        <v>0</v>
      </c>
      <c r="AC79" s="12">
        <f t="shared" si="63"/>
        <v>0</v>
      </c>
      <c r="AD79" s="12">
        <f t="shared" si="63"/>
        <v>0</v>
      </c>
      <c r="AE79" s="12"/>
      <c r="AF79" s="5">
        <f>SUM(D79:AD79)</f>
        <v>0</v>
      </c>
    </row>
    <row r="80" spans="1:32">
      <c r="A80" s="4"/>
      <c r="B80" s="17"/>
      <c r="AF80" s="5"/>
    </row>
    <row r="81" spans="1:32">
      <c r="A81" s="4" t="s">
        <v>359</v>
      </c>
      <c r="B81" s="17" t="s">
        <v>280</v>
      </c>
      <c r="C81" s="298"/>
      <c r="D81" s="42">
        <f t="shared" ref="D81:AD81" si="64">IF(D17&gt;0,$C$81*(1+$AI$13),0)</f>
        <v>0</v>
      </c>
      <c r="E81" s="42">
        <f t="shared" si="64"/>
        <v>0</v>
      </c>
      <c r="F81" s="42">
        <f t="shared" si="64"/>
        <v>0</v>
      </c>
      <c r="G81" s="42">
        <f t="shared" si="64"/>
        <v>0</v>
      </c>
      <c r="H81" s="42">
        <f t="shared" si="64"/>
        <v>0</v>
      </c>
      <c r="I81" s="42">
        <f t="shared" si="64"/>
        <v>0</v>
      </c>
      <c r="J81" s="42">
        <f t="shared" si="64"/>
        <v>0</v>
      </c>
      <c r="K81" s="42">
        <f t="shared" si="64"/>
        <v>0</v>
      </c>
      <c r="L81" s="42">
        <f t="shared" si="64"/>
        <v>0</v>
      </c>
      <c r="M81" s="42">
        <f t="shared" si="64"/>
        <v>0</v>
      </c>
      <c r="N81" s="42">
        <f t="shared" si="64"/>
        <v>0</v>
      </c>
      <c r="O81" s="42">
        <f t="shared" si="64"/>
        <v>0</v>
      </c>
      <c r="P81" s="42">
        <f t="shared" si="64"/>
        <v>0</v>
      </c>
      <c r="Q81" s="42">
        <f t="shared" si="64"/>
        <v>0</v>
      </c>
      <c r="R81" s="42">
        <f t="shared" si="64"/>
        <v>0</v>
      </c>
      <c r="S81" s="42">
        <f t="shared" si="64"/>
        <v>0</v>
      </c>
      <c r="T81" s="42">
        <f t="shared" si="64"/>
        <v>0</v>
      </c>
      <c r="U81" s="42">
        <f t="shared" si="64"/>
        <v>0</v>
      </c>
      <c r="V81" s="42">
        <f t="shared" si="64"/>
        <v>0</v>
      </c>
      <c r="W81" s="42">
        <f t="shared" si="64"/>
        <v>0</v>
      </c>
      <c r="X81" s="42">
        <f t="shared" si="64"/>
        <v>0</v>
      </c>
      <c r="Y81" s="42">
        <f t="shared" si="64"/>
        <v>0</v>
      </c>
      <c r="Z81" s="42">
        <f t="shared" si="64"/>
        <v>0</v>
      </c>
      <c r="AA81" s="42">
        <f t="shared" si="64"/>
        <v>0</v>
      </c>
      <c r="AB81" s="42">
        <f t="shared" si="64"/>
        <v>0</v>
      </c>
      <c r="AC81" s="42">
        <f t="shared" si="64"/>
        <v>0</v>
      </c>
      <c r="AD81" s="42">
        <f t="shared" si="64"/>
        <v>0</v>
      </c>
      <c r="AE81" s="42"/>
      <c r="AF81" s="27"/>
    </row>
    <row r="82" spans="1:32">
      <c r="A82" s="4" t="s">
        <v>359</v>
      </c>
      <c r="B82" s="17" t="s">
        <v>56</v>
      </c>
      <c r="C82" s="12"/>
      <c r="D82" s="12">
        <f>D17*D81</f>
        <v>0</v>
      </c>
      <c r="E82" s="12">
        <f t="shared" ref="E82:AD82" si="65">E17*E81</f>
        <v>0</v>
      </c>
      <c r="F82" s="12">
        <f t="shared" si="65"/>
        <v>0</v>
      </c>
      <c r="G82" s="12">
        <f t="shared" si="65"/>
        <v>0</v>
      </c>
      <c r="H82" s="12">
        <f t="shared" si="65"/>
        <v>0</v>
      </c>
      <c r="I82" s="12">
        <f t="shared" si="65"/>
        <v>0</v>
      </c>
      <c r="J82" s="12">
        <f t="shared" si="65"/>
        <v>0</v>
      </c>
      <c r="K82" s="12">
        <f t="shared" si="65"/>
        <v>0</v>
      </c>
      <c r="L82" s="12">
        <f t="shared" si="65"/>
        <v>0</v>
      </c>
      <c r="M82" s="12">
        <f t="shared" si="65"/>
        <v>0</v>
      </c>
      <c r="N82" s="12">
        <f t="shared" si="65"/>
        <v>0</v>
      </c>
      <c r="O82" s="12">
        <f t="shared" si="65"/>
        <v>0</v>
      </c>
      <c r="P82" s="12">
        <f t="shared" si="65"/>
        <v>0</v>
      </c>
      <c r="Q82" s="12">
        <f t="shared" si="65"/>
        <v>0</v>
      </c>
      <c r="R82" s="12">
        <f t="shared" si="65"/>
        <v>0</v>
      </c>
      <c r="S82" s="12">
        <f t="shared" si="65"/>
        <v>0</v>
      </c>
      <c r="T82" s="12">
        <f t="shared" si="65"/>
        <v>0</v>
      </c>
      <c r="U82" s="12">
        <f t="shared" si="65"/>
        <v>0</v>
      </c>
      <c r="V82" s="12">
        <f t="shared" si="65"/>
        <v>0</v>
      </c>
      <c r="W82" s="12">
        <f t="shared" si="65"/>
        <v>0</v>
      </c>
      <c r="X82" s="12">
        <f t="shared" si="65"/>
        <v>0</v>
      </c>
      <c r="Y82" s="12">
        <f t="shared" si="65"/>
        <v>0</v>
      </c>
      <c r="Z82" s="12">
        <f t="shared" si="65"/>
        <v>0</v>
      </c>
      <c r="AA82" s="12">
        <f t="shared" si="65"/>
        <v>0</v>
      </c>
      <c r="AB82" s="12">
        <f t="shared" si="65"/>
        <v>0</v>
      </c>
      <c r="AC82" s="12">
        <f t="shared" si="65"/>
        <v>0</v>
      </c>
      <c r="AD82" s="12">
        <f t="shared" si="65"/>
        <v>0</v>
      </c>
      <c r="AE82" s="12"/>
      <c r="AF82" s="5">
        <f>SUM(D82:AD82)</f>
        <v>0</v>
      </c>
    </row>
    <row r="83" spans="1:32">
      <c r="A83" s="4"/>
      <c r="B83" s="17"/>
      <c r="AF83" s="25"/>
    </row>
    <row r="84" spans="1:32">
      <c r="A84" s="4" t="s">
        <v>282</v>
      </c>
      <c r="B84" s="17" t="s">
        <v>56</v>
      </c>
      <c r="C84" s="65"/>
      <c r="D84" s="12">
        <f>IF(D$24&gt;0,$C84,0)</f>
        <v>0</v>
      </c>
      <c r="E84" s="12">
        <f t="shared" ref="D84:I87" si="66">IF(E$24&gt;0,$C84,0)</f>
        <v>0</v>
      </c>
      <c r="F84" s="12">
        <f t="shared" si="66"/>
        <v>0</v>
      </c>
      <c r="G84" s="12">
        <f t="shared" si="66"/>
        <v>0</v>
      </c>
      <c r="H84" s="12">
        <f t="shared" si="66"/>
        <v>0</v>
      </c>
      <c r="I84" s="12">
        <f t="shared" si="66"/>
        <v>0</v>
      </c>
      <c r="J84" s="12">
        <f t="shared" ref="J84:AD87" si="67">IF(J$24&gt;0,$C84,0)</f>
        <v>0</v>
      </c>
      <c r="K84" s="12">
        <f t="shared" si="67"/>
        <v>0</v>
      </c>
      <c r="L84" s="12">
        <f t="shared" si="67"/>
        <v>0</v>
      </c>
      <c r="M84" s="12">
        <f t="shared" si="67"/>
        <v>0</v>
      </c>
      <c r="N84" s="12">
        <f t="shared" si="67"/>
        <v>0</v>
      </c>
      <c r="O84" s="12">
        <f t="shared" si="67"/>
        <v>0</v>
      </c>
      <c r="P84" s="12">
        <f t="shared" si="67"/>
        <v>0</v>
      </c>
      <c r="Q84" s="12">
        <f t="shared" si="67"/>
        <v>0</v>
      </c>
      <c r="R84" s="12">
        <f t="shared" si="67"/>
        <v>0</v>
      </c>
      <c r="S84" s="12">
        <f t="shared" si="67"/>
        <v>0</v>
      </c>
      <c r="T84" s="12">
        <f t="shared" si="67"/>
        <v>0</v>
      </c>
      <c r="U84" s="12">
        <f t="shared" si="67"/>
        <v>0</v>
      </c>
      <c r="V84" s="12">
        <f t="shared" si="67"/>
        <v>0</v>
      </c>
      <c r="W84" s="12">
        <f t="shared" si="67"/>
        <v>0</v>
      </c>
      <c r="X84" s="12">
        <f t="shared" si="67"/>
        <v>0</v>
      </c>
      <c r="Y84" s="12">
        <f t="shared" si="67"/>
        <v>0</v>
      </c>
      <c r="Z84" s="12">
        <f t="shared" si="67"/>
        <v>0</v>
      </c>
      <c r="AA84" s="12">
        <f t="shared" si="67"/>
        <v>0</v>
      </c>
      <c r="AB84" s="12">
        <f t="shared" si="67"/>
        <v>0</v>
      </c>
      <c r="AC84" s="12">
        <f t="shared" si="67"/>
        <v>0</v>
      </c>
      <c r="AD84" s="12">
        <f t="shared" si="67"/>
        <v>0</v>
      </c>
      <c r="AE84" s="12"/>
      <c r="AF84" s="25"/>
    </row>
    <row r="85" spans="1:32">
      <c r="A85" s="4" t="s">
        <v>283</v>
      </c>
      <c r="B85" s="17" t="s">
        <v>56</v>
      </c>
      <c r="C85" s="65"/>
      <c r="D85" s="12">
        <f t="shared" si="66"/>
        <v>0</v>
      </c>
      <c r="E85" s="12">
        <f t="shared" si="66"/>
        <v>0</v>
      </c>
      <c r="F85" s="12">
        <f t="shared" si="66"/>
        <v>0</v>
      </c>
      <c r="G85" s="12">
        <f t="shared" si="66"/>
        <v>0</v>
      </c>
      <c r="H85" s="12">
        <f t="shared" si="66"/>
        <v>0</v>
      </c>
      <c r="I85" s="12">
        <f t="shared" si="66"/>
        <v>0</v>
      </c>
      <c r="J85" s="12">
        <f t="shared" si="67"/>
        <v>0</v>
      </c>
      <c r="K85" s="12">
        <f t="shared" si="67"/>
        <v>0</v>
      </c>
      <c r="L85" s="12">
        <f t="shared" si="67"/>
        <v>0</v>
      </c>
      <c r="M85" s="12">
        <f t="shared" si="67"/>
        <v>0</v>
      </c>
      <c r="N85" s="12">
        <f t="shared" si="67"/>
        <v>0</v>
      </c>
      <c r="O85" s="12">
        <f t="shared" si="67"/>
        <v>0</v>
      </c>
      <c r="P85" s="12">
        <f t="shared" si="67"/>
        <v>0</v>
      </c>
      <c r="Q85" s="12">
        <f t="shared" si="67"/>
        <v>0</v>
      </c>
      <c r="R85" s="12">
        <f t="shared" si="67"/>
        <v>0</v>
      </c>
      <c r="S85" s="12">
        <f t="shared" si="67"/>
        <v>0</v>
      </c>
      <c r="T85" s="12">
        <f t="shared" si="67"/>
        <v>0</v>
      </c>
      <c r="U85" s="12">
        <f t="shared" si="67"/>
        <v>0</v>
      </c>
      <c r="V85" s="12">
        <f t="shared" si="67"/>
        <v>0</v>
      </c>
      <c r="W85" s="12">
        <f t="shared" si="67"/>
        <v>0</v>
      </c>
      <c r="X85" s="12">
        <f t="shared" si="67"/>
        <v>0</v>
      </c>
      <c r="Y85" s="12">
        <f t="shared" si="67"/>
        <v>0</v>
      </c>
      <c r="Z85" s="12">
        <f t="shared" si="67"/>
        <v>0</v>
      </c>
      <c r="AA85" s="12">
        <f t="shared" si="67"/>
        <v>0</v>
      </c>
      <c r="AB85" s="12">
        <f t="shared" si="67"/>
        <v>0</v>
      </c>
      <c r="AC85" s="12">
        <f t="shared" si="67"/>
        <v>0</v>
      </c>
      <c r="AD85" s="12">
        <f t="shared" si="67"/>
        <v>0</v>
      </c>
      <c r="AE85" s="12"/>
      <c r="AF85" s="25"/>
    </row>
    <row r="86" spans="1:32">
      <c r="A86" s="4" t="s">
        <v>284</v>
      </c>
      <c r="B86" s="17" t="s">
        <v>56</v>
      </c>
      <c r="C86" s="65"/>
      <c r="D86" s="12">
        <f t="shared" si="66"/>
        <v>0</v>
      </c>
      <c r="E86" s="12">
        <f t="shared" si="66"/>
        <v>0</v>
      </c>
      <c r="F86" s="12">
        <f t="shared" si="66"/>
        <v>0</v>
      </c>
      <c r="G86" s="12">
        <f t="shared" si="66"/>
        <v>0</v>
      </c>
      <c r="H86" s="12">
        <f t="shared" si="66"/>
        <v>0</v>
      </c>
      <c r="I86" s="12">
        <f t="shared" si="66"/>
        <v>0</v>
      </c>
      <c r="J86" s="12">
        <f t="shared" si="67"/>
        <v>0</v>
      </c>
      <c r="K86" s="12">
        <f t="shared" si="67"/>
        <v>0</v>
      </c>
      <c r="L86" s="12">
        <f t="shared" si="67"/>
        <v>0</v>
      </c>
      <c r="M86" s="12">
        <f t="shared" si="67"/>
        <v>0</v>
      </c>
      <c r="N86" s="12">
        <f t="shared" si="67"/>
        <v>0</v>
      </c>
      <c r="O86" s="12">
        <f t="shared" si="67"/>
        <v>0</v>
      </c>
      <c r="P86" s="12">
        <f t="shared" si="67"/>
        <v>0</v>
      </c>
      <c r="Q86" s="12">
        <f t="shared" si="67"/>
        <v>0</v>
      </c>
      <c r="R86" s="12">
        <f t="shared" si="67"/>
        <v>0</v>
      </c>
      <c r="S86" s="12">
        <f t="shared" si="67"/>
        <v>0</v>
      </c>
      <c r="T86" s="12">
        <f t="shared" si="67"/>
        <v>0</v>
      </c>
      <c r="U86" s="12">
        <f t="shared" si="67"/>
        <v>0</v>
      </c>
      <c r="V86" s="12">
        <f t="shared" si="67"/>
        <v>0</v>
      </c>
      <c r="W86" s="12">
        <f t="shared" si="67"/>
        <v>0</v>
      </c>
      <c r="X86" s="12">
        <f t="shared" si="67"/>
        <v>0</v>
      </c>
      <c r="Y86" s="12">
        <f t="shared" si="67"/>
        <v>0</v>
      </c>
      <c r="Z86" s="12">
        <f t="shared" si="67"/>
        <v>0</v>
      </c>
      <c r="AA86" s="12">
        <f t="shared" si="67"/>
        <v>0</v>
      </c>
      <c r="AB86" s="12">
        <f t="shared" si="67"/>
        <v>0</v>
      </c>
      <c r="AC86" s="12">
        <f t="shared" si="67"/>
        <v>0</v>
      </c>
      <c r="AD86" s="12">
        <f t="shared" si="67"/>
        <v>0</v>
      </c>
      <c r="AE86" s="12"/>
      <c r="AF86" s="25"/>
    </row>
    <row r="87" spans="1:32">
      <c r="A87" s="4" t="s">
        <v>360</v>
      </c>
      <c r="B87" s="17" t="s">
        <v>56</v>
      </c>
      <c r="C87" s="65"/>
      <c r="D87" s="12">
        <f t="shared" si="66"/>
        <v>0</v>
      </c>
      <c r="E87" s="12">
        <f t="shared" si="66"/>
        <v>0</v>
      </c>
      <c r="F87" s="12">
        <f t="shared" si="66"/>
        <v>0</v>
      </c>
      <c r="G87" s="12">
        <f t="shared" si="66"/>
        <v>0</v>
      </c>
      <c r="H87" s="12">
        <f t="shared" si="66"/>
        <v>0</v>
      </c>
      <c r="I87" s="12">
        <f t="shared" si="66"/>
        <v>0</v>
      </c>
      <c r="J87" s="12">
        <f t="shared" si="67"/>
        <v>0</v>
      </c>
      <c r="K87" s="12">
        <f t="shared" si="67"/>
        <v>0</v>
      </c>
      <c r="L87" s="12">
        <f t="shared" si="67"/>
        <v>0</v>
      </c>
      <c r="M87" s="12">
        <f t="shared" si="67"/>
        <v>0</v>
      </c>
      <c r="N87" s="12">
        <f t="shared" si="67"/>
        <v>0</v>
      </c>
      <c r="O87" s="12">
        <f t="shared" si="67"/>
        <v>0</v>
      </c>
      <c r="P87" s="12">
        <f t="shared" si="67"/>
        <v>0</v>
      </c>
      <c r="Q87" s="12">
        <f t="shared" si="67"/>
        <v>0</v>
      </c>
      <c r="R87" s="12">
        <f t="shared" si="67"/>
        <v>0</v>
      </c>
      <c r="S87" s="12">
        <f t="shared" si="67"/>
        <v>0</v>
      </c>
      <c r="T87" s="12">
        <f t="shared" si="67"/>
        <v>0</v>
      </c>
      <c r="U87" s="12">
        <f t="shared" si="67"/>
        <v>0</v>
      </c>
      <c r="V87" s="12">
        <f t="shared" si="67"/>
        <v>0</v>
      </c>
      <c r="W87" s="12">
        <f t="shared" si="67"/>
        <v>0</v>
      </c>
      <c r="X87" s="12">
        <f t="shared" si="67"/>
        <v>0</v>
      </c>
      <c r="Y87" s="12">
        <f t="shared" si="67"/>
        <v>0</v>
      </c>
      <c r="Z87" s="12">
        <f t="shared" si="67"/>
        <v>0</v>
      </c>
      <c r="AA87" s="12">
        <f t="shared" si="67"/>
        <v>0</v>
      </c>
      <c r="AB87" s="12">
        <f t="shared" si="67"/>
        <v>0</v>
      </c>
      <c r="AC87" s="12">
        <f t="shared" si="67"/>
        <v>0</v>
      </c>
      <c r="AD87" s="12">
        <f t="shared" si="67"/>
        <v>0</v>
      </c>
      <c r="AE87" s="12"/>
      <c r="AF87" s="25"/>
    </row>
    <row r="88" spans="1:32">
      <c r="A88" s="4" t="s">
        <v>245</v>
      </c>
      <c r="B88" s="17" t="s">
        <v>56</v>
      </c>
      <c r="C88" s="69"/>
      <c r="D88" s="69">
        <f>IF(D9&gt;0,SUM(D84:D87)*(1+$AI$14),0)</f>
        <v>0</v>
      </c>
      <c r="E88" s="69">
        <f t="shared" ref="E88:AD88" si="68">IF(E9&gt;0,SUM(E84:E87)*(1+$AI$14),0)</f>
        <v>0</v>
      </c>
      <c r="F88" s="69">
        <f t="shared" si="68"/>
        <v>0</v>
      </c>
      <c r="G88" s="69">
        <f t="shared" si="68"/>
        <v>0</v>
      </c>
      <c r="H88" s="69">
        <f t="shared" si="68"/>
        <v>0</v>
      </c>
      <c r="I88" s="69">
        <f t="shared" si="68"/>
        <v>0</v>
      </c>
      <c r="J88" s="69">
        <f t="shared" si="68"/>
        <v>0</v>
      </c>
      <c r="K88" s="69">
        <f t="shared" si="68"/>
        <v>0</v>
      </c>
      <c r="L88" s="69">
        <f t="shared" si="68"/>
        <v>0</v>
      </c>
      <c r="M88" s="69">
        <f t="shared" si="68"/>
        <v>0</v>
      </c>
      <c r="N88" s="69">
        <f t="shared" si="68"/>
        <v>0</v>
      </c>
      <c r="O88" s="69">
        <f t="shared" si="68"/>
        <v>0</v>
      </c>
      <c r="P88" s="69">
        <f t="shared" si="68"/>
        <v>0</v>
      </c>
      <c r="Q88" s="69">
        <f t="shared" si="68"/>
        <v>0</v>
      </c>
      <c r="R88" s="69">
        <f t="shared" si="68"/>
        <v>0</v>
      </c>
      <c r="S88" s="69">
        <f t="shared" si="68"/>
        <v>0</v>
      </c>
      <c r="T88" s="69">
        <f t="shared" si="68"/>
        <v>0</v>
      </c>
      <c r="U88" s="69">
        <f t="shared" si="68"/>
        <v>0</v>
      </c>
      <c r="V88" s="69">
        <f t="shared" si="68"/>
        <v>0</v>
      </c>
      <c r="W88" s="69">
        <f t="shared" si="68"/>
        <v>0</v>
      </c>
      <c r="X88" s="69">
        <f t="shared" si="68"/>
        <v>0</v>
      </c>
      <c r="Y88" s="69">
        <f t="shared" si="68"/>
        <v>0</v>
      </c>
      <c r="Z88" s="69">
        <f t="shared" si="68"/>
        <v>0</v>
      </c>
      <c r="AA88" s="69">
        <f t="shared" si="68"/>
        <v>0</v>
      </c>
      <c r="AB88" s="69">
        <f t="shared" si="68"/>
        <v>0</v>
      </c>
      <c r="AC88" s="69">
        <f t="shared" si="68"/>
        <v>0</v>
      </c>
      <c r="AD88" s="69">
        <f t="shared" si="68"/>
        <v>0</v>
      </c>
      <c r="AE88" s="69"/>
      <c r="AF88" s="11">
        <f>SUM(D88:AD88)</f>
        <v>0</v>
      </c>
    </row>
    <row r="89" spans="1:32">
      <c r="A89" s="4"/>
      <c r="B89" s="17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5"/>
    </row>
    <row r="90" spans="1:32">
      <c r="A90" s="28" t="s">
        <v>285</v>
      </c>
      <c r="B90" s="56"/>
      <c r="C90" s="47"/>
      <c r="D90" s="47">
        <f>SUM(D68,D71,D74,D76,D79,D82,D88)</f>
        <v>0</v>
      </c>
      <c r="E90" s="47">
        <f t="shared" ref="E90:AD90" si="69">SUM(E68,E71,E74,E76,E79,E82,E88)</f>
        <v>0</v>
      </c>
      <c r="F90" s="47">
        <f t="shared" si="69"/>
        <v>0</v>
      </c>
      <c r="G90" s="47">
        <f t="shared" si="69"/>
        <v>0</v>
      </c>
      <c r="H90" s="47">
        <f t="shared" si="69"/>
        <v>0</v>
      </c>
      <c r="I90" s="47">
        <f t="shared" si="69"/>
        <v>0</v>
      </c>
      <c r="J90" s="47">
        <f t="shared" si="69"/>
        <v>0</v>
      </c>
      <c r="K90" s="47">
        <f t="shared" si="69"/>
        <v>0</v>
      </c>
      <c r="L90" s="47">
        <f t="shared" si="69"/>
        <v>0</v>
      </c>
      <c r="M90" s="47">
        <f t="shared" si="69"/>
        <v>0</v>
      </c>
      <c r="N90" s="47">
        <f t="shared" si="69"/>
        <v>0</v>
      </c>
      <c r="O90" s="47">
        <f t="shared" si="69"/>
        <v>0</v>
      </c>
      <c r="P90" s="47">
        <f t="shared" si="69"/>
        <v>0</v>
      </c>
      <c r="Q90" s="47">
        <f t="shared" si="69"/>
        <v>0</v>
      </c>
      <c r="R90" s="47">
        <f t="shared" si="69"/>
        <v>0</v>
      </c>
      <c r="S90" s="47">
        <f t="shared" si="69"/>
        <v>0</v>
      </c>
      <c r="T90" s="47">
        <f t="shared" si="69"/>
        <v>0</v>
      </c>
      <c r="U90" s="47">
        <f t="shared" si="69"/>
        <v>0</v>
      </c>
      <c r="V90" s="47">
        <f t="shared" si="69"/>
        <v>0</v>
      </c>
      <c r="W90" s="47">
        <f t="shared" si="69"/>
        <v>0</v>
      </c>
      <c r="X90" s="47">
        <f t="shared" si="69"/>
        <v>0</v>
      </c>
      <c r="Y90" s="47">
        <f t="shared" si="69"/>
        <v>0</v>
      </c>
      <c r="Z90" s="47">
        <f t="shared" si="69"/>
        <v>0</v>
      </c>
      <c r="AA90" s="47">
        <f t="shared" si="69"/>
        <v>0</v>
      </c>
      <c r="AB90" s="47">
        <f t="shared" si="69"/>
        <v>0</v>
      </c>
      <c r="AC90" s="47">
        <f t="shared" si="69"/>
        <v>0</v>
      </c>
      <c r="AD90" s="47">
        <f t="shared" si="69"/>
        <v>0</v>
      </c>
      <c r="AE90" s="47"/>
      <c r="AF90" s="49">
        <f>SUM(D90:AD90)</f>
        <v>0</v>
      </c>
    </row>
    <row r="91" spans="1:32">
      <c r="A91" s="28" t="s">
        <v>185</v>
      </c>
      <c r="B91" s="56" t="s">
        <v>53</v>
      </c>
      <c r="C91" s="48"/>
      <c r="D91" s="48">
        <f t="shared" ref="D91:AD91" si="70">IFERROR(D90/D24,0)</f>
        <v>0</v>
      </c>
      <c r="E91" s="48">
        <f t="shared" si="70"/>
        <v>0</v>
      </c>
      <c r="F91" s="48">
        <f t="shared" si="70"/>
        <v>0</v>
      </c>
      <c r="G91" s="48">
        <f t="shared" si="70"/>
        <v>0</v>
      </c>
      <c r="H91" s="48">
        <f t="shared" si="70"/>
        <v>0</v>
      </c>
      <c r="I91" s="48">
        <f t="shared" si="70"/>
        <v>0</v>
      </c>
      <c r="J91" s="48">
        <f t="shared" si="70"/>
        <v>0</v>
      </c>
      <c r="K91" s="48">
        <f t="shared" si="70"/>
        <v>0</v>
      </c>
      <c r="L91" s="48">
        <f t="shared" si="70"/>
        <v>0</v>
      </c>
      <c r="M91" s="48">
        <f t="shared" si="70"/>
        <v>0</v>
      </c>
      <c r="N91" s="48">
        <f t="shared" si="70"/>
        <v>0</v>
      </c>
      <c r="O91" s="48">
        <f t="shared" si="70"/>
        <v>0</v>
      </c>
      <c r="P91" s="48">
        <f t="shared" si="70"/>
        <v>0</v>
      </c>
      <c r="Q91" s="48">
        <f t="shared" si="70"/>
        <v>0</v>
      </c>
      <c r="R91" s="48">
        <f t="shared" si="70"/>
        <v>0</v>
      </c>
      <c r="S91" s="48">
        <f t="shared" si="70"/>
        <v>0</v>
      </c>
      <c r="T91" s="48">
        <f t="shared" si="70"/>
        <v>0</v>
      </c>
      <c r="U91" s="48">
        <f t="shared" si="70"/>
        <v>0</v>
      </c>
      <c r="V91" s="48">
        <f t="shared" si="70"/>
        <v>0</v>
      </c>
      <c r="W91" s="48">
        <f t="shared" si="70"/>
        <v>0</v>
      </c>
      <c r="X91" s="48">
        <f t="shared" si="70"/>
        <v>0</v>
      </c>
      <c r="Y91" s="48">
        <f t="shared" si="70"/>
        <v>0</v>
      </c>
      <c r="Z91" s="48">
        <f t="shared" si="70"/>
        <v>0</v>
      </c>
      <c r="AA91" s="48">
        <f t="shared" si="70"/>
        <v>0</v>
      </c>
      <c r="AB91" s="48">
        <f t="shared" si="70"/>
        <v>0</v>
      </c>
      <c r="AC91" s="48">
        <f t="shared" si="70"/>
        <v>0</v>
      </c>
      <c r="AD91" s="48">
        <f t="shared" si="70"/>
        <v>0</v>
      </c>
      <c r="AE91" s="48"/>
      <c r="AF91" s="58">
        <f>IFERROR(AF90/AF24,0)</f>
        <v>0</v>
      </c>
    </row>
    <row r="92" spans="1:32">
      <c r="A92" s="4"/>
      <c r="B92" s="17"/>
      <c r="C92" s="37"/>
      <c r="D92" s="37"/>
      <c r="AF92" s="25"/>
    </row>
    <row r="93" spans="1:32">
      <c r="A93" s="28" t="s">
        <v>286</v>
      </c>
      <c r="B93" s="17"/>
      <c r="C93" s="17"/>
      <c r="D93" s="17"/>
      <c r="E93" s="17"/>
      <c r="F93" s="17"/>
      <c r="G93" s="17"/>
      <c r="H93" s="17"/>
      <c r="I93" s="17"/>
      <c r="AF93" s="25"/>
    </row>
    <row r="94" spans="1:32">
      <c r="A94" s="4" t="s">
        <v>186</v>
      </c>
      <c r="B94" s="17" t="s">
        <v>53</v>
      </c>
      <c r="C94" s="12"/>
      <c r="D94" s="12">
        <f t="shared" ref="D94:AD94" si="71">$C$94*D36</f>
        <v>0</v>
      </c>
      <c r="E94" s="12">
        <f t="shared" si="71"/>
        <v>0</v>
      </c>
      <c r="F94" s="12">
        <f t="shared" si="71"/>
        <v>0</v>
      </c>
      <c r="G94" s="12">
        <f t="shared" si="71"/>
        <v>0</v>
      </c>
      <c r="H94" s="12">
        <f t="shared" si="71"/>
        <v>0</v>
      </c>
      <c r="I94" s="12">
        <f t="shared" si="71"/>
        <v>0</v>
      </c>
      <c r="J94" s="12">
        <f t="shared" si="71"/>
        <v>0</v>
      </c>
      <c r="K94" s="12">
        <f t="shared" si="71"/>
        <v>0</v>
      </c>
      <c r="L94" s="12">
        <f t="shared" si="71"/>
        <v>0</v>
      </c>
      <c r="M94" s="12">
        <f t="shared" si="71"/>
        <v>0</v>
      </c>
      <c r="N94" s="12">
        <f t="shared" si="71"/>
        <v>0</v>
      </c>
      <c r="O94" s="12">
        <f t="shared" si="71"/>
        <v>0</v>
      </c>
      <c r="P94" s="12">
        <f t="shared" si="71"/>
        <v>0</v>
      </c>
      <c r="Q94" s="12">
        <f t="shared" si="71"/>
        <v>0</v>
      </c>
      <c r="R94" s="12">
        <f t="shared" si="71"/>
        <v>0</v>
      </c>
      <c r="S94" s="12">
        <f t="shared" si="71"/>
        <v>0</v>
      </c>
      <c r="T94" s="12">
        <f t="shared" si="71"/>
        <v>0</v>
      </c>
      <c r="U94" s="12">
        <f t="shared" si="71"/>
        <v>0</v>
      </c>
      <c r="V94" s="12">
        <f t="shared" si="71"/>
        <v>0</v>
      </c>
      <c r="W94" s="12">
        <f t="shared" si="71"/>
        <v>0</v>
      </c>
      <c r="X94" s="12">
        <f t="shared" si="71"/>
        <v>0</v>
      </c>
      <c r="Y94" s="12">
        <f t="shared" si="71"/>
        <v>0</v>
      </c>
      <c r="Z94" s="12">
        <f t="shared" si="71"/>
        <v>0</v>
      </c>
      <c r="AA94" s="12">
        <f t="shared" si="71"/>
        <v>0</v>
      </c>
      <c r="AB94" s="12">
        <f t="shared" si="71"/>
        <v>0</v>
      </c>
      <c r="AC94" s="12">
        <f t="shared" si="71"/>
        <v>0</v>
      </c>
      <c r="AD94" s="12">
        <f t="shared" si="71"/>
        <v>0</v>
      </c>
      <c r="AE94" s="12"/>
      <c r="AF94" s="5">
        <f>SUM(D94:AD94)</f>
        <v>0</v>
      </c>
    </row>
    <row r="95" spans="1:32">
      <c r="A95" s="4" t="s">
        <v>290</v>
      </c>
      <c r="B95" s="17" t="s">
        <v>53</v>
      </c>
      <c r="C95" s="12"/>
      <c r="D95" s="12">
        <f t="shared" ref="D95:AD95" si="72">IF(D$93="Y",$C$95*D36,0)</f>
        <v>0</v>
      </c>
      <c r="E95" s="12">
        <f t="shared" si="72"/>
        <v>0</v>
      </c>
      <c r="F95" s="12">
        <f t="shared" si="72"/>
        <v>0</v>
      </c>
      <c r="G95" s="12">
        <f t="shared" si="72"/>
        <v>0</v>
      </c>
      <c r="H95" s="12">
        <f t="shared" si="72"/>
        <v>0</v>
      </c>
      <c r="I95" s="12">
        <f t="shared" si="72"/>
        <v>0</v>
      </c>
      <c r="J95" s="12">
        <f t="shared" si="72"/>
        <v>0</v>
      </c>
      <c r="K95" s="12">
        <f t="shared" si="72"/>
        <v>0</v>
      </c>
      <c r="L95" s="12">
        <f t="shared" si="72"/>
        <v>0</v>
      </c>
      <c r="M95" s="12">
        <f t="shared" si="72"/>
        <v>0</v>
      </c>
      <c r="N95" s="12">
        <f t="shared" si="72"/>
        <v>0</v>
      </c>
      <c r="O95" s="12">
        <f t="shared" si="72"/>
        <v>0</v>
      </c>
      <c r="P95" s="12">
        <f t="shared" si="72"/>
        <v>0</v>
      </c>
      <c r="Q95" s="12">
        <f t="shared" si="72"/>
        <v>0</v>
      </c>
      <c r="R95" s="12">
        <f t="shared" si="72"/>
        <v>0</v>
      </c>
      <c r="S95" s="12">
        <f t="shared" si="72"/>
        <v>0</v>
      </c>
      <c r="T95" s="12">
        <f t="shared" si="72"/>
        <v>0</v>
      </c>
      <c r="U95" s="12">
        <f t="shared" si="72"/>
        <v>0</v>
      </c>
      <c r="V95" s="12">
        <f t="shared" si="72"/>
        <v>0</v>
      </c>
      <c r="W95" s="12">
        <f t="shared" si="72"/>
        <v>0</v>
      </c>
      <c r="X95" s="12">
        <f t="shared" si="72"/>
        <v>0</v>
      </c>
      <c r="Y95" s="12">
        <f t="shared" si="72"/>
        <v>0</v>
      </c>
      <c r="Z95" s="12">
        <f t="shared" si="72"/>
        <v>0</v>
      </c>
      <c r="AA95" s="12">
        <f t="shared" si="72"/>
        <v>0</v>
      </c>
      <c r="AB95" s="12">
        <f t="shared" si="72"/>
        <v>0</v>
      </c>
      <c r="AC95" s="12">
        <f t="shared" si="72"/>
        <v>0</v>
      </c>
      <c r="AD95" s="12">
        <f t="shared" si="72"/>
        <v>0</v>
      </c>
      <c r="AE95" s="12"/>
      <c r="AF95" s="5"/>
    </row>
    <row r="96" spans="1:32">
      <c r="A96" s="4" t="s">
        <v>187</v>
      </c>
      <c r="B96" s="32" t="s">
        <v>56</v>
      </c>
      <c r="C96" s="12"/>
      <c r="D96" s="12">
        <f t="shared" ref="D96:I96" si="73">D151*D36</f>
        <v>0</v>
      </c>
      <c r="E96" s="12">
        <f t="shared" si="73"/>
        <v>0</v>
      </c>
      <c r="F96" s="12">
        <f t="shared" si="73"/>
        <v>0</v>
      </c>
      <c r="G96" s="12">
        <f t="shared" si="73"/>
        <v>0</v>
      </c>
      <c r="H96" s="12">
        <f t="shared" si="73"/>
        <v>0</v>
      </c>
      <c r="I96" s="12">
        <f t="shared" si="73"/>
        <v>0</v>
      </c>
      <c r="J96" s="12">
        <f>J151*J36</f>
        <v>0</v>
      </c>
      <c r="K96" s="12">
        <f t="shared" ref="K96:AD96" si="74">K151*K36</f>
        <v>0</v>
      </c>
      <c r="L96" s="12">
        <f t="shared" si="74"/>
        <v>0</v>
      </c>
      <c r="M96" s="12">
        <f t="shared" si="74"/>
        <v>0</v>
      </c>
      <c r="N96" s="12">
        <f t="shared" si="74"/>
        <v>0</v>
      </c>
      <c r="O96" s="12">
        <f t="shared" si="74"/>
        <v>0</v>
      </c>
      <c r="P96" s="12">
        <f t="shared" si="74"/>
        <v>0</v>
      </c>
      <c r="Q96" s="12">
        <f t="shared" si="74"/>
        <v>0</v>
      </c>
      <c r="R96" s="12">
        <f t="shared" si="74"/>
        <v>0</v>
      </c>
      <c r="S96" s="12">
        <f t="shared" si="74"/>
        <v>0</v>
      </c>
      <c r="T96" s="12">
        <f t="shared" si="74"/>
        <v>0</v>
      </c>
      <c r="U96" s="12">
        <f t="shared" si="74"/>
        <v>0</v>
      </c>
      <c r="V96" s="12">
        <f t="shared" si="74"/>
        <v>0</v>
      </c>
      <c r="W96" s="12">
        <f t="shared" si="74"/>
        <v>0</v>
      </c>
      <c r="X96" s="12">
        <f t="shared" si="74"/>
        <v>0</v>
      </c>
      <c r="Y96" s="12">
        <f t="shared" si="74"/>
        <v>0</v>
      </c>
      <c r="Z96" s="12">
        <f t="shared" si="74"/>
        <v>0</v>
      </c>
      <c r="AA96" s="12">
        <f t="shared" si="74"/>
        <v>0</v>
      </c>
      <c r="AB96" s="12">
        <f t="shared" si="74"/>
        <v>0</v>
      </c>
      <c r="AC96" s="12">
        <f t="shared" si="74"/>
        <v>0</v>
      </c>
      <c r="AD96" s="12">
        <f t="shared" si="74"/>
        <v>0</v>
      </c>
      <c r="AE96" s="12"/>
      <c r="AF96" s="5">
        <f>SUM(D96:AD96)</f>
        <v>0</v>
      </c>
    </row>
    <row r="97" spans="1:34">
      <c r="A97" s="4" t="s">
        <v>188</v>
      </c>
      <c r="B97" s="17" t="s">
        <v>56</v>
      </c>
      <c r="C97" s="35"/>
      <c r="D97" s="35">
        <f t="shared" ref="D97:AD97" si="75">SUM(D94:D96)</f>
        <v>0</v>
      </c>
      <c r="E97" s="35">
        <f t="shared" si="75"/>
        <v>0</v>
      </c>
      <c r="F97" s="35">
        <f t="shared" si="75"/>
        <v>0</v>
      </c>
      <c r="G97" s="35">
        <f t="shared" si="75"/>
        <v>0</v>
      </c>
      <c r="H97" s="35">
        <f t="shared" si="75"/>
        <v>0</v>
      </c>
      <c r="I97" s="35">
        <f t="shared" si="75"/>
        <v>0</v>
      </c>
      <c r="J97" s="35">
        <f t="shared" si="75"/>
        <v>0</v>
      </c>
      <c r="K97" s="35">
        <f t="shared" si="75"/>
        <v>0</v>
      </c>
      <c r="L97" s="35">
        <f t="shared" si="75"/>
        <v>0</v>
      </c>
      <c r="M97" s="35">
        <f t="shared" si="75"/>
        <v>0</v>
      </c>
      <c r="N97" s="35">
        <f t="shared" si="75"/>
        <v>0</v>
      </c>
      <c r="O97" s="35">
        <f t="shared" si="75"/>
        <v>0</v>
      </c>
      <c r="P97" s="35">
        <f t="shared" si="75"/>
        <v>0</v>
      </c>
      <c r="Q97" s="35">
        <f t="shared" si="75"/>
        <v>0</v>
      </c>
      <c r="R97" s="35">
        <f t="shared" si="75"/>
        <v>0</v>
      </c>
      <c r="S97" s="35">
        <f t="shared" si="75"/>
        <v>0</v>
      </c>
      <c r="T97" s="35">
        <f t="shared" si="75"/>
        <v>0</v>
      </c>
      <c r="U97" s="35">
        <f t="shared" si="75"/>
        <v>0</v>
      </c>
      <c r="V97" s="35">
        <f t="shared" si="75"/>
        <v>0</v>
      </c>
      <c r="W97" s="35">
        <f t="shared" si="75"/>
        <v>0</v>
      </c>
      <c r="X97" s="35">
        <f t="shared" si="75"/>
        <v>0</v>
      </c>
      <c r="Y97" s="35">
        <f t="shared" si="75"/>
        <v>0</v>
      </c>
      <c r="Z97" s="35">
        <f t="shared" si="75"/>
        <v>0</v>
      </c>
      <c r="AA97" s="35">
        <f t="shared" si="75"/>
        <v>0</v>
      </c>
      <c r="AB97" s="35">
        <f t="shared" si="75"/>
        <v>0</v>
      </c>
      <c r="AC97" s="35">
        <f t="shared" si="75"/>
        <v>0</v>
      </c>
      <c r="AD97" s="35">
        <f t="shared" si="75"/>
        <v>0</v>
      </c>
      <c r="AE97" s="35"/>
      <c r="AF97" s="38">
        <f>SUM(AF94:AF96)</f>
        <v>0</v>
      </c>
    </row>
    <row r="98" spans="1:34">
      <c r="A98" s="4"/>
      <c r="B98" s="17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5"/>
    </row>
    <row r="99" spans="1:34">
      <c r="A99" s="28" t="s">
        <v>189</v>
      </c>
      <c r="B99" s="56" t="s">
        <v>56</v>
      </c>
      <c r="C99" s="47"/>
      <c r="D99" s="47">
        <f t="shared" ref="D99:AD99" si="76">D90+D97</f>
        <v>0</v>
      </c>
      <c r="E99" s="47">
        <f t="shared" si="76"/>
        <v>0</v>
      </c>
      <c r="F99" s="47">
        <f t="shared" si="76"/>
        <v>0</v>
      </c>
      <c r="G99" s="47">
        <f t="shared" si="76"/>
        <v>0</v>
      </c>
      <c r="H99" s="47">
        <f t="shared" si="76"/>
        <v>0</v>
      </c>
      <c r="I99" s="47">
        <f t="shared" si="76"/>
        <v>0</v>
      </c>
      <c r="J99" s="47">
        <f t="shared" si="76"/>
        <v>0</v>
      </c>
      <c r="K99" s="47">
        <f t="shared" si="76"/>
        <v>0</v>
      </c>
      <c r="L99" s="47">
        <f t="shared" si="76"/>
        <v>0</v>
      </c>
      <c r="M99" s="47">
        <f t="shared" si="76"/>
        <v>0</v>
      </c>
      <c r="N99" s="47">
        <f t="shared" si="76"/>
        <v>0</v>
      </c>
      <c r="O99" s="47">
        <f t="shared" si="76"/>
        <v>0</v>
      </c>
      <c r="P99" s="47">
        <f t="shared" si="76"/>
        <v>0</v>
      </c>
      <c r="Q99" s="47">
        <f t="shared" si="76"/>
        <v>0</v>
      </c>
      <c r="R99" s="47">
        <f t="shared" si="76"/>
        <v>0</v>
      </c>
      <c r="S99" s="47">
        <f t="shared" si="76"/>
        <v>0</v>
      </c>
      <c r="T99" s="47">
        <f t="shared" si="76"/>
        <v>0</v>
      </c>
      <c r="U99" s="47">
        <f t="shared" si="76"/>
        <v>0</v>
      </c>
      <c r="V99" s="47">
        <f t="shared" si="76"/>
        <v>0</v>
      </c>
      <c r="W99" s="47">
        <f t="shared" si="76"/>
        <v>0</v>
      </c>
      <c r="X99" s="47">
        <f t="shared" si="76"/>
        <v>0</v>
      </c>
      <c r="Y99" s="47">
        <f t="shared" si="76"/>
        <v>0</v>
      </c>
      <c r="Z99" s="47">
        <f t="shared" si="76"/>
        <v>0</v>
      </c>
      <c r="AA99" s="47">
        <f t="shared" si="76"/>
        <v>0</v>
      </c>
      <c r="AB99" s="47">
        <f t="shared" si="76"/>
        <v>0</v>
      </c>
      <c r="AC99" s="47">
        <f t="shared" si="76"/>
        <v>0</v>
      </c>
      <c r="AD99" s="47">
        <f t="shared" si="76"/>
        <v>0</v>
      </c>
      <c r="AE99" s="47"/>
      <c r="AF99" s="49">
        <f>SUM(D99:AD99)</f>
        <v>0</v>
      </c>
    </row>
    <row r="100" spans="1:34">
      <c r="A100" s="28" t="s">
        <v>190</v>
      </c>
      <c r="B100" s="56" t="s">
        <v>53</v>
      </c>
      <c r="C100" s="48"/>
      <c r="D100" s="48">
        <f t="shared" ref="D100:AD100" si="77">IFERROR(D99/D24,0)</f>
        <v>0</v>
      </c>
      <c r="E100" s="48">
        <f t="shared" si="77"/>
        <v>0</v>
      </c>
      <c r="F100" s="48">
        <f t="shared" si="77"/>
        <v>0</v>
      </c>
      <c r="G100" s="48">
        <f t="shared" si="77"/>
        <v>0</v>
      </c>
      <c r="H100" s="48">
        <f t="shared" si="77"/>
        <v>0</v>
      </c>
      <c r="I100" s="48">
        <f t="shared" si="77"/>
        <v>0</v>
      </c>
      <c r="J100" s="48">
        <f t="shared" si="77"/>
        <v>0</v>
      </c>
      <c r="K100" s="48">
        <f t="shared" si="77"/>
        <v>0</v>
      </c>
      <c r="L100" s="48">
        <f t="shared" si="77"/>
        <v>0</v>
      </c>
      <c r="M100" s="48">
        <f t="shared" si="77"/>
        <v>0</v>
      </c>
      <c r="N100" s="48">
        <f t="shared" si="77"/>
        <v>0</v>
      </c>
      <c r="O100" s="48">
        <f t="shared" si="77"/>
        <v>0</v>
      </c>
      <c r="P100" s="48">
        <f t="shared" si="77"/>
        <v>0</v>
      </c>
      <c r="Q100" s="48">
        <f t="shared" si="77"/>
        <v>0</v>
      </c>
      <c r="R100" s="48">
        <f t="shared" si="77"/>
        <v>0</v>
      </c>
      <c r="S100" s="48">
        <f t="shared" si="77"/>
        <v>0</v>
      </c>
      <c r="T100" s="48">
        <f t="shared" si="77"/>
        <v>0</v>
      </c>
      <c r="U100" s="48">
        <f t="shared" si="77"/>
        <v>0</v>
      </c>
      <c r="V100" s="48">
        <f t="shared" si="77"/>
        <v>0</v>
      </c>
      <c r="W100" s="48">
        <f t="shared" si="77"/>
        <v>0</v>
      </c>
      <c r="X100" s="48">
        <f t="shared" si="77"/>
        <v>0</v>
      </c>
      <c r="Y100" s="48">
        <f t="shared" si="77"/>
        <v>0</v>
      </c>
      <c r="Z100" s="48">
        <f t="shared" si="77"/>
        <v>0</v>
      </c>
      <c r="AA100" s="48">
        <f t="shared" si="77"/>
        <v>0</v>
      </c>
      <c r="AB100" s="48">
        <f t="shared" si="77"/>
        <v>0</v>
      </c>
      <c r="AC100" s="48">
        <f t="shared" si="77"/>
        <v>0</v>
      </c>
      <c r="AD100" s="48">
        <f t="shared" si="77"/>
        <v>0</v>
      </c>
      <c r="AE100" s="48"/>
      <c r="AF100" s="58">
        <f>IFERROR(AF99/AF24,0)</f>
        <v>0</v>
      </c>
    </row>
    <row r="101" spans="1:34">
      <c r="A101" s="4"/>
      <c r="B101" s="1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59"/>
    </row>
    <row r="102" spans="1:34">
      <c r="A102" s="28" t="s">
        <v>191</v>
      </c>
      <c r="B102" s="17" t="s">
        <v>56</v>
      </c>
      <c r="C102" s="46"/>
      <c r="D102" s="46">
        <f t="shared" ref="D102:AD102" si="78">D60-D99</f>
        <v>0</v>
      </c>
      <c r="E102" s="46">
        <f t="shared" si="78"/>
        <v>0</v>
      </c>
      <c r="F102" s="46">
        <f t="shared" si="78"/>
        <v>0</v>
      </c>
      <c r="G102" s="46">
        <f t="shared" si="78"/>
        <v>0</v>
      </c>
      <c r="H102" s="46">
        <f t="shared" si="78"/>
        <v>0</v>
      </c>
      <c r="I102" s="46">
        <f t="shared" si="78"/>
        <v>0</v>
      </c>
      <c r="J102" s="46">
        <f t="shared" si="78"/>
        <v>0</v>
      </c>
      <c r="K102" s="46">
        <f t="shared" si="78"/>
        <v>0</v>
      </c>
      <c r="L102" s="46">
        <f t="shared" si="78"/>
        <v>0</v>
      </c>
      <c r="M102" s="46">
        <f t="shared" si="78"/>
        <v>0</v>
      </c>
      <c r="N102" s="46">
        <f t="shared" si="78"/>
        <v>0</v>
      </c>
      <c r="O102" s="46">
        <f t="shared" si="78"/>
        <v>0</v>
      </c>
      <c r="P102" s="46">
        <f t="shared" si="78"/>
        <v>0</v>
      </c>
      <c r="Q102" s="46">
        <f t="shared" si="78"/>
        <v>0</v>
      </c>
      <c r="R102" s="46">
        <f t="shared" si="78"/>
        <v>0</v>
      </c>
      <c r="S102" s="46">
        <f t="shared" si="78"/>
        <v>0</v>
      </c>
      <c r="T102" s="46">
        <f t="shared" si="78"/>
        <v>0</v>
      </c>
      <c r="U102" s="46">
        <f t="shared" si="78"/>
        <v>0</v>
      </c>
      <c r="V102" s="46">
        <f t="shared" si="78"/>
        <v>0</v>
      </c>
      <c r="W102" s="46">
        <f t="shared" si="78"/>
        <v>0</v>
      </c>
      <c r="X102" s="46">
        <f t="shared" si="78"/>
        <v>0</v>
      </c>
      <c r="Y102" s="46">
        <f t="shared" si="78"/>
        <v>0</v>
      </c>
      <c r="Z102" s="46">
        <f t="shared" si="78"/>
        <v>0</v>
      </c>
      <c r="AA102" s="46">
        <f t="shared" si="78"/>
        <v>0</v>
      </c>
      <c r="AB102" s="46">
        <f t="shared" si="78"/>
        <v>0</v>
      </c>
      <c r="AC102" s="46">
        <f t="shared" si="78"/>
        <v>0</v>
      </c>
      <c r="AD102" s="46">
        <f t="shared" si="78"/>
        <v>0</v>
      </c>
      <c r="AE102" s="46"/>
      <c r="AF102" s="60">
        <f>AF60-AF99</f>
        <v>0</v>
      </c>
    </row>
    <row r="103" spans="1:34">
      <c r="A103" s="4"/>
      <c r="B103" s="17"/>
      <c r="AF103" s="25"/>
    </row>
    <row r="104" spans="1:34">
      <c r="A104" s="28" t="s">
        <v>192</v>
      </c>
      <c r="B104" s="17"/>
      <c r="AF104" s="25"/>
    </row>
    <row r="105" spans="1:34">
      <c r="A105" s="4" t="s">
        <v>291</v>
      </c>
      <c r="B105" s="17" t="s">
        <v>56</v>
      </c>
      <c r="C105" s="12"/>
      <c r="D105" s="12">
        <f t="shared" ref="D105:AD105" si="79">IF(D9&gt;0,$C$105,0)</f>
        <v>0</v>
      </c>
      <c r="E105" s="12">
        <f t="shared" si="79"/>
        <v>0</v>
      </c>
      <c r="F105" s="12">
        <f t="shared" si="79"/>
        <v>0</v>
      </c>
      <c r="G105" s="12">
        <f t="shared" si="79"/>
        <v>0</v>
      </c>
      <c r="H105" s="12">
        <f t="shared" si="79"/>
        <v>0</v>
      </c>
      <c r="I105" s="12">
        <f t="shared" si="79"/>
        <v>0</v>
      </c>
      <c r="J105" s="12">
        <f t="shared" si="79"/>
        <v>0</v>
      </c>
      <c r="K105" s="12">
        <f t="shared" si="79"/>
        <v>0</v>
      </c>
      <c r="L105" s="12">
        <f t="shared" si="79"/>
        <v>0</v>
      </c>
      <c r="M105" s="12">
        <f t="shared" si="79"/>
        <v>0</v>
      </c>
      <c r="N105" s="12">
        <f t="shared" si="79"/>
        <v>0</v>
      </c>
      <c r="O105" s="12">
        <f t="shared" si="79"/>
        <v>0</v>
      </c>
      <c r="P105" s="12">
        <f t="shared" si="79"/>
        <v>0</v>
      </c>
      <c r="Q105" s="12">
        <f t="shared" si="79"/>
        <v>0</v>
      </c>
      <c r="R105" s="12">
        <f t="shared" si="79"/>
        <v>0</v>
      </c>
      <c r="S105" s="12">
        <f t="shared" si="79"/>
        <v>0</v>
      </c>
      <c r="T105" s="12">
        <f t="shared" si="79"/>
        <v>0</v>
      </c>
      <c r="U105" s="12">
        <f t="shared" si="79"/>
        <v>0</v>
      </c>
      <c r="V105" s="12">
        <f t="shared" si="79"/>
        <v>0</v>
      </c>
      <c r="W105" s="12">
        <f t="shared" si="79"/>
        <v>0</v>
      </c>
      <c r="X105" s="12">
        <f t="shared" si="79"/>
        <v>0</v>
      </c>
      <c r="Y105" s="12">
        <f t="shared" si="79"/>
        <v>0</v>
      </c>
      <c r="Z105" s="12">
        <f t="shared" si="79"/>
        <v>0</v>
      </c>
      <c r="AA105" s="12">
        <f t="shared" si="79"/>
        <v>0</v>
      </c>
      <c r="AB105" s="12">
        <f t="shared" si="79"/>
        <v>0</v>
      </c>
      <c r="AC105" s="12">
        <f t="shared" si="79"/>
        <v>0</v>
      </c>
      <c r="AD105" s="12">
        <f t="shared" si="79"/>
        <v>0</v>
      </c>
      <c r="AE105" s="12"/>
      <c r="AF105" s="5">
        <f>SUM(D105:AD105)</f>
        <v>0</v>
      </c>
    </row>
    <row r="106" spans="1:34">
      <c r="A106" s="4" t="s">
        <v>194</v>
      </c>
      <c r="B106" s="17" t="s">
        <v>56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76"/>
      <c r="X106" s="12"/>
      <c r="Y106" s="12"/>
      <c r="Z106" s="12"/>
      <c r="AA106" s="76"/>
      <c r="AB106" s="12"/>
      <c r="AC106" s="12"/>
      <c r="AD106" s="76"/>
      <c r="AE106" s="76"/>
      <c r="AF106" s="5">
        <f>SUM(D106:AD106)</f>
        <v>0</v>
      </c>
      <c r="AH106" s="37"/>
    </row>
    <row r="107" spans="1:34">
      <c r="A107" s="4" t="s">
        <v>195</v>
      </c>
      <c r="B107" s="17" t="s">
        <v>56</v>
      </c>
      <c r="C107" s="12"/>
      <c r="D107" s="12">
        <f>IF(Assumptions!$C$20="Zero Carbon Liability",'OC Clean'!D29*Carbon!B2,'OC Clean'!D29*Carbon!B3)/1000</f>
        <v>0</v>
      </c>
      <c r="E107" s="12">
        <f>IF(Assumptions!$C$20="Zero Carbon Liability",'OC Clean'!E29*Carbon!C2,'OC Clean'!E29*Carbon!C3)/1000</f>
        <v>0</v>
      </c>
      <c r="F107" s="12">
        <f>IF(Assumptions!$C$20="Zero Carbon Liability",'OC Clean'!F29*Carbon!D2,'OC Clean'!F29*Carbon!D3)/1000</f>
        <v>0</v>
      </c>
      <c r="G107" s="12">
        <f>IF(Assumptions!$C$20="Zero Carbon Liability",'OC Clean'!G29*Carbon!E2,'OC Clean'!G29*Carbon!E3)/1000</f>
        <v>0</v>
      </c>
      <c r="H107" s="12">
        <f>IF(Assumptions!$C$20="Zero Carbon Liability",'OC Clean'!H29*Carbon!F2,'OC Clean'!H29*Carbon!F3)/1000</f>
        <v>0</v>
      </c>
      <c r="I107" s="12">
        <f>IF(Assumptions!$C$20="Zero Carbon Liability",'OC Clean'!I29*Carbon!G2,'OC Clean'!I29*Carbon!G3)/1000</f>
        <v>0</v>
      </c>
      <c r="J107" s="12">
        <f>IF(Assumptions!$C$20="Zero Carbon Liability",'OC Clean'!J29*Carbon!H2,'OC Clean'!J29*Carbon!H3)/1000</f>
        <v>0</v>
      </c>
      <c r="K107" s="12">
        <f>IF(Assumptions!$C$20="Zero Carbon Liability",'OC Clean'!K29*Carbon!I2,'OC Clean'!K29*Carbon!I3)/1000</f>
        <v>0</v>
      </c>
      <c r="L107" s="12">
        <f>IF(Assumptions!$C$20="Zero Carbon Liability",'OC Clean'!L29*Carbon!J2,'OC Clean'!L29*Carbon!J3)/1000</f>
        <v>0</v>
      </c>
      <c r="M107" s="12">
        <f>IF(Assumptions!$C$20="Zero Carbon Liability",'OC Clean'!M29*Carbon!K2,'OC Clean'!M29*Carbon!K3)/1000</f>
        <v>0</v>
      </c>
      <c r="N107" s="12">
        <f>IF(Assumptions!$C$20="Zero Carbon Liability",'OC Clean'!N29*Carbon!L2,'OC Clean'!N29*Carbon!L3)/1000</f>
        <v>0</v>
      </c>
      <c r="O107" s="12">
        <f>IF(Assumptions!$C$20="Zero Carbon Liability",'OC Clean'!O29*Carbon!M2,'OC Clean'!O29*Carbon!M3)/1000</f>
        <v>0</v>
      </c>
      <c r="P107" s="12">
        <f>IF(Assumptions!$C$20="Zero Carbon Liability",'OC Clean'!P29*Carbon!N2,'OC Clean'!P29*Carbon!N3)/1000</f>
        <v>0</v>
      </c>
      <c r="Q107" s="12">
        <f>IF(Assumptions!$C$20="Zero Carbon Liability",'OC Clean'!Q29*Carbon!O2,'OC Clean'!Q29*Carbon!O3)/1000</f>
        <v>0</v>
      </c>
      <c r="R107" s="12">
        <f>IF(Assumptions!$C$20="Zero Carbon Liability",'OC Clean'!R29*Carbon!P2,'OC Clean'!R29*Carbon!P3)/1000</f>
        <v>0</v>
      </c>
      <c r="S107" s="12">
        <f>IF(Assumptions!$C$20="Zero Carbon Liability",'OC Clean'!S29*Carbon!Q2,'OC Clean'!S29*Carbon!Q3)/1000</f>
        <v>0</v>
      </c>
      <c r="T107" s="12">
        <f>IF(Assumptions!$C$20="Zero Carbon Liability",'OC Clean'!T29*Carbon!R2,'OC Clean'!T29*Carbon!R3)/1000</f>
        <v>0</v>
      </c>
      <c r="U107" s="12">
        <f>IF(Assumptions!$C$20="Zero Carbon Liability",'OC Clean'!U29*Carbon!S2,'OC Clean'!U29*Carbon!S3)/1000</f>
        <v>0</v>
      </c>
      <c r="V107" s="12">
        <f>IF(Assumptions!$C$20="Zero Carbon Liability",'OC Clean'!V29*Carbon!T2,'OC Clean'!V29*Carbon!T3)/1000</f>
        <v>0</v>
      </c>
      <c r="W107" s="12">
        <f>IF(Assumptions!$C$20="Zero Carbon Liability",'OC Clean'!W29*Carbon!U2,'OC Clean'!W29*Carbon!U3)/1000</f>
        <v>0</v>
      </c>
      <c r="X107" s="12">
        <f>IF(Assumptions!$C$20="Zero Carbon Liability",'OC Clean'!X29*Carbon!V2,'OC Clean'!X29*Carbon!V3)/1000</f>
        <v>0</v>
      </c>
      <c r="Y107" s="12">
        <f>IF(Assumptions!$C$20="Zero Carbon Liability",'OC Clean'!Y29*Carbon!W2,'OC Clean'!Y29*Carbon!W3)/1000</f>
        <v>0</v>
      </c>
      <c r="Z107" s="12">
        <f>IF(Assumptions!$C$20="Zero Carbon Liability",'OC Clean'!Z29*Carbon!X2,'OC Clean'!Z29*Carbon!X3)/1000</f>
        <v>0</v>
      </c>
      <c r="AA107" s="12">
        <f>IF(Assumptions!$C$20="Zero Carbon Liability",'OC Clean'!AA29*Carbon!Y2,'OC Clean'!AA29*Carbon!Y3)/1000</f>
        <v>0</v>
      </c>
      <c r="AB107" s="12">
        <f>IF(Assumptions!$C$20="Zero Carbon Liability",'OC Clean'!AB29*Carbon!Z2,'OC Clean'!AB29*Carbon!Z3)/1000</f>
        <v>0</v>
      </c>
      <c r="AC107" s="12">
        <f>IF(Assumptions!$C$20="Zero Carbon Liability",'OC Clean'!AC29*Carbon!AA2,'OC Clean'!AC29*Carbon!AA3)/1000</f>
        <v>0</v>
      </c>
      <c r="AD107" s="12">
        <f>IF(Assumptions!$C$20="Zero Carbon Liability",'OC Clean'!AD29*Carbon!AB2,'OC Clean'!AD29*Carbon!AB3)/1000</f>
        <v>0</v>
      </c>
      <c r="AE107" s="12"/>
      <c r="AF107" s="5"/>
    </row>
    <row r="108" spans="1:34">
      <c r="A108" s="4" t="s">
        <v>196</v>
      </c>
      <c r="B108" s="17" t="s">
        <v>56</v>
      </c>
      <c r="C108" s="12"/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/>
      <c r="AF108" s="5"/>
    </row>
    <row r="109" spans="1:34">
      <c r="A109" s="4" t="s">
        <v>361</v>
      </c>
      <c r="B109" s="17" t="s">
        <v>56</v>
      </c>
      <c r="C109" s="65"/>
      <c r="D109" s="12">
        <f>$C$109*D36</f>
        <v>0</v>
      </c>
      <c r="E109" s="12">
        <f t="shared" ref="E109:AD109" si="80">$C$109*E36</f>
        <v>0</v>
      </c>
      <c r="F109" s="12">
        <f t="shared" si="80"/>
        <v>0</v>
      </c>
      <c r="G109" s="12">
        <f t="shared" si="80"/>
        <v>0</v>
      </c>
      <c r="H109" s="12">
        <f t="shared" si="80"/>
        <v>0</v>
      </c>
      <c r="I109" s="12">
        <f t="shared" si="80"/>
        <v>0</v>
      </c>
      <c r="J109" s="12">
        <f t="shared" si="80"/>
        <v>0</v>
      </c>
      <c r="K109" s="12">
        <f t="shared" si="80"/>
        <v>0</v>
      </c>
      <c r="L109" s="12">
        <f t="shared" si="80"/>
        <v>0</v>
      </c>
      <c r="M109" s="12">
        <f t="shared" si="80"/>
        <v>0</v>
      </c>
      <c r="N109" s="12">
        <f t="shared" si="80"/>
        <v>0</v>
      </c>
      <c r="O109" s="12">
        <f t="shared" si="80"/>
        <v>0</v>
      </c>
      <c r="P109" s="12">
        <f t="shared" si="80"/>
        <v>0</v>
      </c>
      <c r="Q109" s="12">
        <f t="shared" si="80"/>
        <v>0</v>
      </c>
      <c r="R109" s="12">
        <f t="shared" si="80"/>
        <v>0</v>
      </c>
      <c r="S109" s="12">
        <f t="shared" si="80"/>
        <v>0</v>
      </c>
      <c r="T109" s="12">
        <f t="shared" si="80"/>
        <v>0</v>
      </c>
      <c r="U109" s="12">
        <f t="shared" si="80"/>
        <v>0</v>
      </c>
      <c r="V109" s="12">
        <f t="shared" si="80"/>
        <v>0</v>
      </c>
      <c r="W109" s="12">
        <f t="shared" si="80"/>
        <v>0</v>
      </c>
      <c r="X109" s="12">
        <f t="shared" si="80"/>
        <v>0</v>
      </c>
      <c r="Y109" s="12">
        <f t="shared" si="80"/>
        <v>0</v>
      </c>
      <c r="Z109" s="12">
        <f t="shared" si="80"/>
        <v>0</v>
      </c>
      <c r="AA109" s="12">
        <f t="shared" si="80"/>
        <v>0</v>
      </c>
      <c r="AB109" s="12">
        <f t="shared" si="80"/>
        <v>0</v>
      </c>
      <c r="AC109" s="12">
        <f t="shared" si="80"/>
        <v>0</v>
      </c>
      <c r="AD109" s="12">
        <f t="shared" si="80"/>
        <v>0</v>
      </c>
      <c r="AE109" s="12"/>
      <c r="AF109" s="5"/>
    </row>
    <row r="110" spans="1:34">
      <c r="A110" s="4" t="s">
        <v>197</v>
      </c>
      <c r="B110" s="17" t="s">
        <v>56</v>
      </c>
      <c r="C110" s="35"/>
      <c r="D110" s="35">
        <f>SUM(D105:D108)</f>
        <v>0</v>
      </c>
      <c r="E110" s="35">
        <f t="shared" ref="E110:AD110" si="81">SUM(E105:E108)</f>
        <v>0</v>
      </c>
      <c r="F110" s="35">
        <f t="shared" si="81"/>
        <v>0</v>
      </c>
      <c r="G110" s="35">
        <f t="shared" si="81"/>
        <v>0</v>
      </c>
      <c r="H110" s="35">
        <f t="shared" si="81"/>
        <v>0</v>
      </c>
      <c r="I110" s="35">
        <f t="shared" si="81"/>
        <v>0</v>
      </c>
      <c r="J110" s="35">
        <f t="shared" si="81"/>
        <v>0</v>
      </c>
      <c r="K110" s="35">
        <f t="shared" si="81"/>
        <v>0</v>
      </c>
      <c r="L110" s="35">
        <f t="shared" si="81"/>
        <v>0</v>
      </c>
      <c r="M110" s="35">
        <f t="shared" si="81"/>
        <v>0</v>
      </c>
      <c r="N110" s="35">
        <f t="shared" si="81"/>
        <v>0</v>
      </c>
      <c r="O110" s="35">
        <f t="shared" si="81"/>
        <v>0</v>
      </c>
      <c r="P110" s="35">
        <f t="shared" si="81"/>
        <v>0</v>
      </c>
      <c r="Q110" s="35">
        <f t="shared" si="81"/>
        <v>0</v>
      </c>
      <c r="R110" s="35">
        <f t="shared" si="81"/>
        <v>0</v>
      </c>
      <c r="S110" s="35">
        <f t="shared" si="81"/>
        <v>0</v>
      </c>
      <c r="T110" s="35">
        <f t="shared" si="81"/>
        <v>0</v>
      </c>
      <c r="U110" s="35">
        <f t="shared" si="81"/>
        <v>0</v>
      </c>
      <c r="V110" s="35">
        <f t="shared" si="81"/>
        <v>0</v>
      </c>
      <c r="W110" s="35">
        <f t="shared" si="81"/>
        <v>0</v>
      </c>
      <c r="X110" s="35">
        <f t="shared" si="81"/>
        <v>0</v>
      </c>
      <c r="Y110" s="35">
        <f t="shared" si="81"/>
        <v>0</v>
      </c>
      <c r="Z110" s="35">
        <f t="shared" si="81"/>
        <v>0</v>
      </c>
      <c r="AA110" s="35">
        <f t="shared" si="81"/>
        <v>0</v>
      </c>
      <c r="AB110" s="35">
        <f t="shared" si="81"/>
        <v>0</v>
      </c>
      <c r="AC110" s="35">
        <f t="shared" si="81"/>
        <v>0</v>
      </c>
      <c r="AD110" s="35">
        <f t="shared" si="81"/>
        <v>0</v>
      </c>
      <c r="AE110" s="35"/>
      <c r="AF110" s="38">
        <f>SUM(AF105:AF106)</f>
        <v>0</v>
      </c>
    </row>
    <row r="111" spans="1:34">
      <c r="A111" s="119" t="s">
        <v>198</v>
      </c>
      <c r="B111" s="17"/>
      <c r="C111" s="37"/>
      <c r="D111" s="37">
        <f t="shared" ref="D111:AD111" si="82">IF(D106&lt;=0,(D105+D107),D110)</f>
        <v>0</v>
      </c>
      <c r="E111" s="37">
        <f t="shared" si="82"/>
        <v>0</v>
      </c>
      <c r="F111" s="37">
        <f t="shared" si="82"/>
        <v>0</v>
      </c>
      <c r="G111" s="37">
        <f t="shared" si="82"/>
        <v>0</v>
      </c>
      <c r="H111" s="37">
        <f t="shared" si="82"/>
        <v>0</v>
      </c>
      <c r="I111" s="37">
        <f t="shared" si="82"/>
        <v>0</v>
      </c>
      <c r="J111" s="37">
        <f t="shared" si="82"/>
        <v>0</v>
      </c>
      <c r="K111" s="37">
        <f t="shared" si="82"/>
        <v>0</v>
      </c>
      <c r="L111" s="37">
        <f t="shared" si="82"/>
        <v>0</v>
      </c>
      <c r="M111" s="37">
        <f t="shared" si="82"/>
        <v>0</v>
      </c>
      <c r="N111" s="37">
        <f t="shared" si="82"/>
        <v>0</v>
      </c>
      <c r="O111" s="37">
        <f t="shared" si="82"/>
        <v>0</v>
      </c>
      <c r="P111" s="37">
        <f t="shared" si="82"/>
        <v>0</v>
      </c>
      <c r="Q111" s="37">
        <f t="shared" si="82"/>
        <v>0</v>
      </c>
      <c r="R111" s="37">
        <f t="shared" si="82"/>
        <v>0</v>
      </c>
      <c r="S111" s="37">
        <f t="shared" si="82"/>
        <v>0</v>
      </c>
      <c r="T111" s="37">
        <f t="shared" si="82"/>
        <v>0</v>
      </c>
      <c r="U111" s="37">
        <f t="shared" si="82"/>
        <v>0</v>
      </c>
      <c r="V111" s="37">
        <f t="shared" si="82"/>
        <v>0</v>
      </c>
      <c r="W111" s="37">
        <f t="shared" si="82"/>
        <v>0</v>
      </c>
      <c r="X111" s="37">
        <f t="shared" si="82"/>
        <v>0</v>
      </c>
      <c r="Y111" s="37">
        <f t="shared" si="82"/>
        <v>0</v>
      </c>
      <c r="Z111" s="37">
        <f t="shared" si="82"/>
        <v>0</v>
      </c>
      <c r="AA111" s="37">
        <f t="shared" si="82"/>
        <v>0</v>
      </c>
      <c r="AB111" s="37">
        <f t="shared" si="82"/>
        <v>0</v>
      </c>
      <c r="AC111" s="37">
        <f t="shared" si="82"/>
        <v>0</v>
      </c>
      <c r="AD111" s="37">
        <f t="shared" si="82"/>
        <v>0</v>
      </c>
      <c r="AE111" s="37"/>
      <c r="AF111" s="59"/>
    </row>
    <row r="112" spans="1:34">
      <c r="A112" s="4"/>
      <c r="B112" s="1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25"/>
    </row>
    <row r="113" spans="1:32">
      <c r="A113" s="28" t="s">
        <v>199</v>
      </c>
      <c r="B113" s="17"/>
      <c r="AF113" s="25"/>
    </row>
    <row r="114" spans="1:32">
      <c r="A114" s="4" t="s">
        <v>200</v>
      </c>
      <c r="B114" s="17" t="s">
        <v>56</v>
      </c>
      <c r="C114" s="76"/>
      <c r="D114" s="76">
        <v>0</v>
      </c>
      <c r="E114" s="76">
        <v>0</v>
      </c>
      <c r="F114" s="76">
        <v>0</v>
      </c>
      <c r="G114" s="76">
        <v>0</v>
      </c>
      <c r="H114" s="76">
        <v>0</v>
      </c>
      <c r="I114" s="76">
        <v>0</v>
      </c>
      <c r="J114" s="76">
        <v>0</v>
      </c>
      <c r="K114" s="76">
        <v>0</v>
      </c>
      <c r="L114" s="76">
        <v>0</v>
      </c>
      <c r="M114" s="76">
        <v>0</v>
      </c>
      <c r="N114" s="76">
        <v>0</v>
      </c>
      <c r="O114" s="76">
        <v>0</v>
      </c>
      <c r="P114" s="76">
        <v>0</v>
      </c>
      <c r="Q114" s="76">
        <v>0</v>
      </c>
      <c r="R114" s="76">
        <v>0</v>
      </c>
      <c r="S114" s="76">
        <v>0</v>
      </c>
      <c r="T114" s="76">
        <v>0</v>
      </c>
      <c r="U114" s="76">
        <v>0</v>
      </c>
      <c r="V114" s="76">
        <v>0</v>
      </c>
      <c r="W114" s="76">
        <v>0</v>
      </c>
      <c r="X114" s="76">
        <v>0</v>
      </c>
      <c r="Y114" s="76">
        <v>0</v>
      </c>
      <c r="Z114" s="76">
        <v>0</v>
      </c>
      <c r="AA114" s="76">
        <v>0</v>
      </c>
      <c r="AB114" s="76">
        <v>0</v>
      </c>
      <c r="AC114" s="76">
        <v>0</v>
      </c>
      <c r="AD114" s="76">
        <v>0</v>
      </c>
      <c r="AE114" s="76"/>
      <c r="AF114" s="5">
        <f>SUM(D114:AD114)</f>
        <v>0</v>
      </c>
    </row>
    <row r="115" spans="1:32">
      <c r="A115" s="4" t="s">
        <v>201</v>
      </c>
      <c r="B115" s="17" t="s">
        <v>56</v>
      </c>
      <c r="C115" s="76"/>
      <c r="D115" s="76">
        <f>'OC Clean Capital'!D62</f>
        <v>0</v>
      </c>
      <c r="E115" s="76">
        <f>'OC Clean Capital'!E62</f>
        <v>0</v>
      </c>
      <c r="F115" s="76">
        <f>'OC Clean Capital'!F62</f>
        <v>0</v>
      </c>
      <c r="G115" s="76">
        <f>'OC Clean Capital'!G62</f>
        <v>0</v>
      </c>
      <c r="H115" s="76">
        <f>'OC Clean Capital'!H62</f>
        <v>0</v>
      </c>
      <c r="I115" s="76">
        <f>'OC Clean Capital'!I62</f>
        <v>0</v>
      </c>
      <c r="J115" s="76">
        <f>'OC Clean Capital'!J62</f>
        <v>0</v>
      </c>
      <c r="K115" s="76">
        <f>'OC Clean Capital'!K62</f>
        <v>0</v>
      </c>
      <c r="L115" s="76">
        <f>'OC Clean Capital'!L62</f>
        <v>0</v>
      </c>
      <c r="M115" s="76">
        <f>'OC Clean Capital'!M62</f>
        <v>0</v>
      </c>
      <c r="N115" s="76">
        <f>'OC Clean Capital'!N62</f>
        <v>0</v>
      </c>
      <c r="O115" s="76">
        <f>'OC Clean Capital'!O62</f>
        <v>0</v>
      </c>
      <c r="P115" s="76">
        <f>'OC Clean Capital'!P62</f>
        <v>0</v>
      </c>
      <c r="Q115" s="76">
        <f>'OC Clean Capital'!Q62</f>
        <v>0</v>
      </c>
      <c r="R115" s="76">
        <f>'OC Clean Capital'!R62</f>
        <v>0</v>
      </c>
      <c r="S115" s="76">
        <f>'OC Clean Capital'!S62</f>
        <v>0</v>
      </c>
      <c r="T115" s="76">
        <f>'OC Clean Capital'!T62</f>
        <v>0</v>
      </c>
      <c r="U115" s="76">
        <f>'OC Clean Capital'!U62</f>
        <v>0</v>
      </c>
      <c r="V115" s="76">
        <f>'OC Clean Capital'!V62</f>
        <v>0</v>
      </c>
      <c r="W115" s="76">
        <f>'OC Clean Capital'!W62</f>
        <v>0</v>
      </c>
      <c r="X115" s="76">
        <f>'OC Clean Capital'!X62</f>
        <v>0</v>
      </c>
      <c r="Y115" s="76">
        <f>'OC Clean Capital'!Y62</f>
        <v>0</v>
      </c>
      <c r="Z115" s="76">
        <f>'OC Clean Capital'!Z62</f>
        <v>0</v>
      </c>
      <c r="AA115" s="76">
        <f>'OC Clean Capital'!AA62</f>
        <v>0</v>
      </c>
      <c r="AB115" s="76">
        <f>'OC Clean Capital'!AB62</f>
        <v>0</v>
      </c>
      <c r="AC115" s="76">
        <f>'OC Clean Capital'!AA62</f>
        <v>0</v>
      </c>
      <c r="AD115" s="76">
        <f>'OC Clean Capital'!AB62</f>
        <v>0</v>
      </c>
      <c r="AE115" s="76"/>
      <c r="AF115" s="74">
        <f>SUM(D115:AD115)</f>
        <v>0</v>
      </c>
    </row>
    <row r="116" spans="1:32">
      <c r="A116" s="4" t="s">
        <v>202</v>
      </c>
      <c r="B116" s="17" t="s">
        <v>203</v>
      </c>
      <c r="C116" s="44"/>
      <c r="D116" s="44">
        <f>$C$116*D11</f>
        <v>0</v>
      </c>
      <c r="E116" s="44">
        <f t="shared" ref="E116:AD116" si="83">$C$116*E11</f>
        <v>0</v>
      </c>
      <c r="F116" s="44">
        <f t="shared" si="83"/>
        <v>0</v>
      </c>
      <c r="G116" s="44">
        <f t="shared" si="83"/>
        <v>0</v>
      </c>
      <c r="H116" s="44">
        <f t="shared" si="83"/>
        <v>0</v>
      </c>
      <c r="I116" s="44">
        <f t="shared" si="83"/>
        <v>0</v>
      </c>
      <c r="J116" s="44">
        <f t="shared" si="83"/>
        <v>0</v>
      </c>
      <c r="K116" s="44">
        <f t="shared" si="83"/>
        <v>0</v>
      </c>
      <c r="L116" s="44">
        <f t="shared" si="83"/>
        <v>0</v>
      </c>
      <c r="M116" s="44">
        <f t="shared" si="83"/>
        <v>0</v>
      </c>
      <c r="N116" s="44">
        <f t="shared" si="83"/>
        <v>0</v>
      </c>
      <c r="O116" s="44">
        <f t="shared" si="83"/>
        <v>0</v>
      </c>
      <c r="P116" s="44">
        <f t="shared" si="83"/>
        <v>0</v>
      </c>
      <c r="Q116" s="44">
        <f t="shared" si="83"/>
        <v>0</v>
      </c>
      <c r="R116" s="44">
        <f t="shared" si="83"/>
        <v>0</v>
      </c>
      <c r="S116" s="44">
        <f t="shared" si="83"/>
        <v>0</v>
      </c>
      <c r="T116" s="44">
        <f t="shared" si="83"/>
        <v>0</v>
      </c>
      <c r="U116" s="44">
        <f t="shared" si="83"/>
        <v>0</v>
      </c>
      <c r="V116" s="44">
        <f t="shared" si="83"/>
        <v>0</v>
      </c>
      <c r="W116" s="44">
        <f t="shared" si="83"/>
        <v>0</v>
      </c>
      <c r="X116" s="44">
        <f t="shared" si="83"/>
        <v>0</v>
      </c>
      <c r="Y116" s="44">
        <f t="shared" si="83"/>
        <v>0</v>
      </c>
      <c r="Z116" s="44">
        <f t="shared" si="83"/>
        <v>0</v>
      </c>
      <c r="AA116" s="44">
        <f t="shared" si="83"/>
        <v>0</v>
      </c>
      <c r="AB116" s="44">
        <f t="shared" si="83"/>
        <v>0</v>
      </c>
      <c r="AC116" s="44">
        <f t="shared" si="83"/>
        <v>0</v>
      </c>
      <c r="AD116" s="44">
        <f t="shared" si="83"/>
        <v>0</v>
      </c>
      <c r="AE116" s="44"/>
      <c r="AF116" s="45">
        <f>SUM(D116:AD116)</f>
        <v>0</v>
      </c>
    </row>
    <row r="117" spans="1:32">
      <c r="A117" s="4" t="s">
        <v>204</v>
      </c>
      <c r="B117" s="17" t="s">
        <v>56</v>
      </c>
      <c r="C117" s="37"/>
      <c r="D117" s="37">
        <f t="shared" ref="D117:AD117" si="84">SUM(D114:D116)*(1+$AI$15)</f>
        <v>0</v>
      </c>
      <c r="E117" s="37">
        <f t="shared" si="84"/>
        <v>0</v>
      </c>
      <c r="F117" s="37">
        <f t="shared" si="84"/>
        <v>0</v>
      </c>
      <c r="G117" s="37">
        <f t="shared" si="84"/>
        <v>0</v>
      </c>
      <c r="H117" s="37">
        <f t="shared" si="84"/>
        <v>0</v>
      </c>
      <c r="I117" s="37">
        <f t="shared" si="84"/>
        <v>0</v>
      </c>
      <c r="J117" s="37">
        <f t="shared" si="84"/>
        <v>0</v>
      </c>
      <c r="K117" s="37">
        <f t="shared" si="84"/>
        <v>0</v>
      </c>
      <c r="L117" s="37">
        <f t="shared" si="84"/>
        <v>0</v>
      </c>
      <c r="M117" s="37">
        <f t="shared" si="84"/>
        <v>0</v>
      </c>
      <c r="N117" s="37">
        <f t="shared" si="84"/>
        <v>0</v>
      </c>
      <c r="O117" s="37">
        <f t="shared" si="84"/>
        <v>0</v>
      </c>
      <c r="P117" s="37">
        <f t="shared" si="84"/>
        <v>0</v>
      </c>
      <c r="Q117" s="37">
        <f t="shared" si="84"/>
        <v>0</v>
      </c>
      <c r="R117" s="37">
        <f t="shared" si="84"/>
        <v>0</v>
      </c>
      <c r="S117" s="37">
        <f t="shared" si="84"/>
        <v>0</v>
      </c>
      <c r="T117" s="37">
        <f t="shared" si="84"/>
        <v>0</v>
      </c>
      <c r="U117" s="37">
        <f t="shared" si="84"/>
        <v>0</v>
      </c>
      <c r="V117" s="37">
        <f t="shared" si="84"/>
        <v>0</v>
      </c>
      <c r="W117" s="37">
        <f t="shared" si="84"/>
        <v>0</v>
      </c>
      <c r="X117" s="37">
        <f t="shared" si="84"/>
        <v>0</v>
      </c>
      <c r="Y117" s="37">
        <f t="shared" si="84"/>
        <v>0</v>
      </c>
      <c r="Z117" s="37">
        <f t="shared" si="84"/>
        <v>0</v>
      </c>
      <c r="AA117" s="37">
        <f t="shared" si="84"/>
        <v>0</v>
      </c>
      <c r="AB117" s="37">
        <f t="shared" si="84"/>
        <v>0</v>
      </c>
      <c r="AC117" s="37">
        <f t="shared" si="84"/>
        <v>0</v>
      </c>
      <c r="AD117" s="37">
        <f t="shared" si="84"/>
        <v>0</v>
      </c>
      <c r="AE117" s="37"/>
      <c r="AF117" s="5">
        <f>SUM(D117:AD117)</f>
        <v>0</v>
      </c>
    </row>
    <row r="118" spans="1:32">
      <c r="A118" s="4" t="s">
        <v>205</v>
      </c>
      <c r="B118" s="17" t="s">
        <v>56</v>
      </c>
      <c r="C118" s="37"/>
      <c r="D118" s="37">
        <f>D134</f>
        <v>0</v>
      </c>
      <c r="E118" s="37">
        <f t="shared" ref="E118:AD118" si="85">E134</f>
        <v>0</v>
      </c>
      <c r="F118" s="37">
        <f t="shared" si="85"/>
        <v>0</v>
      </c>
      <c r="G118" s="37">
        <f t="shared" si="85"/>
        <v>0</v>
      </c>
      <c r="H118" s="37">
        <f t="shared" si="85"/>
        <v>0</v>
      </c>
      <c r="I118" s="37">
        <f t="shared" si="85"/>
        <v>0</v>
      </c>
      <c r="J118" s="37">
        <f t="shared" si="85"/>
        <v>0</v>
      </c>
      <c r="K118" s="37">
        <f t="shared" si="85"/>
        <v>0</v>
      </c>
      <c r="L118" s="37">
        <f t="shared" si="85"/>
        <v>0</v>
      </c>
      <c r="M118" s="37">
        <f t="shared" si="85"/>
        <v>0</v>
      </c>
      <c r="N118" s="37">
        <f t="shared" si="85"/>
        <v>0</v>
      </c>
      <c r="O118" s="37">
        <f t="shared" si="85"/>
        <v>0</v>
      </c>
      <c r="P118" s="37">
        <f t="shared" si="85"/>
        <v>0</v>
      </c>
      <c r="Q118" s="37">
        <f t="shared" si="85"/>
        <v>0</v>
      </c>
      <c r="R118" s="37">
        <f t="shared" si="85"/>
        <v>0</v>
      </c>
      <c r="S118" s="37">
        <f t="shared" si="85"/>
        <v>0</v>
      </c>
      <c r="T118" s="37">
        <f t="shared" si="85"/>
        <v>0</v>
      </c>
      <c r="U118" s="37">
        <f t="shared" si="85"/>
        <v>0</v>
      </c>
      <c r="V118" s="37">
        <f t="shared" si="85"/>
        <v>0</v>
      </c>
      <c r="W118" s="37">
        <f t="shared" si="85"/>
        <v>0</v>
      </c>
      <c r="X118" s="37">
        <f t="shared" si="85"/>
        <v>0</v>
      </c>
      <c r="Y118" s="37">
        <f t="shared" si="85"/>
        <v>0</v>
      </c>
      <c r="Z118" s="37">
        <f t="shared" si="85"/>
        <v>0</v>
      </c>
      <c r="AA118" s="37">
        <f t="shared" si="85"/>
        <v>0</v>
      </c>
      <c r="AB118" s="37">
        <f t="shared" si="85"/>
        <v>0</v>
      </c>
      <c r="AC118" s="37">
        <f t="shared" si="85"/>
        <v>0</v>
      </c>
      <c r="AD118" s="37">
        <f t="shared" si="85"/>
        <v>0</v>
      </c>
      <c r="AE118" s="37"/>
      <c r="AF118" s="5">
        <f>SUM(D118:AD118)</f>
        <v>0</v>
      </c>
    </row>
    <row r="119" spans="1:32">
      <c r="A119" s="4"/>
      <c r="B119" s="1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5"/>
    </row>
    <row r="120" spans="1:32">
      <c r="A120" s="28" t="s">
        <v>55</v>
      </c>
      <c r="B120" s="56" t="s">
        <v>56</v>
      </c>
      <c r="C120" s="61"/>
      <c r="D120" s="61">
        <f>D102-D110-D117</f>
        <v>0</v>
      </c>
      <c r="E120" s="61">
        <f t="shared" ref="E120:AD120" si="86">E102-E110-E117</f>
        <v>0</v>
      </c>
      <c r="F120" s="61">
        <f t="shared" si="86"/>
        <v>0</v>
      </c>
      <c r="G120" s="61">
        <f t="shared" si="86"/>
        <v>0</v>
      </c>
      <c r="H120" s="61">
        <f t="shared" si="86"/>
        <v>0</v>
      </c>
      <c r="I120" s="61">
        <f t="shared" si="86"/>
        <v>0</v>
      </c>
      <c r="J120" s="61">
        <f t="shared" si="86"/>
        <v>0</v>
      </c>
      <c r="K120" s="61">
        <f t="shared" si="86"/>
        <v>0</v>
      </c>
      <c r="L120" s="61">
        <f t="shared" si="86"/>
        <v>0</v>
      </c>
      <c r="M120" s="61">
        <f t="shared" si="86"/>
        <v>0</v>
      </c>
      <c r="N120" s="61">
        <f t="shared" si="86"/>
        <v>0</v>
      </c>
      <c r="O120" s="61">
        <f t="shared" si="86"/>
        <v>0</v>
      </c>
      <c r="P120" s="61">
        <f t="shared" si="86"/>
        <v>0</v>
      </c>
      <c r="Q120" s="61">
        <f t="shared" si="86"/>
        <v>0</v>
      </c>
      <c r="R120" s="61">
        <f t="shared" si="86"/>
        <v>0</v>
      </c>
      <c r="S120" s="61">
        <f t="shared" si="86"/>
        <v>0</v>
      </c>
      <c r="T120" s="61">
        <f t="shared" si="86"/>
        <v>0</v>
      </c>
      <c r="U120" s="61">
        <f t="shared" si="86"/>
        <v>0</v>
      </c>
      <c r="V120" s="61">
        <f t="shared" si="86"/>
        <v>0</v>
      </c>
      <c r="W120" s="61">
        <f t="shared" si="86"/>
        <v>0</v>
      </c>
      <c r="X120" s="61">
        <f t="shared" si="86"/>
        <v>0</v>
      </c>
      <c r="Y120" s="61">
        <f t="shared" si="86"/>
        <v>0</v>
      </c>
      <c r="Z120" s="61">
        <f t="shared" si="86"/>
        <v>0</v>
      </c>
      <c r="AA120" s="61">
        <f t="shared" si="86"/>
        <v>0</v>
      </c>
      <c r="AB120" s="61">
        <f t="shared" si="86"/>
        <v>0</v>
      </c>
      <c r="AC120" s="61">
        <f t="shared" si="86"/>
        <v>0</v>
      </c>
      <c r="AD120" s="61">
        <f t="shared" si="86"/>
        <v>0</v>
      </c>
      <c r="AE120" s="61"/>
      <c r="AF120" s="60">
        <f>AF102-AF110-AF117</f>
        <v>0</v>
      </c>
    </row>
    <row r="121" spans="1:32">
      <c r="A121" s="4" t="s">
        <v>206</v>
      </c>
      <c r="B121" s="17" t="s">
        <v>56</v>
      </c>
      <c r="C121" s="65">
        <v>0.3</v>
      </c>
      <c r="D121" s="12">
        <f t="shared" ref="D121:AD121" si="87">IF((D102-D111-D118)*$C$121&gt;0,(D102-D111-D118)*$C$121,0)</f>
        <v>0</v>
      </c>
      <c r="E121" s="12">
        <f t="shared" si="87"/>
        <v>0</v>
      </c>
      <c r="F121" s="12">
        <f t="shared" si="87"/>
        <v>0</v>
      </c>
      <c r="G121" s="12">
        <f t="shared" si="87"/>
        <v>0</v>
      </c>
      <c r="H121" s="12">
        <f t="shared" si="87"/>
        <v>0</v>
      </c>
      <c r="I121" s="12">
        <f t="shared" si="87"/>
        <v>0</v>
      </c>
      <c r="J121" s="12">
        <f t="shared" si="87"/>
        <v>0</v>
      </c>
      <c r="K121" s="12">
        <f t="shared" si="87"/>
        <v>0</v>
      </c>
      <c r="L121" s="12">
        <f t="shared" si="87"/>
        <v>0</v>
      </c>
      <c r="M121" s="12">
        <f t="shared" si="87"/>
        <v>0</v>
      </c>
      <c r="N121" s="12">
        <f t="shared" si="87"/>
        <v>0</v>
      </c>
      <c r="O121" s="12">
        <f t="shared" si="87"/>
        <v>0</v>
      </c>
      <c r="P121" s="12">
        <f t="shared" si="87"/>
        <v>0</v>
      </c>
      <c r="Q121" s="12">
        <f t="shared" si="87"/>
        <v>0</v>
      </c>
      <c r="R121" s="12">
        <f t="shared" si="87"/>
        <v>0</v>
      </c>
      <c r="S121" s="12">
        <f t="shared" si="87"/>
        <v>0</v>
      </c>
      <c r="T121" s="12">
        <f t="shared" si="87"/>
        <v>0</v>
      </c>
      <c r="U121" s="12">
        <f t="shared" si="87"/>
        <v>0</v>
      </c>
      <c r="V121" s="12">
        <f t="shared" si="87"/>
        <v>0</v>
      </c>
      <c r="W121" s="12">
        <f t="shared" si="87"/>
        <v>0</v>
      </c>
      <c r="X121" s="12">
        <f t="shared" si="87"/>
        <v>0</v>
      </c>
      <c r="Y121" s="12">
        <f t="shared" si="87"/>
        <v>0</v>
      </c>
      <c r="Z121" s="12">
        <f t="shared" si="87"/>
        <v>0</v>
      </c>
      <c r="AA121" s="12">
        <f t="shared" si="87"/>
        <v>0</v>
      </c>
      <c r="AB121" s="12">
        <f t="shared" si="87"/>
        <v>0</v>
      </c>
      <c r="AC121" s="12">
        <f t="shared" si="87"/>
        <v>0</v>
      </c>
      <c r="AD121" s="12">
        <f t="shared" si="87"/>
        <v>0</v>
      </c>
      <c r="AE121" s="12"/>
      <c r="AF121" s="5">
        <f>SUM(D121:AD121)</f>
        <v>0</v>
      </c>
    </row>
    <row r="122" spans="1:32" hidden="1">
      <c r="A122" s="4"/>
      <c r="B122" s="17"/>
      <c r="C122" s="37"/>
      <c r="D122" s="37">
        <v>1</v>
      </c>
      <c r="E122" s="37">
        <v>1</v>
      </c>
      <c r="F122" s="37">
        <v>1</v>
      </c>
      <c r="G122" s="37">
        <v>1</v>
      </c>
      <c r="H122" s="37">
        <v>1</v>
      </c>
      <c r="I122" s="37">
        <v>1</v>
      </c>
      <c r="J122" s="37">
        <v>1</v>
      </c>
      <c r="K122" s="37">
        <v>1</v>
      </c>
      <c r="L122" s="37">
        <v>1</v>
      </c>
      <c r="M122" s="37">
        <v>1</v>
      </c>
      <c r="N122" s="37">
        <v>1</v>
      </c>
      <c r="O122" s="37">
        <v>1</v>
      </c>
      <c r="P122" s="37">
        <v>1</v>
      </c>
      <c r="Q122" s="37">
        <v>1</v>
      </c>
      <c r="R122" s="37">
        <v>1</v>
      </c>
      <c r="S122" s="37">
        <v>1</v>
      </c>
      <c r="T122" s="37">
        <v>1</v>
      </c>
      <c r="U122" s="37">
        <v>1</v>
      </c>
      <c r="V122" s="37">
        <v>1</v>
      </c>
      <c r="W122" s="37">
        <v>1</v>
      </c>
      <c r="X122" s="37">
        <v>1</v>
      </c>
      <c r="Y122" s="37">
        <v>1</v>
      </c>
      <c r="Z122" s="37">
        <v>1</v>
      </c>
      <c r="AA122" s="37">
        <v>1</v>
      </c>
      <c r="AB122" s="37">
        <v>1</v>
      </c>
      <c r="AC122" s="37">
        <v>1</v>
      </c>
      <c r="AD122" s="37">
        <v>1</v>
      </c>
      <c r="AE122" s="37"/>
      <c r="AF122" s="5"/>
    </row>
    <row r="123" spans="1:32">
      <c r="A123" s="4"/>
      <c r="B123" s="1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5"/>
    </row>
    <row r="124" spans="1:32">
      <c r="A124" s="28" t="s">
        <v>207</v>
      </c>
      <c r="B124" s="56" t="s">
        <v>56</v>
      </c>
      <c r="C124" s="61"/>
      <c r="D124" s="61">
        <f>D120-D121</f>
        <v>0</v>
      </c>
      <c r="E124" s="61">
        <f t="shared" ref="E124:AD124" si="88">E120-E121</f>
        <v>0</v>
      </c>
      <c r="F124" s="61">
        <f t="shared" si="88"/>
        <v>0</v>
      </c>
      <c r="G124" s="61">
        <f t="shared" si="88"/>
        <v>0</v>
      </c>
      <c r="H124" s="61">
        <f t="shared" si="88"/>
        <v>0</v>
      </c>
      <c r="I124" s="61">
        <f t="shared" si="88"/>
        <v>0</v>
      </c>
      <c r="J124" s="61">
        <f t="shared" si="88"/>
        <v>0</v>
      </c>
      <c r="K124" s="61">
        <f t="shared" si="88"/>
        <v>0</v>
      </c>
      <c r="L124" s="61">
        <f t="shared" si="88"/>
        <v>0</v>
      </c>
      <c r="M124" s="61">
        <f t="shared" si="88"/>
        <v>0</v>
      </c>
      <c r="N124" s="61">
        <f t="shared" si="88"/>
        <v>0</v>
      </c>
      <c r="O124" s="61">
        <f t="shared" si="88"/>
        <v>0</v>
      </c>
      <c r="P124" s="61">
        <f t="shared" si="88"/>
        <v>0</v>
      </c>
      <c r="Q124" s="61">
        <f t="shared" si="88"/>
        <v>0</v>
      </c>
      <c r="R124" s="61">
        <f t="shared" si="88"/>
        <v>0</v>
      </c>
      <c r="S124" s="61">
        <f t="shared" si="88"/>
        <v>0</v>
      </c>
      <c r="T124" s="61">
        <f t="shared" si="88"/>
        <v>0</v>
      </c>
      <c r="U124" s="61">
        <f t="shared" si="88"/>
        <v>0</v>
      </c>
      <c r="V124" s="61">
        <f t="shared" si="88"/>
        <v>0</v>
      </c>
      <c r="W124" s="61">
        <f t="shared" si="88"/>
        <v>0</v>
      </c>
      <c r="X124" s="61">
        <f t="shared" si="88"/>
        <v>0</v>
      </c>
      <c r="Y124" s="61">
        <f t="shared" si="88"/>
        <v>0</v>
      </c>
      <c r="Z124" s="61">
        <f t="shared" si="88"/>
        <v>0</v>
      </c>
      <c r="AA124" s="61">
        <f t="shared" si="88"/>
        <v>0</v>
      </c>
      <c r="AB124" s="61">
        <f t="shared" si="88"/>
        <v>0</v>
      </c>
      <c r="AC124" s="61">
        <f t="shared" si="88"/>
        <v>0</v>
      </c>
      <c r="AD124" s="61">
        <f t="shared" si="88"/>
        <v>0</v>
      </c>
      <c r="AE124" s="61"/>
      <c r="AF124" s="62">
        <f>AF120-AF121</f>
        <v>0</v>
      </c>
    </row>
    <row r="125" spans="1:32">
      <c r="A125" s="28" t="s">
        <v>208</v>
      </c>
      <c r="B125" s="56" t="s">
        <v>56</v>
      </c>
      <c r="C125" s="61"/>
      <c r="D125" s="61">
        <f>IFERROR(D124*$C$125,0)</f>
        <v>0</v>
      </c>
      <c r="E125" s="61">
        <f t="shared" ref="E125:AD125" si="89">IFERROR(E124*$C$125,0)</f>
        <v>0</v>
      </c>
      <c r="F125" s="61">
        <f t="shared" si="89"/>
        <v>0</v>
      </c>
      <c r="G125" s="61">
        <f t="shared" si="89"/>
        <v>0</v>
      </c>
      <c r="H125" s="61">
        <f t="shared" si="89"/>
        <v>0</v>
      </c>
      <c r="I125" s="61">
        <f t="shared" si="89"/>
        <v>0</v>
      </c>
      <c r="J125" s="61">
        <f t="shared" si="89"/>
        <v>0</v>
      </c>
      <c r="K125" s="61">
        <f t="shared" si="89"/>
        <v>0</v>
      </c>
      <c r="L125" s="61">
        <f t="shared" si="89"/>
        <v>0</v>
      </c>
      <c r="M125" s="61">
        <f t="shared" si="89"/>
        <v>0</v>
      </c>
      <c r="N125" s="61">
        <f t="shared" si="89"/>
        <v>0</v>
      </c>
      <c r="O125" s="61">
        <f t="shared" si="89"/>
        <v>0</v>
      </c>
      <c r="P125" s="61">
        <f t="shared" si="89"/>
        <v>0</v>
      </c>
      <c r="Q125" s="61">
        <f t="shared" si="89"/>
        <v>0</v>
      </c>
      <c r="R125" s="61">
        <f t="shared" si="89"/>
        <v>0</v>
      </c>
      <c r="S125" s="61">
        <f t="shared" si="89"/>
        <v>0</v>
      </c>
      <c r="T125" s="61">
        <f t="shared" si="89"/>
        <v>0</v>
      </c>
      <c r="U125" s="61">
        <f t="shared" si="89"/>
        <v>0</v>
      </c>
      <c r="V125" s="61">
        <f t="shared" si="89"/>
        <v>0</v>
      </c>
      <c r="W125" s="61">
        <f t="shared" si="89"/>
        <v>0</v>
      </c>
      <c r="X125" s="61">
        <f t="shared" si="89"/>
        <v>0</v>
      </c>
      <c r="Y125" s="61">
        <f t="shared" si="89"/>
        <v>0</v>
      </c>
      <c r="Z125" s="61">
        <f t="shared" si="89"/>
        <v>0</v>
      </c>
      <c r="AA125" s="61">
        <f t="shared" si="89"/>
        <v>0</v>
      </c>
      <c r="AB125" s="61">
        <f t="shared" si="89"/>
        <v>0</v>
      </c>
      <c r="AC125" s="61">
        <f t="shared" si="89"/>
        <v>0</v>
      </c>
      <c r="AD125" s="61">
        <f t="shared" si="89"/>
        <v>0</v>
      </c>
      <c r="AE125" s="61"/>
      <c r="AF125" s="62"/>
    </row>
    <row r="126" spans="1:32">
      <c r="A126" s="28" t="s">
        <v>292</v>
      </c>
      <c r="B126" s="56" t="s">
        <v>56</v>
      </c>
      <c r="C126" s="61"/>
      <c r="D126" s="61">
        <f>D124*Assumptions!I2</f>
        <v>0</v>
      </c>
      <c r="E126" s="61">
        <f>E124*Assumptions!J2</f>
        <v>0</v>
      </c>
      <c r="F126" s="61">
        <f>F124*Assumptions!K2</f>
        <v>0</v>
      </c>
      <c r="G126" s="61">
        <f>G124*Assumptions!L2</f>
        <v>0</v>
      </c>
      <c r="H126" s="61">
        <f>H124*Assumptions!M2</f>
        <v>0</v>
      </c>
      <c r="I126" s="61">
        <f>I124*Assumptions!N2</f>
        <v>0</v>
      </c>
      <c r="J126" s="61">
        <f>J124*Assumptions!O2</f>
        <v>0</v>
      </c>
      <c r="K126" s="61">
        <f>K124*Assumptions!P2</f>
        <v>0</v>
      </c>
      <c r="L126" s="61">
        <f>L124*Assumptions!Q2</f>
        <v>0</v>
      </c>
      <c r="M126" s="61">
        <f>M124*Assumptions!R2</f>
        <v>0</v>
      </c>
      <c r="N126" s="61">
        <f>N124*Assumptions!S2</f>
        <v>0</v>
      </c>
      <c r="O126" s="61">
        <f>O124*Assumptions!T2</f>
        <v>0</v>
      </c>
      <c r="P126" s="61">
        <f>P124*Assumptions!U2</f>
        <v>0</v>
      </c>
      <c r="Q126" s="61">
        <f>Q124*Assumptions!V2</f>
        <v>0</v>
      </c>
      <c r="R126" s="61">
        <f>R124*Assumptions!W2</f>
        <v>0</v>
      </c>
      <c r="S126" s="61">
        <f>S124*Assumptions!X2</f>
        <v>0</v>
      </c>
      <c r="T126" s="61">
        <f>T124*Assumptions!Y2</f>
        <v>0</v>
      </c>
      <c r="U126" s="61">
        <f>U124*Assumptions!Z2</f>
        <v>0</v>
      </c>
      <c r="V126" s="61">
        <f>V124*Assumptions!AA2</f>
        <v>0</v>
      </c>
      <c r="W126" s="61">
        <f>W124*Assumptions!AB2</f>
        <v>0</v>
      </c>
      <c r="X126" s="61">
        <f>X124*Assumptions!AC2</f>
        <v>0</v>
      </c>
      <c r="Y126" s="61">
        <f>Y124*Assumptions!AD2</f>
        <v>0</v>
      </c>
      <c r="Z126" s="61">
        <f>Z124*Assumptions!AE2</f>
        <v>0</v>
      </c>
      <c r="AA126" s="61">
        <f>AA124*Assumptions!AF2</f>
        <v>0</v>
      </c>
      <c r="AB126" s="61">
        <f>AB124*Assumptions!AG2</f>
        <v>0</v>
      </c>
      <c r="AC126" s="61">
        <f>AC124*Assumptions!AH2</f>
        <v>0</v>
      </c>
      <c r="AD126" s="61">
        <f>AD124*Assumptions!AI2</f>
        <v>0</v>
      </c>
      <c r="AE126" s="61"/>
      <c r="AF126" s="49">
        <f>SUM(D126:AD126)</f>
        <v>0</v>
      </c>
    </row>
    <row r="127" spans="1:32" hidden="1">
      <c r="A127" s="28" t="s">
        <v>293</v>
      </c>
      <c r="B127" s="56"/>
      <c r="C127" s="61"/>
      <c r="D127" s="61">
        <f>IFERROR(IF(SUM($D$124:D124)/ABS(D124)&gt;1,0,IF(SUM($D$124:D124)&lt;=0,1*D122,1-(SUM($D$124:D124)/D124)*D122)),0)</f>
        <v>0</v>
      </c>
      <c r="E127" s="61">
        <f>IFERROR(IF(SUM($D$124:E124)/ABS(E124)&gt;1,0,IF(SUM($D$124:E124)&lt;=0,1*E122,1-(SUM($D$124:E124)/E124)*E122)),0)</f>
        <v>0</v>
      </c>
      <c r="F127" s="61">
        <f>IFERROR(IF(SUM($D$124:F124)/ABS(F124)&gt;1,0,IF(SUM($D$124:F124)&lt;=0,1*F122,1-(SUM($D$124:F124)/F124)*F122)),0)</f>
        <v>0</v>
      </c>
      <c r="G127" s="61">
        <f>IFERROR(IF(SUM($D$124:G124)/ABS(G124)&gt;1,0,IF(SUM($D$124:G124)&lt;=0,1*G122,1-(SUM($D$124:G124)/G124)*G122)),0)</f>
        <v>0</v>
      </c>
      <c r="H127" s="61">
        <f>IFERROR(IF(SUM($D$124:H124)/ABS(H124)&gt;1,0,IF(SUM($D$124:H124)&lt;=0,1*H122,1-(SUM($D$124:H124)/H124)*H122)),0)</f>
        <v>0</v>
      </c>
      <c r="I127" s="61">
        <f>IFERROR(IF(SUM($D$124:I124)/ABS(I124)&gt;1,0,IF(SUM($D$124:I124)&lt;=0,1*I122,1-(SUM($D$124:I124)/I124)*I122)),0)</f>
        <v>0</v>
      </c>
      <c r="J127" s="61">
        <f>IFERROR(IF(SUM($D$124:J124)/ABS(J124)&gt;1,0,IF(SUM($D$124:J124)&lt;=0,1*J122,1-(SUM($D$124:J124)/J124)*J122)),0)</f>
        <v>0</v>
      </c>
      <c r="K127" s="61">
        <f>IFERROR(IF(SUM($D$124:K124)/ABS(K124)&gt;1,0,IF(SUM($D$124:K124)&lt;=0,1*K122,1-(SUM($D$124:K124)/K124)*K122)),0)</f>
        <v>0</v>
      </c>
      <c r="L127" s="61">
        <f>IFERROR(IF(SUM($D$124:L124)/ABS(L124)&gt;1,0,IF(SUM($D$124:L124)&lt;=0,1*L122,1-(SUM($D$124:L124)/L124)*L122)),0)</f>
        <v>0</v>
      </c>
      <c r="M127" s="61">
        <f>IFERROR(IF(SUM($D$124:M124)/ABS(M124)&gt;1,0,IF(SUM($D$124:M124)&lt;=0,1*M122,1-(SUM($D$124:M124)/M124)*M122)),0)</f>
        <v>0</v>
      </c>
      <c r="N127" s="61">
        <f>IFERROR(IF(SUM($D$124:N124)/ABS(N124)&gt;1,0,IF(SUM($D$124:N124)&lt;=0,1*N122,1-(SUM($D$124:N124)/N124)*N122)),0)</f>
        <v>0</v>
      </c>
      <c r="O127" s="61">
        <f>IFERROR(IF(SUM($D$124:O124)/ABS(O124)&gt;1,0,IF(SUM($D$124:O124)&lt;=0,1*O122,1-(SUM($D$124:O124)/O124)*O122)),0)</f>
        <v>0</v>
      </c>
      <c r="P127" s="61">
        <f>IFERROR(IF(SUM($D$124:P124)/ABS(P124)&gt;1,0,IF(SUM($D$124:P124)&lt;=0,1*P122,1-(SUM($D$124:P124)/P124)*P122)),0)</f>
        <v>0</v>
      </c>
      <c r="Q127" s="61">
        <f>IFERROR(IF(SUM($D$124:Q124)/ABS(Q124)&gt;1,0,IF(SUM($D$124:Q124)&lt;=0,1*Q122,1-(SUM($D$124:Q124)/Q124)*Q122)),0)</f>
        <v>0</v>
      </c>
      <c r="R127" s="61">
        <f>IFERROR(IF(SUM($D$124:R124)/ABS(R124)&gt;1,0,IF(SUM($D$124:R124)&lt;=0,1*R122,1-(SUM($D$124:R124)/R124)*R122)),0)</f>
        <v>0</v>
      </c>
      <c r="S127" s="61">
        <f>IFERROR(IF(SUM($D$124:S124)/ABS(S124)&gt;1,0,IF(SUM($D$124:S124)&lt;=0,1*S122,1-(SUM($D$124:S124)/S124)*S122)),0)</f>
        <v>0</v>
      </c>
      <c r="T127" s="61">
        <f>IFERROR(IF(SUM($D$124:T124)/ABS(T124)&gt;1,0,IF(SUM($D$124:T124)&lt;=0,1*T122,1-(SUM($D$124:T124)/T124)*T122)),0)</f>
        <v>0</v>
      </c>
      <c r="U127" s="61">
        <f>IFERROR(IF(SUM($D$124:U124)/ABS(U124)&gt;1,0,IF(SUM($D$124:U124)&lt;=0,1*U122,1-(SUM($D$124:U124)/U124)*U122)),0)</f>
        <v>0</v>
      </c>
      <c r="V127" s="61">
        <f>IFERROR(IF(SUM($D$124:V124)/ABS(V124)&gt;1,0,IF(SUM($D$124:V124)&lt;=0,1*V122,1-(SUM($D$124:V124)/V124)*V122)),0)</f>
        <v>0</v>
      </c>
      <c r="W127" s="61">
        <f>IFERROR(IF(SUM($D$124:W124)/ABS(W124)&gt;1,0,IF(SUM($D$124:W124)&lt;=0,1*W122,1-(SUM($D$124:W124)/W124)*W122)),0)</f>
        <v>0</v>
      </c>
      <c r="X127" s="61">
        <f>IFERROR(IF(SUM($D$124:X124)/ABS(X124)&gt;1,0,IF(SUM($D$124:X124)&lt;=0,1*X122,1-(SUM($D$124:X124)/X124)*X122)),0)</f>
        <v>0</v>
      </c>
      <c r="Y127" s="61">
        <f>IFERROR(IF(SUM($D$124:Y124)/ABS(Y124)&gt;1,0,IF(SUM($D$124:Y124)&lt;=0,1*Y122,1-(SUM($D$124:Y124)/Y124)*Y122)),0)</f>
        <v>0</v>
      </c>
      <c r="Z127" s="61">
        <f>IFERROR(IF(SUM($D$124:Z124)/ABS(Z124)&gt;1,0,IF(SUM($D$124:Z124)&lt;=0,1*Z122,1-(SUM($D$124:Z124)/Z124)*Z122)),0)</f>
        <v>0</v>
      </c>
      <c r="AA127" s="61">
        <f>IFERROR(IF(SUM($D$124:AA124)/ABS(AA124)&gt;1,0,IF(SUM($D$124:AA124)&lt;=0,1*AA122,1-(SUM($D$124:AA124)/AA124)*AA122)),0)</f>
        <v>0</v>
      </c>
      <c r="AB127" s="61">
        <f>IFERROR(IF(SUM($D$124:AB124)/ABS(AB124)&gt;1,0,IF(SUM($D$124:AB124)&lt;=0,1*AB122,1-(SUM($D$124:AB124)/AB124)*AB122)),0)</f>
        <v>0</v>
      </c>
      <c r="AC127" s="61">
        <f>IFERROR(IF(SUM($D$124:AC124)/ABS(AC124)&gt;1,0,IF(SUM($D$124:AC124)&lt;=0,1*AC122,1-(SUM($D$124:AC124)/AC124)*AC122)),0)</f>
        <v>0</v>
      </c>
      <c r="AD127" s="61">
        <f>IFERROR(IF(SUM($D$124:AD124)/ABS(AD124)&gt;1,0,IF(SUM($D$124:AD124)&lt;=0,1*AD122,1-(SUM($D$124:AD124)/AD124)*AD122)),0)</f>
        <v>0</v>
      </c>
      <c r="AE127" s="61"/>
      <c r="AF127" s="49"/>
    </row>
    <row r="128" spans="1:32">
      <c r="A128" s="28" t="s">
        <v>294</v>
      </c>
      <c r="B128" s="56" t="s">
        <v>56</v>
      </c>
      <c r="C128" s="61">
        <f>SUM(D126:AD126)</f>
        <v>0</v>
      </c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2"/>
    </row>
    <row r="129" spans="1:32">
      <c r="A129" s="28" t="s">
        <v>295</v>
      </c>
      <c r="B129" s="56" t="s">
        <v>296</v>
      </c>
      <c r="C129" s="61">
        <f>SUM(D127:W127)</f>
        <v>0</v>
      </c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2"/>
    </row>
    <row r="130" spans="1:32">
      <c r="A130" s="71" t="s">
        <v>297</v>
      </c>
      <c r="B130" s="92" t="s">
        <v>43</v>
      </c>
      <c r="C130" s="63" t="e">
        <f>IRR(D126:R126)</f>
        <v>#NUM!</v>
      </c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45"/>
    </row>
    <row r="131" spans="1:32">
      <c r="A131" s="2" t="s">
        <v>298</v>
      </c>
      <c r="B131" s="36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11"/>
    </row>
    <row r="132" spans="1:32">
      <c r="A132" s="4" t="s">
        <v>299</v>
      </c>
      <c r="B132" s="17" t="s">
        <v>56</v>
      </c>
      <c r="C132" s="148"/>
      <c r="D132" s="148">
        <v>0</v>
      </c>
      <c r="E132" s="12">
        <f>D135</f>
        <v>0</v>
      </c>
      <c r="F132" s="12">
        <f t="shared" ref="F132:AD132" si="90">E135</f>
        <v>0</v>
      </c>
      <c r="G132" s="12">
        <f t="shared" si="90"/>
        <v>0</v>
      </c>
      <c r="H132" s="12">
        <f t="shared" si="90"/>
        <v>0</v>
      </c>
      <c r="I132" s="12">
        <f t="shared" si="90"/>
        <v>0</v>
      </c>
      <c r="J132" s="12">
        <f t="shared" si="90"/>
        <v>0</v>
      </c>
      <c r="K132" s="12">
        <f t="shared" si="90"/>
        <v>0</v>
      </c>
      <c r="L132" s="12">
        <f t="shared" si="90"/>
        <v>0</v>
      </c>
      <c r="M132" s="12">
        <f t="shared" si="90"/>
        <v>0</v>
      </c>
      <c r="N132" s="12">
        <f t="shared" si="90"/>
        <v>0</v>
      </c>
      <c r="O132" s="12">
        <f t="shared" si="90"/>
        <v>0</v>
      </c>
      <c r="P132" s="12">
        <f t="shared" si="90"/>
        <v>0</v>
      </c>
      <c r="Q132" s="12">
        <f t="shared" si="90"/>
        <v>0</v>
      </c>
      <c r="R132" s="12">
        <f t="shared" si="90"/>
        <v>0</v>
      </c>
      <c r="S132" s="12">
        <f t="shared" si="90"/>
        <v>0</v>
      </c>
      <c r="T132" s="12">
        <f t="shared" si="90"/>
        <v>0</v>
      </c>
      <c r="U132" s="12">
        <f t="shared" si="90"/>
        <v>0</v>
      </c>
      <c r="V132" s="12">
        <f t="shared" si="90"/>
        <v>0</v>
      </c>
      <c r="W132" s="12">
        <f t="shared" si="90"/>
        <v>0</v>
      </c>
      <c r="X132" s="12">
        <f t="shared" si="90"/>
        <v>0</v>
      </c>
      <c r="Y132" s="12">
        <f t="shared" si="90"/>
        <v>0</v>
      </c>
      <c r="Z132" s="12">
        <f t="shared" si="90"/>
        <v>0</v>
      </c>
      <c r="AA132" s="12">
        <f t="shared" si="90"/>
        <v>0</v>
      </c>
      <c r="AB132" s="12">
        <f t="shared" si="90"/>
        <v>0</v>
      </c>
      <c r="AC132" s="12">
        <f t="shared" si="90"/>
        <v>0</v>
      </c>
      <c r="AD132" s="12">
        <f t="shared" si="90"/>
        <v>0</v>
      </c>
      <c r="AE132" s="12"/>
      <c r="AF132" s="5"/>
    </row>
    <row r="133" spans="1:32">
      <c r="A133" s="4" t="s">
        <v>300</v>
      </c>
      <c r="B133" s="17" t="s">
        <v>56</v>
      </c>
      <c r="C133" s="12"/>
      <c r="D133" s="12">
        <f t="shared" ref="D133:AD133" si="91">D117</f>
        <v>0</v>
      </c>
      <c r="E133" s="12">
        <f t="shared" si="91"/>
        <v>0</v>
      </c>
      <c r="F133" s="12">
        <f t="shared" si="91"/>
        <v>0</v>
      </c>
      <c r="G133" s="12">
        <f t="shared" si="91"/>
        <v>0</v>
      </c>
      <c r="H133" s="12">
        <f t="shared" si="91"/>
        <v>0</v>
      </c>
      <c r="I133" s="12">
        <f t="shared" si="91"/>
        <v>0</v>
      </c>
      <c r="J133" s="12">
        <f t="shared" si="91"/>
        <v>0</v>
      </c>
      <c r="K133" s="12">
        <f t="shared" si="91"/>
        <v>0</v>
      </c>
      <c r="L133" s="12">
        <f t="shared" si="91"/>
        <v>0</v>
      </c>
      <c r="M133" s="12">
        <f t="shared" si="91"/>
        <v>0</v>
      </c>
      <c r="N133" s="12">
        <f t="shared" si="91"/>
        <v>0</v>
      </c>
      <c r="O133" s="12">
        <f t="shared" si="91"/>
        <v>0</v>
      </c>
      <c r="P133" s="12">
        <f t="shared" si="91"/>
        <v>0</v>
      </c>
      <c r="Q133" s="12">
        <f t="shared" si="91"/>
        <v>0</v>
      </c>
      <c r="R133" s="12">
        <f t="shared" si="91"/>
        <v>0</v>
      </c>
      <c r="S133" s="12">
        <f t="shared" si="91"/>
        <v>0</v>
      </c>
      <c r="T133" s="12">
        <f t="shared" si="91"/>
        <v>0</v>
      </c>
      <c r="U133" s="12">
        <f t="shared" si="91"/>
        <v>0</v>
      </c>
      <c r="V133" s="12">
        <f t="shared" si="91"/>
        <v>0</v>
      </c>
      <c r="W133" s="12">
        <f t="shared" si="91"/>
        <v>0</v>
      </c>
      <c r="X133" s="12">
        <f t="shared" si="91"/>
        <v>0</v>
      </c>
      <c r="Y133" s="12">
        <f t="shared" si="91"/>
        <v>0</v>
      </c>
      <c r="Z133" s="12">
        <f t="shared" si="91"/>
        <v>0</v>
      </c>
      <c r="AA133" s="12">
        <f t="shared" si="91"/>
        <v>0</v>
      </c>
      <c r="AB133" s="12">
        <f t="shared" si="91"/>
        <v>0</v>
      </c>
      <c r="AC133" s="12">
        <f t="shared" si="91"/>
        <v>0</v>
      </c>
      <c r="AD133" s="12">
        <f t="shared" si="91"/>
        <v>0</v>
      </c>
      <c r="AE133" s="12"/>
      <c r="AF133" s="5"/>
    </row>
    <row r="134" spans="1:32">
      <c r="A134" s="4" t="s">
        <v>301</v>
      </c>
      <c r="B134" s="17" t="s">
        <v>56</v>
      </c>
      <c r="C134" s="152"/>
      <c r="D134" s="152">
        <f>IF(D2=$B$137,D132+D133,(D132+D133)/($B$137-1-D2))</f>
        <v>0</v>
      </c>
      <c r="E134" s="12">
        <f>IFERROR(IF(E2=$B$137,E132+E133,E132/($B$137+1-E2)),0)</f>
        <v>0</v>
      </c>
      <c r="F134" s="12">
        <f t="shared" ref="F134:AD134" si="92">IFERROR(IF(F2=$B$137,F132+F133,F132/($B$137+1-F2)),0)</f>
        <v>0</v>
      </c>
      <c r="G134" s="12">
        <f t="shared" si="92"/>
        <v>0</v>
      </c>
      <c r="H134" s="12">
        <f t="shared" si="92"/>
        <v>0</v>
      </c>
      <c r="I134" s="12">
        <f t="shared" si="92"/>
        <v>0</v>
      </c>
      <c r="J134" s="12">
        <f t="shared" si="92"/>
        <v>0</v>
      </c>
      <c r="K134" s="12">
        <f t="shared" si="92"/>
        <v>0</v>
      </c>
      <c r="L134" s="12">
        <f t="shared" si="92"/>
        <v>0</v>
      </c>
      <c r="M134" s="12">
        <f t="shared" si="92"/>
        <v>0</v>
      </c>
      <c r="N134" s="12">
        <f t="shared" si="92"/>
        <v>0</v>
      </c>
      <c r="O134" s="12">
        <f t="shared" si="92"/>
        <v>0</v>
      </c>
      <c r="P134" s="12">
        <f t="shared" si="92"/>
        <v>0</v>
      </c>
      <c r="Q134" s="12">
        <f t="shared" si="92"/>
        <v>0</v>
      </c>
      <c r="R134" s="12">
        <f t="shared" si="92"/>
        <v>0</v>
      </c>
      <c r="S134" s="12">
        <f t="shared" si="92"/>
        <v>0</v>
      </c>
      <c r="T134" s="12">
        <f t="shared" si="92"/>
        <v>0</v>
      </c>
      <c r="U134" s="12">
        <f t="shared" si="92"/>
        <v>0</v>
      </c>
      <c r="V134" s="12">
        <f t="shared" si="92"/>
        <v>0</v>
      </c>
      <c r="W134" s="12">
        <f t="shared" si="92"/>
        <v>0</v>
      </c>
      <c r="X134" s="12">
        <f t="shared" si="92"/>
        <v>0</v>
      </c>
      <c r="Y134" s="12">
        <f t="shared" si="92"/>
        <v>0</v>
      </c>
      <c r="Z134" s="12">
        <f t="shared" si="92"/>
        <v>0</v>
      </c>
      <c r="AA134" s="12">
        <f t="shared" si="92"/>
        <v>0</v>
      </c>
      <c r="AB134" s="12">
        <f t="shared" si="92"/>
        <v>0</v>
      </c>
      <c r="AC134" s="12">
        <f t="shared" si="92"/>
        <v>0</v>
      </c>
      <c r="AD134" s="12">
        <f t="shared" si="92"/>
        <v>0</v>
      </c>
      <c r="AE134" s="12"/>
      <c r="AF134" s="5"/>
    </row>
    <row r="135" spans="1:32">
      <c r="A135" s="4" t="s">
        <v>302</v>
      </c>
      <c r="B135" s="17" t="s">
        <v>56</v>
      </c>
      <c r="C135" s="12"/>
      <c r="D135" s="12">
        <f>D132+D133-D134</f>
        <v>0</v>
      </c>
      <c r="E135" s="12">
        <f>E132+E133-E134</f>
        <v>0</v>
      </c>
      <c r="F135" s="12">
        <f t="shared" ref="F135:AD135" si="93">F132+F133-F134</f>
        <v>0</v>
      </c>
      <c r="G135" s="12">
        <f t="shared" si="93"/>
        <v>0</v>
      </c>
      <c r="H135" s="12">
        <f t="shared" si="93"/>
        <v>0</v>
      </c>
      <c r="I135" s="12">
        <f t="shared" si="93"/>
        <v>0</v>
      </c>
      <c r="J135" s="12">
        <f t="shared" si="93"/>
        <v>0</v>
      </c>
      <c r="K135" s="12">
        <f t="shared" si="93"/>
        <v>0</v>
      </c>
      <c r="L135" s="12">
        <f t="shared" si="93"/>
        <v>0</v>
      </c>
      <c r="M135" s="12">
        <f t="shared" si="93"/>
        <v>0</v>
      </c>
      <c r="N135" s="12">
        <f t="shared" si="93"/>
        <v>0</v>
      </c>
      <c r="O135" s="12">
        <f t="shared" si="93"/>
        <v>0</v>
      </c>
      <c r="P135" s="12">
        <f t="shared" si="93"/>
        <v>0</v>
      </c>
      <c r="Q135" s="12">
        <f t="shared" si="93"/>
        <v>0</v>
      </c>
      <c r="R135" s="12">
        <f t="shared" si="93"/>
        <v>0</v>
      </c>
      <c r="S135" s="12">
        <f t="shared" si="93"/>
        <v>0</v>
      </c>
      <c r="T135" s="12">
        <f t="shared" si="93"/>
        <v>0</v>
      </c>
      <c r="U135" s="12">
        <f t="shared" si="93"/>
        <v>0</v>
      </c>
      <c r="V135" s="12">
        <f t="shared" si="93"/>
        <v>0</v>
      </c>
      <c r="W135" s="12">
        <f t="shared" si="93"/>
        <v>0</v>
      </c>
      <c r="X135" s="12">
        <f t="shared" si="93"/>
        <v>0</v>
      </c>
      <c r="Y135" s="12">
        <f t="shared" si="93"/>
        <v>0</v>
      </c>
      <c r="Z135" s="12">
        <f t="shared" si="93"/>
        <v>0</v>
      </c>
      <c r="AA135" s="12">
        <f t="shared" si="93"/>
        <v>0</v>
      </c>
      <c r="AB135" s="12">
        <f t="shared" si="93"/>
        <v>0</v>
      </c>
      <c r="AC135" s="12">
        <f t="shared" si="93"/>
        <v>0</v>
      </c>
      <c r="AD135" s="12">
        <f t="shared" si="93"/>
        <v>0</v>
      </c>
      <c r="AE135" s="12"/>
      <c r="AF135" s="5"/>
    </row>
    <row r="136" spans="1:32">
      <c r="A136" s="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5"/>
    </row>
    <row r="137" spans="1:32">
      <c r="A137" s="66" t="s">
        <v>303</v>
      </c>
      <c r="B137" s="17">
        <v>2046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5"/>
    </row>
    <row r="138" spans="1:32">
      <c r="A138" s="8"/>
      <c r="B138" s="26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5"/>
    </row>
    <row r="139" spans="1:32">
      <c r="C139" s="17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</row>
    <row r="140" spans="1:32">
      <c r="C140" s="17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</row>
    <row r="141" spans="1:32">
      <c r="C141" s="17"/>
    </row>
    <row r="142" spans="1:32">
      <c r="C142" s="17"/>
    </row>
    <row r="143" spans="1:32">
      <c r="A143" t="s">
        <v>209</v>
      </c>
      <c r="C143" s="17"/>
    </row>
    <row r="144" spans="1:32">
      <c r="C144" s="17"/>
    </row>
    <row r="145" spans="1:30" hidden="1" outlineLevel="1">
      <c r="A145" t="s">
        <v>210</v>
      </c>
      <c r="C145" s="17"/>
      <c r="D145" s="167">
        <v>1</v>
      </c>
      <c r="E145" s="167">
        <f>D145*(1+Assumptions!J49)</f>
        <v>1.0265</v>
      </c>
      <c r="F145" s="167">
        <f>E145*(1+Assumptions!K49)</f>
        <v>1.05370225</v>
      </c>
      <c r="G145" s="167">
        <f>F145*(1+Assumptions!L49)</f>
        <v>1.0816253596249998</v>
      </c>
      <c r="H145" s="167">
        <f>G145*(1+Assumptions!M49)</f>
        <v>1.1102884316550623</v>
      </c>
      <c r="I145" s="167">
        <f>H145*(1+Assumptions!N49)</f>
        <v>1.1397110750939214</v>
      </c>
      <c r="J145" s="167">
        <f>I145*(1+Assumptions!O49)</f>
        <v>1.1699134185839104</v>
      </c>
      <c r="K145" s="167">
        <f>J145*(1+Assumptions!P49)</f>
        <v>1.2009161241763839</v>
      </c>
      <c r="L145" s="167">
        <f>K145*(1+Assumptions!Q49)</f>
        <v>1.232740401467058</v>
      </c>
      <c r="M145" s="167">
        <f>L145*(1+Assumptions!R49)</f>
        <v>1.2654080221059349</v>
      </c>
      <c r="N145" s="167">
        <f>M145*(1+Assumptions!S49)</f>
        <v>1.2989413346917422</v>
      </c>
      <c r="O145" s="167">
        <f>N145*(1+Assumptions!T49)</f>
        <v>1.3333632800610733</v>
      </c>
      <c r="P145" s="167">
        <f>O145*(1+Assumptions!U49)</f>
        <v>1.3686974069826916</v>
      </c>
      <c r="Q145" s="167">
        <f>P145*(1+Assumptions!V49)</f>
        <v>1.4049678882677328</v>
      </c>
      <c r="R145" s="167">
        <f>Q145*(1+Assumptions!W49)</f>
        <v>1.4421995373068277</v>
      </c>
      <c r="S145" s="167">
        <f>R145*(1+Assumptions!X49)</f>
        <v>1.4804178250454585</v>
      </c>
      <c r="T145" s="167">
        <f>S145*(1+Assumptions!Y49)</f>
        <v>1.5196488974091631</v>
      </c>
      <c r="U145" s="167">
        <f>T145*(1+Assumptions!Z49)</f>
        <v>1.5599195931905059</v>
      </c>
      <c r="V145" s="167">
        <f>U145*(1+Assumptions!AA49)</f>
        <v>1.6012574624100542</v>
      </c>
      <c r="W145" s="167">
        <f>V145*(1+Assumptions!AB49)</f>
        <v>1.6436907851639206</v>
      </c>
      <c r="X145" s="167">
        <f>W145*(1+Assumptions!AC49)</f>
        <v>1.6872485909707644</v>
      </c>
      <c r="Y145" s="167">
        <f>X145*(1+Assumptions!AD49)</f>
        <v>1.7319606786314896</v>
      </c>
      <c r="Z145" s="167">
        <f>Y145*(1+Assumptions!AE49)</f>
        <v>1.7778576366152241</v>
      </c>
      <c r="AA145" s="167">
        <f>Z145*(1+Assumptions!AF49)</f>
        <v>1.8249708639855275</v>
      </c>
      <c r="AB145" s="167">
        <f>AA145*(1+Assumptions!AG49)</f>
        <v>1.8733325918811439</v>
      </c>
      <c r="AC145" s="167">
        <f>AB145*(1+Assumptions!AH49)</f>
        <v>1.9229759055659941</v>
      </c>
      <c r="AD145" s="167">
        <f>AC145*(1+Assumptions!AI49)</f>
        <v>1.9739347670634928</v>
      </c>
    </row>
    <row r="146" spans="1:30" hidden="1" outlineLevel="1">
      <c r="A146" t="s">
        <v>211</v>
      </c>
    </row>
    <row r="147" spans="1:30" hidden="1" outlineLevel="1">
      <c r="A147" t="s">
        <v>212</v>
      </c>
      <c r="B147" t="s">
        <v>213</v>
      </c>
      <c r="D147" s="175">
        <f>D145*D61</f>
        <v>0</v>
      </c>
      <c r="E147" s="175">
        <f t="shared" ref="E147:AD147" si="94">E145*E61</f>
        <v>0</v>
      </c>
      <c r="F147" s="175">
        <f t="shared" si="94"/>
        <v>0</v>
      </c>
      <c r="G147" s="175">
        <f t="shared" si="94"/>
        <v>0</v>
      </c>
      <c r="H147" s="175">
        <f t="shared" si="94"/>
        <v>0</v>
      </c>
      <c r="I147" s="175">
        <f t="shared" si="94"/>
        <v>0</v>
      </c>
      <c r="J147" s="175">
        <f t="shared" si="94"/>
        <v>0</v>
      </c>
      <c r="K147" s="175">
        <f t="shared" si="94"/>
        <v>0</v>
      </c>
      <c r="L147" s="175">
        <f t="shared" si="94"/>
        <v>0</v>
      </c>
      <c r="M147" s="175">
        <f t="shared" si="94"/>
        <v>0</v>
      </c>
      <c r="N147" s="175">
        <f t="shared" si="94"/>
        <v>0</v>
      </c>
      <c r="O147" s="175">
        <f t="shared" si="94"/>
        <v>0</v>
      </c>
      <c r="P147" s="175">
        <f t="shared" si="94"/>
        <v>0</v>
      </c>
      <c r="Q147" s="175">
        <f t="shared" si="94"/>
        <v>0</v>
      </c>
      <c r="R147" s="175">
        <f t="shared" si="94"/>
        <v>0</v>
      </c>
      <c r="S147" s="175">
        <f t="shared" si="94"/>
        <v>0</v>
      </c>
      <c r="T147" s="175">
        <f t="shared" si="94"/>
        <v>0</v>
      </c>
      <c r="U147" s="175">
        <f t="shared" si="94"/>
        <v>0</v>
      </c>
      <c r="V147" s="175">
        <f t="shared" si="94"/>
        <v>0</v>
      </c>
      <c r="W147" s="175">
        <f t="shared" si="94"/>
        <v>0</v>
      </c>
      <c r="X147" s="175">
        <f t="shared" si="94"/>
        <v>0</v>
      </c>
      <c r="Y147" s="175">
        <f t="shared" si="94"/>
        <v>0</v>
      </c>
      <c r="Z147" s="175">
        <f t="shared" si="94"/>
        <v>0</v>
      </c>
      <c r="AA147" s="175">
        <f t="shared" si="94"/>
        <v>0</v>
      </c>
      <c r="AB147" s="175">
        <f t="shared" si="94"/>
        <v>0</v>
      </c>
      <c r="AC147" s="175">
        <f t="shared" si="94"/>
        <v>0</v>
      </c>
      <c r="AD147" s="175">
        <f t="shared" si="94"/>
        <v>0</v>
      </c>
    </row>
    <row r="148" spans="1:30" hidden="1" outlineLevel="1">
      <c r="A148" t="s">
        <v>214</v>
      </c>
      <c r="B148" t="s">
        <v>43</v>
      </c>
      <c r="D148" s="177">
        <f>IF(D147&lt;Assumptions!I$29,Assumptions!I$35,IF(D147&lt;Assumptions!I$30,(Assumptions!I$42+(D147-Assumptions!I$29)*Assumptions!I$36)/D147,IF(D147&lt;Assumptions!I$31,(Assumptions!I$43+(D147-Assumptions!I$30)*Assumptions!I$37)/D147,IF(D147&lt;Assumptions!I$32,(Assumptions!I$44+(D147-Assumptions!I$31)*Assumptions!I$38)/D147,IF(D147&lt;Assumptions!I$33,(Assumptions!I$45+(D147-Assumptions!I$32)*Assumptions!I$39)/D147,(Assumptions!I$46+(D147-Assumptions!I$33)*Assumptions!I$40)/D147)))))</f>
        <v>7.0000000000000007E-2</v>
      </c>
      <c r="E148" s="177">
        <f>IF(E147&lt;Assumptions!J$29,Assumptions!J$35,IF(E147&lt;Assumptions!J$30,(Assumptions!J$42+(E147-Assumptions!J$29)*Assumptions!J$36)/E147,IF(E147&lt;Assumptions!J$31,(Assumptions!J$43+(E147-Assumptions!J$30)*Assumptions!J$37)/E147,IF(E147&lt;Assumptions!J$32,(Assumptions!J$44+(E147-Assumptions!J$31)*Assumptions!J$38)/E147,IF(E147&lt;Assumptions!J$33,(Assumptions!J$45+(E147-Assumptions!J$32)*Assumptions!J$39)/E147,(Assumptions!J$46+(E147-Assumptions!J$33)*Assumptions!J$40)/E147)))))</f>
        <v>7.0000000000000007E-2</v>
      </c>
      <c r="F148" s="177">
        <f>IF(F147&lt;Assumptions!K$29,Assumptions!K$35,IF(F147&lt;Assumptions!K$30,(Assumptions!K$42+(F147-Assumptions!K$29)*Assumptions!K$36)/F147,IF(F147&lt;Assumptions!K$31,(Assumptions!K$43+(F147-Assumptions!K$30)*Assumptions!K$37)/F147,IF(F147&lt;Assumptions!K$32,(Assumptions!K$44+(F147-Assumptions!K$31)*Assumptions!K$38)/F147,IF(F147&lt;Assumptions!K$33,(Assumptions!K$45+(F147-Assumptions!K$32)*Assumptions!K$39)/F147,(Assumptions!K$46+(F147-Assumptions!K$33)*Assumptions!K$40)/F147)))))</f>
        <v>7.0000000000000007E-2</v>
      </c>
      <c r="G148" s="177">
        <f>IF(G147&lt;Assumptions!L$29,Assumptions!L$35,IF(G147&lt;Assumptions!L$30,(Assumptions!L$42+(G147-Assumptions!L$29)*Assumptions!L$36)/G147,IF(G147&lt;Assumptions!L$31,(Assumptions!L$43+(G147-Assumptions!L$30)*Assumptions!L$37)/G147,IF(G147&lt;Assumptions!L$32,(Assumptions!L$44+(G147-Assumptions!L$31)*Assumptions!L$38)/G147,IF(G147&lt;Assumptions!L$33,(Assumptions!L$45+(G147-Assumptions!L$32)*Assumptions!L$39)/G147,(Assumptions!L$46+(G147-Assumptions!L$33)*Assumptions!L$40)/G147)))))</f>
        <v>7.0000000000000007E-2</v>
      </c>
      <c r="H148" s="177">
        <f>IF(H147&lt;Assumptions!M$29,Assumptions!M$35,IF(H147&lt;Assumptions!M$30,(Assumptions!M$42+(H147-Assumptions!M$29)*Assumptions!M$36)/H147,IF(H147&lt;Assumptions!M$31,(Assumptions!M$43+(H147-Assumptions!M$30)*Assumptions!M$37)/H147,IF(H147&lt;Assumptions!M$32,(Assumptions!M$44+(H147-Assumptions!M$31)*Assumptions!M$38)/H147,IF(H147&lt;Assumptions!M$33,(Assumptions!M$45+(H147-Assumptions!M$32)*Assumptions!M$39)/H147,(Assumptions!M$46+(H147-Assumptions!M$33)*Assumptions!M$40)/H147)))))</f>
        <v>7.0000000000000007E-2</v>
      </c>
      <c r="I148" s="177">
        <f>IF(I147&lt;Assumptions!N$29,Assumptions!N$35,IF(I147&lt;Assumptions!N$30,(Assumptions!N$42+(I147-Assumptions!N$29)*Assumptions!N$36)/I147,IF(I147&lt;Assumptions!N$31,(Assumptions!N$43+(I147-Assumptions!N$30)*Assumptions!N$37)/I147,IF(I147&lt;Assumptions!N$32,(Assumptions!N$44+(I147-Assumptions!N$31)*Assumptions!N$38)/I147,IF(I147&lt;Assumptions!N$33,(Assumptions!N$45+(I147-Assumptions!N$32)*Assumptions!N$39)/I147,(Assumptions!N$46+(I147-Assumptions!N$33)*Assumptions!N$40)/I147)))))</f>
        <v>7.0000000000000007E-2</v>
      </c>
      <c r="J148" s="177">
        <f>IF(J147&lt;Assumptions!O$29,Assumptions!O$35,IF(J147&lt;Assumptions!O$30,(Assumptions!O$42+(J147-Assumptions!O$29)*Assumptions!O$36)/J147,IF(J147&lt;Assumptions!O$31,(Assumptions!O$43+(J147-Assumptions!O$30)*Assumptions!O$37)/J147,IF(J147&lt;Assumptions!O$32,(Assumptions!O$44+(J147-Assumptions!O$31)*Assumptions!O$38)/J147,IF(J147&lt;Assumptions!O$33,(Assumptions!O$45+(J147-Assumptions!O$32)*Assumptions!O$39)/J147,(Assumptions!O$46+(J147-Assumptions!O$33)*Assumptions!O$40)/J147)))))</f>
        <v>7.0000000000000007E-2</v>
      </c>
      <c r="K148" s="177">
        <f>IF(K147&lt;Assumptions!P$29,Assumptions!P$35,IF(K147&lt;Assumptions!P$30,(Assumptions!P$42+(K147-Assumptions!P$29)*Assumptions!P$36)/K147,IF(K147&lt;Assumptions!P$31,(Assumptions!P$43+(K147-Assumptions!P$30)*Assumptions!P$37)/K147,IF(K147&lt;Assumptions!P$32,(Assumptions!P$44+(K147-Assumptions!P$31)*Assumptions!P$38)/K147,IF(K147&lt;Assumptions!P$33,(Assumptions!P$45+(K147-Assumptions!P$32)*Assumptions!P$39)/K147,(Assumptions!P$46+(K147-Assumptions!P$33)*Assumptions!P$40)/K147)))))</f>
        <v>7.0000000000000007E-2</v>
      </c>
      <c r="L148" s="177">
        <f>IF(L147&lt;Assumptions!Q$29,Assumptions!Q$35,IF(L147&lt;Assumptions!Q$30,(Assumptions!Q$42+(L147-Assumptions!Q$29)*Assumptions!Q$36)/L147,IF(L147&lt;Assumptions!Q$31,(Assumptions!Q$43+(L147-Assumptions!Q$30)*Assumptions!Q$37)/L147,IF(L147&lt;Assumptions!Q$32,(Assumptions!Q$44+(L147-Assumptions!Q$31)*Assumptions!Q$38)/L147,IF(L147&lt;Assumptions!Q$33,(Assumptions!Q$45+(L147-Assumptions!Q$32)*Assumptions!Q$39)/L147,(Assumptions!Q$46+(L147-Assumptions!Q$33)*Assumptions!Q$40)/L147)))))</f>
        <v>7.0000000000000007E-2</v>
      </c>
      <c r="M148" s="177">
        <f>IF(M147&lt;Assumptions!R$29,Assumptions!R$35,IF(M147&lt;Assumptions!R$30,(Assumptions!R$42+(M147-Assumptions!R$29)*Assumptions!R$36)/M147,IF(M147&lt;Assumptions!R$31,(Assumptions!R$43+(M147-Assumptions!R$30)*Assumptions!R$37)/M147,IF(M147&lt;Assumptions!R$32,(Assumptions!R$44+(M147-Assumptions!R$31)*Assumptions!R$38)/M147,IF(M147&lt;Assumptions!R$33,(Assumptions!R$45+(M147-Assumptions!R$32)*Assumptions!R$39)/M147,(Assumptions!R$46+(M147-Assumptions!R$33)*Assumptions!R$40)/M147)))))</f>
        <v>7.0000000000000007E-2</v>
      </c>
      <c r="N148" s="177">
        <f>IF(N147&lt;Assumptions!S$29,Assumptions!S$35,IF(N147&lt;Assumptions!S$30,(Assumptions!S$42+(N147-Assumptions!S$29)*Assumptions!S$36)/N147,IF(N147&lt;Assumptions!S$31,(Assumptions!S$43+(N147-Assumptions!S$30)*Assumptions!S$37)/N147,IF(N147&lt;Assumptions!S$32,(Assumptions!S$44+(N147-Assumptions!S$31)*Assumptions!S$38)/N147,IF(N147&lt;Assumptions!S$33,(Assumptions!S$45+(N147-Assumptions!S$32)*Assumptions!S$39)/N147,(Assumptions!S$46+(N147-Assumptions!S$33)*Assumptions!S$40)/N147)))))</f>
        <v>7.0000000000000007E-2</v>
      </c>
      <c r="O148" s="177">
        <f>IF(O147&lt;Assumptions!T$29,Assumptions!T$35,IF(O147&lt;Assumptions!T$30,(Assumptions!T$42+(O147-Assumptions!T$29)*Assumptions!T$36)/O147,IF(O147&lt;Assumptions!T$31,(Assumptions!T$43+(O147-Assumptions!T$30)*Assumptions!T$37)/O147,IF(O147&lt;Assumptions!T$32,(Assumptions!T$44+(O147-Assumptions!T$31)*Assumptions!T$38)/O147,IF(O147&lt;Assumptions!T$33,(Assumptions!T$45+(O147-Assumptions!T$32)*Assumptions!T$39)/O147,(Assumptions!T$46+(O147-Assumptions!T$33)*Assumptions!T$40)/O147)))))</f>
        <v>7.0000000000000007E-2</v>
      </c>
      <c r="P148" s="177">
        <f>IF(P147&lt;Assumptions!U$29,Assumptions!U$35,IF(P147&lt;Assumptions!U$30,(Assumptions!U$42+(P147-Assumptions!U$29)*Assumptions!U$36)/P147,IF(P147&lt;Assumptions!U$31,(Assumptions!U$43+(P147-Assumptions!U$30)*Assumptions!U$37)/P147,IF(P147&lt;Assumptions!U$32,(Assumptions!U$44+(P147-Assumptions!U$31)*Assumptions!U$38)/P147,IF(P147&lt;Assumptions!U$33,(Assumptions!U$45+(P147-Assumptions!U$32)*Assumptions!U$39)/P147,(Assumptions!U$46+(P147-Assumptions!U$33)*Assumptions!U$40)/P147)))))</f>
        <v>7.0000000000000007E-2</v>
      </c>
      <c r="Q148" s="177">
        <f>IF(Q147&lt;Assumptions!V$29,Assumptions!V$35,IF(Q147&lt;Assumptions!V$30,(Assumptions!V$42+(Q147-Assumptions!V$29)*Assumptions!V$36)/Q147,IF(Q147&lt;Assumptions!V$31,(Assumptions!V$43+(Q147-Assumptions!V$30)*Assumptions!V$37)/Q147,IF(Q147&lt;Assumptions!V$32,(Assumptions!V$44+(Q147-Assumptions!V$31)*Assumptions!V$38)/Q147,IF(Q147&lt;Assumptions!V$33,(Assumptions!V$45+(Q147-Assumptions!V$32)*Assumptions!V$39)/Q147,(Assumptions!V$46+(Q147-Assumptions!V$33)*Assumptions!V$40)/Q147)))))</f>
        <v>7.0000000000000007E-2</v>
      </c>
      <c r="R148" s="177">
        <f>IF(R147&lt;Assumptions!W$29,Assumptions!W$35,IF(R147&lt;Assumptions!W$30,(Assumptions!W$42+(R147-Assumptions!W$29)*Assumptions!W$36)/R147,IF(R147&lt;Assumptions!W$31,(Assumptions!W$43+(R147-Assumptions!W$30)*Assumptions!W$37)/R147,IF(R147&lt;Assumptions!W$32,(Assumptions!W$44+(R147-Assumptions!W$31)*Assumptions!W$38)/R147,IF(R147&lt;Assumptions!W$33,(Assumptions!W$45+(R147-Assumptions!W$32)*Assumptions!W$39)/R147,(Assumptions!W$46+(R147-Assumptions!W$33)*Assumptions!W$40)/R147)))))</f>
        <v>7.0000000000000007E-2</v>
      </c>
      <c r="S148" s="177">
        <f>IF(S147&lt;Assumptions!X$29,Assumptions!X$35,IF(S147&lt;Assumptions!X$30,(Assumptions!X$42+(S147-Assumptions!X$29)*Assumptions!X$36)/S147,IF(S147&lt;Assumptions!X$31,(Assumptions!X$43+(S147-Assumptions!X$30)*Assumptions!X$37)/S147,IF(S147&lt;Assumptions!X$32,(Assumptions!X$44+(S147-Assumptions!X$31)*Assumptions!X$38)/S147,IF(S147&lt;Assumptions!X$33,(Assumptions!X$45+(S147-Assumptions!X$32)*Assumptions!X$39)/S147,(Assumptions!X$46+(S147-Assumptions!X$33)*Assumptions!X$40)/S147)))))</f>
        <v>7.0000000000000007E-2</v>
      </c>
      <c r="T148" s="177">
        <f>IF(T147&lt;Assumptions!Y$29,Assumptions!Y$35,IF(T147&lt;Assumptions!Y$30,(Assumptions!Y$42+(T147-Assumptions!Y$29)*Assumptions!Y$36)/T147,IF(T147&lt;Assumptions!Y$31,(Assumptions!Y$43+(T147-Assumptions!Y$30)*Assumptions!Y$37)/T147,IF(T147&lt;Assumptions!Y$32,(Assumptions!Y$44+(T147-Assumptions!Y$31)*Assumptions!Y$38)/T147,IF(T147&lt;Assumptions!Y$33,(Assumptions!Y$45+(T147-Assumptions!Y$32)*Assumptions!Y$39)/T147,(Assumptions!Y$46+(T147-Assumptions!Y$33)*Assumptions!Y$40)/T147)))))</f>
        <v>7.0000000000000007E-2</v>
      </c>
      <c r="U148" s="177">
        <f>IF(U147&lt;Assumptions!Z$29,Assumptions!Z$35,IF(U147&lt;Assumptions!Z$30,(Assumptions!Z$42+(U147-Assumptions!Z$29)*Assumptions!Z$36)/U147,IF(U147&lt;Assumptions!Z$31,(Assumptions!Z$43+(U147-Assumptions!Z$30)*Assumptions!Z$37)/U147,IF(U147&lt;Assumptions!Z$32,(Assumptions!Z$44+(U147-Assumptions!Z$31)*Assumptions!Z$38)/U147,IF(U147&lt;Assumptions!Z$33,(Assumptions!Z$45+(U147-Assumptions!Z$32)*Assumptions!Z$39)/U147,(Assumptions!Z$46+(U147-Assumptions!Z$33)*Assumptions!Z$40)/U147)))))</f>
        <v>7.0000000000000007E-2</v>
      </c>
      <c r="V148" s="177">
        <f>IF(V147&lt;Assumptions!AA$29,Assumptions!AA$35,IF(V147&lt;Assumptions!AA$30,(Assumptions!AA$42+(V147-Assumptions!AA$29)*Assumptions!AA$36)/V147,IF(V147&lt;Assumptions!AA$31,(Assumptions!AA$43+(V147-Assumptions!AA$30)*Assumptions!AA$37)/V147,IF(V147&lt;Assumptions!AA$32,(Assumptions!AA$44+(V147-Assumptions!AA$31)*Assumptions!AA$38)/V147,IF(V147&lt;Assumptions!AA$33,(Assumptions!AA$45+(V147-Assumptions!AA$32)*Assumptions!AA$39)/V147,(Assumptions!AA$46+(V147-Assumptions!AA$33)*Assumptions!AA$40)/V147)))))</f>
        <v>7.0000000000000007E-2</v>
      </c>
      <c r="W148" s="177">
        <f>IF(W147&lt;Assumptions!AB$29,Assumptions!AB$35,IF(W147&lt;Assumptions!AB$30,(Assumptions!AB$42+(W147-Assumptions!AB$29)*Assumptions!AB$36)/W147,IF(W147&lt;Assumptions!AB$31,(Assumptions!AB$43+(W147-Assumptions!AB$30)*Assumptions!AB$37)/W147,IF(W147&lt;Assumptions!AB$32,(Assumptions!AB$44+(W147-Assumptions!AB$31)*Assumptions!AB$38)/W147,IF(W147&lt;Assumptions!AB$33,(Assumptions!AB$45+(W147-Assumptions!AB$32)*Assumptions!AB$39)/W147,(Assumptions!AB$46+(W147-Assumptions!AB$33)*Assumptions!AB$40)/W147)))))</f>
        <v>7.0000000000000007E-2</v>
      </c>
      <c r="X148" s="177">
        <f>IF(X147&lt;Assumptions!AC$29,Assumptions!AC$35,IF(X147&lt;Assumptions!AC$30,(Assumptions!AC$42+(X147-Assumptions!AC$29)*Assumptions!AC$36)/X147,IF(X147&lt;Assumptions!AC$31,(Assumptions!AC$43+(X147-Assumptions!AC$30)*Assumptions!AC$37)/X147,IF(X147&lt;Assumptions!AC$32,(Assumptions!AC$44+(X147-Assumptions!AC$31)*Assumptions!AC$38)/X147,IF(X147&lt;Assumptions!AC$33,(Assumptions!AC$45+(X147-Assumptions!AC$32)*Assumptions!AC$39)/X147,(Assumptions!AC$46+(X147-Assumptions!AC$33)*Assumptions!AC$40)/X147)))))</f>
        <v>7.0000000000000007E-2</v>
      </c>
      <c r="Y148" s="177">
        <f>IF(Y147&lt;Assumptions!AD$29,Assumptions!AD$35,IF(Y147&lt;Assumptions!AD$30,(Assumptions!AD$42+(Y147-Assumptions!AD$29)*Assumptions!AD$36)/Y147,IF(Y147&lt;Assumptions!AD$31,(Assumptions!AD$43+(Y147-Assumptions!AD$30)*Assumptions!AD$37)/Y147,IF(Y147&lt;Assumptions!AD$32,(Assumptions!AD$44+(Y147-Assumptions!AD$31)*Assumptions!AD$38)/Y147,IF(Y147&lt;Assumptions!AD$33,(Assumptions!AD$45+(Y147-Assumptions!AD$32)*Assumptions!AD$39)/Y147,(Assumptions!AD$46+(Y147-Assumptions!AD$33)*Assumptions!AD$40)/Y147)))))</f>
        <v>7.0000000000000007E-2</v>
      </c>
      <c r="Z148" s="177">
        <f>IF(Z147&lt;Assumptions!AE$29,Assumptions!AE$35,IF(Z147&lt;Assumptions!AE$30,(Assumptions!AE$42+(Z147-Assumptions!AE$29)*Assumptions!AE$36)/Z147,IF(Z147&lt;Assumptions!AE$31,(Assumptions!AE$43+(Z147-Assumptions!AE$30)*Assumptions!AE$37)/Z147,IF(Z147&lt;Assumptions!AE$32,(Assumptions!AE$44+(Z147-Assumptions!AE$31)*Assumptions!AE$38)/Z147,IF(Z147&lt;Assumptions!AE$33,(Assumptions!AE$45+(Z147-Assumptions!AE$32)*Assumptions!AE$39)/Z147,(Assumptions!AE$46+(Z147-Assumptions!AE$33)*Assumptions!AE$40)/Z147)))))</f>
        <v>7.0000000000000007E-2</v>
      </c>
      <c r="AA148" s="177">
        <f>IF(AA147&lt;Assumptions!AF$29,Assumptions!AF$35,IF(AA147&lt;Assumptions!AF$30,(Assumptions!AF$42+(AA147-Assumptions!AF$29)*Assumptions!AF$36)/AA147,IF(AA147&lt;Assumptions!AF$31,(Assumptions!AF$43+(AA147-Assumptions!AF$30)*Assumptions!AF$37)/AA147,IF(AA147&lt;Assumptions!AF$32,(Assumptions!AF$44+(AA147-Assumptions!AF$31)*Assumptions!AF$38)/AA147,IF(AA147&lt;Assumptions!AF$33,(Assumptions!AF$45+(AA147-Assumptions!AF$32)*Assumptions!AF$39)/AA147,(Assumptions!AF$46+(AA147-Assumptions!AF$33)*Assumptions!AF$40)/AA147)))))</f>
        <v>7.0000000000000007E-2</v>
      </c>
      <c r="AB148" s="177">
        <f>IF(AB147&lt;Assumptions!AG$29,Assumptions!AG$35,IF(AB147&lt;Assumptions!AG$30,(Assumptions!AG$42+(AB147-Assumptions!AG$29)*Assumptions!AG$36)/AB147,IF(AB147&lt;Assumptions!AG$31,(Assumptions!AG$43+(AB147-Assumptions!AG$30)*Assumptions!AG$37)/AB147,IF(AB147&lt;Assumptions!AG$32,(Assumptions!AG$44+(AB147-Assumptions!AG$31)*Assumptions!AG$38)/AB147,IF(AB147&lt;Assumptions!AG$33,(Assumptions!AG$45+(AB147-Assumptions!AG$32)*Assumptions!AG$39)/AB147,(Assumptions!AG$46+(AB147-Assumptions!AG$33)*Assumptions!AG$40)/AB147)))))</f>
        <v>7.0000000000000007E-2</v>
      </c>
      <c r="AC148" s="177">
        <f>IF(AC147&lt;Assumptions!AH$29,Assumptions!AH$35,IF(AC147&lt;Assumptions!AH$30,(Assumptions!AH$42+(AC147-Assumptions!AH$29)*Assumptions!AH$36)/AC147,IF(AC147&lt;Assumptions!AH$31,(Assumptions!AH$43+(AC147-Assumptions!AH$30)*Assumptions!AH$37)/AC147,IF(AC147&lt;Assumptions!AH$32,(Assumptions!AH$44+(AC147-Assumptions!AH$31)*Assumptions!AH$38)/AC147,IF(AC147&lt;Assumptions!AH$33,(Assumptions!AH$45+(AC147-Assumptions!AH$32)*Assumptions!AH$39)/AC147,(Assumptions!AH$46+(AC147-Assumptions!AH$33)*Assumptions!AH$40)/AC147)))))</f>
        <v>7.0000000000000007E-2</v>
      </c>
      <c r="AD148" s="177">
        <f>IF(AD147&lt;Assumptions!AI$29,Assumptions!AI$35,IF(AD147&lt;Assumptions!AI$30,(Assumptions!AI$42+(AD147-Assumptions!AI$29)*Assumptions!AI$36)/AD147,IF(AD147&lt;Assumptions!AI$31,(Assumptions!AI$43+(AD147-Assumptions!AI$30)*Assumptions!AI$37)/AD147,IF(AD147&lt;Assumptions!AI$32,(Assumptions!AI$44+(AD147-Assumptions!AI$31)*Assumptions!AI$38)/AD147,IF(AD147&lt;Assumptions!AI$33,(Assumptions!AI$45+(AD147-Assumptions!AI$32)*Assumptions!AI$39)/AD147,(Assumptions!AI$46+(AD147-Assumptions!AI$33)*Assumptions!AI$40)/AD147)))))</f>
        <v>7.0000000000000007E-2</v>
      </c>
    </row>
    <row r="149" spans="1:30" hidden="1" outlineLevel="1">
      <c r="A149" t="s">
        <v>215</v>
      </c>
      <c r="B149" t="s">
        <v>213</v>
      </c>
      <c r="D149">
        <f t="shared" ref="D149:J149" si="95">IFERROR((D94+D95)/D36,0)</f>
        <v>0</v>
      </c>
      <c r="E149">
        <f t="shared" si="95"/>
        <v>0</v>
      </c>
      <c r="F149">
        <f t="shared" si="95"/>
        <v>0</v>
      </c>
      <c r="G149">
        <f t="shared" si="95"/>
        <v>0</v>
      </c>
      <c r="H149">
        <f t="shared" si="95"/>
        <v>0</v>
      </c>
      <c r="I149">
        <f t="shared" si="95"/>
        <v>0</v>
      </c>
      <c r="J149">
        <f t="shared" si="95"/>
        <v>0</v>
      </c>
      <c r="K149">
        <f>IFERROR((K94+K95)/K36,0)</f>
        <v>0</v>
      </c>
      <c r="L149">
        <f t="shared" ref="L149:AD149" si="96">IFERROR((L94+L95)/L36,0)</f>
        <v>0</v>
      </c>
      <c r="M149">
        <f t="shared" si="96"/>
        <v>0</v>
      </c>
      <c r="N149">
        <f t="shared" si="96"/>
        <v>0</v>
      </c>
      <c r="O149">
        <f t="shared" si="96"/>
        <v>0</v>
      </c>
      <c r="P149">
        <f t="shared" si="96"/>
        <v>0</v>
      </c>
      <c r="Q149">
        <f t="shared" si="96"/>
        <v>0</v>
      </c>
      <c r="R149">
        <f t="shared" si="96"/>
        <v>0</v>
      </c>
      <c r="S149">
        <f t="shared" si="96"/>
        <v>0</v>
      </c>
      <c r="T149">
        <f t="shared" si="96"/>
        <v>0</v>
      </c>
      <c r="U149">
        <f t="shared" si="96"/>
        <v>0</v>
      </c>
      <c r="V149">
        <f t="shared" si="96"/>
        <v>0</v>
      </c>
      <c r="W149">
        <f t="shared" si="96"/>
        <v>0</v>
      </c>
      <c r="X149">
        <f t="shared" si="96"/>
        <v>0</v>
      </c>
      <c r="Y149">
        <f t="shared" si="96"/>
        <v>0</v>
      </c>
      <c r="Z149">
        <f t="shared" si="96"/>
        <v>0</v>
      </c>
      <c r="AA149">
        <f t="shared" si="96"/>
        <v>0</v>
      </c>
      <c r="AB149">
        <f t="shared" si="96"/>
        <v>0</v>
      </c>
      <c r="AC149">
        <f t="shared" si="96"/>
        <v>0</v>
      </c>
      <c r="AD149">
        <f t="shared" si="96"/>
        <v>0</v>
      </c>
    </row>
    <row r="150" spans="1:30" hidden="1" outlineLevel="1">
      <c r="A150" t="s">
        <v>216</v>
      </c>
      <c r="B150" t="s">
        <v>213</v>
      </c>
      <c r="D150" s="118">
        <f>(D147-D149)*D148</f>
        <v>0</v>
      </c>
      <c r="E150" s="118">
        <f t="shared" ref="E150:AD150" si="97">(E147-E149)*E148</f>
        <v>0</v>
      </c>
      <c r="F150" s="118">
        <f t="shared" si="97"/>
        <v>0</v>
      </c>
      <c r="G150" s="118">
        <f t="shared" si="97"/>
        <v>0</v>
      </c>
      <c r="H150" s="118">
        <f t="shared" si="97"/>
        <v>0</v>
      </c>
      <c r="I150" s="118">
        <f t="shared" si="97"/>
        <v>0</v>
      </c>
      <c r="J150" s="118">
        <f t="shared" si="97"/>
        <v>0</v>
      </c>
      <c r="K150" s="118">
        <f>(K147-K149)*K148</f>
        <v>0</v>
      </c>
      <c r="L150" s="118">
        <f t="shared" si="97"/>
        <v>0</v>
      </c>
      <c r="M150" s="118">
        <f t="shared" si="97"/>
        <v>0</v>
      </c>
      <c r="N150" s="118">
        <f t="shared" si="97"/>
        <v>0</v>
      </c>
      <c r="O150" s="118">
        <f t="shared" si="97"/>
        <v>0</v>
      </c>
      <c r="P150" s="118">
        <f t="shared" si="97"/>
        <v>0</v>
      </c>
      <c r="Q150" s="118">
        <f t="shared" si="97"/>
        <v>0</v>
      </c>
      <c r="R150" s="118">
        <f t="shared" si="97"/>
        <v>0</v>
      </c>
      <c r="S150" s="118">
        <f t="shared" si="97"/>
        <v>0</v>
      </c>
      <c r="T150" s="118">
        <f t="shared" si="97"/>
        <v>0</v>
      </c>
      <c r="U150" s="118">
        <f t="shared" si="97"/>
        <v>0</v>
      </c>
      <c r="V150" s="118">
        <f t="shared" si="97"/>
        <v>0</v>
      </c>
      <c r="W150" s="118">
        <f t="shared" si="97"/>
        <v>0</v>
      </c>
      <c r="X150" s="118">
        <f t="shared" si="97"/>
        <v>0</v>
      </c>
      <c r="Y150" s="118">
        <f t="shared" si="97"/>
        <v>0</v>
      </c>
      <c r="Z150" s="118">
        <f t="shared" si="97"/>
        <v>0</v>
      </c>
      <c r="AA150" s="118">
        <f t="shared" si="97"/>
        <v>0</v>
      </c>
      <c r="AB150" s="118">
        <f t="shared" si="97"/>
        <v>0</v>
      </c>
      <c r="AC150" s="118">
        <f t="shared" si="97"/>
        <v>0</v>
      </c>
      <c r="AD150" s="118">
        <f t="shared" si="97"/>
        <v>0</v>
      </c>
    </row>
    <row r="151" spans="1:30" hidden="1" outlineLevel="1">
      <c r="A151" t="s">
        <v>217</v>
      </c>
      <c r="B151" t="s">
        <v>213</v>
      </c>
      <c r="D151" s="118">
        <f>D150/D145</f>
        <v>0</v>
      </c>
      <c r="E151" s="118">
        <f t="shared" ref="E151:AD151" si="98">E150/E145</f>
        <v>0</v>
      </c>
      <c r="F151" s="118">
        <f t="shared" si="98"/>
        <v>0</v>
      </c>
      <c r="G151" s="118">
        <f t="shared" si="98"/>
        <v>0</v>
      </c>
      <c r="H151" s="118">
        <f t="shared" si="98"/>
        <v>0</v>
      </c>
      <c r="I151" s="118">
        <f t="shared" si="98"/>
        <v>0</v>
      </c>
      <c r="J151" s="118">
        <f t="shared" si="98"/>
        <v>0</v>
      </c>
      <c r="K151" s="118">
        <f>K150/K145</f>
        <v>0</v>
      </c>
      <c r="L151" s="118">
        <f t="shared" si="98"/>
        <v>0</v>
      </c>
      <c r="M151" s="118">
        <f t="shared" si="98"/>
        <v>0</v>
      </c>
      <c r="N151" s="118">
        <f t="shared" si="98"/>
        <v>0</v>
      </c>
      <c r="O151" s="118">
        <f t="shared" si="98"/>
        <v>0</v>
      </c>
      <c r="P151" s="118">
        <f t="shared" si="98"/>
        <v>0</v>
      </c>
      <c r="Q151" s="118">
        <f t="shared" si="98"/>
        <v>0</v>
      </c>
      <c r="R151" s="118">
        <f t="shared" si="98"/>
        <v>0</v>
      </c>
      <c r="S151" s="118">
        <f t="shared" si="98"/>
        <v>0</v>
      </c>
      <c r="T151" s="118">
        <f t="shared" si="98"/>
        <v>0</v>
      </c>
      <c r="U151" s="118">
        <f t="shared" si="98"/>
        <v>0</v>
      </c>
      <c r="V151" s="118">
        <f t="shared" si="98"/>
        <v>0</v>
      </c>
      <c r="W151" s="118">
        <f t="shared" si="98"/>
        <v>0</v>
      </c>
      <c r="X151" s="118">
        <f t="shared" si="98"/>
        <v>0</v>
      </c>
      <c r="Y151" s="118">
        <f t="shared" si="98"/>
        <v>0</v>
      </c>
      <c r="Z151" s="118">
        <f t="shared" si="98"/>
        <v>0</v>
      </c>
      <c r="AA151" s="118">
        <f t="shared" si="98"/>
        <v>0</v>
      </c>
      <c r="AB151" s="118">
        <f t="shared" si="98"/>
        <v>0</v>
      </c>
      <c r="AC151" s="118">
        <f t="shared" si="98"/>
        <v>0</v>
      </c>
      <c r="AD151" s="118">
        <f t="shared" si="98"/>
        <v>0</v>
      </c>
    </row>
    <row r="152" spans="1:30" hidden="1" outlineLevel="1"/>
    <row r="153" spans="1:30" hidden="1" outlineLevel="1">
      <c r="A153" t="s">
        <v>218</v>
      </c>
      <c r="D153" s="118">
        <f>D147*D148</f>
        <v>0</v>
      </c>
      <c r="E153" s="118">
        <f t="shared" ref="E153:AD153" si="99">E147*E148</f>
        <v>0</v>
      </c>
      <c r="F153" s="118">
        <f t="shared" si="99"/>
        <v>0</v>
      </c>
      <c r="G153" s="118">
        <f t="shared" si="99"/>
        <v>0</v>
      </c>
      <c r="H153" s="118">
        <f t="shared" si="99"/>
        <v>0</v>
      </c>
      <c r="I153" s="118">
        <f t="shared" si="99"/>
        <v>0</v>
      </c>
      <c r="J153" s="118">
        <f t="shared" si="99"/>
        <v>0</v>
      </c>
      <c r="K153" s="118">
        <f>K147*K148</f>
        <v>0</v>
      </c>
      <c r="L153" s="118">
        <f t="shared" si="99"/>
        <v>0</v>
      </c>
      <c r="M153" s="118">
        <f t="shared" si="99"/>
        <v>0</v>
      </c>
      <c r="N153" s="118">
        <f t="shared" si="99"/>
        <v>0</v>
      </c>
      <c r="O153" s="118">
        <f t="shared" si="99"/>
        <v>0</v>
      </c>
      <c r="P153" s="118">
        <f t="shared" si="99"/>
        <v>0</v>
      </c>
      <c r="Q153" s="118">
        <f t="shared" si="99"/>
        <v>0</v>
      </c>
      <c r="R153" s="118">
        <f t="shared" si="99"/>
        <v>0</v>
      </c>
      <c r="S153" s="118">
        <f t="shared" si="99"/>
        <v>0</v>
      </c>
      <c r="T153" s="118">
        <f t="shared" si="99"/>
        <v>0</v>
      </c>
      <c r="U153" s="118">
        <f t="shared" si="99"/>
        <v>0</v>
      </c>
      <c r="V153" s="118">
        <f t="shared" si="99"/>
        <v>0</v>
      </c>
      <c r="W153" s="118">
        <f t="shared" si="99"/>
        <v>0</v>
      </c>
      <c r="X153" s="118">
        <f t="shared" si="99"/>
        <v>0</v>
      </c>
      <c r="Y153" s="118">
        <f t="shared" si="99"/>
        <v>0</v>
      </c>
      <c r="Z153" s="118">
        <f t="shared" si="99"/>
        <v>0</v>
      </c>
      <c r="AA153" s="118">
        <f t="shared" si="99"/>
        <v>0</v>
      </c>
      <c r="AB153" s="118">
        <f t="shared" si="99"/>
        <v>0</v>
      </c>
      <c r="AC153" s="118">
        <f t="shared" si="99"/>
        <v>0</v>
      </c>
      <c r="AD153" s="118">
        <f t="shared" si="99"/>
        <v>0</v>
      </c>
    </row>
    <row r="154" spans="1:30" collapsed="1"/>
  </sheetData>
  <pageMargins left="0.7" right="0.7" top="0.75" bottom="0.75" header="0.3" footer="0.3"/>
  <pageSetup paperSize="8" scale="35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BB9F-7942-486F-B36C-2CF5C9EBC49C}">
  <sheetPr>
    <tabColor rgb="FF00B050"/>
  </sheetPr>
  <dimension ref="A1:Y7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61" sqref="C61"/>
    </sheetView>
  </sheetViews>
  <sheetFormatPr baseColWidth="10" defaultColWidth="8.83203125" defaultRowHeight="15"/>
  <cols>
    <col min="1" max="1" width="42.5" customWidth="1"/>
    <col min="2" max="2" width="15.83203125" customWidth="1"/>
    <col min="3" max="3" width="12.5" bestFit="1" customWidth="1"/>
  </cols>
  <sheetData>
    <row r="1" spans="1:25">
      <c r="A1" s="307" t="s">
        <v>362</v>
      </c>
      <c r="B1" s="307"/>
      <c r="C1" s="52"/>
      <c r="D1" s="53">
        <f>'OC Clean'!D2</f>
        <v>2027</v>
      </c>
      <c r="E1" s="53">
        <f>D1+1</f>
        <v>2028</v>
      </c>
      <c r="F1" s="53">
        <f t="shared" ref="F1:U1" si="0">E1+1</f>
        <v>2029</v>
      </c>
      <c r="G1" s="53">
        <f t="shared" si="0"/>
        <v>2030</v>
      </c>
      <c r="H1" s="53">
        <f t="shared" si="0"/>
        <v>2031</v>
      </c>
      <c r="I1" s="53">
        <f t="shared" si="0"/>
        <v>2032</v>
      </c>
      <c r="J1" s="53">
        <f t="shared" si="0"/>
        <v>2033</v>
      </c>
      <c r="K1" s="53">
        <f t="shared" si="0"/>
        <v>2034</v>
      </c>
      <c r="L1" s="53">
        <f t="shared" si="0"/>
        <v>2035</v>
      </c>
      <c r="M1" s="53">
        <f t="shared" si="0"/>
        <v>2036</v>
      </c>
      <c r="N1" s="53">
        <f t="shared" si="0"/>
        <v>2037</v>
      </c>
      <c r="O1" s="53">
        <f t="shared" si="0"/>
        <v>2038</v>
      </c>
      <c r="P1" s="53">
        <f t="shared" si="0"/>
        <v>2039</v>
      </c>
      <c r="Q1" s="53">
        <f t="shared" si="0"/>
        <v>2040</v>
      </c>
      <c r="R1" s="53">
        <f t="shared" si="0"/>
        <v>2041</v>
      </c>
      <c r="S1" s="53">
        <f t="shared" si="0"/>
        <v>2042</v>
      </c>
      <c r="T1" s="53">
        <f t="shared" si="0"/>
        <v>2043</v>
      </c>
      <c r="U1" s="53">
        <f t="shared" si="0"/>
        <v>2044</v>
      </c>
      <c r="V1" s="53">
        <f>U1+1</f>
        <v>2045</v>
      </c>
      <c r="W1" s="53">
        <f>V1+1</f>
        <v>2046</v>
      </c>
      <c r="X1" s="53">
        <f>W1+1</f>
        <v>2047</v>
      </c>
      <c r="Y1" s="53">
        <f>X1+1</f>
        <v>2048</v>
      </c>
    </row>
    <row r="2" spans="1:25" ht="16" thickBot="1"/>
    <row r="3" spans="1:25">
      <c r="A3" s="96" t="s">
        <v>305</v>
      </c>
      <c r="B3" s="97"/>
      <c r="C3" s="97"/>
      <c r="D3" s="98" t="s">
        <v>306</v>
      </c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</row>
    <row r="4" spans="1:25">
      <c r="A4" s="100" t="s">
        <v>363</v>
      </c>
      <c r="B4" t="s">
        <v>308</v>
      </c>
      <c r="C4" s="101">
        <v>8000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</row>
    <row r="5" spans="1:25">
      <c r="A5" s="151" t="s">
        <v>364</v>
      </c>
      <c r="B5" s="113" t="s">
        <v>308</v>
      </c>
      <c r="C5" s="116">
        <v>5000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</row>
    <row r="6" spans="1:25">
      <c r="A6" s="151" t="s">
        <v>365</v>
      </c>
      <c r="B6" s="113" t="s">
        <v>308</v>
      </c>
      <c r="C6" s="116">
        <v>10000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</row>
    <row r="7" spans="1:25">
      <c r="A7" s="151" t="s">
        <v>366</v>
      </c>
      <c r="B7" s="113" t="s">
        <v>308</v>
      </c>
      <c r="C7" s="116">
        <v>14000</v>
      </c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</row>
    <row r="8" spans="1:25">
      <c r="A8" s="151" t="s">
        <v>367</v>
      </c>
      <c r="B8" s="113" t="s">
        <v>308</v>
      </c>
      <c r="C8" s="116">
        <v>20000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</row>
    <row r="9" spans="1:25">
      <c r="A9" s="151" t="s">
        <v>368</v>
      </c>
      <c r="B9" s="113" t="s">
        <v>308</v>
      </c>
      <c r="C9" s="116">
        <v>8000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</row>
    <row r="10" spans="1:25">
      <c r="A10" s="151" t="s">
        <v>369</v>
      </c>
      <c r="B10" s="113" t="s">
        <v>308</v>
      </c>
      <c r="C10" s="116">
        <v>6000</v>
      </c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</row>
    <row r="11" spans="1:25">
      <c r="A11" s="151" t="s">
        <v>370</v>
      </c>
      <c r="B11" s="113" t="s">
        <v>308</v>
      </c>
      <c r="C11" s="116">
        <v>5000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</row>
    <row r="12" spans="1:25">
      <c r="A12" s="151" t="s">
        <v>371</v>
      </c>
      <c r="B12" s="113" t="s">
        <v>308</v>
      </c>
      <c r="C12" s="116">
        <v>3000</v>
      </c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</row>
    <row r="13" spans="1:25">
      <c r="A13" s="151" t="s">
        <v>372</v>
      </c>
      <c r="B13" s="113" t="s">
        <v>308</v>
      </c>
      <c r="C13" s="116">
        <v>100000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</row>
    <row r="14" spans="1:25">
      <c r="A14" s="100" t="s">
        <v>373</v>
      </c>
      <c r="B14" t="s">
        <v>308</v>
      </c>
      <c r="C14" s="116">
        <v>3000</v>
      </c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</row>
    <row r="15" spans="1:25" ht="14.25" customHeight="1">
      <c r="A15" s="100" t="s">
        <v>374</v>
      </c>
      <c r="B15" t="s">
        <v>308</v>
      </c>
      <c r="C15" s="116">
        <v>2000</v>
      </c>
      <c r="D15" s="147"/>
      <c r="E15" s="147"/>
      <c r="F15" s="147"/>
      <c r="G15" s="147"/>
      <c r="H15" s="147"/>
      <c r="I15" s="147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</row>
    <row r="16" spans="1:25">
      <c r="A16" s="100" t="s">
        <v>375</v>
      </c>
      <c r="B16" t="s">
        <v>308</v>
      </c>
      <c r="C16" s="116">
        <v>1500</v>
      </c>
      <c r="D16" s="147"/>
      <c r="E16" s="147"/>
      <c r="F16" s="147"/>
      <c r="G16" s="147"/>
      <c r="H16" s="147"/>
      <c r="I16" s="147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</row>
    <row r="17" spans="1:25">
      <c r="A17" s="100" t="s">
        <v>376</v>
      </c>
      <c r="B17" t="s">
        <v>308</v>
      </c>
      <c r="C17" s="101">
        <v>1500</v>
      </c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</row>
    <row r="18" spans="1:25">
      <c r="A18" s="100" t="s">
        <v>377</v>
      </c>
      <c r="B18" t="s">
        <v>308</v>
      </c>
      <c r="C18" s="101">
        <v>1500</v>
      </c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25">
      <c r="A19" s="100" t="s">
        <v>378</v>
      </c>
      <c r="B19" t="s">
        <v>308</v>
      </c>
      <c r="C19" s="101">
        <v>20000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25">
      <c r="A20" s="100" t="s">
        <v>379</v>
      </c>
      <c r="B20" t="s">
        <v>308</v>
      </c>
      <c r="C20" s="101">
        <v>50000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</row>
    <row r="21" spans="1:25">
      <c r="A21" s="100" t="s">
        <v>380</v>
      </c>
      <c r="B21" t="s">
        <v>308</v>
      </c>
      <c r="C21" s="101">
        <v>5000</v>
      </c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</row>
    <row r="22" spans="1:25">
      <c r="A22" s="100" t="s">
        <v>381</v>
      </c>
      <c r="B22" t="s">
        <v>308</v>
      </c>
      <c r="C22" s="104">
        <v>10000</v>
      </c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spans="1:25">
      <c r="A23" s="100" t="s">
        <v>382</v>
      </c>
      <c r="B23" t="s">
        <v>308</v>
      </c>
      <c r="C23" s="104">
        <v>20000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5">
      <c r="A24" s="100" t="s">
        <v>383</v>
      </c>
      <c r="B24" t="s">
        <v>308</v>
      </c>
      <c r="C24" s="104">
        <v>10000</v>
      </c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</row>
    <row r="25" spans="1:25">
      <c r="A25" s="100" t="s">
        <v>384</v>
      </c>
      <c r="B25" t="s">
        <v>308</v>
      </c>
      <c r="C25" s="104">
        <v>10000</v>
      </c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</row>
    <row r="26" spans="1:25">
      <c r="A26" s="100" t="s">
        <v>385</v>
      </c>
      <c r="B26" t="s">
        <v>308</v>
      </c>
      <c r="C26" s="104">
        <v>7500</v>
      </c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</row>
    <row r="27" spans="1:25">
      <c r="A27" s="100" t="s">
        <v>386</v>
      </c>
      <c r="B27" t="s">
        <v>308</v>
      </c>
      <c r="C27" s="104">
        <v>20000</v>
      </c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</row>
    <row r="28" spans="1:25">
      <c r="A28" s="100" t="s">
        <v>387</v>
      </c>
      <c r="B28" t="s">
        <v>308</v>
      </c>
      <c r="C28" s="104">
        <v>3000</v>
      </c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</row>
    <row r="29" spans="1:25">
      <c r="A29" s="151" t="s">
        <v>388</v>
      </c>
      <c r="B29" t="s">
        <v>308</v>
      </c>
      <c r="C29" s="104">
        <v>20000</v>
      </c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</row>
    <row r="30" spans="1:25">
      <c r="A30" s="100"/>
      <c r="C30" s="104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</row>
    <row r="31" spans="1:25" ht="16" thickBot="1">
      <c r="A31" s="105"/>
      <c r="B31" s="106"/>
      <c r="C31" s="104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</row>
    <row r="32" spans="1:25">
      <c r="A32" s="97"/>
      <c r="B32" s="97"/>
      <c r="C32" s="10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</row>
    <row r="33" spans="1:25" ht="16" thickBot="1">
      <c r="A33" s="106"/>
      <c r="B33" s="106"/>
      <c r="C33" s="108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</row>
    <row r="34" spans="1:25">
      <c r="A34" s="96" t="s">
        <v>316</v>
      </c>
      <c r="B34" s="97"/>
      <c r="C34" s="107"/>
      <c r="D34" s="98" t="s">
        <v>317</v>
      </c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</row>
    <row r="35" spans="1:25">
      <c r="A35" s="100" t="str">
        <f>A4</f>
        <v>Project Cost (Feasibility and exploration)</v>
      </c>
      <c r="B35" t="s">
        <v>308</v>
      </c>
      <c r="C35" s="101">
        <f>C4</f>
        <v>8000</v>
      </c>
      <c r="D35" s="109">
        <f t="shared" ref="D35:U35" si="1">$C4*D4</f>
        <v>0</v>
      </c>
      <c r="E35" s="109">
        <f t="shared" si="1"/>
        <v>0</v>
      </c>
      <c r="F35" s="109">
        <f t="shared" si="1"/>
        <v>0</v>
      </c>
      <c r="G35" s="109">
        <f t="shared" si="1"/>
        <v>0</v>
      </c>
      <c r="H35" s="109">
        <f t="shared" si="1"/>
        <v>0</v>
      </c>
      <c r="I35" s="109">
        <f t="shared" si="1"/>
        <v>0</v>
      </c>
      <c r="J35" s="109">
        <f t="shared" si="1"/>
        <v>0</v>
      </c>
      <c r="K35" s="109">
        <f t="shared" si="1"/>
        <v>0</v>
      </c>
      <c r="L35" s="109">
        <f t="shared" si="1"/>
        <v>0</v>
      </c>
      <c r="M35" s="109">
        <f t="shared" si="1"/>
        <v>0</v>
      </c>
      <c r="N35" s="109">
        <f t="shared" si="1"/>
        <v>0</v>
      </c>
      <c r="O35" s="109">
        <f t="shared" si="1"/>
        <v>0</v>
      </c>
      <c r="P35" s="109">
        <f t="shared" si="1"/>
        <v>0</v>
      </c>
      <c r="Q35" s="109">
        <f t="shared" si="1"/>
        <v>0</v>
      </c>
      <c r="R35" s="109">
        <f t="shared" si="1"/>
        <v>0</v>
      </c>
      <c r="S35" s="109">
        <f t="shared" si="1"/>
        <v>0</v>
      </c>
      <c r="T35" s="109">
        <f t="shared" si="1"/>
        <v>0</v>
      </c>
      <c r="U35" s="109">
        <f t="shared" si="1"/>
        <v>0</v>
      </c>
      <c r="V35" s="109">
        <f t="shared" ref="V35:Y38" si="2">$C4*V4</f>
        <v>0</v>
      </c>
      <c r="W35" s="109">
        <f t="shared" si="2"/>
        <v>0</v>
      </c>
      <c r="X35" s="109">
        <f t="shared" si="2"/>
        <v>0</v>
      </c>
      <c r="Y35" s="109">
        <f t="shared" si="2"/>
        <v>0</v>
      </c>
    </row>
    <row r="36" spans="1:25">
      <c r="A36" s="100" t="str">
        <f>A5</f>
        <v>1 x 300t Excavator</v>
      </c>
      <c r="B36" t="s">
        <v>308</v>
      </c>
      <c r="C36" s="101">
        <f>C5</f>
        <v>5000</v>
      </c>
      <c r="D36" s="109">
        <f t="shared" ref="D36:U36" si="3">$C5*D5</f>
        <v>0</v>
      </c>
      <c r="E36" s="109">
        <f t="shared" si="3"/>
        <v>0</v>
      </c>
      <c r="F36" s="109">
        <f t="shared" si="3"/>
        <v>0</v>
      </c>
      <c r="G36" s="109">
        <f t="shared" si="3"/>
        <v>0</v>
      </c>
      <c r="H36" s="109">
        <f t="shared" si="3"/>
        <v>0</v>
      </c>
      <c r="I36" s="109">
        <f t="shared" si="3"/>
        <v>0</v>
      </c>
      <c r="J36" s="109">
        <f t="shared" si="3"/>
        <v>0</v>
      </c>
      <c r="K36" s="109">
        <f t="shared" si="3"/>
        <v>0</v>
      </c>
      <c r="L36" s="109">
        <f t="shared" si="3"/>
        <v>0</v>
      </c>
      <c r="M36" s="109">
        <f t="shared" si="3"/>
        <v>0</v>
      </c>
      <c r="N36" s="109">
        <f t="shared" si="3"/>
        <v>0</v>
      </c>
      <c r="O36" s="109">
        <f t="shared" si="3"/>
        <v>0</v>
      </c>
      <c r="P36" s="109">
        <f t="shared" si="3"/>
        <v>0</v>
      </c>
      <c r="Q36" s="109">
        <f t="shared" si="3"/>
        <v>0</v>
      </c>
      <c r="R36" s="109">
        <f t="shared" si="3"/>
        <v>0</v>
      </c>
      <c r="S36" s="109">
        <f t="shared" si="3"/>
        <v>0</v>
      </c>
      <c r="T36" s="109">
        <f t="shared" si="3"/>
        <v>0</v>
      </c>
      <c r="U36" s="109">
        <f t="shared" si="3"/>
        <v>0</v>
      </c>
      <c r="V36" s="109">
        <f t="shared" si="2"/>
        <v>0</v>
      </c>
      <c r="W36" s="109">
        <f t="shared" si="2"/>
        <v>0</v>
      </c>
      <c r="X36" s="109">
        <f t="shared" si="2"/>
        <v>0</v>
      </c>
      <c r="Y36" s="109">
        <f t="shared" si="2"/>
        <v>0</v>
      </c>
    </row>
    <row r="37" spans="1:25">
      <c r="A37" s="100" t="str">
        <f>A6</f>
        <v>1 x 400t Excavator</v>
      </c>
      <c r="B37" t="s">
        <v>308</v>
      </c>
      <c r="C37" s="101">
        <f>C6</f>
        <v>10000</v>
      </c>
      <c r="D37" s="109">
        <f t="shared" ref="D37:U37" si="4">$C6*D6</f>
        <v>0</v>
      </c>
      <c r="E37" s="109">
        <f t="shared" si="4"/>
        <v>0</v>
      </c>
      <c r="F37" s="109">
        <f t="shared" si="4"/>
        <v>0</v>
      </c>
      <c r="G37" s="109">
        <f t="shared" si="4"/>
        <v>0</v>
      </c>
      <c r="H37" s="109">
        <f t="shared" si="4"/>
        <v>0</v>
      </c>
      <c r="I37" s="109">
        <f t="shared" si="4"/>
        <v>0</v>
      </c>
      <c r="J37" s="109">
        <f t="shared" si="4"/>
        <v>0</v>
      </c>
      <c r="K37" s="109">
        <f t="shared" si="4"/>
        <v>0</v>
      </c>
      <c r="L37" s="109">
        <f t="shared" si="4"/>
        <v>0</v>
      </c>
      <c r="M37" s="109">
        <f t="shared" si="4"/>
        <v>0</v>
      </c>
      <c r="N37" s="109">
        <f t="shared" si="4"/>
        <v>0</v>
      </c>
      <c r="O37" s="109">
        <f t="shared" si="4"/>
        <v>0</v>
      </c>
      <c r="P37" s="109">
        <f t="shared" si="4"/>
        <v>0</v>
      </c>
      <c r="Q37" s="109">
        <f t="shared" si="4"/>
        <v>0</v>
      </c>
      <c r="R37" s="109">
        <f t="shared" si="4"/>
        <v>0</v>
      </c>
      <c r="S37" s="109">
        <f t="shared" si="4"/>
        <v>0</v>
      </c>
      <c r="T37" s="109">
        <f t="shared" si="4"/>
        <v>0</v>
      </c>
      <c r="U37" s="109">
        <f t="shared" si="4"/>
        <v>0</v>
      </c>
      <c r="V37" s="109">
        <f t="shared" si="2"/>
        <v>0</v>
      </c>
      <c r="W37" s="109">
        <f t="shared" si="2"/>
        <v>0</v>
      </c>
      <c r="X37" s="109">
        <f t="shared" si="2"/>
        <v>0</v>
      </c>
      <c r="Y37" s="109">
        <f t="shared" si="2"/>
        <v>0</v>
      </c>
    </row>
    <row r="38" spans="1:25">
      <c r="A38" s="100" t="str">
        <f>A7</f>
        <v>1 x 600t Excavator</v>
      </c>
      <c r="B38" t="s">
        <v>308</v>
      </c>
      <c r="C38" s="101">
        <f>C7</f>
        <v>14000</v>
      </c>
      <c r="D38" s="109">
        <f t="shared" ref="D38:U38" si="5">$C7*D7</f>
        <v>0</v>
      </c>
      <c r="E38" s="109">
        <f t="shared" si="5"/>
        <v>0</v>
      </c>
      <c r="F38" s="109">
        <f t="shared" si="5"/>
        <v>0</v>
      </c>
      <c r="G38" s="109">
        <f t="shared" si="5"/>
        <v>0</v>
      </c>
      <c r="H38" s="109">
        <f t="shared" si="5"/>
        <v>0</v>
      </c>
      <c r="I38" s="109">
        <f t="shared" si="5"/>
        <v>0</v>
      </c>
      <c r="J38" s="109">
        <f t="shared" si="5"/>
        <v>0</v>
      </c>
      <c r="K38" s="109">
        <f t="shared" si="5"/>
        <v>0</v>
      </c>
      <c r="L38" s="109">
        <f t="shared" si="5"/>
        <v>0</v>
      </c>
      <c r="M38" s="109">
        <f t="shared" si="5"/>
        <v>0</v>
      </c>
      <c r="N38" s="109">
        <f t="shared" si="5"/>
        <v>0</v>
      </c>
      <c r="O38" s="109">
        <f t="shared" si="5"/>
        <v>0</v>
      </c>
      <c r="P38" s="109">
        <f t="shared" si="5"/>
        <v>0</v>
      </c>
      <c r="Q38" s="109">
        <f t="shared" si="5"/>
        <v>0</v>
      </c>
      <c r="R38" s="109">
        <f t="shared" si="5"/>
        <v>0</v>
      </c>
      <c r="S38" s="109">
        <f t="shared" si="5"/>
        <v>0</v>
      </c>
      <c r="T38" s="109">
        <f t="shared" si="5"/>
        <v>0</v>
      </c>
      <c r="U38" s="109">
        <f t="shared" si="5"/>
        <v>0</v>
      </c>
      <c r="V38" s="109">
        <f t="shared" si="2"/>
        <v>0</v>
      </c>
      <c r="W38" s="109">
        <f t="shared" si="2"/>
        <v>0</v>
      </c>
      <c r="X38" s="109">
        <f t="shared" si="2"/>
        <v>0</v>
      </c>
      <c r="Y38" s="109">
        <f t="shared" si="2"/>
        <v>0</v>
      </c>
    </row>
    <row r="39" spans="1:25">
      <c r="A39" s="100" t="str">
        <f>A9</f>
        <v>1 x 320t  Truck</v>
      </c>
      <c r="B39" t="s">
        <v>308</v>
      </c>
      <c r="C39" s="101">
        <f>C9</f>
        <v>8000</v>
      </c>
      <c r="D39" s="109">
        <f t="shared" ref="D39:U39" si="6">$C9*D9</f>
        <v>0</v>
      </c>
      <c r="E39" s="109">
        <f t="shared" si="6"/>
        <v>0</v>
      </c>
      <c r="F39" s="109">
        <f t="shared" si="6"/>
        <v>0</v>
      </c>
      <c r="G39" s="109">
        <f t="shared" si="6"/>
        <v>0</v>
      </c>
      <c r="H39" s="109">
        <f t="shared" si="6"/>
        <v>0</v>
      </c>
      <c r="I39" s="109">
        <f t="shared" si="6"/>
        <v>0</v>
      </c>
      <c r="J39" s="109">
        <f t="shared" si="6"/>
        <v>0</v>
      </c>
      <c r="K39" s="109">
        <f t="shared" si="6"/>
        <v>0</v>
      </c>
      <c r="L39" s="109">
        <f t="shared" si="6"/>
        <v>0</v>
      </c>
      <c r="M39" s="109">
        <f t="shared" si="6"/>
        <v>0</v>
      </c>
      <c r="N39" s="109">
        <f t="shared" si="6"/>
        <v>0</v>
      </c>
      <c r="O39" s="109">
        <f t="shared" si="6"/>
        <v>0</v>
      </c>
      <c r="P39" s="109">
        <f t="shared" si="6"/>
        <v>0</v>
      </c>
      <c r="Q39" s="109">
        <f t="shared" si="6"/>
        <v>0</v>
      </c>
      <c r="R39" s="109">
        <f t="shared" si="6"/>
        <v>0</v>
      </c>
      <c r="S39" s="109">
        <f t="shared" si="6"/>
        <v>0</v>
      </c>
      <c r="T39" s="109">
        <f t="shared" si="6"/>
        <v>0</v>
      </c>
      <c r="U39" s="109">
        <f t="shared" si="6"/>
        <v>0</v>
      </c>
      <c r="V39" s="109">
        <f t="shared" ref="V39:Y40" si="7">$C9*V9</f>
        <v>0</v>
      </c>
      <c r="W39" s="109">
        <f t="shared" si="7"/>
        <v>0</v>
      </c>
      <c r="X39" s="109">
        <f t="shared" si="7"/>
        <v>0</v>
      </c>
      <c r="Y39" s="109">
        <f t="shared" si="7"/>
        <v>0</v>
      </c>
    </row>
    <row r="40" spans="1:25">
      <c r="A40" s="100" t="str">
        <f>A10</f>
        <v>1 x 230t  Truck</v>
      </c>
      <c r="B40" t="s">
        <v>308</v>
      </c>
      <c r="C40" s="101">
        <f>C10</f>
        <v>6000</v>
      </c>
      <c r="D40" s="109">
        <f t="shared" ref="D40:U40" si="8">$C10*D10</f>
        <v>0</v>
      </c>
      <c r="E40" s="109">
        <f t="shared" si="8"/>
        <v>0</v>
      </c>
      <c r="F40" s="109">
        <f t="shared" si="8"/>
        <v>0</v>
      </c>
      <c r="G40" s="109">
        <f t="shared" si="8"/>
        <v>0</v>
      </c>
      <c r="H40" s="109">
        <f t="shared" si="8"/>
        <v>0</v>
      </c>
      <c r="I40" s="109">
        <f t="shared" si="8"/>
        <v>0</v>
      </c>
      <c r="J40" s="109">
        <f t="shared" si="8"/>
        <v>0</v>
      </c>
      <c r="K40" s="109">
        <f t="shared" si="8"/>
        <v>0</v>
      </c>
      <c r="L40" s="109">
        <f t="shared" si="8"/>
        <v>0</v>
      </c>
      <c r="M40" s="109">
        <f t="shared" si="8"/>
        <v>0</v>
      </c>
      <c r="N40" s="109">
        <f t="shared" si="8"/>
        <v>0</v>
      </c>
      <c r="O40" s="109">
        <f t="shared" si="8"/>
        <v>0</v>
      </c>
      <c r="P40" s="109">
        <f t="shared" si="8"/>
        <v>0</v>
      </c>
      <c r="Q40" s="109">
        <f t="shared" si="8"/>
        <v>0</v>
      </c>
      <c r="R40" s="109">
        <f t="shared" si="8"/>
        <v>0</v>
      </c>
      <c r="S40" s="109">
        <f t="shared" si="8"/>
        <v>0</v>
      </c>
      <c r="T40" s="109">
        <f t="shared" si="8"/>
        <v>0</v>
      </c>
      <c r="U40" s="109">
        <f t="shared" si="8"/>
        <v>0</v>
      </c>
      <c r="V40" s="109">
        <f t="shared" si="7"/>
        <v>0</v>
      </c>
      <c r="W40" s="109">
        <f t="shared" si="7"/>
        <v>0</v>
      </c>
      <c r="X40" s="109">
        <f t="shared" si="7"/>
        <v>0</v>
      </c>
      <c r="Y40" s="109">
        <f t="shared" si="7"/>
        <v>0</v>
      </c>
    </row>
    <row r="41" spans="1:25">
      <c r="A41" s="100" t="str">
        <f t="shared" ref="A41:A57" si="9">A13</f>
        <v>Dragline</v>
      </c>
      <c r="B41" t="s">
        <v>308</v>
      </c>
      <c r="C41" s="101">
        <f t="shared" ref="C41:C59" si="10">C13</f>
        <v>100000</v>
      </c>
      <c r="D41" s="109">
        <f t="shared" ref="D41:U41" si="11">$C13*D13</f>
        <v>0</v>
      </c>
      <c r="E41" s="109">
        <f t="shared" si="11"/>
        <v>0</v>
      </c>
      <c r="F41" s="109">
        <f t="shared" si="11"/>
        <v>0</v>
      </c>
      <c r="G41" s="109">
        <f t="shared" si="11"/>
        <v>0</v>
      </c>
      <c r="H41" s="109">
        <f t="shared" si="11"/>
        <v>0</v>
      </c>
      <c r="I41" s="109">
        <f t="shared" si="11"/>
        <v>0</v>
      </c>
      <c r="J41" s="109">
        <f t="shared" si="11"/>
        <v>0</v>
      </c>
      <c r="K41" s="109">
        <f t="shared" si="11"/>
        <v>0</v>
      </c>
      <c r="L41" s="109">
        <f t="shared" si="11"/>
        <v>0</v>
      </c>
      <c r="M41" s="109">
        <f t="shared" si="11"/>
        <v>0</v>
      </c>
      <c r="N41" s="109">
        <f t="shared" si="11"/>
        <v>0</v>
      </c>
      <c r="O41" s="109">
        <f t="shared" si="11"/>
        <v>0</v>
      </c>
      <c r="P41" s="109">
        <f t="shared" si="11"/>
        <v>0</v>
      </c>
      <c r="Q41" s="109">
        <f t="shared" si="11"/>
        <v>0</v>
      </c>
      <c r="R41" s="109">
        <f t="shared" si="11"/>
        <v>0</v>
      </c>
      <c r="S41" s="109">
        <f t="shared" si="11"/>
        <v>0</v>
      </c>
      <c r="T41" s="109">
        <f t="shared" si="11"/>
        <v>0</v>
      </c>
      <c r="U41" s="109">
        <f t="shared" si="11"/>
        <v>0</v>
      </c>
      <c r="V41" s="109">
        <f t="shared" ref="V41:Y59" si="12">$C13*V13</f>
        <v>0</v>
      </c>
      <c r="W41" s="109">
        <f t="shared" si="12"/>
        <v>0</v>
      </c>
      <c r="X41" s="109">
        <f t="shared" si="12"/>
        <v>0</v>
      </c>
      <c r="Y41" s="109">
        <f t="shared" si="12"/>
        <v>0</v>
      </c>
    </row>
    <row r="42" spans="1:25">
      <c r="A42" s="100" t="str">
        <f t="shared" si="9"/>
        <v>1 x D11 Dozer</v>
      </c>
      <c r="B42" t="s">
        <v>308</v>
      </c>
      <c r="C42" s="101">
        <f t="shared" si="10"/>
        <v>3000</v>
      </c>
      <c r="D42" s="109">
        <f t="shared" ref="D42:U42" si="13">$C14*D14</f>
        <v>0</v>
      </c>
      <c r="E42" s="109">
        <f t="shared" si="13"/>
        <v>0</v>
      </c>
      <c r="F42" s="109">
        <f t="shared" si="13"/>
        <v>0</v>
      </c>
      <c r="G42" s="109">
        <f t="shared" si="13"/>
        <v>0</v>
      </c>
      <c r="H42" s="109">
        <f t="shared" si="13"/>
        <v>0</v>
      </c>
      <c r="I42" s="109">
        <f t="shared" si="13"/>
        <v>0</v>
      </c>
      <c r="J42" s="109">
        <f t="shared" si="13"/>
        <v>0</v>
      </c>
      <c r="K42" s="109">
        <f t="shared" si="13"/>
        <v>0</v>
      </c>
      <c r="L42" s="109">
        <f t="shared" si="13"/>
        <v>0</v>
      </c>
      <c r="M42" s="109">
        <f t="shared" si="13"/>
        <v>0</v>
      </c>
      <c r="N42" s="109">
        <f t="shared" si="13"/>
        <v>0</v>
      </c>
      <c r="O42" s="109">
        <f t="shared" si="13"/>
        <v>0</v>
      </c>
      <c r="P42" s="109">
        <f t="shared" si="13"/>
        <v>0</v>
      </c>
      <c r="Q42" s="109">
        <f t="shared" si="13"/>
        <v>0</v>
      </c>
      <c r="R42" s="109">
        <f t="shared" si="13"/>
        <v>0</v>
      </c>
      <c r="S42" s="109">
        <f t="shared" si="13"/>
        <v>0</v>
      </c>
      <c r="T42" s="109">
        <f t="shared" si="13"/>
        <v>0</v>
      </c>
      <c r="U42" s="109">
        <f t="shared" si="13"/>
        <v>0</v>
      </c>
      <c r="V42" s="109">
        <f t="shared" si="12"/>
        <v>0</v>
      </c>
      <c r="W42" s="109">
        <f t="shared" si="12"/>
        <v>0</v>
      </c>
      <c r="X42" s="109">
        <f t="shared" si="12"/>
        <v>0</v>
      </c>
      <c r="Y42" s="109">
        <f t="shared" si="12"/>
        <v>0</v>
      </c>
    </row>
    <row r="43" spans="1:25">
      <c r="A43" s="100" t="str">
        <f t="shared" si="9"/>
        <v>1 x D10 Dozer</v>
      </c>
      <c r="B43" t="s">
        <v>308</v>
      </c>
      <c r="C43" s="101">
        <f t="shared" si="10"/>
        <v>2000</v>
      </c>
      <c r="D43" s="109">
        <f t="shared" ref="D43:U43" si="14">$C15*D15</f>
        <v>0</v>
      </c>
      <c r="E43" s="109">
        <f t="shared" si="14"/>
        <v>0</v>
      </c>
      <c r="F43" s="109">
        <f t="shared" si="14"/>
        <v>0</v>
      </c>
      <c r="G43" s="109">
        <f t="shared" si="14"/>
        <v>0</v>
      </c>
      <c r="H43" s="109">
        <f t="shared" si="14"/>
        <v>0</v>
      </c>
      <c r="I43" s="109">
        <f t="shared" si="14"/>
        <v>0</v>
      </c>
      <c r="J43" s="109">
        <f t="shared" si="14"/>
        <v>0</v>
      </c>
      <c r="K43" s="109">
        <f t="shared" si="14"/>
        <v>0</v>
      </c>
      <c r="L43" s="109">
        <f t="shared" si="14"/>
        <v>0</v>
      </c>
      <c r="M43" s="109">
        <f t="shared" si="14"/>
        <v>0</v>
      </c>
      <c r="N43" s="109">
        <f t="shared" si="14"/>
        <v>0</v>
      </c>
      <c r="O43" s="109">
        <f t="shared" si="14"/>
        <v>0</v>
      </c>
      <c r="P43" s="109">
        <f t="shared" si="14"/>
        <v>0</v>
      </c>
      <c r="Q43" s="109">
        <f t="shared" si="14"/>
        <v>0</v>
      </c>
      <c r="R43" s="109">
        <f t="shared" si="14"/>
        <v>0</v>
      </c>
      <c r="S43" s="109">
        <f t="shared" si="14"/>
        <v>0</v>
      </c>
      <c r="T43" s="109">
        <f t="shared" si="14"/>
        <v>0</v>
      </c>
      <c r="U43" s="109">
        <f t="shared" si="14"/>
        <v>0</v>
      </c>
      <c r="V43" s="109">
        <f t="shared" si="12"/>
        <v>0</v>
      </c>
      <c r="W43" s="109">
        <f t="shared" si="12"/>
        <v>0</v>
      </c>
      <c r="X43" s="109">
        <f t="shared" si="12"/>
        <v>0</v>
      </c>
      <c r="Y43" s="109">
        <f t="shared" si="12"/>
        <v>0</v>
      </c>
    </row>
    <row r="44" spans="1:25">
      <c r="A44" s="100" t="str">
        <f t="shared" si="9"/>
        <v>1 x Water truck</v>
      </c>
      <c r="B44" t="s">
        <v>308</v>
      </c>
      <c r="C44" s="101">
        <f t="shared" si="10"/>
        <v>1500</v>
      </c>
      <c r="D44" s="109">
        <f t="shared" ref="D44:U44" si="15">$C16*D16</f>
        <v>0</v>
      </c>
      <c r="E44" s="109">
        <f t="shared" si="15"/>
        <v>0</v>
      </c>
      <c r="F44" s="109">
        <f t="shared" si="15"/>
        <v>0</v>
      </c>
      <c r="G44" s="109">
        <f t="shared" si="15"/>
        <v>0</v>
      </c>
      <c r="H44" s="109">
        <f t="shared" si="15"/>
        <v>0</v>
      </c>
      <c r="I44" s="109">
        <f t="shared" si="15"/>
        <v>0</v>
      </c>
      <c r="J44" s="109">
        <f t="shared" si="15"/>
        <v>0</v>
      </c>
      <c r="K44" s="109">
        <f t="shared" si="15"/>
        <v>0</v>
      </c>
      <c r="L44" s="109">
        <f t="shared" si="15"/>
        <v>0</v>
      </c>
      <c r="M44" s="109">
        <f t="shared" si="15"/>
        <v>0</v>
      </c>
      <c r="N44" s="109">
        <f t="shared" si="15"/>
        <v>0</v>
      </c>
      <c r="O44" s="109">
        <f t="shared" si="15"/>
        <v>0</v>
      </c>
      <c r="P44" s="109">
        <f t="shared" si="15"/>
        <v>0</v>
      </c>
      <c r="Q44" s="109">
        <f t="shared" si="15"/>
        <v>0</v>
      </c>
      <c r="R44" s="109">
        <f t="shared" si="15"/>
        <v>0</v>
      </c>
      <c r="S44" s="109">
        <f t="shared" si="15"/>
        <v>0</v>
      </c>
      <c r="T44" s="109">
        <f t="shared" si="15"/>
        <v>0</v>
      </c>
      <c r="U44" s="109">
        <f t="shared" si="15"/>
        <v>0</v>
      </c>
      <c r="V44" s="109">
        <f t="shared" si="12"/>
        <v>0</v>
      </c>
      <c r="W44" s="109">
        <f t="shared" si="12"/>
        <v>0</v>
      </c>
      <c r="X44" s="109">
        <f t="shared" si="12"/>
        <v>0</v>
      </c>
      <c r="Y44" s="109">
        <f t="shared" si="12"/>
        <v>0</v>
      </c>
    </row>
    <row r="45" spans="1:25">
      <c r="A45" s="100" t="str">
        <f t="shared" si="9"/>
        <v>1 x Overburden Drill</v>
      </c>
      <c r="B45" t="s">
        <v>308</v>
      </c>
      <c r="C45" s="101">
        <f t="shared" si="10"/>
        <v>1500</v>
      </c>
      <c r="D45" s="109">
        <f t="shared" ref="D45:U45" si="16">$C17*D17</f>
        <v>0</v>
      </c>
      <c r="E45" s="109">
        <f t="shared" si="16"/>
        <v>0</v>
      </c>
      <c r="F45" s="109">
        <f t="shared" si="16"/>
        <v>0</v>
      </c>
      <c r="G45" s="109">
        <f t="shared" si="16"/>
        <v>0</v>
      </c>
      <c r="H45" s="109">
        <f t="shared" si="16"/>
        <v>0</v>
      </c>
      <c r="I45" s="109">
        <f t="shared" si="16"/>
        <v>0</v>
      </c>
      <c r="J45" s="109">
        <f t="shared" si="16"/>
        <v>0</v>
      </c>
      <c r="K45" s="109">
        <f t="shared" si="16"/>
        <v>0</v>
      </c>
      <c r="L45" s="109">
        <f t="shared" si="16"/>
        <v>0</v>
      </c>
      <c r="M45" s="109">
        <f t="shared" si="16"/>
        <v>0</v>
      </c>
      <c r="N45" s="109">
        <f t="shared" si="16"/>
        <v>0</v>
      </c>
      <c r="O45" s="109">
        <f t="shared" si="16"/>
        <v>0</v>
      </c>
      <c r="P45" s="109">
        <f t="shared" si="16"/>
        <v>0</v>
      </c>
      <c r="Q45" s="109">
        <f t="shared" si="16"/>
        <v>0</v>
      </c>
      <c r="R45" s="109">
        <f t="shared" si="16"/>
        <v>0</v>
      </c>
      <c r="S45" s="109">
        <f t="shared" si="16"/>
        <v>0</v>
      </c>
      <c r="T45" s="109">
        <f t="shared" si="16"/>
        <v>0</v>
      </c>
      <c r="U45" s="109">
        <f t="shared" si="16"/>
        <v>0</v>
      </c>
      <c r="V45" s="109">
        <f t="shared" si="12"/>
        <v>0</v>
      </c>
      <c r="W45" s="109">
        <f t="shared" si="12"/>
        <v>0</v>
      </c>
      <c r="X45" s="109">
        <f t="shared" si="12"/>
        <v>0</v>
      </c>
      <c r="Y45" s="109">
        <f t="shared" si="12"/>
        <v>0</v>
      </c>
    </row>
    <row r="46" spans="1:25">
      <c r="A46" s="100" t="str">
        <f t="shared" si="9"/>
        <v>1 x Grader</v>
      </c>
      <c r="B46" t="s">
        <v>308</v>
      </c>
      <c r="C46" s="101">
        <f t="shared" si="10"/>
        <v>1500</v>
      </c>
      <c r="D46" s="109">
        <f t="shared" ref="D46:U46" si="17">$C18*D18</f>
        <v>0</v>
      </c>
      <c r="E46" s="109">
        <f t="shared" si="17"/>
        <v>0</v>
      </c>
      <c r="F46" s="109">
        <f t="shared" si="17"/>
        <v>0</v>
      </c>
      <c r="G46" s="109">
        <f t="shared" si="17"/>
        <v>0</v>
      </c>
      <c r="H46" s="109">
        <f t="shared" si="17"/>
        <v>0</v>
      </c>
      <c r="I46" s="109">
        <f t="shared" si="17"/>
        <v>0</v>
      </c>
      <c r="J46" s="109">
        <f t="shared" si="17"/>
        <v>0</v>
      </c>
      <c r="K46" s="109">
        <f t="shared" si="17"/>
        <v>0</v>
      </c>
      <c r="L46" s="109">
        <f t="shared" si="17"/>
        <v>0</v>
      </c>
      <c r="M46" s="109">
        <f t="shared" si="17"/>
        <v>0</v>
      </c>
      <c r="N46" s="109">
        <f t="shared" si="17"/>
        <v>0</v>
      </c>
      <c r="O46" s="109">
        <f t="shared" si="17"/>
        <v>0</v>
      </c>
      <c r="P46" s="109">
        <f t="shared" si="17"/>
        <v>0</v>
      </c>
      <c r="Q46" s="109">
        <f t="shared" si="17"/>
        <v>0</v>
      </c>
      <c r="R46" s="109">
        <f t="shared" si="17"/>
        <v>0</v>
      </c>
      <c r="S46" s="109">
        <f t="shared" si="17"/>
        <v>0</v>
      </c>
      <c r="T46" s="109">
        <f t="shared" si="17"/>
        <v>0</v>
      </c>
      <c r="U46" s="109">
        <f t="shared" si="17"/>
        <v>0</v>
      </c>
      <c r="V46" s="109">
        <f t="shared" si="12"/>
        <v>0</v>
      </c>
      <c r="W46" s="109">
        <f t="shared" si="12"/>
        <v>0</v>
      </c>
      <c r="X46" s="109">
        <f t="shared" si="12"/>
        <v>0</v>
      </c>
      <c r="Y46" s="109">
        <f t="shared" si="12"/>
        <v>0</v>
      </c>
    </row>
    <row r="47" spans="1:25">
      <c r="A47" s="100" t="str">
        <f t="shared" si="9"/>
        <v>ROM Pad</v>
      </c>
      <c r="B47" t="s">
        <v>308</v>
      </c>
      <c r="C47" s="101">
        <f t="shared" si="10"/>
        <v>20000</v>
      </c>
      <c r="D47" s="109">
        <f t="shared" ref="D47:U47" si="18">$C19*D19</f>
        <v>0</v>
      </c>
      <c r="E47" s="109">
        <f t="shared" si="18"/>
        <v>0</v>
      </c>
      <c r="F47" s="109">
        <f t="shared" si="18"/>
        <v>0</v>
      </c>
      <c r="G47" s="109">
        <f t="shared" si="18"/>
        <v>0</v>
      </c>
      <c r="H47" s="109">
        <f t="shared" si="18"/>
        <v>0</v>
      </c>
      <c r="I47" s="109">
        <f t="shared" si="18"/>
        <v>0</v>
      </c>
      <c r="J47" s="109">
        <f t="shared" si="18"/>
        <v>0</v>
      </c>
      <c r="K47" s="109">
        <f t="shared" si="18"/>
        <v>0</v>
      </c>
      <c r="L47" s="109">
        <f t="shared" si="18"/>
        <v>0</v>
      </c>
      <c r="M47" s="109">
        <f t="shared" si="18"/>
        <v>0</v>
      </c>
      <c r="N47" s="109">
        <f t="shared" si="18"/>
        <v>0</v>
      </c>
      <c r="O47" s="109">
        <f t="shared" si="18"/>
        <v>0</v>
      </c>
      <c r="P47" s="109">
        <f t="shared" si="18"/>
        <v>0</v>
      </c>
      <c r="Q47" s="109">
        <f t="shared" si="18"/>
        <v>0</v>
      </c>
      <c r="R47" s="109">
        <f t="shared" si="18"/>
        <v>0</v>
      </c>
      <c r="S47" s="109">
        <f t="shared" si="18"/>
        <v>0</v>
      </c>
      <c r="T47" s="109">
        <f t="shared" si="18"/>
        <v>0</v>
      </c>
      <c r="U47" s="109">
        <f t="shared" si="18"/>
        <v>0</v>
      </c>
      <c r="V47" s="109">
        <f t="shared" si="12"/>
        <v>0</v>
      </c>
      <c r="W47" s="109">
        <f t="shared" si="12"/>
        <v>0</v>
      </c>
      <c r="X47" s="109">
        <f t="shared" si="12"/>
        <v>0</v>
      </c>
      <c r="Y47" s="109">
        <f t="shared" si="12"/>
        <v>0</v>
      </c>
    </row>
    <row r="48" spans="1:25">
      <c r="A48" s="100" t="str">
        <f t="shared" si="9"/>
        <v>CHPP Upgrade</v>
      </c>
      <c r="B48" t="s">
        <v>308</v>
      </c>
      <c r="C48" s="101">
        <f t="shared" si="10"/>
        <v>50000</v>
      </c>
      <c r="D48" s="109">
        <f t="shared" ref="D48:U48" si="19">$C20*D20</f>
        <v>0</v>
      </c>
      <c r="E48" s="109">
        <f t="shared" si="19"/>
        <v>0</v>
      </c>
      <c r="F48" s="109">
        <f t="shared" si="19"/>
        <v>0</v>
      </c>
      <c r="G48" s="109">
        <f t="shared" si="19"/>
        <v>0</v>
      </c>
      <c r="H48" s="109">
        <f t="shared" si="19"/>
        <v>0</v>
      </c>
      <c r="I48" s="109">
        <f t="shared" si="19"/>
        <v>0</v>
      </c>
      <c r="J48" s="109">
        <f t="shared" si="19"/>
        <v>0</v>
      </c>
      <c r="K48" s="109">
        <f t="shared" si="19"/>
        <v>0</v>
      </c>
      <c r="L48" s="109">
        <f t="shared" si="19"/>
        <v>0</v>
      </c>
      <c r="M48" s="109">
        <f t="shared" si="19"/>
        <v>0</v>
      </c>
      <c r="N48" s="109">
        <f t="shared" si="19"/>
        <v>0</v>
      </c>
      <c r="O48" s="109">
        <f t="shared" si="19"/>
        <v>0</v>
      </c>
      <c r="P48" s="109">
        <f t="shared" si="19"/>
        <v>0</v>
      </c>
      <c r="Q48" s="109">
        <f t="shared" si="19"/>
        <v>0</v>
      </c>
      <c r="R48" s="109">
        <f t="shared" si="19"/>
        <v>0</v>
      </c>
      <c r="S48" s="109">
        <f t="shared" si="19"/>
        <v>0</v>
      </c>
      <c r="T48" s="109">
        <f t="shared" si="19"/>
        <v>0</v>
      </c>
      <c r="U48" s="109">
        <f t="shared" si="19"/>
        <v>0</v>
      </c>
      <c r="V48" s="109">
        <f t="shared" si="12"/>
        <v>0</v>
      </c>
      <c r="W48" s="109">
        <f t="shared" si="12"/>
        <v>0</v>
      </c>
      <c r="X48" s="109">
        <f t="shared" si="12"/>
        <v>0</v>
      </c>
      <c r="Y48" s="109">
        <f t="shared" si="12"/>
        <v>0</v>
      </c>
    </row>
    <row r="49" spans="1:25">
      <c r="A49" s="100" t="str">
        <f t="shared" si="9"/>
        <v>Topsoil Stripping</v>
      </c>
      <c r="B49" t="s">
        <v>308</v>
      </c>
      <c r="C49" s="101">
        <f t="shared" si="10"/>
        <v>5000</v>
      </c>
      <c r="D49" s="109">
        <f t="shared" ref="D49:U49" si="20">$C21*D21</f>
        <v>0</v>
      </c>
      <c r="E49" s="109">
        <f t="shared" si="20"/>
        <v>0</v>
      </c>
      <c r="F49" s="109">
        <f t="shared" si="20"/>
        <v>0</v>
      </c>
      <c r="G49" s="109">
        <f t="shared" si="20"/>
        <v>0</v>
      </c>
      <c r="H49" s="109">
        <f t="shared" si="20"/>
        <v>0</v>
      </c>
      <c r="I49" s="109">
        <f t="shared" si="20"/>
        <v>0</v>
      </c>
      <c r="J49" s="109">
        <f t="shared" si="20"/>
        <v>0</v>
      </c>
      <c r="K49" s="109">
        <f t="shared" si="20"/>
        <v>0</v>
      </c>
      <c r="L49" s="109">
        <f t="shared" si="20"/>
        <v>0</v>
      </c>
      <c r="M49" s="109">
        <f t="shared" si="20"/>
        <v>0</v>
      </c>
      <c r="N49" s="109">
        <f t="shared" si="20"/>
        <v>0</v>
      </c>
      <c r="O49" s="109">
        <f t="shared" si="20"/>
        <v>0</v>
      </c>
      <c r="P49" s="109">
        <f t="shared" si="20"/>
        <v>0</v>
      </c>
      <c r="Q49" s="109">
        <f t="shared" si="20"/>
        <v>0</v>
      </c>
      <c r="R49" s="109">
        <f t="shared" si="20"/>
        <v>0</v>
      </c>
      <c r="S49" s="109">
        <f t="shared" si="20"/>
        <v>0</v>
      </c>
      <c r="T49" s="109">
        <f t="shared" si="20"/>
        <v>0</v>
      </c>
      <c r="U49" s="109">
        <f t="shared" si="20"/>
        <v>0</v>
      </c>
      <c r="V49" s="109">
        <f t="shared" si="12"/>
        <v>0</v>
      </c>
      <c r="W49" s="109">
        <f t="shared" si="12"/>
        <v>0</v>
      </c>
      <c r="X49" s="109">
        <f t="shared" si="12"/>
        <v>0</v>
      </c>
      <c r="Y49" s="109">
        <f t="shared" si="12"/>
        <v>0</v>
      </c>
    </row>
    <row r="50" spans="1:25">
      <c r="A50" s="100" t="str">
        <f t="shared" si="9"/>
        <v>Comms Tower Installation</v>
      </c>
      <c r="B50" t="s">
        <v>308</v>
      </c>
      <c r="C50" s="101">
        <f t="shared" si="10"/>
        <v>10000</v>
      </c>
      <c r="D50" s="109">
        <f t="shared" ref="D50:U50" si="21">$C22*D22</f>
        <v>0</v>
      </c>
      <c r="E50" s="109">
        <f t="shared" si="21"/>
        <v>0</v>
      </c>
      <c r="F50" s="109">
        <f t="shared" si="21"/>
        <v>0</v>
      </c>
      <c r="G50" s="109">
        <f t="shared" si="21"/>
        <v>0</v>
      </c>
      <c r="H50" s="109">
        <f t="shared" si="21"/>
        <v>0</v>
      </c>
      <c r="I50" s="109">
        <f t="shared" si="21"/>
        <v>0</v>
      </c>
      <c r="J50" s="109">
        <f t="shared" si="21"/>
        <v>0</v>
      </c>
      <c r="K50" s="109">
        <f t="shared" si="21"/>
        <v>0</v>
      </c>
      <c r="L50" s="109">
        <f t="shared" si="21"/>
        <v>0</v>
      </c>
      <c r="M50" s="109">
        <f t="shared" si="21"/>
        <v>0</v>
      </c>
      <c r="N50" s="109">
        <f t="shared" si="21"/>
        <v>0</v>
      </c>
      <c r="O50" s="109">
        <f t="shared" si="21"/>
        <v>0</v>
      </c>
      <c r="P50" s="109">
        <f t="shared" si="21"/>
        <v>0</v>
      </c>
      <c r="Q50" s="109">
        <f t="shared" si="21"/>
        <v>0</v>
      </c>
      <c r="R50" s="109">
        <f t="shared" si="21"/>
        <v>0</v>
      </c>
      <c r="S50" s="109">
        <f t="shared" si="21"/>
        <v>0</v>
      </c>
      <c r="T50" s="109">
        <f t="shared" si="21"/>
        <v>0</v>
      </c>
      <c r="U50" s="109">
        <f t="shared" si="21"/>
        <v>0</v>
      </c>
      <c r="V50" s="109">
        <f t="shared" si="12"/>
        <v>0</v>
      </c>
      <c r="W50" s="109">
        <f t="shared" si="12"/>
        <v>0</v>
      </c>
      <c r="X50" s="109">
        <f t="shared" si="12"/>
        <v>0</v>
      </c>
      <c r="Y50" s="109">
        <f t="shared" si="12"/>
        <v>0</v>
      </c>
    </row>
    <row r="51" spans="1:25">
      <c r="A51" s="100" t="str">
        <f t="shared" si="9"/>
        <v>25 km Powerline</v>
      </c>
      <c r="B51" t="s">
        <v>308</v>
      </c>
      <c r="C51" s="101">
        <f t="shared" si="10"/>
        <v>20000</v>
      </c>
      <c r="D51" s="109">
        <f t="shared" ref="D51:U51" si="22">$C23*D23</f>
        <v>0</v>
      </c>
      <c r="E51" s="109">
        <f t="shared" si="22"/>
        <v>0</v>
      </c>
      <c r="F51" s="109">
        <f t="shared" si="22"/>
        <v>0</v>
      </c>
      <c r="G51" s="109">
        <f t="shared" si="22"/>
        <v>0</v>
      </c>
      <c r="H51" s="109">
        <f t="shared" si="22"/>
        <v>0</v>
      </c>
      <c r="I51" s="109">
        <f t="shared" si="22"/>
        <v>0</v>
      </c>
      <c r="J51" s="109">
        <f t="shared" si="22"/>
        <v>0</v>
      </c>
      <c r="K51" s="109">
        <f t="shared" si="22"/>
        <v>0</v>
      </c>
      <c r="L51" s="109">
        <f t="shared" si="22"/>
        <v>0</v>
      </c>
      <c r="M51" s="109">
        <f t="shared" si="22"/>
        <v>0</v>
      </c>
      <c r="N51" s="109">
        <f t="shared" si="22"/>
        <v>0</v>
      </c>
      <c r="O51" s="109">
        <f t="shared" si="22"/>
        <v>0</v>
      </c>
      <c r="P51" s="109">
        <f t="shared" si="22"/>
        <v>0</v>
      </c>
      <c r="Q51" s="109">
        <f t="shared" si="22"/>
        <v>0</v>
      </c>
      <c r="R51" s="109">
        <f t="shared" si="22"/>
        <v>0</v>
      </c>
      <c r="S51" s="109">
        <f t="shared" si="22"/>
        <v>0</v>
      </c>
      <c r="T51" s="109">
        <f t="shared" si="22"/>
        <v>0</v>
      </c>
      <c r="U51" s="109">
        <f t="shared" si="22"/>
        <v>0</v>
      </c>
      <c r="V51" s="109">
        <f t="shared" si="12"/>
        <v>0</v>
      </c>
      <c r="W51" s="109">
        <f t="shared" si="12"/>
        <v>0</v>
      </c>
      <c r="X51" s="109">
        <f t="shared" si="12"/>
        <v>0</v>
      </c>
      <c r="Y51" s="109">
        <f t="shared" si="12"/>
        <v>0</v>
      </c>
    </row>
    <row r="52" spans="1:25">
      <c r="A52" s="100" t="str">
        <f t="shared" si="9"/>
        <v>Substation</v>
      </c>
      <c r="B52" t="s">
        <v>308</v>
      </c>
      <c r="C52" s="101">
        <f t="shared" si="10"/>
        <v>10000</v>
      </c>
      <c r="D52" s="109">
        <f t="shared" ref="D52:U52" si="23">$C24*D24</f>
        <v>0</v>
      </c>
      <c r="E52" s="109">
        <f t="shared" si="23"/>
        <v>0</v>
      </c>
      <c r="F52" s="109">
        <f t="shared" si="23"/>
        <v>0</v>
      </c>
      <c r="G52" s="109">
        <f t="shared" si="23"/>
        <v>0</v>
      </c>
      <c r="H52" s="109">
        <f t="shared" si="23"/>
        <v>0</v>
      </c>
      <c r="I52" s="109">
        <f t="shared" si="23"/>
        <v>0</v>
      </c>
      <c r="J52" s="109">
        <f t="shared" si="23"/>
        <v>0</v>
      </c>
      <c r="K52" s="109">
        <f t="shared" si="23"/>
        <v>0</v>
      </c>
      <c r="L52" s="109">
        <f t="shared" si="23"/>
        <v>0</v>
      </c>
      <c r="M52" s="109">
        <f t="shared" si="23"/>
        <v>0</v>
      </c>
      <c r="N52" s="109">
        <f t="shared" si="23"/>
        <v>0</v>
      </c>
      <c r="O52" s="109">
        <f t="shared" si="23"/>
        <v>0</v>
      </c>
      <c r="P52" s="109">
        <f t="shared" si="23"/>
        <v>0</v>
      </c>
      <c r="Q52" s="109">
        <f t="shared" si="23"/>
        <v>0</v>
      </c>
      <c r="R52" s="109">
        <f t="shared" si="23"/>
        <v>0</v>
      </c>
      <c r="S52" s="109">
        <f t="shared" si="23"/>
        <v>0</v>
      </c>
      <c r="T52" s="109">
        <f t="shared" si="23"/>
        <v>0</v>
      </c>
      <c r="U52" s="109">
        <f t="shared" si="23"/>
        <v>0</v>
      </c>
      <c r="V52" s="109">
        <f t="shared" si="12"/>
        <v>0</v>
      </c>
      <c r="W52" s="109">
        <f t="shared" si="12"/>
        <v>0</v>
      </c>
      <c r="X52" s="109">
        <f t="shared" si="12"/>
        <v>0</v>
      </c>
      <c r="Y52" s="109">
        <f t="shared" si="12"/>
        <v>0</v>
      </c>
    </row>
    <row r="53" spans="1:25">
      <c r="A53" s="100" t="str">
        <f t="shared" si="9"/>
        <v>Crib Hut &amp; Muster Area</v>
      </c>
      <c r="B53" t="s">
        <v>308</v>
      </c>
      <c r="C53" s="101">
        <f t="shared" si="10"/>
        <v>10000</v>
      </c>
      <c r="D53" s="109">
        <f t="shared" ref="D53:U53" si="24">$C25*D25</f>
        <v>0</v>
      </c>
      <c r="E53" s="109">
        <f t="shared" si="24"/>
        <v>0</v>
      </c>
      <c r="F53" s="109">
        <f t="shared" si="24"/>
        <v>0</v>
      </c>
      <c r="G53" s="109">
        <f t="shared" si="24"/>
        <v>0</v>
      </c>
      <c r="H53" s="109">
        <f t="shared" si="24"/>
        <v>0</v>
      </c>
      <c r="I53" s="109">
        <f t="shared" si="24"/>
        <v>0</v>
      </c>
      <c r="J53" s="109">
        <f t="shared" si="24"/>
        <v>0</v>
      </c>
      <c r="K53" s="109">
        <f t="shared" si="24"/>
        <v>0</v>
      </c>
      <c r="L53" s="109">
        <f t="shared" si="24"/>
        <v>0</v>
      </c>
      <c r="M53" s="109">
        <f t="shared" si="24"/>
        <v>0</v>
      </c>
      <c r="N53" s="109">
        <f t="shared" si="24"/>
        <v>0</v>
      </c>
      <c r="O53" s="109">
        <f t="shared" si="24"/>
        <v>0</v>
      </c>
      <c r="P53" s="109">
        <f t="shared" si="24"/>
        <v>0</v>
      </c>
      <c r="Q53" s="109">
        <f t="shared" si="24"/>
        <v>0</v>
      </c>
      <c r="R53" s="109">
        <f t="shared" si="24"/>
        <v>0</v>
      </c>
      <c r="S53" s="109">
        <f t="shared" si="24"/>
        <v>0</v>
      </c>
      <c r="T53" s="109">
        <f t="shared" si="24"/>
        <v>0</v>
      </c>
      <c r="U53" s="109">
        <f t="shared" si="24"/>
        <v>0</v>
      </c>
      <c r="V53" s="109">
        <f t="shared" si="12"/>
        <v>0</v>
      </c>
      <c r="W53" s="109">
        <f t="shared" si="12"/>
        <v>0</v>
      </c>
      <c r="X53" s="109">
        <f t="shared" si="12"/>
        <v>0</v>
      </c>
      <c r="Y53" s="109">
        <f t="shared" si="12"/>
        <v>0</v>
      </c>
    </row>
    <row r="54" spans="1:25">
      <c r="A54" s="100" t="str">
        <f t="shared" si="9"/>
        <v>Water Management Dams</v>
      </c>
      <c r="B54" t="s">
        <v>308</v>
      </c>
      <c r="C54" s="101">
        <f t="shared" si="10"/>
        <v>7500</v>
      </c>
      <c r="D54" s="109">
        <f t="shared" ref="D54:U54" si="25">$C26*D26</f>
        <v>0</v>
      </c>
      <c r="E54" s="109">
        <f t="shared" si="25"/>
        <v>0</v>
      </c>
      <c r="F54" s="109">
        <f t="shared" si="25"/>
        <v>0</v>
      </c>
      <c r="G54" s="109">
        <f t="shared" si="25"/>
        <v>0</v>
      </c>
      <c r="H54" s="109">
        <f t="shared" si="25"/>
        <v>0</v>
      </c>
      <c r="I54" s="109">
        <f t="shared" si="25"/>
        <v>0</v>
      </c>
      <c r="J54" s="109">
        <f t="shared" si="25"/>
        <v>0</v>
      </c>
      <c r="K54" s="109">
        <f t="shared" si="25"/>
        <v>0</v>
      </c>
      <c r="L54" s="109">
        <f t="shared" si="25"/>
        <v>0</v>
      </c>
      <c r="M54" s="109">
        <f t="shared" si="25"/>
        <v>0</v>
      </c>
      <c r="N54" s="109">
        <f t="shared" si="25"/>
        <v>0</v>
      </c>
      <c r="O54" s="109">
        <f t="shared" si="25"/>
        <v>0</v>
      </c>
      <c r="P54" s="109">
        <f t="shared" si="25"/>
        <v>0</v>
      </c>
      <c r="Q54" s="109">
        <f t="shared" si="25"/>
        <v>0</v>
      </c>
      <c r="R54" s="109">
        <f t="shared" si="25"/>
        <v>0</v>
      </c>
      <c r="S54" s="109">
        <f t="shared" si="25"/>
        <v>0</v>
      </c>
      <c r="T54" s="109">
        <f t="shared" si="25"/>
        <v>0</v>
      </c>
      <c r="U54" s="109">
        <f t="shared" si="25"/>
        <v>0</v>
      </c>
      <c r="V54" s="109">
        <f t="shared" si="12"/>
        <v>0</v>
      </c>
      <c r="W54" s="109">
        <f t="shared" si="12"/>
        <v>0</v>
      </c>
      <c r="X54" s="109">
        <f t="shared" si="12"/>
        <v>0</v>
      </c>
      <c r="Y54" s="109">
        <f t="shared" si="12"/>
        <v>0</v>
      </c>
    </row>
    <row r="55" spans="1:25">
      <c r="A55" s="100" t="str">
        <f t="shared" si="9"/>
        <v>Creek Crossing Civil Work</v>
      </c>
      <c r="B55" t="s">
        <v>308</v>
      </c>
      <c r="C55" s="101">
        <f t="shared" si="10"/>
        <v>20000</v>
      </c>
      <c r="D55" s="109">
        <f t="shared" ref="D55:U55" si="26">$C27*D27</f>
        <v>0</v>
      </c>
      <c r="E55" s="109">
        <f t="shared" si="26"/>
        <v>0</v>
      </c>
      <c r="F55" s="109">
        <f t="shared" si="26"/>
        <v>0</v>
      </c>
      <c r="G55" s="109">
        <f t="shared" si="26"/>
        <v>0</v>
      </c>
      <c r="H55" s="109">
        <f t="shared" si="26"/>
        <v>0</v>
      </c>
      <c r="I55" s="109">
        <f t="shared" si="26"/>
        <v>0</v>
      </c>
      <c r="J55" s="109">
        <f t="shared" si="26"/>
        <v>0</v>
      </c>
      <c r="K55" s="109">
        <f t="shared" si="26"/>
        <v>0</v>
      </c>
      <c r="L55" s="109">
        <f t="shared" si="26"/>
        <v>0</v>
      </c>
      <c r="M55" s="109">
        <f t="shared" si="26"/>
        <v>0</v>
      </c>
      <c r="N55" s="109">
        <f t="shared" si="26"/>
        <v>0</v>
      </c>
      <c r="O55" s="109">
        <f t="shared" si="26"/>
        <v>0</v>
      </c>
      <c r="P55" s="109">
        <f t="shared" si="26"/>
        <v>0</v>
      </c>
      <c r="Q55" s="109">
        <f t="shared" si="26"/>
        <v>0</v>
      </c>
      <c r="R55" s="109">
        <f t="shared" si="26"/>
        <v>0</v>
      </c>
      <c r="S55" s="109">
        <f t="shared" si="26"/>
        <v>0</v>
      </c>
      <c r="T55" s="109">
        <f t="shared" si="26"/>
        <v>0</v>
      </c>
      <c r="U55" s="109">
        <f t="shared" si="26"/>
        <v>0</v>
      </c>
      <c r="V55" s="109">
        <f t="shared" si="12"/>
        <v>0</v>
      </c>
      <c r="W55" s="109">
        <f t="shared" si="12"/>
        <v>0</v>
      </c>
      <c r="X55" s="109">
        <f t="shared" si="12"/>
        <v>0</v>
      </c>
      <c r="Y55" s="109">
        <f t="shared" si="12"/>
        <v>0</v>
      </c>
    </row>
    <row r="56" spans="1:25">
      <c r="A56" s="100" t="str">
        <f t="shared" si="9"/>
        <v>Haul Road Access</v>
      </c>
      <c r="B56" t="s">
        <v>308</v>
      </c>
      <c r="C56" s="101">
        <f t="shared" si="10"/>
        <v>3000</v>
      </c>
      <c r="D56" s="109">
        <f t="shared" ref="D56:U56" si="27">$C28*D28</f>
        <v>0</v>
      </c>
      <c r="E56" s="109">
        <f t="shared" si="27"/>
        <v>0</v>
      </c>
      <c r="F56" s="109">
        <f t="shared" si="27"/>
        <v>0</v>
      </c>
      <c r="G56" s="109">
        <f t="shared" si="27"/>
        <v>0</v>
      </c>
      <c r="H56" s="109">
        <f t="shared" si="27"/>
        <v>0</v>
      </c>
      <c r="I56" s="109">
        <f t="shared" si="27"/>
        <v>0</v>
      </c>
      <c r="J56" s="109">
        <f t="shared" si="27"/>
        <v>0</v>
      </c>
      <c r="K56" s="109">
        <f t="shared" si="27"/>
        <v>0</v>
      </c>
      <c r="L56" s="109">
        <f t="shared" si="27"/>
        <v>0</v>
      </c>
      <c r="M56" s="109">
        <f t="shared" si="27"/>
        <v>0</v>
      </c>
      <c r="N56" s="109">
        <f t="shared" si="27"/>
        <v>0</v>
      </c>
      <c r="O56" s="109">
        <f t="shared" si="27"/>
        <v>0</v>
      </c>
      <c r="P56" s="109">
        <f t="shared" si="27"/>
        <v>0</v>
      </c>
      <c r="Q56" s="109">
        <f t="shared" si="27"/>
        <v>0</v>
      </c>
      <c r="R56" s="109">
        <f t="shared" si="27"/>
        <v>0</v>
      </c>
      <c r="S56" s="109">
        <f t="shared" si="27"/>
        <v>0</v>
      </c>
      <c r="T56" s="109">
        <f t="shared" si="27"/>
        <v>0</v>
      </c>
      <c r="U56" s="109">
        <f t="shared" si="27"/>
        <v>0</v>
      </c>
      <c r="V56" s="109">
        <f t="shared" si="12"/>
        <v>0</v>
      </c>
      <c r="W56" s="109">
        <f t="shared" si="12"/>
        <v>0</v>
      </c>
      <c r="X56" s="109">
        <f t="shared" si="12"/>
        <v>0</v>
      </c>
      <c r="Y56" s="109">
        <f t="shared" si="12"/>
        <v>0</v>
      </c>
    </row>
    <row r="57" spans="1:25">
      <c r="A57" s="100" t="str">
        <f t="shared" si="9"/>
        <v>Dry Processing Plant</v>
      </c>
      <c r="B57" t="s">
        <v>308</v>
      </c>
      <c r="C57" s="101">
        <f t="shared" si="10"/>
        <v>20000</v>
      </c>
      <c r="D57" s="109">
        <f t="shared" ref="D57:U57" si="28">$C29*D29</f>
        <v>0</v>
      </c>
      <c r="E57" s="109">
        <f t="shared" si="28"/>
        <v>0</v>
      </c>
      <c r="F57" s="109">
        <f t="shared" si="28"/>
        <v>0</v>
      </c>
      <c r="G57" s="109">
        <f t="shared" si="28"/>
        <v>0</v>
      </c>
      <c r="H57" s="109">
        <f t="shared" si="28"/>
        <v>0</v>
      </c>
      <c r="I57" s="109">
        <f t="shared" si="28"/>
        <v>0</v>
      </c>
      <c r="J57" s="109">
        <f t="shared" si="28"/>
        <v>0</v>
      </c>
      <c r="K57" s="109">
        <f t="shared" si="28"/>
        <v>0</v>
      </c>
      <c r="L57" s="109">
        <f t="shared" si="28"/>
        <v>0</v>
      </c>
      <c r="M57" s="109">
        <f t="shared" si="28"/>
        <v>0</v>
      </c>
      <c r="N57" s="109">
        <f t="shared" si="28"/>
        <v>0</v>
      </c>
      <c r="O57" s="109">
        <f t="shared" si="28"/>
        <v>0</v>
      </c>
      <c r="P57" s="109">
        <f t="shared" si="28"/>
        <v>0</v>
      </c>
      <c r="Q57" s="109">
        <f t="shared" si="28"/>
        <v>0</v>
      </c>
      <c r="R57" s="109">
        <f t="shared" si="28"/>
        <v>0</v>
      </c>
      <c r="S57" s="109">
        <f t="shared" si="28"/>
        <v>0</v>
      </c>
      <c r="T57" s="109">
        <f t="shared" si="28"/>
        <v>0</v>
      </c>
      <c r="U57" s="109">
        <f t="shared" si="28"/>
        <v>0</v>
      </c>
      <c r="V57" s="109">
        <f t="shared" si="12"/>
        <v>0</v>
      </c>
      <c r="W57" s="109">
        <f t="shared" si="12"/>
        <v>0</v>
      </c>
      <c r="X57" s="109">
        <f t="shared" si="12"/>
        <v>0</v>
      </c>
      <c r="Y57" s="109">
        <f t="shared" si="12"/>
        <v>0</v>
      </c>
    </row>
    <row r="58" spans="1:25">
      <c r="A58" s="100">
        <f>A30</f>
        <v>0</v>
      </c>
      <c r="B58" t="s">
        <v>308</v>
      </c>
      <c r="C58" s="101">
        <f t="shared" si="10"/>
        <v>0</v>
      </c>
      <c r="D58" s="109">
        <f t="shared" ref="D58:U58" si="29">$C30*D30</f>
        <v>0</v>
      </c>
      <c r="E58" s="109">
        <f t="shared" si="29"/>
        <v>0</v>
      </c>
      <c r="F58" s="109">
        <f t="shared" si="29"/>
        <v>0</v>
      </c>
      <c r="G58" s="109">
        <f t="shared" si="29"/>
        <v>0</v>
      </c>
      <c r="H58" s="109">
        <f t="shared" si="29"/>
        <v>0</v>
      </c>
      <c r="I58" s="109">
        <f t="shared" si="29"/>
        <v>0</v>
      </c>
      <c r="J58" s="109">
        <f t="shared" si="29"/>
        <v>0</v>
      </c>
      <c r="K58" s="109">
        <f t="shared" si="29"/>
        <v>0</v>
      </c>
      <c r="L58" s="109">
        <f t="shared" si="29"/>
        <v>0</v>
      </c>
      <c r="M58" s="109">
        <f t="shared" si="29"/>
        <v>0</v>
      </c>
      <c r="N58" s="109">
        <f t="shared" si="29"/>
        <v>0</v>
      </c>
      <c r="O58" s="109">
        <f t="shared" si="29"/>
        <v>0</v>
      </c>
      <c r="P58" s="109">
        <f t="shared" si="29"/>
        <v>0</v>
      </c>
      <c r="Q58" s="109">
        <f t="shared" si="29"/>
        <v>0</v>
      </c>
      <c r="R58" s="109">
        <f t="shared" si="29"/>
        <v>0</v>
      </c>
      <c r="S58" s="109">
        <f t="shared" si="29"/>
        <v>0</v>
      </c>
      <c r="T58" s="109">
        <f t="shared" si="29"/>
        <v>0</v>
      </c>
      <c r="U58" s="109">
        <f t="shared" si="29"/>
        <v>0</v>
      </c>
      <c r="V58" s="109">
        <f t="shared" si="12"/>
        <v>0</v>
      </c>
      <c r="W58" s="109">
        <f t="shared" si="12"/>
        <v>0</v>
      </c>
      <c r="X58" s="109">
        <f t="shared" si="12"/>
        <v>0</v>
      </c>
      <c r="Y58" s="109">
        <f t="shared" si="12"/>
        <v>0</v>
      </c>
    </row>
    <row r="59" spans="1:25">
      <c r="A59" s="100">
        <f>A31</f>
        <v>0</v>
      </c>
      <c r="B59" t="s">
        <v>308</v>
      </c>
      <c r="C59" s="101">
        <f t="shared" si="10"/>
        <v>0</v>
      </c>
      <c r="D59" s="109">
        <f t="shared" ref="D59:U59" si="30">$C31*D31</f>
        <v>0</v>
      </c>
      <c r="E59" s="109">
        <f t="shared" si="30"/>
        <v>0</v>
      </c>
      <c r="F59" s="109">
        <f t="shared" si="30"/>
        <v>0</v>
      </c>
      <c r="G59" s="109">
        <f t="shared" si="30"/>
        <v>0</v>
      </c>
      <c r="H59" s="109">
        <f t="shared" si="30"/>
        <v>0</v>
      </c>
      <c r="I59" s="109">
        <f t="shared" si="30"/>
        <v>0</v>
      </c>
      <c r="J59" s="109">
        <f t="shared" si="30"/>
        <v>0</v>
      </c>
      <c r="K59" s="109">
        <f t="shared" si="30"/>
        <v>0</v>
      </c>
      <c r="L59" s="109">
        <f t="shared" si="30"/>
        <v>0</v>
      </c>
      <c r="M59" s="109">
        <f t="shared" si="30"/>
        <v>0</v>
      </c>
      <c r="N59" s="109">
        <f t="shared" si="30"/>
        <v>0</v>
      </c>
      <c r="O59" s="109">
        <f t="shared" si="30"/>
        <v>0</v>
      </c>
      <c r="P59" s="109">
        <f t="shared" si="30"/>
        <v>0</v>
      </c>
      <c r="Q59" s="109">
        <f t="shared" si="30"/>
        <v>0</v>
      </c>
      <c r="R59" s="109">
        <f t="shared" si="30"/>
        <v>0</v>
      </c>
      <c r="S59" s="109">
        <f t="shared" si="30"/>
        <v>0</v>
      </c>
      <c r="T59" s="109">
        <f t="shared" si="30"/>
        <v>0</v>
      </c>
      <c r="U59" s="109">
        <f t="shared" si="30"/>
        <v>0</v>
      </c>
      <c r="V59" s="109">
        <f t="shared" si="12"/>
        <v>0</v>
      </c>
      <c r="W59" s="109">
        <f t="shared" si="12"/>
        <v>0</v>
      </c>
      <c r="X59" s="109">
        <f t="shared" si="12"/>
        <v>0</v>
      </c>
      <c r="Y59" s="109">
        <f t="shared" si="12"/>
        <v>0</v>
      </c>
    </row>
    <row r="60" spans="1:25">
      <c r="A60" s="100" t="s">
        <v>230</v>
      </c>
      <c r="D60" s="109">
        <f>SUM(D35:D59)</f>
        <v>0</v>
      </c>
      <c r="E60" s="109">
        <f t="shared" ref="E60:Y60" si="31">SUM(E35:E59)</f>
        <v>0</v>
      </c>
      <c r="F60" s="109">
        <f t="shared" si="31"/>
        <v>0</v>
      </c>
      <c r="G60" s="109">
        <f t="shared" si="31"/>
        <v>0</v>
      </c>
      <c r="H60" s="109">
        <f t="shared" si="31"/>
        <v>0</v>
      </c>
      <c r="I60" s="109">
        <f t="shared" si="31"/>
        <v>0</v>
      </c>
      <c r="J60" s="109">
        <f t="shared" si="31"/>
        <v>0</v>
      </c>
      <c r="K60" s="109">
        <f t="shared" si="31"/>
        <v>0</v>
      </c>
      <c r="L60" s="109">
        <f t="shared" si="31"/>
        <v>0</v>
      </c>
      <c r="M60" s="109">
        <f t="shared" si="31"/>
        <v>0</v>
      </c>
      <c r="N60" s="109">
        <f t="shared" si="31"/>
        <v>0</v>
      </c>
      <c r="O60" s="109">
        <f t="shared" si="31"/>
        <v>0</v>
      </c>
      <c r="P60" s="109">
        <f t="shared" si="31"/>
        <v>0</v>
      </c>
      <c r="Q60" s="109">
        <f t="shared" si="31"/>
        <v>0</v>
      </c>
      <c r="R60" s="109">
        <f t="shared" si="31"/>
        <v>0</v>
      </c>
      <c r="S60" s="109">
        <f t="shared" si="31"/>
        <v>0</v>
      </c>
      <c r="T60" s="109">
        <f t="shared" si="31"/>
        <v>0</v>
      </c>
      <c r="U60" s="109">
        <f t="shared" si="31"/>
        <v>0</v>
      </c>
      <c r="V60" s="109">
        <f t="shared" si="31"/>
        <v>0</v>
      </c>
      <c r="W60" s="109">
        <f t="shared" si="31"/>
        <v>0</v>
      </c>
      <c r="X60" s="109">
        <f t="shared" si="31"/>
        <v>0</v>
      </c>
      <c r="Y60" s="109">
        <f t="shared" si="31"/>
        <v>0</v>
      </c>
    </row>
    <row r="61" spans="1:25">
      <c r="A61" s="100" t="s">
        <v>318</v>
      </c>
      <c r="B61" s="34" t="s">
        <v>43</v>
      </c>
      <c r="C61" s="43">
        <v>0.2</v>
      </c>
      <c r="D61" s="109">
        <f>$C$61*D60</f>
        <v>0</v>
      </c>
      <c r="E61" s="109">
        <f t="shared" ref="E61:U61" si="32">$C$61*E60</f>
        <v>0</v>
      </c>
      <c r="F61" s="109">
        <f t="shared" si="32"/>
        <v>0</v>
      </c>
      <c r="G61" s="109">
        <f t="shared" si="32"/>
        <v>0</v>
      </c>
      <c r="H61" s="109">
        <f t="shared" si="32"/>
        <v>0</v>
      </c>
      <c r="I61" s="109">
        <f t="shared" si="32"/>
        <v>0</v>
      </c>
      <c r="J61" s="109">
        <f t="shared" si="32"/>
        <v>0</v>
      </c>
      <c r="K61" s="109">
        <f t="shared" si="32"/>
        <v>0</v>
      </c>
      <c r="L61" s="109">
        <f t="shared" si="32"/>
        <v>0</v>
      </c>
      <c r="M61" s="109">
        <f t="shared" si="32"/>
        <v>0</v>
      </c>
      <c r="N61" s="109">
        <f t="shared" si="32"/>
        <v>0</v>
      </c>
      <c r="O61" s="109">
        <f t="shared" si="32"/>
        <v>0</v>
      </c>
      <c r="P61" s="109">
        <f t="shared" si="32"/>
        <v>0</v>
      </c>
      <c r="Q61" s="109">
        <f t="shared" si="32"/>
        <v>0</v>
      </c>
      <c r="R61" s="109">
        <f t="shared" si="32"/>
        <v>0</v>
      </c>
      <c r="S61" s="109">
        <f t="shared" si="32"/>
        <v>0</v>
      </c>
      <c r="T61" s="109">
        <f t="shared" si="32"/>
        <v>0</v>
      </c>
      <c r="U61" s="109">
        <f t="shared" si="32"/>
        <v>0</v>
      </c>
      <c r="V61" s="109">
        <f>$C$61*V60</f>
        <v>0</v>
      </c>
      <c r="W61" s="109">
        <f>$C$61*W60</f>
        <v>0</v>
      </c>
      <c r="X61" s="109">
        <f>$C$61*X60</f>
        <v>0</v>
      </c>
      <c r="Y61" s="109">
        <f>$C$61*Y60</f>
        <v>0</v>
      </c>
    </row>
    <row r="62" spans="1:25" ht="16" thickBot="1">
      <c r="A62" s="105" t="s">
        <v>319</v>
      </c>
      <c r="B62" s="106"/>
      <c r="C62" s="106"/>
      <c r="D62" s="111">
        <f>D61+D60</f>
        <v>0</v>
      </c>
      <c r="E62" s="111">
        <f t="shared" ref="E62:U62" si="33">E61+E60</f>
        <v>0</v>
      </c>
      <c r="F62" s="111">
        <f t="shared" si="33"/>
        <v>0</v>
      </c>
      <c r="G62" s="111">
        <f t="shared" si="33"/>
        <v>0</v>
      </c>
      <c r="H62" s="111">
        <f t="shared" si="33"/>
        <v>0</v>
      </c>
      <c r="I62" s="111">
        <f t="shared" si="33"/>
        <v>0</v>
      </c>
      <c r="J62" s="111">
        <f t="shared" si="33"/>
        <v>0</v>
      </c>
      <c r="K62" s="111">
        <f t="shared" si="33"/>
        <v>0</v>
      </c>
      <c r="L62" s="111">
        <f t="shared" si="33"/>
        <v>0</v>
      </c>
      <c r="M62" s="111">
        <f t="shared" si="33"/>
        <v>0</v>
      </c>
      <c r="N62" s="111">
        <f t="shared" si="33"/>
        <v>0</v>
      </c>
      <c r="O62" s="111">
        <f t="shared" si="33"/>
        <v>0</v>
      </c>
      <c r="P62" s="111">
        <f t="shared" si="33"/>
        <v>0</v>
      </c>
      <c r="Q62" s="111">
        <f t="shared" si="33"/>
        <v>0</v>
      </c>
      <c r="R62" s="111">
        <f t="shared" si="33"/>
        <v>0</v>
      </c>
      <c r="S62" s="111">
        <f t="shared" si="33"/>
        <v>0</v>
      </c>
      <c r="T62" s="111">
        <f t="shared" si="33"/>
        <v>0</v>
      </c>
      <c r="U62" s="111">
        <f t="shared" si="33"/>
        <v>0</v>
      </c>
      <c r="V62" s="111">
        <f>V61+V60</f>
        <v>0</v>
      </c>
      <c r="W62" s="111">
        <f>W61+W60</f>
        <v>0</v>
      </c>
      <c r="X62" s="111">
        <f>X61+X60</f>
        <v>0</v>
      </c>
      <c r="Y62" s="111">
        <f>Y61+Y60</f>
        <v>0</v>
      </c>
    </row>
    <row r="67" spans="2:2">
      <c r="B67" s="89"/>
    </row>
    <row r="68" spans="2:2">
      <c r="B68" s="89"/>
    </row>
    <row r="69" spans="2:2">
      <c r="B69" s="89"/>
    </row>
    <row r="70" spans="2:2">
      <c r="B70" s="89"/>
    </row>
    <row r="71" spans="2:2">
      <c r="B71" s="89"/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FEFF-9BB8-4396-BB92-028A2D68474C}">
  <sheetPr>
    <tabColor rgb="FFFFFF00"/>
  </sheetPr>
  <dimension ref="A1:AY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baseColWidth="10" defaultColWidth="8.83203125" defaultRowHeight="15"/>
  <cols>
    <col min="1" max="1" width="21.1640625" bestFit="1" customWidth="1"/>
  </cols>
  <sheetData>
    <row r="1" spans="1:51">
      <c r="A1" t="s">
        <v>389</v>
      </c>
      <c r="B1" s="53">
        <v>2026</v>
      </c>
      <c r="C1" s="53">
        <f>B1+1</f>
        <v>2027</v>
      </c>
      <c r="D1" s="53">
        <f t="shared" ref="D1:AB1" si="0">C1+1</f>
        <v>2028</v>
      </c>
      <c r="E1" s="53">
        <f t="shared" si="0"/>
        <v>2029</v>
      </c>
      <c r="F1" s="53">
        <f t="shared" si="0"/>
        <v>2030</v>
      </c>
      <c r="G1" s="53">
        <f t="shared" si="0"/>
        <v>2031</v>
      </c>
      <c r="H1" s="53">
        <f t="shared" si="0"/>
        <v>2032</v>
      </c>
      <c r="I1" s="53">
        <f t="shared" si="0"/>
        <v>2033</v>
      </c>
      <c r="J1" s="53">
        <f t="shared" si="0"/>
        <v>2034</v>
      </c>
      <c r="K1" s="53">
        <f t="shared" si="0"/>
        <v>2035</v>
      </c>
      <c r="L1" s="53">
        <f t="shared" si="0"/>
        <v>2036</v>
      </c>
      <c r="M1" s="53">
        <f t="shared" si="0"/>
        <v>2037</v>
      </c>
      <c r="N1" s="53">
        <f t="shared" si="0"/>
        <v>2038</v>
      </c>
      <c r="O1" s="53">
        <f t="shared" si="0"/>
        <v>2039</v>
      </c>
      <c r="P1" s="53">
        <f t="shared" si="0"/>
        <v>2040</v>
      </c>
      <c r="Q1" s="53">
        <f t="shared" si="0"/>
        <v>2041</v>
      </c>
      <c r="R1" s="53">
        <f t="shared" si="0"/>
        <v>2042</v>
      </c>
      <c r="S1" s="53">
        <f t="shared" si="0"/>
        <v>2043</v>
      </c>
      <c r="T1" s="53">
        <f t="shared" si="0"/>
        <v>2044</v>
      </c>
      <c r="U1" s="53">
        <f t="shared" si="0"/>
        <v>2045</v>
      </c>
      <c r="V1" s="53">
        <f t="shared" si="0"/>
        <v>2046</v>
      </c>
      <c r="W1" s="53">
        <f t="shared" si="0"/>
        <v>2047</v>
      </c>
      <c r="X1" s="53">
        <f t="shared" si="0"/>
        <v>2048</v>
      </c>
      <c r="Y1" s="53">
        <f t="shared" si="0"/>
        <v>2049</v>
      </c>
      <c r="Z1" s="53">
        <f t="shared" si="0"/>
        <v>2050</v>
      </c>
      <c r="AA1" s="53">
        <f t="shared" si="0"/>
        <v>2051</v>
      </c>
      <c r="AB1" s="53">
        <f t="shared" si="0"/>
        <v>2052</v>
      </c>
      <c r="AC1" s="53">
        <f t="shared" ref="AC1" si="1">AB1+1</f>
        <v>2053</v>
      </c>
      <c r="AD1" s="53">
        <f t="shared" ref="AD1" si="2">AC1+1</f>
        <v>2054</v>
      </c>
      <c r="AE1" s="53">
        <f t="shared" ref="AE1" si="3">AD1+1</f>
        <v>2055</v>
      </c>
      <c r="AF1" s="53">
        <f t="shared" ref="AF1" si="4">AE1+1</f>
        <v>2056</v>
      </c>
      <c r="AG1" s="53">
        <f t="shared" ref="AG1" si="5">AF1+1</f>
        <v>2057</v>
      </c>
      <c r="AH1" s="53">
        <f t="shared" ref="AH1" si="6">AG1+1</f>
        <v>2058</v>
      </c>
      <c r="AI1" s="53">
        <f t="shared" ref="AI1" si="7">AH1+1</f>
        <v>2059</v>
      </c>
      <c r="AJ1" s="53">
        <f t="shared" ref="AJ1" si="8">AI1+1</f>
        <v>2060</v>
      </c>
      <c r="AK1" s="53">
        <f t="shared" ref="AK1" si="9">AJ1+1</f>
        <v>2061</v>
      </c>
      <c r="AL1" s="53">
        <f t="shared" ref="AL1" si="10">AK1+1</f>
        <v>2062</v>
      </c>
      <c r="AM1" s="53">
        <f t="shared" ref="AM1" si="11">AL1+1</f>
        <v>2063</v>
      </c>
      <c r="AN1" s="53">
        <f t="shared" ref="AN1" si="12">AM1+1</f>
        <v>2064</v>
      </c>
      <c r="AO1" s="53">
        <f t="shared" ref="AO1" si="13">AN1+1</f>
        <v>2065</v>
      </c>
      <c r="AP1" s="53">
        <f t="shared" ref="AP1" si="14">AO1+1</f>
        <v>2066</v>
      </c>
      <c r="AQ1" s="53">
        <f t="shared" ref="AQ1" si="15">AP1+1</f>
        <v>2067</v>
      </c>
      <c r="AR1" s="53">
        <f t="shared" ref="AR1" si="16">AQ1+1</f>
        <v>2068</v>
      </c>
      <c r="AS1" s="53">
        <f t="shared" ref="AS1" si="17">AR1+1</f>
        <v>2069</v>
      </c>
      <c r="AT1" s="53">
        <f t="shared" ref="AT1" si="18">AS1+1</f>
        <v>2070</v>
      </c>
      <c r="AU1" s="53">
        <f t="shared" ref="AU1" si="19">AT1+1</f>
        <v>2071</v>
      </c>
      <c r="AV1" s="53">
        <f t="shared" ref="AV1" si="20">AU1+1</f>
        <v>2072</v>
      </c>
      <c r="AW1" s="53">
        <f t="shared" ref="AW1" si="21">AV1+1</f>
        <v>2073</v>
      </c>
      <c r="AX1" s="53">
        <f t="shared" ref="AX1" si="22">AW1+1</f>
        <v>2074</v>
      </c>
      <c r="AY1" s="53">
        <f t="shared" ref="AY1" si="23">AX1+1</f>
        <v>2075</v>
      </c>
    </row>
    <row r="2" spans="1:51">
      <c r="A2" t="s">
        <v>390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t="s">
        <v>24</v>
      </c>
      <c r="B3" s="136">
        <v>45</v>
      </c>
      <c r="C3" s="136">
        <v>50</v>
      </c>
      <c r="D3" s="136">
        <v>55</v>
      </c>
      <c r="E3" s="136">
        <v>65</v>
      </c>
      <c r="F3" s="136">
        <v>80</v>
      </c>
      <c r="G3" s="136">
        <v>90</v>
      </c>
      <c r="H3" s="136">
        <v>100</v>
      </c>
      <c r="I3" s="136">
        <v>105</v>
      </c>
      <c r="J3" s="136">
        <v>110</v>
      </c>
      <c r="K3" s="136">
        <v>115</v>
      </c>
      <c r="L3" s="136">
        <v>115</v>
      </c>
      <c r="M3" s="136">
        <v>115</v>
      </c>
      <c r="N3" s="136">
        <v>120</v>
      </c>
      <c r="O3" s="136">
        <v>120</v>
      </c>
      <c r="P3" s="136">
        <v>120</v>
      </c>
      <c r="Q3" s="136">
        <v>120</v>
      </c>
      <c r="R3" s="136">
        <v>120</v>
      </c>
      <c r="S3" s="136">
        <v>120</v>
      </c>
      <c r="T3" s="136">
        <v>115</v>
      </c>
      <c r="U3" s="136">
        <v>115</v>
      </c>
      <c r="V3" s="136">
        <v>115</v>
      </c>
      <c r="W3" s="136">
        <v>120</v>
      </c>
      <c r="X3" s="136">
        <v>130</v>
      </c>
      <c r="Y3" s="136">
        <v>140</v>
      </c>
      <c r="Z3" s="136">
        <v>140</v>
      </c>
      <c r="AA3" s="136">
        <v>145</v>
      </c>
      <c r="AB3" s="136">
        <v>150</v>
      </c>
      <c r="AC3" s="136">
        <v>150</v>
      </c>
      <c r="AD3" s="136">
        <v>155</v>
      </c>
      <c r="AE3" s="136">
        <v>155</v>
      </c>
      <c r="AF3" s="136">
        <v>160</v>
      </c>
      <c r="AG3" s="136">
        <v>165</v>
      </c>
      <c r="AH3" s="136">
        <v>165</v>
      </c>
      <c r="AI3" s="136">
        <v>170</v>
      </c>
      <c r="AJ3" s="136">
        <v>175</v>
      </c>
      <c r="AK3" s="136">
        <v>175</v>
      </c>
      <c r="AL3" s="136">
        <v>180</v>
      </c>
      <c r="AM3" s="136">
        <v>185</v>
      </c>
      <c r="AN3" s="136">
        <v>190</v>
      </c>
      <c r="AO3" s="136">
        <v>190</v>
      </c>
      <c r="AP3" s="136">
        <v>195</v>
      </c>
      <c r="AQ3" s="136">
        <v>200</v>
      </c>
      <c r="AR3" s="136">
        <v>200</v>
      </c>
      <c r="AS3" s="136">
        <v>200</v>
      </c>
      <c r="AT3" s="136">
        <v>200</v>
      </c>
      <c r="AU3" s="136">
        <v>200</v>
      </c>
      <c r="AV3" s="136">
        <v>200</v>
      </c>
      <c r="AW3" s="136">
        <v>200</v>
      </c>
      <c r="AX3" s="136">
        <v>200</v>
      </c>
      <c r="AY3" s="136">
        <v>200</v>
      </c>
    </row>
    <row r="5" spans="1:51"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</row>
    <row r="6" spans="1:51"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385A-74A7-4596-BA8C-471C644D0630}">
  <dimension ref="A1:ED36"/>
  <sheetViews>
    <sheetView topLeftCell="A14" workbookViewId="0">
      <selection activeCell="J12" sqref="J12"/>
    </sheetView>
  </sheetViews>
  <sheetFormatPr baseColWidth="10" defaultColWidth="10.5" defaultRowHeight="13"/>
  <cols>
    <col min="1" max="1" width="53.5" style="238" customWidth="1"/>
    <col min="2" max="2" width="19.5" style="238" customWidth="1"/>
    <col min="3" max="3" width="13.5" style="238" customWidth="1"/>
    <col min="4" max="4" width="31.83203125" style="238" customWidth="1"/>
    <col min="5" max="11" width="15.5" style="238" customWidth="1"/>
    <col min="12" max="12" width="15.5" style="265" customWidth="1"/>
    <col min="13" max="13" width="15.5" style="266" customWidth="1"/>
    <col min="14" max="26" width="15.5" style="238" customWidth="1"/>
    <col min="27" max="47" width="15.1640625" style="238" customWidth="1"/>
    <col min="48" max="48" width="15.5" style="238" bestFit="1" customWidth="1"/>
    <col min="49" max="49" width="16.5" style="238" bestFit="1" customWidth="1"/>
    <col min="50" max="51" width="15.1640625" style="238" customWidth="1"/>
    <col min="52" max="52" width="44.5" style="238" bestFit="1" customWidth="1"/>
    <col min="53" max="53" width="7.5" style="238" bestFit="1" customWidth="1"/>
    <col min="54" max="54" width="20.5" style="238" bestFit="1" customWidth="1"/>
    <col min="55" max="55" width="11.5" style="238" bestFit="1" customWidth="1"/>
    <col min="56" max="56" width="12" style="238" bestFit="1" customWidth="1"/>
    <col min="57" max="57" width="10.5" style="238"/>
    <col min="58" max="58" width="44.5" style="238" bestFit="1" customWidth="1"/>
    <col min="59" max="59" width="7.5" style="238" bestFit="1" customWidth="1"/>
    <col min="60" max="60" width="20.5" style="238" bestFit="1" customWidth="1"/>
    <col min="61" max="61" width="11.5" style="238" bestFit="1" customWidth="1"/>
    <col min="62" max="62" width="12" style="238" bestFit="1" customWidth="1"/>
    <col min="63" max="63" width="10.5" style="238"/>
    <col min="64" max="64" width="44.5" style="238" bestFit="1" customWidth="1"/>
    <col min="65" max="65" width="7.5" style="238" bestFit="1" customWidth="1"/>
    <col min="66" max="66" width="20.5" style="238" bestFit="1" customWidth="1"/>
    <col min="67" max="67" width="11.5" style="238" bestFit="1" customWidth="1"/>
    <col min="68" max="68" width="12" style="238" bestFit="1" customWidth="1"/>
    <col min="69" max="69" width="10.5" style="238"/>
    <col min="70" max="70" width="44.5" style="238" bestFit="1" customWidth="1"/>
    <col min="71" max="71" width="7.5" style="238" bestFit="1" customWidth="1"/>
    <col min="72" max="72" width="20.5" style="238" bestFit="1" customWidth="1"/>
    <col min="73" max="73" width="11.5" style="238" bestFit="1" customWidth="1"/>
    <col min="74" max="74" width="12" style="238" bestFit="1" customWidth="1"/>
    <col min="75" max="75" width="10.5" style="238"/>
    <col min="76" max="76" width="44.5" style="238" bestFit="1" customWidth="1"/>
    <col min="77" max="77" width="7.5" style="238" bestFit="1" customWidth="1"/>
    <col min="78" max="78" width="20.5" style="238" bestFit="1" customWidth="1"/>
    <col min="79" max="79" width="11.5" style="238" bestFit="1" customWidth="1"/>
    <col min="80" max="80" width="12" style="238" bestFit="1" customWidth="1"/>
    <col min="81" max="81" width="10.5" style="238"/>
    <col min="82" max="82" width="44.5" style="238" bestFit="1" customWidth="1"/>
    <col min="83" max="83" width="7.5" style="238" bestFit="1" customWidth="1"/>
    <col min="84" max="84" width="20.5" style="238" bestFit="1" customWidth="1"/>
    <col min="85" max="85" width="11.5" style="238" bestFit="1" customWidth="1"/>
    <col min="86" max="86" width="12" style="238" bestFit="1" customWidth="1"/>
    <col min="87" max="87" width="10.5" style="238"/>
    <col min="88" max="88" width="44.5" style="238" bestFit="1" customWidth="1"/>
    <col min="89" max="89" width="7.5" style="238" bestFit="1" customWidth="1"/>
    <col min="90" max="90" width="20.5" style="238" bestFit="1" customWidth="1"/>
    <col min="91" max="91" width="11.5" style="238" bestFit="1" customWidth="1"/>
    <col min="92" max="92" width="12" style="238" bestFit="1" customWidth="1"/>
    <col min="93" max="93" width="10.5" style="238"/>
    <col min="94" max="94" width="44.5" style="238" bestFit="1" customWidth="1"/>
    <col min="95" max="95" width="7.5" style="238" bestFit="1" customWidth="1"/>
    <col min="96" max="96" width="20.5" style="238" bestFit="1" customWidth="1"/>
    <col min="97" max="97" width="11.5" style="238" bestFit="1" customWidth="1"/>
    <col min="98" max="98" width="12" style="238" bestFit="1" customWidth="1"/>
    <col min="99" max="16384" width="10.5" style="238"/>
  </cols>
  <sheetData>
    <row r="1" spans="1:49">
      <c r="A1" s="237" t="s">
        <v>391</v>
      </c>
      <c r="E1" s="239">
        <f>E5</f>
        <v>46752</v>
      </c>
      <c r="F1" s="239">
        <f t="shared" ref="F1:AP1" si="0">F5</f>
        <v>47118</v>
      </c>
      <c r="G1" s="239">
        <f t="shared" si="0"/>
        <v>47483</v>
      </c>
      <c r="H1" s="239">
        <f t="shared" si="0"/>
        <v>47848</v>
      </c>
      <c r="I1" s="239">
        <f t="shared" si="0"/>
        <v>48213</v>
      </c>
      <c r="J1" s="239">
        <f t="shared" si="0"/>
        <v>48579</v>
      </c>
      <c r="K1" s="239">
        <f t="shared" si="0"/>
        <v>48944</v>
      </c>
      <c r="L1" s="239">
        <f t="shared" si="0"/>
        <v>49309</v>
      </c>
      <c r="M1" s="239">
        <f t="shared" si="0"/>
        <v>49674</v>
      </c>
      <c r="N1" s="239">
        <f t="shared" si="0"/>
        <v>50040</v>
      </c>
      <c r="O1" s="239">
        <f t="shared" si="0"/>
        <v>50405</v>
      </c>
      <c r="P1" s="239">
        <f t="shared" si="0"/>
        <v>50770</v>
      </c>
      <c r="Q1" s="239">
        <f t="shared" si="0"/>
        <v>51135</v>
      </c>
      <c r="R1" s="239">
        <f t="shared" si="0"/>
        <v>51501</v>
      </c>
      <c r="S1" s="239">
        <f t="shared" si="0"/>
        <v>51866</v>
      </c>
      <c r="T1" s="239">
        <f t="shared" si="0"/>
        <v>52231</v>
      </c>
      <c r="U1" s="239">
        <f t="shared" si="0"/>
        <v>52596</v>
      </c>
      <c r="V1" s="239">
        <f t="shared" si="0"/>
        <v>52962</v>
      </c>
      <c r="W1" s="239">
        <f t="shared" si="0"/>
        <v>53327</v>
      </c>
      <c r="X1" s="239">
        <f t="shared" si="0"/>
        <v>53692</v>
      </c>
      <c r="Y1" s="239">
        <f t="shared" si="0"/>
        <v>54057</v>
      </c>
      <c r="Z1" s="239">
        <f t="shared" si="0"/>
        <v>54423</v>
      </c>
      <c r="AA1" s="239">
        <f t="shared" si="0"/>
        <v>54788</v>
      </c>
      <c r="AB1" s="239">
        <f t="shared" si="0"/>
        <v>55153</v>
      </c>
      <c r="AC1" s="239">
        <f t="shared" si="0"/>
        <v>55518</v>
      </c>
      <c r="AD1" s="239">
        <f t="shared" si="0"/>
        <v>55884</v>
      </c>
      <c r="AE1" s="239">
        <f t="shared" si="0"/>
        <v>56249</v>
      </c>
      <c r="AF1" s="239">
        <f t="shared" si="0"/>
        <v>56614</v>
      </c>
      <c r="AG1" s="239">
        <f t="shared" si="0"/>
        <v>56979</v>
      </c>
      <c r="AH1" s="239">
        <f t="shared" si="0"/>
        <v>57345</v>
      </c>
      <c r="AI1" s="239">
        <f t="shared" si="0"/>
        <v>57710</v>
      </c>
      <c r="AJ1" s="239">
        <f t="shared" si="0"/>
        <v>58075</v>
      </c>
      <c r="AK1" s="239">
        <f t="shared" si="0"/>
        <v>58440</v>
      </c>
      <c r="AL1" s="239">
        <f t="shared" si="0"/>
        <v>58806</v>
      </c>
      <c r="AM1" s="239">
        <f t="shared" si="0"/>
        <v>59171</v>
      </c>
      <c r="AN1" s="239">
        <f t="shared" si="0"/>
        <v>59536</v>
      </c>
      <c r="AO1" s="239">
        <f t="shared" si="0"/>
        <v>59901</v>
      </c>
      <c r="AP1" s="239">
        <f t="shared" si="0"/>
        <v>60267</v>
      </c>
      <c r="AQ1" s="239">
        <f t="shared" ref="AQ1:AV1" si="1">AQ5</f>
        <v>60632</v>
      </c>
      <c r="AR1" s="239">
        <f t="shared" si="1"/>
        <v>60997</v>
      </c>
      <c r="AS1" s="239">
        <f t="shared" si="1"/>
        <v>61362</v>
      </c>
      <c r="AT1" s="239">
        <f t="shared" si="1"/>
        <v>61728</v>
      </c>
      <c r="AU1" s="239">
        <f t="shared" si="1"/>
        <v>62093</v>
      </c>
      <c r="AV1" s="239">
        <f t="shared" si="1"/>
        <v>62458</v>
      </c>
      <c r="AW1" s="239">
        <f t="shared" ref="AW1" si="2">AW5</f>
        <v>62823</v>
      </c>
    </row>
    <row r="2" spans="1:49" ht="18">
      <c r="A2" s="240" t="s">
        <v>392</v>
      </c>
      <c r="B2" s="241" t="str">
        <f>CONCATENATE("Emissions from Decom Mine: "," ",B5)</f>
        <v>Emissions from Decom Mine:  Springbok + Brave Blossom</v>
      </c>
      <c r="D2" s="242" t="s">
        <v>393</v>
      </c>
      <c r="E2" s="243">
        <f>IFERROR(IF(E5&lt;$B$11,IF(E5&gt;$B$6,MAX(E3:E4),0),0),0)</f>
        <v>0</v>
      </c>
      <c r="F2" s="243">
        <f t="shared" ref="F2:G2" si="3">IFERROR(IF(F5&lt;$B$11,IF(F5&gt;$B$6,MAX(F3:F4),0),0),0)</f>
        <v>0</v>
      </c>
      <c r="G2" s="243">
        <f t="shared" si="3"/>
        <v>0</v>
      </c>
      <c r="H2" s="243">
        <f>IFERROR(IF(H5&lt;$B$11,IF(H5&gt;$B$6,MAX(H3:H4),0),0),0)</f>
        <v>0</v>
      </c>
      <c r="I2" s="243">
        <f t="shared" ref="I2:AW2" si="4">IFERROR(IF(I5&lt;$B$11,IF(I5&gt;$B$6,MAX(I3:I4),0),0),0)</f>
        <v>0</v>
      </c>
      <c r="J2" s="243">
        <f>IFERROR(IF(J5&lt;$B$11,IF(J5&gt;$B$6,MAX(J3:J4),0),0),0)</f>
        <v>0</v>
      </c>
      <c r="K2" s="243">
        <f t="shared" si="4"/>
        <v>0</v>
      </c>
      <c r="L2" s="243">
        <f t="shared" si="4"/>
        <v>0</v>
      </c>
      <c r="M2" s="243">
        <f t="shared" si="4"/>
        <v>0</v>
      </c>
      <c r="N2" s="243">
        <f t="shared" si="4"/>
        <v>0</v>
      </c>
      <c r="O2" s="243">
        <f t="shared" si="4"/>
        <v>0</v>
      </c>
      <c r="P2" s="243">
        <f t="shared" si="4"/>
        <v>0</v>
      </c>
      <c r="Q2" s="243">
        <f t="shared" si="4"/>
        <v>0</v>
      </c>
      <c r="R2" s="243">
        <f t="shared" si="4"/>
        <v>0</v>
      </c>
      <c r="S2" s="243">
        <f t="shared" si="4"/>
        <v>0</v>
      </c>
      <c r="T2" s="243">
        <f t="shared" si="4"/>
        <v>0</v>
      </c>
      <c r="U2" s="243">
        <f t="shared" si="4"/>
        <v>0</v>
      </c>
      <c r="V2" s="243">
        <f t="shared" si="4"/>
        <v>0</v>
      </c>
      <c r="W2" s="243">
        <f t="shared" si="4"/>
        <v>0</v>
      </c>
      <c r="X2" s="243">
        <f t="shared" si="4"/>
        <v>0</v>
      </c>
      <c r="Y2" s="243">
        <f t="shared" si="4"/>
        <v>0</v>
      </c>
      <c r="Z2" s="243">
        <f t="shared" si="4"/>
        <v>0</v>
      </c>
      <c r="AA2" s="243">
        <f t="shared" si="4"/>
        <v>0</v>
      </c>
      <c r="AB2" s="243">
        <f t="shared" si="4"/>
        <v>0</v>
      </c>
      <c r="AC2" s="243">
        <f t="shared" si="4"/>
        <v>840621.19577013573</v>
      </c>
      <c r="AD2" s="243">
        <f t="shared" si="4"/>
        <v>632306.95881303796</v>
      </c>
      <c r="AE2" s="243">
        <f t="shared" si="4"/>
        <v>496522.51881673187</v>
      </c>
      <c r="AF2" s="243">
        <f t="shared" si="4"/>
        <v>402130.6851680745</v>
      </c>
      <c r="AG2" s="243">
        <f t="shared" si="4"/>
        <v>333334.1233251511</v>
      </c>
      <c r="AH2" s="243">
        <f t="shared" si="4"/>
        <v>281339.28216088144</v>
      </c>
      <c r="AI2" s="243">
        <f t="shared" si="4"/>
        <v>240897.03713268836</v>
      </c>
      <c r="AJ2" s="243">
        <f t="shared" si="4"/>
        <v>208697.96870120725</v>
      </c>
      <c r="AK2" s="243">
        <f t="shared" si="4"/>
        <v>182561.69636154367</v>
      </c>
      <c r="AL2" s="243">
        <f t="shared" si="4"/>
        <v>160998.68644832275</v>
      </c>
      <c r="AM2" s="243">
        <f>IFERROR(IF(AM5&lt;$B$11,IF(AM5&gt;$B$6,MAX(AM3:AM4),0),0),0)</f>
        <v>142959.97620265037</v>
      </c>
      <c r="AN2" s="243">
        <f t="shared" si="4"/>
        <v>127687.52437732666</v>
      </c>
      <c r="AO2" s="243">
        <f t="shared" si="4"/>
        <v>114621.19488334148</v>
      </c>
      <c r="AP2" s="243">
        <f t="shared" si="4"/>
        <v>103338.9884541268</v>
      </c>
      <c r="AQ2" s="243">
        <f t="shared" si="4"/>
        <v>93517.515416091745</v>
      </c>
      <c r="AR2" s="243">
        <f t="shared" si="4"/>
        <v>84905.186554309577</v>
      </c>
      <c r="AS2" s="243">
        <f t="shared" si="4"/>
        <v>77303.619943629077</v>
      </c>
      <c r="AT2" s="243">
        <f t="shared" si="4"/>
        <v>70554.487356517973</v>
      </c>
      <c r="AU2" s="243">
        <f>IFERROR(IF(AU5&lt;$B$11,IF(AU5&gt;$B$6,MAX(AU3:AU4),0),0),0)</f>
        <v>64530.041872912065</v>
      </c>
      <c r="AV2" s="243">
        <f t="shared" si="4"/>
        <v>20160</v>
      </c>
      <c r="AW2" s="243">
        <f t="shared" si="4"/>
        <v>0</v>
      </c>
    </row>
    <row r="3" spans="1:49">
      <c r="D3" s="238" t="s">
        <v>394</v>
      </c>
      <c r="E3" s="244">
        <f>E16</f>
        <v>0</v>
      </c>
      <c r="F3" s="244">
        <f t="shared" ref="F3:AP3" si="5">F16</f>
        <v>0</v>
      </c>
      <c r="G3" s="244">
        <f t="shared" si="5"/>
        <v>0</v>
      </c>
      <c r="H3" s="244">
        <f t="shared" si="5"/>
        <v>0</v>
      </c>
      <c r="I3" s="244">
        <f>I16</f>
        <v>0</v>
      </c>
      <c r="J3" s="244">
        <f t="shared" si="5"/>
        <v>0</v>
      </c>
      <c r="K3" s="244">
        <f t="shared" si="5"/>
        <v>0</v>
      </c>
      <c r="L3" s="244">
        <f t="shared" si="5"/>
        <v>0</v>
      </c>
      <c r="M3" s="244">
        <f t="shared" si="5"/>
        <v>0</v>
      </c>
      <c r="N3" s="244">
        <f t="shared" si="5"/>
        <v>0</v>
      </c>
      <c r="O3" s="244">
        <f t="shared" si="5"/>
        <v>0</v>
      </c>
      <c r="P3" s="244">
        <f t="shared" si="5"/>
        <v>0</v>
      </c>
      <c r="Q3" s="244">
        <f t="shared" si="5"/>
        <v>0</v>
      </c>
      <c r="R3" s="244">
        <f t="shared" si="5"/>
        <v>0</v>
      </c>
      <c r="S3" s="244">
        <f t="shared" si="5"/>
        <v>0</v>
      </c>
      <c r="T3" s="244">
        <f t="shared" si="5"/>
        <v>0</v>
      </c>
      <c r="U3" s="244">
        <f t="shared" si="5"/>
        <v>0</v>
      </c>
      <c r="V3" s="244">
        <f t="shared" si="5"/>
        <v>0</v>
      </c>
      <c r="W3" s="244">
        <f t="shared" si="5"/>
        <v>0</v>
      </c>
      <c r="X3" s="244">
        <f t="shared" si="5"/>
        <v>0</v>
      </c>
      <c r="Y3" s="244">
        <f t="shared" si="5"/>
        <v>0</v>
      </c>
      <c r="Z3" s="244">
        <f t="shared" si="5"/>
        <v>0</v>
      </c>
      <c r="AA3" s="244">
        <f t="shared" si="5"/>
        <v>0</v>
      </c>
      <c r="AB3" s="244">
        <f t="shared" si="5"/>
        <v>0</v>
      </c>
      <c r="AC3" s="244">
        <f t="shared" si="5"/>
        <v>840621.19577013573</v>
      </c>
      <c r="AD3" s="244">
        <f t="shared" si="5"/>
        <v>632306.95881303796</v>
      </c>
      <c r="AE3" s="244">
        <f t="shared" si="5"/>
        <v>496522.51881673187</v>
      </c>
      <c r="AF3" s="244">
        <f t="shared" si="5"/>
        <v>402130.6851680745</v>
      </c>
      <c r="AG3" s="244">
        <f t="shared" si="5"/>
        <v>333334.1233251511</v>
      </c>
      <c r="AH3" s="244">
        <f t="shared" si="5"/>
        <v>281339.28216088144</v>
      </c>
      <c r="AI3" s="244">
        <f t="shared" si="5"/>
        <v>240897.03713268836</v>
      </c>
      <c r="AJ3" s="244">
        <f t="shared" si="5"/>
        <v>208697.96870120725</v>
      </c>
      <c r="AK3" s="244">
        <f t="shared" si="5"/>
        <v>182561.69636154367</v>
      </c>
      <c r="AL3" s="244">
        <f t="shared" si="5"/>
        <v>160998.68644832275</v>
      </c>
      <c r="AM3" s="244">
        <f t="shared" si="5"/>
        <v>142959.97620265037</v>
      </c>
      <c r="AN3" s="244">
        <f t="shared" si="5"/>
        <v>127687.52437732666</v>
      </c>
      <c r="AO3" s="244">
        <f t="shared" si="5"/>
        <v>114621.19488334148</v>
      </c>
      <c r="AP3" s="244">
        <f t="shared" si="5"/>
        <v>103338.9884541268</v>
      </c>
      <c r="AQ3" s="244">
        <f t="shared" ref="AQ3:AV3" si="6">AQ16</f>
        <v>93517.515416091745</v>
      </c>
      <c r="AR3" s="244">
        <f t="shared" si="6"/>
        <v>84905.186554309577</v>
      </c>
      <c r="AS3" s="244">
        <f t="shared" si="6"/>
        <v>77303.619943629077</v>
      </c>
      <c r="AT3" s="244">
        <f t="shared" si="6"/>
        <v>70554.487356517973</v>
      </c>
      <c r="AU3" s="244">
        <f>AU16</f>
        <v>64530.041872912065</v>
      </c>
      <c r="AV3" s="244" t="str">
        <f t="shared" si="6"/>
        <v>0</v>
      </c>
      <c r="AW3" s="244" t="str">
        <f t="shared" ref="AW3" si="7">AW16</f>
        <v>0</v>
      </c>
    </row>
    <row r="4" spans="1:49" ht="14" thickBot="1">
      <c r="A4" s="308" t="s">
        <v>395</v>
      </c>
      <c r="B4" s="309"/>
      <c r="D4" s="238" t="s">
        <v>396</v>
      </c>
      <c r="E4" s="245">
        <f>0.02*E6</f>
        <v>20160</v>
      </c>
      <c r="F4" s="245">
        <f t="shared" ref="F4:AP4" si="8">0.02*F6</f>
        <v>20160</v>
      </c>
      <c r="G4" s="245">
        <f t="shared" si="8"/>
        <v>20160</v>
      </c>
      <c r="H4" s="245">
        <f t="shared" si="8"/>
        <v>20160</v>
      </c>
      <c r="I4" s="245">
        <f t="shared" si="8"/>
        <v>20160</v>
      </c>
      <c r="J4" s="245">
        <f t="shared" si="8"/>
        <v>20160</v>
      </c>
      <c r="K4" s="245">
        <f t="shared" si="8"/>
        <v>20160</v>
      </c>
      <c r="L4" s="245">
        <f t="shared" si="8"/>
        <v>20160</v>
      </c>
      <c r="M4" s="245">
        <f t="shared" si="8"/>
        <v>20160</v>
      </c>
      <c r="N4" s="245">
        <f t="shared" si="8"/>
        <v>20160</v>
      </c>
      <c r="O4" s="245">
        <f t="shared" si="8"/>
        <v>20160</v>
      </c>
      <c r="P4" s="245">
        <f t="shared" si="8"/>
        <v>20160</v>
      </c>
      <c r="Q4" s="245">
        <f t="shared" si="8"/>
        <v>20160</v>
      </c>
      <c r="R4" s="245">
        <f t="shared" si="8"/>
        <v>20160</v>
      </c>
      <c r="S4" s="245">
        <f t="shared" si="8"/>
        <v>20160</v>
      </c>
      <c r="T4" s="245">
        <f t="shared" si="8"/>
        <v>20160</v>
      </c>
      <c r="U4" s="245">
        <f t="shared" si="8"/>
        <v>20160</v>
      </c>
      <c r="V4" s="245">
        <f t="shared" si="8"/>
        <v>20160</v>
      </c>
      <c r="W4" s="245">
        <f t="shared" si="8"/>
        <v>20160</v>
      </c>
      <c r="X4" s="245">
        <f t="shared" si="8"/>
        <v>20160</v>
      </c>
      <c r="Y4" s="245">
        <f t="shared" si="8"/>
        <v>20160</v>
      </c>
      <c r="Z4" s="245">
        <f t="shared" si="8"/>
        <v>20160</v>
      </c>
      <c r="AA4" s="245">
        <f t="shared" si="8"/>
        <v>20160</v>
      </c>
      <c r="AB4" s="245">
        <f t="shared" si="8"/>
        <v>20160</v>
      </c>
      <c r="AC4" s="245">
        <f t="shared" si="8"/>
        <v>20160</v>
      </c>
      <c r="AD4" s="245">
        <f t="shared" si="8"/>
        <v>20160</v>
      </c>
      <c r="AE4" s="245">
        <f t="shared" si="8"/>
        <v>20160</v>
      </c>
      <c r="AF4" s="245">
        <f t="shared" si="8"/>
        <v>20160</v>
      </c>
      <c r="AG4" s="245">
        <f t="shared" si="8"/>
        <v>20160</v>
      </c>
      <c r="AH4" s="245">
        <f t="shared" si="8"/>
        <v>20160</v>
      </c>
      <c r="AI4" s="245">
        <f t="shared" si="8"/>
        <v>20160</v>
      </c>
      <c r="AJ4" s="245">
        <f t="shared" si="8"/>
        <v>20160</v>
      </c>
      <c r="AK4" s="245">
        <f t="shared" si="8"/>
        <v>20160</v>
      </c>
      <c r="AL4" s="245">
        <f t="shared" si="8"/>
        <v>20160</v>
      </c>
      <c r="AM4" s="245">
        <f>0.02*AM6</f>
        <v>20160</v>
      </c>
      <c r="AN4" s="245">
        <f t="shared" si="8"/>
        <v>20160</v>
      </c>
      <c r="AO4" s="245">
        <f t="shared" si="8"/>
        <v>20160</v>
      </c>
      <c r="AP4" s="245">
        <f t="shared" si="8"/>
        <v>20160</v>
      </c>
      <c r="AQ4" s="245">
        <f>0.02*AQ6</f>
        <v>20160</v>
      </c>
      <c r="AR4" s="245">
        <f t="shared" ref="AR4:AV4" si="9">0.02*AR6</f>
        <v>20160</v>
      </c>
      <c r="AS4" s="245">
        <f t="shared" si="9"/>
        <v>20160</v>
      </c>
      <c r="AT4" s="245">
        <f t="shared" si="9"/>
        <v>20160</v>
      </c>
      <c r="AU4" s="245">
        <f>0.02*AU6</f>
        <v>20160</v>
      </c>
      <c r="AV4" s="245">
        <f t="shared" si="9"/>
        <v>20160</v>
      </c>
      <c r="AW4" s="245">
        <f t="shared" ref="AW4" si="10">0.02*AW6</f>
        <v>20160</v>
      </c>
    </row>
    <row r="5" spans="1:49" ht="14" thickBot="1">
      <c r="A5" s="246" t="s">
        <v>397</v>
      </c>
      <c r="B5" s="294" t="s">
        <v>398</v>
      </c>
      <c r="D5" s="247"/>
      <c r="E5" s="292">
        <v>46752</v>
      </c>
      <c r="F5" s="292">
        <f>E5+366</f>
        <v>47118</v>
      </c>
      <c r="G5" s="292">
        <f t="shared" ref="G5:AO5" si="11">F5+365</f>
        <v>47483</v>
      </c>
      <c r="H5" s="292">
        <f t="shared" si="11"/>
        <v>47848</v>
      </c>
      <c r="I5" s="292">
        <f t="shared" si="11"/>
        <v>48213</v>
      </c>
      <c r="J5" s="292">
        <f>I5+366</f>
        <v>48579</v>
      </c>
      <c r="K5" s="292">
        <f t="shared" si="11"/>
        <v>48944</v>
      </c>
      <c r="L5" s="292">
        <f t="shared" si="11"/>
        <v>49309</v>
      </c>
      <c r="M5" s="292">
        <f t="shared" si="11"/>
        <v>49674</v>
      </c>
      <c r="N5" s="292">
        <f>M5+366</f>
        <v>50040</v>
      </c>
      <c r="O5" s="292">
        <f t="shared" si="11"/>
        <v>50405</v>
      </c>
      <c r="P5" s="292">
        <f t="shared" si="11"/>
        <v>50770</v>
      </c>
      <c r="Q5" s="292">
        <f t="shared" si="11"/>
        <v>51135</v>
      </c>
      <c r="R5" s="292">
        <f>Q5+366</f>
        <v>51501</v>
      </c>
      <c r="S5" s="292">
        <f t="shared" si="11"/>
        <v>51866</v>
      </c>
      <c r="T5" s="292">
        <f t="shared" si="11"/>
        <v>52231</v>
      </c>
      <c r="U5" s="292">
        <f t="shared" si="11"/>
        <v>52596</v>
      </c>
      <c r="V5" s="292">
        <f>U5+366</f>
        <v>52962</v>
      </c>
      <c r="W5" s="292">
        <f t="shared" si="11"/>
        <v>53327</v>
      </c>
      <c r="X5" s="292">
        <f t="shared" si="11"/>
        <v>53692</v>
      </c>
      <c r="Y5" s="292">
        <f t="shared" si="11"/>
        <v>54057</v>
      </c>
      <c r="Z5" s="292">
        <f>Y5+366</f>
        <v>54423</v>
      </c>
      <c r="AA5" s="292">
        <f t="shared" si="11"/>
        <v>54788</v>
      </c>
      <c r="AB5" s="292">
        <f t="shared" si="11"/>
        <v>55153</v>
      </c>
      <c r="AC5" s="292">
        <f t="shared" si="11"/>
        <v>55518</v>
      </c>
      <c r="AD5" s="292">
        <f>AC5+366</f>
        <v>55884</v>
      </c>
      <c r="AE5" s="292">
        <f t="shared" si="11"/>
        <v>56249</v>
      </c>
      <c r="AF5" s="292">
        <f t="shared" si="11"/>
        <v>56614</v>
      </c>
      <c r="AG5" s="292">
        <f t="shared" si="11"/>
        <v>56979</v>
      </c>
      <c r="AH5" s="292">
        <f>AG5+366</f>
        <v>57345</v>
      </c>
      <c r="AI5" s="292">
        <f t="shared" si="11"/>
        <v>57710</v>
      </c>
      <c r="AJ5" s="292">
        <f t="shared" si="11"/>
        <v>58075</v>
      </c>
      <c r="AK5" s="292">
        <f t="shared" si="11"/>
        <v>58440</v>
      </c>
      <c r="AL5" s="292">
        <f>AK5+366</f>
        <v>58806</v>
      </c>
      <c r="AM5" s="292">
        <f t="shared" si="11"/>
        <v>59171</v>
      </c>
      <c r="AN5" s="292">
        <f t="shared" si="11"/>
        <v>59536</v>
      </c>
      <c r="AO5" s="292">
        <f t="shared" si="11"/>
        <v>59901</v>
      </c>
      <c r="AP5" s="292">
        <f>AO5+366</f>
        <v>60267</v>
      </c>
      <c r="AQ5" s="292">
        <f>AP5+365</f>
        <v>60632</v>
      </c>
      <c r="AR5" s="292">
        <f>AQ5+365</f>
        <v>60997</v>
      </c>
      <c r="AS5" s="292">
        <f>AR5+365</f>
        <v>61362</v>
      </c>
      <c r="AT5" s="292">
        <f t="shared" ref="AT5" si="12">AS5+366</f>
        <v>61728</v>
      </c>
      <c r="AU5" s="292">
        <f>AT5+365</f>
        <v>62093</v>
      </c>
      <c r="AV5" s="292">
        <f>AU5+365</f>
        <v>62458</v>
      </c>
      <c r="AW5" s="292">
        <f>AV5+365</f>
        <v>62823</v>
      </c>
    </row>
    <row r="6" spans="1:49">
      <c r="A6" s="248" t="s">
        <v>399</v>
      </c>
      <c r="B6" s="249">
        <f>VLOOKUP(B5,A29:J31,6)</f>
        <v>55153</v>
      </c>
      <c r="D6" s="250" t="s">
        <v>400</v>
      </c>
      <c r="E6" s="243">
        <f>$B$8</f>
        <v>1008000</v>
      </c>
      <c r="F6" s="243">
        <f t="shared" ref="F6:AU6" si="13">$B$8</f>
        <v>1008000</v>
      </c>
      <c r="G6" s="243">
        <f>$B$8</f>
        <v>1008000</v>
      </c>
      <c r="H6" s="243">
        <f t="shared" si="13"/>
        <v>1008000</v>
      </c>
      <c r="I6" s="243">
        <f t="shared" si="13"/>
        <v>1008000</v>
      </c>
      <c r="J6" s="243">
        <f t="shared" si="13"/>
        <v>1008000</v>
      </c>
      <c r="K6" s="243">
        <f t="shared" si="13"/>
        <v>1008000</v>
      </c>
      <c r="L6" s="243">
        <f t="shared" si="13"/>
        <v>1008000</v>
      </c>
      <c r="M6" s="243">
        <f t="shared" si="13"/>
        <v>1008000</v>
      </c>
      <c r="N6" s="243">
        <f t="shared" si="13"/>
        <v>1008000</v>
      </c>
      <c r="O6" s="243">
        <f t="shared" si="13"/>
        <v>1008000</v>
      </c>
      <c r="P6" s="243">
        <f t="shared" si="13"/>
        <v>1008000</v>
      </c>
      <c r="Q6" s="243">
        <f t="shared" si="13"/>
        <v>1008000</v>
      </c>
      <c r="R6" s="243">
        <f t="shared" si="13"/>
        <v>1008000</v>
      </c>
      <c r="S6" s="243">
        <f t="shared" si="13"/>
        <v>1008000</v>
      </c>
      <c r="T6" s="243">
        <f t="shared" si="13"/>
        <v>1008000</v>
      </c>
      <c r="U6" s="243">
        <f t="shared" si="13"/>
        <v>1008000</v>
      </c>
      <c r="V6" s="243">
        <f t="shared" si="13"/>
        <v>1008000</v>
      </c>
      <c r="W6" s="243">
        <f t="shared" si="13"/>
        <v>1008000</v>
      </c>
      <c r="X6" s="243">
        <f t="shared" si="13"/>
        <v>1008000</v>
      </c>
      <c r="Y6" s="243">
        <f t="shared" si="13"/>
        <v>1008000</v>
      </c>
      <c r="Z6" s="243">
        <f t="shared" si="13"/>
        <v>1008000</v>
      </c>
      <c r="AA6" s="243">
        <f t="shared" si="13"/>
        <v>1008000</v>
      </c>
      <c r="AB6" s="243">
        <f t="shared" si="13"/>
        <v>1008000</v>
      </c>
      <c r="AC6" s="243">
        <f t="shared" si="13"/>
        <v>1008000</v>
      </c>
      <c r="AD6" s="243">
        <f t="shared" si="13"/>
        <v>1008000</v>
      </c>
      <c r="AE6" s="243">
        <f t="shared" si="13"/>
        <v>1008000</v>
      </c>
      <c r="AF6" s="243">
        <f t="shared" si="13"/>
        <v>1008000</v>
      </c>
      <c r="AG6" s="243">
        <f t="shared" si="13"/>
        <v>1008000</v>
      </c>
      <c r="AH6" s="243">
        <f t="shared" si="13"/>
        <v>1008000</v>
      </c>
      <c r="AI6" s="243">
        <f t="shared" si="13"/>
        <v>1008000</v>
      </c>
      <c r="AJ6" s="243">
        <f t="shared" si="13"/>
        <v>1008000</v>
      </c>
      <c r="AK6" s="243">
        <f t="shared" si="13"/>
        <v>1008000</v>
      </c>
      <c r="AL6" s="243">
        <f t="shared" si="13"/>
        <v>1008000</v>
      </c>
      <c r="AM6" s="243">
        <f t="shared" si="13"/>
        <v>1008000</v>
      </c>
      <c r="AN6" s="243">
        <f t="shared" si="13"/>
        <v>1008000</v>
      </c>
      <c r="AO6" s="243">
        <f t="shared" si="13"/>
        <v>1008000</v>
      </c>
      <c r="AP6" s="243">
        <f t="shared" si="13"/>
        <v>1008000</v>
      </c>
      <c r="AQ6" s="243">
        <f>$B$8</f>
        <v>1008000</v>
      </c>
      <c r="AR6" s="243">
        <f t="shared" si="13"/>
        <v>1008000</v>
      </c>
      <c r="AS6" s="243">
        <f t="shared" si="13"/>
        <v>1008000</v>
      </c>
      <c r="AT6" s="243">
        <f t="shared" si="13"/>
        <v>1008000</v>
      </c>
      <c r="AU6" s="243">
        <f t="shared" si="13"/>
        <v>1008000</v>
      </c>
      <c r="AV6" s="243">
        <f>$B$8</f>
        <v>1008000</v>
      </c>
      <c r="AW6" s="243">
        <f t="shared" ref="AW6" si="14">$B$8</f>
        <v>1008000</v>
      </c>
    </row>
    <row r="7" spans="1:49">
      <c r="A7" s="248" t="s">
        <v>401</v>
      </c>
      <c r="B7" s="249" t="str">
        <f>VLOOKUP($B$5,$A$29:$J$31,3)</f>
        <v>Gassy</v>
      </c>
      <c r="D7" s="250" t="s">
        <v>402</v>
      </c>
      <c r="E7" s="251">
        <f t="shared" ref="E7:AW7" si="15">0.23/12</f>
        <v>1.9166666666666669E-2</v>
      </c>
      <c r="F7" s="251">
        <f t="shared" si="15"/>
        <v>1.9166666666666669E-2</v>
      </c>
      <c r="G7" s="251">
        <f t="shared" si="15"/>
        <v>1.9166666666666669E-2</v>
      </c>
      <c r="H7" s="251">
        <f t="shared" si="15"/>
        <v>1.9166666666666669E-2</v>
      </c>
      <c r="I7" s="251">
        <f t="shared" si="15"/>
        <v>1.9166666666666669E-2</v>
      </c>
      <c r="J7" s="251">
        <f t="shared" si="15"/>
        <v>1.9166666666666669E-2</v>
      </c>
      <c r="K7" s="251">
        <f t="shared" si="15"/>
        <v>1.9166666666666669E-2</v>
      </c>
      <c r="L7" s="251">
        <f t="shared" si="15"/>
        <v>1.9166666666666669E-2</v>
      </c>
      <c r="M7" s="251">
        <f t="shared" si="15"/>
        <v>1.9166666666666669E-2</v>
      </c>
      <c r="N7" s="251">
        <f t="shared" si="15"/>
        <v>1.9166666666666669E-2</v>
      </c>
      <c r="O7" s="251">
        <f t="shared" si="15"/>
        <v>1.9166666666666669E-2</v>
      </c>
      <c r="P7" s="251">
        <f t="shared" si="15"/>
        <v>1.9166666666666669E-2</v>
      </c>
      <c r="Q7" s="251">
        <f t="shared" si="15"/>
        <v>1.9166666666666669E-2</v>
      </c>
      <c r="R7" s="251">
        <f t="shared" si="15"/>
        <v>1.9166666666666669E-2</v>
      </c>
      <c r="S7" s="251">
        <f t="shared" si="15"/>
        <v>1.9166666666666669E-2</v>
      </c>
      <c r="T7" s="251">
        <f t="shared" si="15"/>
        <v>1.9166666666666669E-2</v>
      </c>
      <c r="U7" s="251">
        <f t="shared" si="15"/>
        <v>1.9166666666666669E-2</v>
      </c>
      <c r="V7" s="251">
        <f t="shared" si="15"/>
        <v>1.9166666666666669E-2</v>
      </c>
      <c r="W7" s="251">
        <f t="shared" si="15"/>
        <v>1.9166666666666669E-2</v>
      </c>
      <c r="X7" s="251">
        <f t="shared" si="15"/>
        <v>1.9166666666666669E-2</v>
      </c>
      <c r="Y7" s="251">
        <f t="shared" si="15"/>
        <v>1.9166666666666669E-2</v>
      </c>
      <c r="Z7" s="251">
        <f t="shared" si="15"/>
        <v>1.9166666666666669E-2</v>
      </c>
      <c r="AA7" s="251">
        <f t="shared" si="15"/>
        <v>1.9166666666666669E-2</v>
      </c>
      <c r="AB7" s="251">
        <f t="shared" si="15"/>
        <v>1.9166666666666669E-2</v>
      </c>
      <c r="AC7" s="251">
        <f t="shared" si="15"/>
        <v>1.9166666666666669E-2</v>
      </c>
      <c r="AD7" s="251">
        <f t="shared" si="15"/>
        <v>1.9166666666666669E-2</v>
      </c>
      <c r="AE7" s="251">
        <f t="shared" si="15"/>
        <v>1.9166666666666669E-2</v>
      </c>
      <c r="AF7" s="251">
        <f t="shared" si="15"/>
        <v>1.9166666666666669E-2</v>
      </c>
      <c r="AG7" s="251">
        <f t="shared" si="15"/>
        <v>1.9166666666666669E-2</v>
      </c>
      <c r="AH7" s="251">
        <f t="shared" si="15"/>
        <v>1.9166666666666669E-2</v>
      </c>
      <c r="AI7" s="251">
        <f t="shared" si="15"/>
        <v>1.9166666666666669E-2</v>
      </c>
      <c r="AJ7" s="251">
        <f t="shared" si="15"/>
        <v>1.9166666666666669E-2</v>
      </c>
      <c r="AK7" s="251">
        <f t="shared" si="15"/>
        <v>1.9166666666666669E-2</v>
      </c>
      <c r="AL7" s="251">
        <f t="shared" si="15"/>
        <v>1.9166666666666669E-2</v>
      </c>
      <c r="AM7" s="251">
        <f t="shared" si="15"/>
        <v>1.9166666666666669E-2</v>
      </c>
      <c r="AN7" s="251">
        <f t="shared" si="15"/>
        <v>1.9166666666666669E-2</v>
      </c>
      <c r="AO7" s="251">
        <f t="shared" si="15"/>
        <v>1.9166666666666669E-2</v>
      </c>
      <c r="AP7" s="251">
        <f t="shared" si="15"/>
        <v>1.9166666666666669E-2</v>
      </c>
      <c r="AQ7" s="251">
        <f t="shared" si="15"/>
        <v>1.9166666666666669E-2</v>
      </c>
      <c r="AR7" s="251">
        <f t="shared" si="15"/>
        <v>1.9166666666666669E-2</v>
      </c>
      <c r="AS7" s="251">
        <f t="shared" si="15"/>
        <v>1.9166666666666669E-2</v>
      </c>
      <c r="AT7" s="251">
        <f t="shared" si="15"/>
        <v>1.9166666666666669E-2</v>
      </c>
      <c r="AU7" s="251">
        <f t="shared" si="15"/>
        <v>1.9166666666666669E-2</v>
      </c>
      <c r="AV7" s="251">
        <f t="shared" si="15"/>
        <v>1.9166666666666669E-2</v>
      </c>
      <c r="AW7" s="251">
        <f t="shared" si="15"/>
        <v>1.9166666666666669E-2</v>
      </c>
    </row>
    <row r="8" spans="1:49" ht="17">
      <c r="A8" s="248" t="s">
        <v>403</v>
      </c>
      <c r="B8" s="276">
        <f>VLOOKUP($B$5,$A$29:$J$31,4)</f>
        <v>1008000</v>
      </c>
      <c r="D8" s="250" t="s">
        <v>404</v>
      </c>
      <c r="E8" s="251">
        <v>-1.45</v>
      </c>
      <c r="F8" s="251">
        <v>-1.45</v>
      </c>
      <c r="G8" s="251">
        <v>-1.45</v>
      </c>
      <c r="H8" s="251">
        <v>-1.45</v>
      </c>
      <c r="I8" s="251">
        <v>-1.45</v>
      </c>
      <c r="J8" s="251">
        <v>-1.45</v>
      </c>
      <c r="K8" s="251">
        <v>-1.45</v>
      </c>
      <c r="L8" s="251">
        <v>-1.45</v>
      </c>
      <c r="M8" s="251">
        <v>-1.45</v>
      </c>
      <c r="N8" s="251">
        <v>-1.45</v>
      </c>
      <c r="O8" s="251">
        <v>-1.45</v>
      </c>
      <c r="P8" s="251">
        <v>-1.45</v>
      </c>
      <c r="Q8" s="251">
        <v>-1.45</v>
      </c>
      <c r="R8" s="251">
        <v>-1.45</v>
      </c>
      <c r="S8" s="251">
        <v>-1.45</v>
      </c>
      <c r="T8" s="251">
        <v>-1.45</v>
      </c>
      <c r="U8" s="251">
        <v>-1.45</v>
      </c>
      <c r="V8" s="251">
        <v>-1.45</v>
      </c>
      <c r="W8" s="251">
        <v>-1.45</v>
      </c>
      <c r="X8" s="251">
        <v>-1.45</v>
      </c>
      <c r="Y8" s="251">
        <v>-1.45</v>
      </c>
      <c r="Z8" s="251">
        <v>-1.45</v>
      </c>
      <c r="AA8" s="251">
        <v>-1.45</v>
      </c>
      <c r="AB8" s="251">
        <v>-1.45</v>
      </c>
      <c r="AC8" s="251">
        <v>-1.45</v>
      </c>
      <c r="AD8" s="251">
        <v>-1.45</v>
      </c>
      <c r="AE8" s="251">
        <v>-1.45</v>
      </c>
      <c r="AF8" s="251">
        <v>-1.45</v>
      </c>
      <c r="AG8" s="251">
        <v>-1.45</v>
      </c>
      <c r="AH8" s="251">
        <v>-1.45</v>
      </c>
      <c r="AI8" s="251">
        <v>-1.45</v>
      </c>
      <c r="AJ8" s="251">
        <v>-1.45</v>
      </c>
      <c r="AK8" s="251">
        <v>-1.45</v>
      </c>
      <c r="AL8" s="251">
        <v>-1.45</v>
      </c>
      <c r="AM8" s="251">
        <v>-1.45</v>
      </c>
      <c r="AN8" s="251">
        <v>-1.45</v>
      </c>
      <c r="AO8" s="251">
        <v>-1.45</v>
      </c>
      <c r="AP8" s="251">
        <v>-1.45</v>
      </c>
      <c r="AQ8" s="251">
        <v>-1.45</v>
      </c>
      <c r="AR8" s="251">
        <v>-1.45</v>
      </c>
      <c r="AS8" s="251">
        <v>-1.45</v>
      </c>
      <c r="AT8" s="251">
        <v>-1.45</v>
      </c>
      <c r="AU8" s="251">
        <v>-1.45</v>
      </c>
      <c r="AV8" s="251">
        <v>-1.45</v>
      </c>
      <c r="AW8" s="251">
        <v>-1.45</v>
      </c>
    </row>
    <row r="9" spans="1:49" ht="15">
      <c r="A9" s="248" t="s">
        <v>405</v>
      </c>
      <c r="B9" s="277">
        <f>VLOOKUP($B$5,$A$29:$J$31,5)</f>
        <v>42319176</v>
      </c>
      <c r="D9" s="250" t="s">
        <v>406</v>
      </c>
      <c r="E9" s="251">
        <v>2.4E-2</v>
      </c>
      <c r="F9" s="251">
        <v>2.4E-2</v>
      </c>
      <c r="G9" s="251">
        <v>2.4E-2</v>
      </c>
      <c r="H9" s="251">
        <v>2.4E-2</v>
      </c>
      <c r="I9" s="251">
        <v>2.4E-2</v>
      </c>
      <c r="J9" s="251">
        <v>2.4E-2</v>
      </c>
      <c r="K9" s="251">
        <v>2.4E-2</v>
      </c>
      <c r="L9" s="251">
        <v>2.4E-2</v>
      </c>
      <c r="M9" s="251">
        <v>2.4E-2</v>
      </c>
      <c r="N9" s="251">
        <v>2.4E-2</v>
      </c>
      <c r="O9" s="251">
        <v>2.4E-2</v>
      </c>
      <c r="P9" s="251">
        <v>2.4E-2</v>
      </c>
      <c r="Q9" s="251">
        <v>2.4E-2</v>
      </c>
      <c r="R9" s="251">
        <v>2.4E-2</v>
      </c>
      <c r="S9" s="251">
        <v>2.4E-2</v>
      </c>
      <c r="T9" s="251">
        <v>2.4E-2</v>
      </c>
      <c r="U9" s="251">
        <v>2.4E-2</v>
      </c>
      <c r="V9" s="251">
        <v>2.4E-2</v>
      </c>
      <c r="W9" s="251">
        <v>2.4E-2</v>
      </c>
      <c r="X9" s="251">
        <v>2.4E-2</v>
      </c>
      <c r="Y9" s="251">
        <v>2.4E-2</v>
      </c>
      <c r="Z9" s="251">
        <v>2.4E-2</v>
      </c>
      <c r="AA9" s="251">
        <v>2.4E-2</v>
      </c>
      <c r="AB9" s="251">
        <v>2.4E-2</v>
      </c>
      <c r="AC9" s="251">
        <v>2.4E-2</v>
      </c>
      <c r="AD9" s="251">
        <v>2.4E-2</v>
      </c>
      <c r="AE9" s="251">
        <v>2.4E-2</v>
      </c>
      <c r="AF9" s="251">
        <v>2.4E-2</v>
      </c>
      <c r="AG9" s="251">
        <v>2.4E-2</v>
      </c>
      <c r="AH9" s="251">
        <v>2.4E-2</v>
      </c>
      <c r="AI9" s="251">
        <v>2.4E-2</v>
      </c>
      <c r="AJ9" s="251">
        <v>2.4E-2</v>
      </c>
      <c r="AK9" s="251">
        <v>2.4E-2</v>
      </c>
      <c r="AL9" s="251">
        <v>2.4E-2</v>
      </c>
      <c r="AM9" s="251">
        <v>2.4E-2</v>
      </c>
      <c r="AN9" s="251">
        <v>2.4E-2</v>
      </c>
      <c r="AO9" s="251">
        <v>2.4E-2</v>
      </c>
      <c r="AP9" s="251">
        <v>2.4E-2</v>
      </c>
      <c r="AQ9" s="251">
        <v>2.4E-2</v>
      </c>
      <c r="AR9" s="251">
        <v>2.4E-2</v>
      </c>
      <c r="AS9" s="251">
        <v>2.4E-2</v>
      </c>
      <c r="AT9" s="251">
        <v>2.4E-2</v>
      </c>
      <c r="AU9" s="251">
        <v>2.4E-2</v>
      </c>
      <c r="AV9" s="251">
        <v>2.4E-2</v>
      </c>
      <c r="AW9" s="251">
        <v>2.4E-2</v>
      </c>
    </row>
    <row r="10" spans="1:49">
      <c r="A10" s="248" t="s">
        <v>407</v>
      </c>
      <c r="B10" s="253">
        <f>(YEAR(B6))+21</f>
        <v>2071</v>
      </c>
      <c r="D10" s="250" t="s">
        <v>408</v>
      </c>
      <c r="E10" s="254">
        <f>IFERROR(DATEDIF($B$6,E$5,"M"),0)</f>
        <v>0</v>
      </c>
      <c r="F10" s="254">
        <f t="shared" ref="F10:AW10" si="16">IFERROR(DATEDIF($B$6,F$5,"M"),0)</f>
        <v>0</v>
      </c>
      <c r="G10" s="254">
        <f t="shared" si="16"/>
        <v>0</v>
      </c>
      <c r="H10" s="254">
        <f t="shared" si="16"/>
        <v>0</v>
      </c>
      <c r="I10" s="254">
        <f t="shared" si="16"/>
        <v>0</v>
      </c>
      <c r="J10" s="254">
        <f>IFERROR(DATEDIF($B$6,J$5,"M"),0)</f>
        <v>0</v>
      </c>
      <c r="K10" s="254">
        <f t="shared" si="16"/>
        <v>0</v>
      </c>
      <c r="L10" s="254">
        <f t="shared" si="16"/>
        <v>0</v>
      </c>
      <c r="M10" s="254">
        <f t="shared" si="16"/>
        <v>0</v>
      </c>
      <c r="N10" s="254">
        <f t="shared" si="16"/>
        <v>0</v>
      </c>
      <c r="O10" s="254">
        <f t="shared" si="16"/>
        <v>0</v>
      </c>
      <c r="P10" s="254">
        <f t="shared" si="16"/>
        <v>0</v>
      </c>
      <c r="Q10" s="254">
        <f t="shared" si="16"/>
        <v>0</v>
      </c>
      <c r="R10" s="254">
        <f t="shared" si="16"/>
        <v>0</v>
      </c>
      <c r="S10" s="254">
        <f t="shared" si="16"/>
        <v>0</v>
      </c>
      <c r="T10" s="254">
        <f t="shared" si="16"/>
        <v>0</v>
      </c>
      <c r="U10" s="254">
        <f t="shared" si="16"/>
        <v>0</v>
      </c>
      <c r="V10" s="254">
        <f t="shared" si="16"/>
        <v>0</v>
      </c>
      <c r="W10" s="254">
        <f t="shared" si="16"/>
        <v>0</v>
      </c>
      <c r="X10" s="254">
        <f t="shared" si="16"/>
        <v>0</v>
      </c>
      <c r="Y10" s="254">
        <f t="shared" si="16"/>
        <v>0</v>
      </c>
      <c r="Z10" s="254">
        <f t="shared" si="16"/>
        <v>0</v>
      </c>
      <c r="AA10" s="254">
        <f t="shared" si="16"/>
        <v>0</v>
      </c>
      <c r="AB10" s="254">
        <f t="shared" si="16"/>
        <v>0</v>
      </c>
      <c r="AC10" s="254">
        <f t="shared" si="16"/>
        <v>12</v>
      </c>
      <c r="AD10" s="254">
        <f t="shared" si="16"/>
        <v>24</v>
      </c>
      <c r="AE10" s="254">
        <f t="shared" si="16"/>
        <v>36</v>
      </c>
      <c r="AF10" s="254">
        <f t="shared" si="16"/>
        <v>48</v>
      </c>
      <c r="AG10" s="254">
        <f t="shared" si="16"/>
        <v>60</v>
      </c>
      <c r="AH10" s="254">
        <f t="shared" si="16"/>
        <v>72</v>
      </c>
      <c r="AI10" s="254">
        <f t="shared" si="16"/>
        <v>84</v>
      </c>
      <c r="AJ10" s="254">
        <f t="shared" si="16"/>
        <v>96</v>
      </c>
      <c r="AK10" s="254">
        <f t="shared" si="16"/>
        <v>108</v>
      </c>
      <c r="AL10" s="254">
        <f t="shared" si="16"/>
        <v>120</v>
      </c>
      <c r="AM10" s="254">
        <f t="shared" si="16"/>
        <v>132</v>
      </c>
      <c r="AN10" s="254">
        <f t="shared" si="16"/>
        <v>144</v>
      </c>
      <c r="AO10" s="254">
        <f t="shared" si="16"/>
        <v>156</v>
      </c>
      <c r="AP10" s="254">
        <f t="shared" si="16"/>
        <v>168</v>
      </c>
      <c r="AQ10" s="254">
        <f t="shared" si="16"/>
        <v>180</v>
      </c>
      <c r="AR10" s="254">
        <f t="shared" si="16"/>
        <v>192</v>
      </c>
      <c r="AS10" s="254">
        <f t="shared" si="16"/>
        <v>204</v>
      </c>
      <c r="AT10" s="254">
        <f t="shared" si="16"/>
        <v>216</v>
      </c>
      <c r="AU10" s="254">
        <f t="shared" si="16"/>
        <v>228</v>
      </c>
      <c r="AV10" s="254">
        <f t="shared" si="16"/>
        <v>240</v>
      </c>
      <c r="AW10" s="254">
        <f t="shared" si="16"/>
        <v>252</v>
      </c>
    </row>
    <row r="11" spans="1:49">
      <c r="B11" s="255">
        <f>DATE(B10,12,31)</f>
        <v>62823</v>
      </c>
      <c r="D11" s="256" t="s">
        <v>409</v>
      </c>
      <c r="E11" s="257">
        <f>B13+B12</f>
        <v>74000</v>
      </c>
      <c r="F11" s="257">
        <f>$E$11</f>
        <v>74000</v>
      </c>
      <c r="G11" s="257">
        <f t="shared" ref="G11:AW11" si="17">$E$11</f>
        <v>74000</v>
      </c>
      <c r="H11" s="257">
        <f t="shared" si="17"/>
        <v>74000</v>
      </c>
      <c r="I11" s="257">
        <f t="shared" si="17"/>
        <v>74000</v>
      </c>
      <c r="J11" s="257">
        <f>$E$11</f>
        <v>74000</v>
      </c>
      <c r="K11" s="257">
        <f t="shared" si="17"/>
        <v>74000</v>
      </c>
      <c r="L11" s="257">
        <f t="shared" si="17"/>
        <v>74000</v>
      </c>
      <c r="M11" s="257">
        <f t="shared" si="17"/>
        <v>74000</v>
      </c>
      <c r="N11" s="257">
        <f t="shared" si="17"/>
        <v>74000</v>
      </c>
      <c r="O11" s="257">
        <f t="shared" si="17"/>
        <v>74000</v>
      </c>
      <c r="P11" s="257">
        <f t="shared" si="17"/>
        <v>74000</v>
      </c>
      <c r="Q11" s="257">
        <f t="shared" si="17"/>
        <v>74000</v>
      </c>
      <c r="R11" s="257">
        <f t="shared" si="17"/>
        <v>74000</v>
      </c>
      <c r="S11" s="257">
        <f t="shared" si="17"/>
        <v>74000</v>
      </c>
      <c r="T11" s="257">
        <f t="shared" si="17"/>
        <v>74000</v>
      </c>
      <c r="U11" s="257">
        <f t="shared" si="17"/>
        <v>74000</v>
      </c>
      <c r="V11" s="257">
        <f t="shared" si="17"/>
        <v>74000</v>
      </c>
      <c r="W11" s="257">
        <f t="shared" si="17"/>
        <v>74000</v>
      </c>
      <c r="X11" s="257">
        <f t="shared" si="17"/>
        <v>74000</v>
      </c>
      <c r="Y11" s="257">
        <f t="shared" si="17"/>
        <v>74000</v>
      </c>
      <c r="Z11" s="257">
        <f t="shared" si="17"/>
        <v>74000</v>
      </c>
      <c r="AA11" s="257">
        <f t="shared" si="17"/>
        <v>74000</v>
      </c>
      <c r="AB11" s="257">
        <f t="shared" si="17"/>
        <v>74000</v>
      </c>
      <c r="AC11" s="257">
        <f t="shared" si="17"/>
        <v>74000</v>
      </c>
      <c r="AD11" s="257">
        <f t="shared" si="17"/>
        <v>74000</v>
      </c>
      <c r="AE11" s="257">
        <f t="shared" si="17"/>
        <v>74000</v>
      </c>
      <c r="AF11" s="257">
        <f t="shared" si="17"/>
        <v>74000</v>
      </c>
      <c r="AG11" s="257">
        <f t="shared" si="17"/>
        <v>74000</v>
      </c>
      <c r="AH11" s="257">
        <f t="shared" si="17"/>
        <v>74000</v>
      </c>
      <c r="AI11" s="257">
        <f t="shared" si="17"/>
        <v>74000</v>
      </c>
      <c r="AJ11" s="257">
        <f t="shared" si="17"/>
        <v>74000</v>
      </c>
      <c r="AK11" s="257">
        <f t="shared" si="17"/>
        <v>74000</v>
      </c>
      <c r="AL11" s="257">
        <f t="shared" si="17"/>
        <v>74000</v>
      </c>
      <c r="AM11" s="257">
        <f t="shared" si="17"/>
        <v>74000</v>
      </c>
      <c r="AN11" s="257">
        <f t="shared" si="17"/>
        <v>74000</v>
      </c>
      <c r="AO11" s="257">
        <f t="shared" si="17"/>
        <v>74000</v>
      </c>
      <c r="AP11" s="257">
        <f t="shared" si="17"/>
        <v>74000</v>
      </c>
      <c r="AQ11" s="257">
        <f t="shared" si="17"/>
        <v>74000</v>
      </c>
      <c r="AR11" s="257">
        <f t="shared" si="17"/>
        <v>74000</v>
      </c>
      <c r="AS11" s="257">
        <f t="shared" si="17"/>
        <v>74000</v>
      </c>
      <c r="AT11" s="257">
        <f t="shared" si="17"/>
        <v>74000</v>
      </c>
      <c r="AU11" s="257">
        <f t="shared" si="17"/>
        <v>74000</v>
      </c>
      <c r="AV11" s="257">
        <f t="shared" si="17"/>
        <v>74000</v>
      </c>
      <c r="AW11" s="257">
        <f t="shared" si="17"/>
        <v>74000</v>
      </c>
    </row>
    <row r="12" spans="1:49">
      <c r="A12" s="248" t="s">
        <v>410</v>
      </c>
      <c r="B12" s="267">
        <v>0</v>
      </c>
      <c r="D12" s="250" t="s">
        <v>289</v>
      </c>
      <c r="E12" s="257">
        <f>IF(E10&lt;12,E10,12)</f>
        <v>0</v>
      </c>
      <c r="F12" s="257">
        <f t="shared" ref="F12:AP12" si="18">IF(F10&lt;12,F10,12)</f>
        <v>0</v>
      </c>
      <c r="G12" s="257">
        <f t="shared" si="18"/>
        <v>0</v>
      </c>
      <c r="H12" s="257">
        <f t="shared" si="18"/>
        <v>0</v>
      </c>
      <c r="I12" s="257">
        <f t="shared" si="18"/>
        <v>0</v>
      </c>
      <c r="J12" s="257">
        <f>IF(J10&lt;12,J10,12)</f>
        <v>0</v>
      </c>
      <c r="K12" s="257">
        <f t="shared" si="18"/>
        <v>0</v>
      </c>
      <c r="L12" s="257">
        <f t="shared" si="18"/>
        <v>0</v>
      </c>
      <c r="M12" s="257">
        <f t="shared" si="18"/>
        <v>0</v>
      </c>
      <c r="N12" s="257">
        <f t="shared" si="18"/>
        <v>0</v>
      </c>
      <c r="O12" s="257">
        <f t="shared" si="18"/>
        <v>0</v>
      </c>
      <c r="P12" s="257">
        <f t="shared" si="18"/>
        <v>0</v>
      </c>
      <c r="Q12" s="257">
        <f t="shared" si="18"/>
        <v>0</v>
      </c>
      <c r="R12" s="257">
        <f t="shared" si="18"/>
        <v>0</v>
      </c>
      <c r="S12" s="257">
        <f t="shared" si="18"/>
        <v>0</v>
      </c>
      <c r="T12" s="257">
        <f t="shared" si="18"/>
        <v>0</v>
      </c>
      <c r="U12" s="257">
        <f t="shared" si="18"/>
        <v>0</v>
      </c>
      <c r="V12" s="257">
        <f t="shared" si="18"/>
        <v>0</v>
      </c>
      <c r="W12" s="257">
        <f t="shared" si="18"/>
        <v>0</v>
      </c>
      <c r="X12" s="257">
        <f t="shared" si="18"/>
        <v>0</v>
      </c>
      <c r="Y12" s="257">
        <f t="shared" si="18"/>
        <v>0</v>
      </c>
      <c r="Z12" s="257">
        <f t="shared" si="18"/>
        <v>0</v>
      </c>
      <c r="AA12" s="257">
        <f t="shared" si="18"/>
        <v>0</v>
      </c>
      <c r="AB12" s="257">
        <f t="shared" si="18"/>
        <v>0</v>
      </c>
      <c r="AC12" s="257">
        <f t="shared" si="18"/>
        <v>12</v>
      </c>
      <c r="AD12" s="257">
        <f t="shared" si="18"/>
        <v>12</v>
      </c>
      <c r="AE12" s="257">
        <f t="shared" si="18"/>
        <v>12</v>
      </c>
      <c r="AF12" s="257">
        <f t="shared" si="18"/>
        <v>12</v>
      </c>
      <c r="AG12" s="257">
        <f t="shared" si="18"/>
        <v>12</v>
      </c>
      <c r="AH12" s="257">
        <f t="shared" si="18"/>
        <v>12</v>
      </c>
      <c r="AI12" s="257">
        <f t="shared" si="18"/>
        <v>12</v>
      </c>
      <c r="AJ12" s="257">
        <f t="shared" si="18"/>
        <v>12</v>
      </c>
      <c r="AK12" s="257">
        <f t="shared" si="18"/>
        <v>12</v>
      </c>
      <c r="AL12" s="257">
        <f t="shared" si="18"/>
        <v>12</v>
      </c>
      <c r="AM12" s="257">
        <f t="shared" si="18"/>
        <v>12</v>
      </c>
      <c r="AN12" s="257">
        <f t="shared" si="18"/>
        <v>12</v>
      </c>
      <c r="AO12" s="257">
        <f t="shared" si="18"/>
        <v>12</v>
      </c>
      <c r="AP12" s="257">
        <f t="shared" si="18"/>
        <v>12</v>
      </c>
      <c r="AQ12" s="257">
        <f t="shared" ref="AQ12:AV12" si="19">IF(AQ10&lt;12,AQ10,12)</f>
        <v>12</v>
      </c>
      <c r="AR12" s="257">
        <f t="shared" si="19"/>
        <v>12</v>
      </c>
      <c r="AS12" s="257">
        <f t="shared" si="19"/>
        <v>12</v>
      </c>
      <c r="AT12" s="257">
        <f t="shared" si="19"/>
        <v>12</v>
      </c>
      <c r="AU12" s="257">
        <f t="shared" si="19"/>
        <v>12</v>
      </c>
      <c r="AV12" s="257">
        <f t="shared" si="19"/>
        <v>12</v>
      </c>
      <c r="AW12" s="257">
        <f t="shared" ref="AW12" si="20">IF(AW10&lt;12,AW10,12)</f>
        <v>12</v>
      </c>
    </row>
    <row r="13" spans="1:49">
      <c r="A13" s="248" t="s">
        <v>411</v>
      </c>
      <c r="B13" s="252">
        <v>74000</v>
      </c>
      <c r="D13" s="258" t="s">
        <v>412</v>
      </c>
      <c r="E13" s="254">
        <f>$B$9</f>
        <v>42319176</v>
      </c>
      <c r="F13" s="254">
        <f t="shared" ref="F13:AW13" si="21">$B$9</f>
        <v>42319176</v>
      </c>
      <c r="G13" s="254">
        <f t="shared" si="21"/>
        <v>42319176</v>
      </c>
      <c r="H13" s="254">
        <f t="shared" si="21"/>
        <v>42319176</v>
      </c>
      <c r="I13" s="254">
        <f t="shared" si="21"/>
        <v>42319176</v>
      </c>
      <c r="J13" s="254">
        <f t="shared" si="21"/>
        <v>42319176</v>
      </c>
      <c r="K13" s="254">
        <f t="shared" si="21"/>
        <v>42319176</v>
      </c>
      <c r="L13" s="254">
        <f t="shared" si="21"/>
        <v>42319176</v>
      </c>
      <c r="M13" s="254">
        <f t="shared" si="21"/>
        <v>42319176</v>
      </c>
      <c r="N13" s="254">
        <f t="shared" si="21"/>
        <v>42319176</v>
      </c>
      <c r="O13" s="254">
        <f t="shared" si="21"/>
        <v>42319176</v>
      </c>
      <c r="P13" s="254">
        <f t="shared" si="21"/>
        <v>42319176</v>
      </c>
      <c r="Q13" s="254">
        <f t="shared" si="21"/>
        <v>42319176</v>
      </c>
      <c r="R13" s="254">
        <f t="shared" si="21"/>
        <v>42319176</v>
      </c>
      <c r="S13" s="254">
        <f t="shared" si="21"/>
        <v>42319176</v>
      </c>
      <c r="T13" s="254">
        <f t="shared" si="21"/>
        <v>42319176</v>
      </c>
      <c r="U13" s="254">
        <f t="shared" si="21"/>
        <v>42319176</v>
      </c>
      <c r="V13" s="254">
        <f t="shared" si="21"/>
        <v>42319176</v>
      </c>
      <c r="W13" s="254">
        <f t="shared" si="21"/>
        <v>42319176</v>
      </c>
      <c r="X13" s="254">
        <f t="shared" si="21"/>
        <v>42319176</v>
      </c>
      <c r="Y13" s="254">
        <f t="shared" si="21"/>
        <v>42319176</v>
      </c>
      <c r="Z13" s="254">
        <f t="shared" si="21"/>
        <v>42319176</v>
      </c>
      <c r="AA13" s="254">
        <f t="shared" si="21"/>
        <v>42319176</v>
      </c>
      <c r="AB13" s="254">
        <f t="shared" si="21"/>
        <v>42319176</v>
      </c>
      <c r="AC13" s="254">
        <f t="shared" si="21"/>
        <v>42319176</v>
      </c>
      <c r="AD13" s="254">
        <f t="shared" si="21"/>
        <v>42319176</v>
      </c>
      <c r="AE13" s="254">
        <f t="shared" si="21"/>
        <v>42319176</v>
      </c>
      <c r="AF13" s="254">
        <f t="shared" si="21"/>
        <v>42319176</v>
      </c>
      <c r="AG13" s="254">
        <f t="shared" si="21"/>
        <v>42319176</v>
      </c>
      <c r="AH13" s="254">
        <f t="shared" si="21"/>
        <v>42319176</v>
      </c>
      <c r="AI13" s="254">
        <f t="shared" si="21"/>
        <v>42319176</v>
      </c>
      <c r="AJ13" s="254">
        <f t="shared" si="21"/>
        <v>42319176</v>
      </c>
      <c r="AK13" s="254">
        <f t="shared" si="21"/>
        <v>42319176</v>
      </c>
      <c r="AL13" s="254">
        <f t="shared" si="21"/>
        <v>42319176</v>
      </c>
      <c r="AM13" s="254">
        <f t="shared" si="21"/>
        <v>42319176</v>
      </c>
      <c r="AN13" s="254">
        <f t="shared" si="21"/>
        <v>42319176</v>
      </c>
      <c r="AO13" s="254">
        <f t="shared" si="21"/>
        <v>42319176</v>
      </c>
      <c r="AP13" s="254">
        <f t="shared" si="21"/>
        <v>42319176</v>
      </c>
      <c r="AQ13" s="254">
        <f t="shared" si="21"/>
        <v>42319176</v>
      </c>
      <c r="AR13" s="254">
        <f t="shared" si="21"/>
        <v>42319176</v>
      </c>
      <c r="AS13" s="254">
        <f t="shared" si="21"/>
        <v>42319176</v>
      </c>
      <c r="AT13" s="254">
        <f t="shared" si="21"/>
        <v>42319176</v>
      </c>
      <c r="AU13" s="254">
        <f t="shared" si="21"/>
        <v>42319176</v>
      </c>
      <c r="AV13" s="254">
        <f t="shared" si="21"/>
        <v>42319176</v>
      </c>
      <c r="AW13" s="254">
        <f t="shared" si="21"/>
        <v>42319176</v>
      </c>
    </row>
    <row r="14" spans="1:49">
      <c r="D14" s="259" t="s">
        <v>413</v>
      </c>
      <c r="E14" s="260">
        <f>(((1+E7*E10)^(1+E8)-(1+E7*(E10-E12))^(1+E8))/(E7*(1+E8))-E9*E12)/12</f>
        <v>0</v>
      </c>
      <c r="F14" s="260">
        <f t="shared" ref="F14:AP14" si="22">(((1+F7*F10)^(1+F8)-(1+F7*(F10-F12))^(1+F8))/(F7*(1+F8))-F9*F12)/12</f>
        <v>0</v>
      </c>
      <c r="G14" s="260">
        <f t="shared" si="22"/>
        <v>0</v>
      </c>
      <c r="H14" s="260">
        <f t="shared" si="22"/>
        <v>0</v>
      </c>
      <c r="I14" s="260">
        <f t="shared" si="22"/>
        <v>0</v>
      </c>
      <c r="J14" s="260">
        <f t="shared" si="22"/>
        <v>0</v>
      </c>
      <c r="K14" s="260">
        <f t="shared" si="22"/>
        <v>0</v>
      </c>
      <c r="L14" s="260">
        <f t="shared" si="22"/>
        <v>0</v>
      </c>
      <c r="M14" s="260">
        <f t="shared" si="22"/>
        <v>0</v>
      </c>
      <c r="N14" s="260">
        <f t="shared" si="22"/>
        <v>0</v>
      </c>
      <c r="O14" s="260">
        <f t="shared" si="22"/>
        <v>0</v>
      </c>
      <c r="P14" s="260">
        <f t="shared" si="22"/>
        <v>0</v>
      </c>
      <c r="Q14" s="260">
        <f t="shared" si="22"/>
        <v>0</v>
      </c>
      <c r="R14" s="260">
        <f t="shared" si="22"/>
        <v>0</v>
      </c>
      <c r="S14" s="260">
        <f t="shared" si="22"/>
        <v>0</v>
      </c>
      <c r="T14" s="260">
        <f t="shared" si="22"/>
        <v>0</v>
      </c>
      <c r="U14" s="260">
        <f t="shared" si="22"/>
        <v>0</v>
      </c>
      <c r="V14" s="260">
        <f t="shared" si="22"/>
        <v>0</v>
      </c>
      <c r="W14" s="260">
        <f t="shared" si="22"/>
        <v>0</v>
      </c>
      <c r="X14" s="260">
        <f t="shared" si="22"/>
        <v>0</v>
      </c>
      <c r="Y14" s="260">
        <f t="shared" si="22"/>
        <v>0</v>
      </c>
      <c r="Z14" s="260">
        <f t="shared" si="22"/>
        <v>0</v>
      </c>
      <c r="AA14" s="260">
        <f t="shared" si="22"/>
        <v>0</v>
      </c>
      <c r="AB14" s="260">
        <f t="shared" si="22"/>
        <v>0</v>
      </c>
      <c r="AC14" s="260">
        <f t="shared" si="22"/>
        <v>0.83541041122168569</v>
      </c>
      <c r="AD14" s="260">
        <f t="shared" si="22"/>
        <v>0.62949012296708196</v>
      </c>
      <c r="AE14" s="260">
        <f t="shared" si="22"/>
        <v>0.4951795007110309</v>
      </c>
      <c r="AF14" s="260">
        <f t="shared" si="22"/>
        <v>0.40174919250350977</v>
      </c>
      <c r="AG14" s="260">
        <f t="shared" si="22"/>
        <v>0.33360535316373113</v>
      </c>
      <c r="AH14" s="260">
        <f t="shared" si="22"/>
        <v>0.28206577959616624</v>
      </c>
      <c r="AI14" s="260">
        <f t="shared" si="22"/>
        <v>0.24194665894831027</v>
      </c>
      <c r="AJ14" s="260">
        <f t="shared" si="22"/>
        <v>0.20997901743873335</v>
      </c>
      <c r="AK14" s="260">
        <f t="shared" si="22"/>
        <v>0.18400863851386551</v>
      </c>
      <c r="AL14" s="260">
        <f t="shared" si="22"/>
        <v>0.1625635314679322</v>
      </c>
      <c r="AM14" s="260">
        <f t="shared" si="22"/>
        <v>0.14460685410495103</v>
      </c>
      <c r="AN14" s="260">
        <f t="shared" si="22"/>
        <v>0.1293891551198614</v>
      </c>
      <c r="AO14" s="260">
        <f t="shared" si="22"/>
        <v>0.11635652063806817</v>
      </c>
      <c r="AP14" s="260">
        <f t="shared" si="22"/>
        <v>0.10509154475292753</v>
      </c>
      <c r="AQ14" s="260">
        <f t="shared" ref="AQ14:AV14" si="23">(((1+AQ7*AQ10)^(1+AQ8)-(1+AQ7*(AQ10-AQ12))^(1+AQ8))/(AQ7*(1+AQ8))-AQ9*AQ12)/12</f>
        <v>9.5274285407002765E-2</v>
      </c>
      <c r="AR14" s="260">
        <f t="shared" si="23"/>
        <v>8.6655779162981339E-2</v>
      </c>
      <c r="AS14" s="260">
        <f>(((1+AS7*AS10)^(1+AS8)-(1+AS7*(AS10-AS12))^(1+AS8))/(AS7*(1+AS8))-AS9*AS12)/12</f>
        <v>7.9039670062160769E-2</v>
      </c>
      <c r="AT14" s="260">
        <f t="shared" si="23"/>
        <v>7.2269211252378049E-2</v>
      </c>
      <c r="AU14" s="260">
        <f t="shared" si="23"/>
        <v>6.6217903042649559E-2</v>
      </c>
      <c r="AV14" s="260">
        <f t="shared" si="23"/>
        <v>6.0782641091307078E-2</v>
      </c>
      <c r="AW14" s="260">
        <f t="shared" ref="AW14" si="24">(((1+AW7*AW10)^(1+AW8)-(1+AW7*(AW10-AW12))^(1+AW8))/(AW7*(1+AW8))-AW9*AW12)/12</f>
        <v>5.587862833475319E-2</v>
      </c>
    </row>
    <row r="15" spans="1:49">
      <c r="D15" s="258" t="s">
        <v>414</v>
      </c>
      <c r="E15" s="261">
        <f>IFERROR(MIN(E11/E13*E10/12,1),0)</f>
        <v>0</v>
      </c>
      <c r="F15" s="261">
        <f t="shared" ref="F15:AP15" si="25">IFERROR(MIN(F11/F13*F10/12,1),0)</f>
        <v>0</v>
      </c>
      <c r="G15" s="261">
        <f t="shared" si="25"/>
        <v>0</v>
      </c>
      <c r="H15" s="261">
        <f t="shared" si="25"/>
        <v>0</v>
      </c>
      <c r="I15" s="261">
        <f t="shared" si="25"/>
        <v>0</v>
      </c>
      <c r="J15" s="261">
        <f t="shared" si="25"/>
        <v>0</v>
      </c>
      <c r="K15" s="261">
        <f t="shared" si="25"/>
        <v>0</v>
      </c>
      <c r="L15" s="261">
        <f t="shared" si="25"/>
        <v>0</v>
      </c>
      <c r="M15" s="261">
        <f t="shared" si="25"/>
        <v>0</v>
      </c>
      <c r="N15" s="261">
        <f t="shared" si="25"/>
        <v>0</v>
      </c>
      <c r="O15" s="261">
        <f t="shared" si="25"/>
        <v>0</v>
      </c>
      <c r="P15" s="261">
        <f t="shared" si="25"/>
        <v>0</v>
      </c>
      <c r="Q15" s="261">
        <f t="shared" si="25"/>
        <v>0</v>
      </c>
      <c r="R15" s="261">
        <f t="shared" si="25"/>
        <v>0</v>
      </c>
      <c r="S15" s="261">
        <f t="shared" si="25"/>
        <v>0</v>
      </c>
      <c r="T15" s="261">
        <f t="shared" si="25"/>
        <v>0</v>
      </c>
      <c r="U15" s="261">
        <f t="shared" si="25"/>
        <v>0</v>
      </c>
      <c r="V15" s="261">
        <f t="shared" si="25"/>
        <v>0</v>
      </c>
      <c r="W15" s="261">
        <f t="shared" si="25"/>
        <v>0</v>
      </c>
      <c r="X15" s="261">
        <f t="shared" si="25"/>
        <v>0</v>
      </c>
      <c r="Y15" s="261">
        <f t="shared" si="25"/>
        <v>0</v>
      </c>
      <c r="Z15" s="261">
        <f t="shared" si="25"/>
        <v>0</v>
      </c>
      <c r="AA15" s="261">
        <f t="shared" si="25"/>
        <v>0</v>
      </c>
      <c r="AB15" s="261">
        <f t="shared" si="25"/>
        <v>0</v>
      </c>
      <c r="AC15" s="261">
        <f t="shared" si="25"/>
        <v>1.7486162774057793E-3</v>
      </c>
      <c r="AD15" s="261">
        <f t="shared" si="25"/>
        <v>3.4972325548115585E-3</v>
      </c>
      <c r="AE15" s="261">
        <f t="shared" si="25"/>
        <v>5.2458488322173376E-3</v>
      </c>
      <c r="AF15" s="261">
        <f t="shared" si="25"/>
        <v>6.9944651096231171E-3</v>
      </c>
      <c r="AG15" s="261">
        <f t="shared" si="25"/>
        <v>8.7430813870288965E-3</v>
      </c>
      <c r="AH15" s="261">
        <f t="shared" si="25"/>
        <v>1.0491697664434675E-2</v>
      </c>
      <c r="AI15" s="261">
        <f t="shared" si="25"/>
        <v>1.2240313941840456E-2</v>
      </c>
      <c r="AJ15" s="261">
        <f t="shared" si="25"/>
        <v>1.3988930219246234E-2</v>
      </c>
      <c r="AK15" s="261">
        <f t="shared" si="25"/>
        <v>1.5737546496652013E-2</v>
      </c>
      <c r="AL15" s="261">
        <f t="shared" si="25"/>
        <v>1.7486162774057793E-2</v>
      </c>
      <c r="AM15" s="261">
        <f t="shared" si="25"/>
        <v>1.9234779051463573E-2</v>
      </c>
      <c r="AN15" s="261">
        <f t="shared" si="25"/>
        <v>2.098339532886935E-2</v>
      </c>
      <c r="AO15" s="261">
        <f t="shared" si="25"/>
        <v>2.2732011606275127E-2</v>
      </c>
      <c r="AP15" s="261">
        <f t="shared" si="25"/>
        <v>2.4480627883680911E-2</v>
      </c>
      <c r="AQ15" s="261">
        <f t="shared" ref="AQ15:AV15" si="26">IFERROR(MIN(AQ11/AQ13*AQ10/12,1),0)</f>
        <v>2.6229244161086688E-2</v>
      </c>
      <c r="AR15" s="261">
        <f t="shared" si="26"/>
        <v>2.7977860438492468E-2</v>
      </c>
      <c r="AS15" s="261">
        <f t="shared" si="26"/>
        <v>2.9726476715898249E-2</v>
      </c>
      <c r="AT15" s="261">
        <f t="shared" si="26"/>
        <v>3.1475092993304025E-2</v>
      </c>
      <c r="AU15" s="261">
        <f t="shared" si="26"/>
        <v>3.3223709270709806E-2</v>
      </c>
      <c r="AV15" s="261">
        <f t="shared" si="26"/>
        <v>3.4972325548115586E-2</v>
      </c>
      <c r="AW15" s="261">
        <f t="shared" ref="AW15" si="27">IFERROR(MIN(AW11/AW13*AW10/12,1),0)</f>
        <v>3.6720941825521367E-2</v>
      </c>
    </row>
    <row r="16" spans="1:49">
      <c r="B16" s="262"/>
      <c r="C16" s="262"/>
      <c r="D16" s="263" t="s">
        <v>415</v>
      </c>
      <c r="E16" s="254">
        <f>IF(E10/12&lt;20,(E6*E14*(1-E15)),0)</f>
        <v>0</v>
      </c>
      <c r="F16" s="254">
        <f>IF(F10/12&lt;20,(F6*F14*(1-F15)),0)</f>
        <v>0</v>
      </c>
      <c r="G16" s="254">
        <f>IF(G10/12&lt;20,(G6*G14*(1-G15)),"0")</f>
        <v>0</v>
      </c>
      <c r="H16" s="254">
        <f t="shared" ref="H16:AP16" si="28">IF(H10/12&lt;20,(H6*H14*(1-H15)),"0")</f>
        <v>0</v>
      </c>
      <c r="I16" s="268">
        <f>IF(I10/12&lt;20,(I6*I14*(1-I15)),"0")</f>
        <v>0</v>
      </c>
      <c r="J16" s="268">
        <f t="shared" si="28"/>
        <v>0</v>
      </c>
      <c r="K16" s="268">
        <f t="shared" si="28"/>
        <v>0</v>
      </c>
      <c r="L16" s="268">
        <f t="shared" si="28"/>
        <v>0</v>
      </c>
      <c r="M16" s="268">
        <f t="shared" si="28"/>
        <v>0</v>
      </c>
      <c r="N16" s="268">
        <f t="shared" si="28"/>
        <v>0</v>
      </c>
      <c r="O16" s="268">
        <f t="shared" si="28"/>
        <v>0</v>
      </c>
      <c r="P16" s="268">
        <f t="shared" si="28"/>
        <v>0</v>
      </c>
      <c r="Q16" s="268">
        <f t="shared" si="28"/>
        <v>0</v>
      </c>
      <c r="R16" s="268">
        <f t="shared" si="28"/>
        <v>0</v>
      </c>
      <c r="S16" s="268">
        <f t="shared" si="28"/>
        <v>0</v>
      </c>
      <c r="T16" s="268">
        <f t="shared" si="28"/>
        <v>0</v>
      </c>
      <c r="U16" s="268">
        <f t="shared" si="28"/>
        <v>0</v>
      </c>
      <c r="V16" s="268">
        <f t="shared" si="28"/>
        <v>0</v>
      </c>
      <c r="W16" s="268">
        <f t="shared" si="28"/>
        <v>0</v>
      </c>
      <c r="X16" s="268">
        <f t="shared" si="28"/>
        <v>0</v>
      </c>
      <c r="Y16" s="268">
        <f t="shared" si="28"/>
        <v>0</v>
      </c>
      <c r="Z16" s="268">
        <f t="shared" si="28"/>
        <v>0</v>
      </c>
      <c r="AA16" s="268">
        <f t="shared" si="28"/>
        <v>0</v>
      </c>
      <c r="AB16" s="268">
        <f t="shared" si="28"/>
        <v>0</v>
      </c>
      <c r="AC16" s="254">
        <f t="shared" si="28"/>
        <v>840621.19577013573</v>
      </c>
      <c r="AD16" s="254">
        <f t="shared" si="28"/>
        <v>632306.95881303796</v>
      </c>
      <c r="AE16" s="254">
        <f t="shared" si="28"/>
        <v>496522.51881673187</v>
      </c>
      <c r="AF16" s="254">
        <f t="shared" si="28"/>
        <v>402130.6851680745</v>
      </c>
      <c r="AG16" s="254">
        <f t="shared" si="28"/>
        <v>333334.1233251511</v>
      </c>
      <c r="AH16" s="254">
        <f t="shared" si="28"/>
        <v>281339.28216088144</v>
      </c>
      <c r="AI16" s="254">
        <f t="shared" si="28"/>
        <v>240897.03713268836</v>
      </c>
      <c r="AJ16" s="254">
        <f t="shared" si="28"/>
        <v>208697.96870120725</v>
      </c>
      <c r="AK16" s="254">
        <f t="shared" si="28"/>
        <v>182561.69636154367</v>
      </c>
      <c r="AL16" s="254">
        <f t="shared" si="28"/>
        <v>160998.68644832275</v>
      </c>
      <c r="AM16" s="254">
        <f t="shared" si="28"/>
        <v>142959.97620265037</v>
      </c>
      <c r="AN16" s="254">
        <f t="shared" si="28"/>
        <v>127687.52437732666</v>
      </c>
      <c r="AO16" s="254">
        <f t="shared" si="28"/>
        <v>114621.19488334148</v>
      </c>
      <c r="AP16" s="254">
        <f t="shared" si="28"/>
        <v>103338.9884541268</v>
      </c>
      <c r="AQ16" s="254">
        <f>IF(AQ10/12&lt;20,(AQ6*AQ14*(1-AQ15)),"0")</f>
        <v>93517.515416091745</v>
      </c>
      <c r="AR16" s="254">
        <f t="shared" ref="AR16:AV16" si="29">IF(AR10/12&lt;20,(AR6*AR14*(1-AR15)),"0")</f>
        <v>84905.186554309577</v>
      </c>
      <c r="AS16" s="254">
        <f t="shared" si="29"/>
        <v>77303.619943629077</v>
      </c>
      <c r="AT16" s="254">
        <f t="shared" si="29"/>
        <v>70554.487356517973</v>
      </c>
      <c r="AU16" s="254">
        <f>IF(AU10/12&lt;20,(AU6*AU14*(1-AU15)),"0")</f>
        <v>64530.041872912065</v>
      </c>
      <c r="AV16" s="254" t="str">
        <f t="shared" si="29"/>
        <v>0</v>
      </c>
      <c r="AW16" s="254" t="str">
        <f t="shared" ref="AW16" si="30">IF(AW10/12&lt;20,(AW6*AW14*(1-AW15)),"0")</f>
        <v>0</v>
      </c>
    </row>
    <row r="17" spans="1:134">
      <c r="D17" s="284"/>
      <c r="E17" s="285"/>
      <c r="F17" s="285"/>
      <c r="G17" s="285"/>
      <c r="H17" s="285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5"/>
      <c r="AD17" s="285"/>
      <c r="AE17" s="285"/>
      <c r="AF17" s="285"/>
      <c r="AG17" s="285"/>
      <c r="AH17" s="285"/>
      <c r="AI17" s="285"/>
      <c r="AJ17" s="285"/>
      <c r="AK17" s="285"/>
      <c r="AL17" s="285"/>
      <c r="AM17" s="285"/>
      <c r="AN17" s="285"/>
      <c r="AO17" s="285"/>
      <c r="AP17" s="285"/>
      <c r="AQ17" s="285"/>
      <c r="AR17" s="285"/>
      <c r="AS17" s="285"/>
      <c r="AT17" s="285"/>
      <c r="AU17" s="285"/>
      <c r="AV17" s="285"/>
      <c r="AW17" s="285"/>
    </row>
    <row r="18" spans="1:134">
      <c r="D18" s="284"/>
      <c r="E18" s="285"/>
      <c r="F18" s="285"/>
      <c r="G18" s="285"/>
      <c r="H18" s="285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5"/>
      <c r="AD18" s="285"/>
      <c r="AE18" s="285"/>
      <c r="AF18" s="285"/>
      <c r="AG18" s="285"/>
      <c r="AH18" s="285"/>
      <c r="AI18" s="285"/>
      <c r="AJ18" s="285"/>
      <c r="AK18" s="285"/>
      <c r="AL18" s="285"/>
      <c r="AM18" s="285"/>
      <c r="AN18" s="285"/>
      <c r="AO18" s="285"/>
      <c r="AP18" s="285"/>
      <c r="AQ18" s="285"/>
      <c r="AR18" s="285"/>
      <c r="AS18" s="285"/>
      <c r="AT18" s="285"/>
      <c r="AU18" s="285"/>
      <c r="AV18" s="285"/>
      <c r="AW18" s="285"/>
    </row>
    <row r="19" spans="1:134">
      <c r="D19" s="284"/>
      <c r="E19" s="285"/>
      <c r="F19" s="285"/>
      <c r="G19" s="285"/>
      <c r="H19" s="285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5"/>
      <c r="AD19" s="285"/>
      <c r="AE19" s="285"/>
      <c r="AF19" s="285"/>
      <c r="AG19" s="285"/>
      <c r="AH19" s="285"/>
      <c r="AI19" s="285"/>
      <c r="AJ19" s="285"/>
      <c r="AK19" s="285"/>
      <c r="AL19" s="285"/>
      <c r="AM19" s="285"/>
      <c r="AN19" s="285"/>
      <c r="AO19" s="285"/>
      <c r="AP19" s="285"/>
      <c r="AQ19" s="285"/>
      <c r="AR19" s="285"/>
      <c r="AS19" s="285"/>
      <c r="AT19" s="285"/>
      <c r="AU19" s="285"/>
      <c r="AV19" s="285"/>
      <c r="AW19" s="285"/>
    </row>
    <row r="20" spans="1:134" hidden="1">
      <c r="D20" s="284" t="s">
        <v>416</v>
      </c>
      <c r="E20" s="285"/>
      <c r="F20" s="285"/>
      <c r="G20" s="285"/>
      <c r="H20" s="285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5"/>
      <c r="AD20" s="285"/>
      <c r="AE20" s="285"/>
      <c r="AF20" s="285"/>
      <c r="AG20" s="285"/>
      <c r="AH20" s="285"/>
      <c r="AI20" s="285"/>
      <c r="AJ20" s="285"/>
      <c r="AK20" s="285"/>
      <c r="AL20" s="285"/>
      <c r="AM20" s="285"/>
      <c r="AN20" s="285"/>
      <c r="AO20" s="285"/>
      <c r="AP20" s="285"/>
      <c r="AQ20" s="285"/>
      <c r="AR20" s="285"/>
      <c r="AS20" s="285"/>
      <c r="AT20" s="285"/>
      <c r="AU20" s="285"/>
      <c r="AV20" s="285"/>
      <c r="AW20" s="285"/>
    </row>
    <row r="21" spans="1:134" hidden="1">
      <c r="D21" s="287" t="s">
        <v>417</v>
      </c>
      <c r="E21" s="288">
        <v>0.77949999999999986</v>
      </c>
      <c r="F21" s="288">
        <v>0.73049999999999971</v>
      </c>
      <c r="G21" s="288">
        <v>0.68149999999999977</v>
      </c>
      <c r="H21" s="288">
        <v>0.64057499999999967</v>
      </c>
      <c r="I21" s="288">
        <v>0.60772499999999985</v>
      </c>
      <c r="J21" s="288">
        <v>0.5748749999999998</v>
      </c>
      <c r="K21" s="288">
        <v>0.54202499999999998</v>
      </c>
      <c r="L21" s="288">
        <v>0.50917499999999993</v>
      </c>
      <c r="M21" s="288">
        <v>0.476325</v>
      </c>
      <c r="N21" s="288">
        <v>0.44347499999999995</v>
      </c>
      <c r="O21" s="288">
        <v>0.41062500000000002</v>
      </c>
      <c r="P21" s="288">
        <v>0.37777499999999997</v>
      </c>
      <c r="Q21" s="288">
        <v>0.34492500000000004</v>
      </c>
      <c r="R21" s="288">
        <v>0.31207499999999999</v>
      </c>
      <c r="S21" s="288">
        <v>0.27922500000000006</v>
      </c>
      <c r="T21" s="288">
        <v>0.24637500000000004</v>
      </c>
      <c r="U21" s="288">
        <v>0.21352500000000005</v>
      </c>
      <c r="V21" s="288">
        <v>0.18067500000000006</v>
      </c>
      <c r="W21" s="288">
        <v>0.14782500000000007</v>
      </c>
      <c r="X21" s="288">
        <v>0.11497500000000008</v>
      </c>
      <c r="Y21" s="288">
        <v>8.2125000000000087E-2</v>
      </c>
      <c r="Z21" s="288">
        <v>4.9275000000000097E-2</v>
      </c>
      <c r="AA21" s="288">
        <v>1.6425000000000117E-2</v>
      </c>
      <c r="AB21" s="288">
        <v>1.2490009027033011E-16</v>
      </c>
      <c r="AC21" s="288">
        <v>1.2490009027033011E-16</v>
      </c>
      <c r="AD21" s="288">
        <v>1.2490009027033011E-16</v>
      </c>
      <c r="AE21" s="288">
        <v>1.2490009027033011E-16</v>
      </c>
      <c r="AF21" s="288">
        <v>1.2490009027033011E-16</v>
      </c>
      <c r="AG21" s="288">
        <v>1.2490009027033011E-16</v>
      </c>
      <c r="AH21" s="288">
        <v>1.2490009027033011E-16</v>
      </c>
      <c r="AI21" s="288">
        <v>1.2490009027033011E-16</v>
      </c>
      <c r="AJ21" s="288">
        <v>1.2490009027033011E-16</v>
      </c>
      <c r="AK21" s="288">
        <v>1.2490009027033011E-16</v>
      </c>
      <c r="AL21" s="288">
        <v>1.2490009027033011E-16</v>
      </c>
      <c r="AM21" s="288">
        <v>1.2490009027033011E-16</v>
      </c>
      <c r="AN21" s="288">
        <v>1.2490009027033011E-16</v>
      </c>
      <c r="AO21" s="288">
        <v>1.2490009027033011E-16</v>
      </c>
      <c r="AP21" s="288">
        <v>1.2490009027033011E-16</v>
      </c>
      <c r="AQ21" s="288">
        <v>1.2490009027033011E-16</v>
      </c>
      <c r="AR21" s="288">
        <v>1.2490009027033011E-16</v>
      </c>
      <c r="AS21" s="288">
        <v>1.2490009027033011E-16</v>
      </c>
      <c r="AT21" s="288">
        <v>1.2490009027033011E-16</v>
      </c>
      <c r="AU21" s="288">
        <v>1.2490009027033011E-16</v>
      </c>
      <c r="AV21" s="288">
        <v>1.2490009027033011E-16</v>
      </c>
      <c r="AW21" s="288">
        <v>1.2490009027033011E-16</v>
      </c>
      <c r="BA21" s="264"/>
      <c r="BB21" s="264"/>
      <c r="BC21" s="264"/>
      <c r="BD21" s="264"/>
      <c r="BE21" s="264"/>
      <c r="BF21" s="264"/>
      <c r="BG21" s="264"/>
      <c r="BH21" s="264"/>
      <c r="BI21" s="264"/>
      <c r="BJ21" s="264"/>
      <c r="BK21" s="264"/>
      <c r="BL21" s="264"/>
      <c r="BM21" s="264"/>
      <c r="BN21" s="264"/>
      <c r="BO21" s="264"/>
      <c r="BP21" s="264"/>
      <c r="BQ21" s="264"/>
      <c r="BR21" s="264"/>
      <c r="BS21" s="264"/>
      <c r="BT21" s="264"/>
      <c r="BU21" s="264"/>
      <c r="BV21" s="264"/>
      <c r="BW21" s="264"/>
      <c r="BX21" s="264"/>
      <c r="BY21" s="264"/>
      <c r="BZ21" s="264"/>
      <c r="CA21" s="264"/>
      <c r="CB21" s="264"/>
      <c r="CC21" s="264"/>
      <c r="CD21" s="264"/>
      <c r="CE21" s="264"/>
      <c r="CF21" s="264"/>
      <c r="CG21" s="264"/>
      <c r="CH21" s="264"/>
      <c r="CI21" s="264"/>
      <c r="CJ21" s="264"/>
      <c r="CK21" s="264"/>
      <c r="CL21" s="264"/>
      <c r="CM21" s="264"/>
      <c r="CN21" s="264"/>
      <c r="CO21" s="264"/>
      <c r="CP21" s="264"/>
      <c r="CQ21" s="264"/>
      <c r="CR21" s="264"/>
      <c r="CS21" s="264"/>
      <c r="CT21" s="264"/>
      <c r="CU21" s="264"/>
      <c r="CV21" s="264"/>
      <c r="CW21" s="264"/>
      <c r="CX21" s="264"/>
      <c r="CY21" s="264"/>
      <c r="CZ21" s="264"/>
      <c r="DA21" s="264"/>
      <c r="DB21" s="264"/>
      <c r="DC21" s="264"/>
      <c r="DD21" s="264"/>
      <c r="DE21" s="264"/>
      <c r="DF21" s="264"/>
      <c r="DG21" s="264"/>
      <c r="DH21" s="264"/>
      <c r="DI21" s="264"/>
      <c r="DJ21" s="264"/>
      <c r="DK21" s="264"/>
      <c r="DL21" s="264"/>
      <c r="DM21" s="264"/>
      <c r="DN21" s="264"/>
      <c r="DO21" s="264"/>
      <c r="DP21" s="264"/>
      <c r="DQ21" s="264"/>
      <c r="DR21" s="264"/>
      <c r="DS21" s="264"/>
      <c r="DT21" s="264"/>
      <c r="DU21" s="264"/>
      <c r="DV21" s="264"/>
      <c r="DW21" s="264"/>
      <c r="DX21" s="264"/>
      <c r="DY21" s="264"/>
      <c r="DZ21" s="264"/>
      <c r="EA21" s="264"/>
      <c r="EB21" s="264"/>
      <c r="EC21" s="264"/>
      <c r="ED21" s="264"/>
    </row>
    <row r="22" spans="1:134" hidden="1">
      <c r="D22" s="289" t="s">
        <v>418</v>
      </c>
      <c r="E22" s="290">
        <v>8.206856999999998E-2</v>
      </c>
      <c r="F22" s="290">
        <v>7.3027509999999976E-2</v>
      </c>
      <c r="G22" s="290">
        <v>6.4507809999999971E-2</v>
      </c>
      <c r="H22" s="290">
        <v>5.8868842499999977E-2</v>
      </c>
      <c r="I22" s="290">
        <v>5.584992749999998E-2</v>
      </c>
      <c r="J22" s="290">
        <v>5.2831012499999983E-2</v>
      </c>
      <c r="K22" s="290">
        <v>4.9812097499999992E-2</v>
      </c>
      <c r="L22" s="290">
        <v>4.6793182499999995E-2</v>
      </c>
      <c r="M22" s="290">
        <v>4.3774267499999998E-2</v>
      </c>
      <c r="N22" s="290">
        <v>4.0755352499999994E-2</v>
      </c>
      <c r="O22" s="290">
        <v>3.7736437499999997E-2</v>
      </c>
      <c r="P22" s="290">
        <v>3.47175225E-2</v>
      </c>
      <c r="Q22" s="290">
        <v>3.1698607500000003E-2</v>
      </c>
      <c r="R22" s="290">
        <v>2.8679692499999999E-2</v>
      </c>
      <c r="S22" s="290">
        <v>2.5660777500000002E-2</v>
      </c>
      <c r="T22" s="290">
        <v>2.2641862500000002E-2</v>
      </c>
      <c r="U22" s="290">
        <v>1.9622947500000001E-2</v>
      </c>
      <c r="V22" s="290">
        <v>1.6604032500000004E-2</v>
      </c>
      <c r="W22" s="290">
        <v>1.3585117500000004E-2</v>
      </c>
      <c r="X22" s="290">
        <v>1.0566202500000007E-2</v>
      </c>
      <c r="Y22" s="290">
        <v>7.5472875000000073E-3</v>
      </c>
      <c r="Z22" s="290">
        <v>4.5283725000000085E-3</v>
      </c>
      <c r="AA22" s="290">
        <v>1.5094575000000104E-3</v>
      </c>
      <c r="AB22" s="290">
        <v>1.1478318295843336E-17</v>
      </c>
      <c r="AC22" s="290">
        <v>1.1478318295843336E-17</v>
      </c>
      <c r="AD22" s="290">
        <v>1.1478318295843336E-17</v>
      </c>
      <c r="AE22" s="290">
        <v>1.1478318295843336E-17</v>
      </c>
      <c r="AF22" s="290">
        <v>1.1478318295843336E-17</v>
      </c>
      <c r="AG22" s="290">
        <v>1.1478318295843336E-17</v>
      </c>
      <c r="AH22" s="290">
        <v>1.1478318295843336E-17</v>
      </c>
      <c r="AI22" s="290">
        <v>1.1478318295843336E-17</v>
      </c>
      <c r="AJ22" s="290">
        <v>1.1478318295843336E-17</v>
      </c>
      <c r="AK22" s="290">
        <v>1.1478318295843336E-17</v>
      </c>
      <c r="AL22" s="290">
        <v>1.1478318295843336E-17</v>
      </c>
      <c r="AM22" s="290">
        <v>1.1478318295843336E-17</v>
      </c>
      <c r="AN22" s="290">
        <v>1.1478318295843336E-17</v>
      </c>
      <c r="AO22" s="290">
        <v>1.1478318295843336E-17</v>
      </c>
      <c r="AP22" s="290">
        <v>1.1478318295843336E-17</v>
      </c>
      <c r="AQ22" s="290">
        <v>1.1478318295843336E-17</v>
      </c>
      <c r="AR22" s="290">
        <v>1.1478318295843336E-17</v>
      </c>
      <c r="AS22" s="290">
        <v>1.1478318295843336E-17</v>
      </c>
      <c r="AT22" s="290">
        <v>1.1478318295843336E-17</v>
      </c>
      <c r="AU22" s="290">
        <v>1.1478318295843336E-17</v>
      </c>
      <c r="AV22" s="290">
        <v>1.1478318295843336E-17</v>
      </c>
      <c r="AW22" s="290">
        <v>1.1478318295843336E-17</v>
      </c>
      <c r="BA22" s="279"/>
      <c r="BB22" s="279"/>
      <c r="BC22" s="279"/>
      <c r="BD22" s="279"/>
      <c r="BE22" s="279"/>
      <c r="BF22" s="279"/>
      <c r="BG22" s="279"/>
      <c r="BH22" s="279"/>
      <c r="BI22" s="279"/>
      <c r="BJ22" s="279"/>
      <c r="BK22" s="279"/>
      <c r="BL22" s="279"/>
      <c r="BM22" s="279"/>
      <c r="BN22" s="279"/>
      <c r="BO22" s="279"/>
      <c r="BP22" s="279"/>
      <c r="BQ22" s="279"/>
      <c r="BR22" s="279"/>
    </row>
    <row r="23" spans="1:134">
      <c r="E23" s="279"/>
      <c r="F23" s="279"/>
      <c r="G23" s="279"/>
      <c r="H23" s="279"/>
      <c r="I23" s="279"/>
      <c r="J23" s="279"/>
      <c r="K23" s="279"/>
      <c r="L23" s="280"/>
      <c r="M23" s="281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  <c r="AA23" s="279"/>
      <c r="AB23" s="279"/>
      <c r="AC23" s="279"/>
      <c r="AD23" s="279"/>
      <c r="AE23" s="279"/>
      <c r="AF23" s="279"/>
      <c r="AG23" s="279"/>
      <c r="AH23" s="279"/>
      <c r="AI23" s="279"/>
      <c r="AJ23" s="279"/>
      <c r="AK23" s="279"/>
      <c r="AL23" s="279"/>
      <c r="AM23" s="279"/>
      <c r="AN23" s="279"/>
      <c r="AO23" s="279"/>
      <c r="AP23" s="279"/>
      <c r="AQ23" s="279"/>
      <c r="AR23" s="279"/>
      <c r="AS23" s="279"/>
      <c r="AT23" s="279"/>
      <c r="AU23" s="279"/>
      <c r="AV23" s="279"/>
      <c r="AW23" s="279"/>
      <c r="AX23" s="279"/>
      <c r="AY23" s="279"/>
      <c r="AZ23" s="279"/>
      <c r="BA23" s="279"/>
      <c r="BB23" s="279"/>
      <c r="BC23" s="279"/>
      <c r="BD23" s="279"/>
      <c r="BE23" s="279"/>
      <c r="BF23" s="279"/>
      <c r="BG23" s="279"/>
      <c r="BH23" s="279"/>
      <c r="BI23" s="279"/>
      <c r="BJ23" s="279"/>
      <c r="BK23" s="279"/>
      <c r="BL23" s="279"/>
      <c r="BM23" s="279"/>
      <c r="BN23" s="279"/>
      <c r="BO23" s="279"/>
      <c r="BP23" s="279"/>
      <c r="BQ23" s="279"/>
      <c r="BR23" s="279"/>
    </row>
    <row r="27" spans="1:134" ht="21">
      <c r="A27" s="291" t="s">
        <v>419</v>
      </c>
    </row>
    <row r="28" spans="1:134" ht="97.5" customHeight="1">
      <c r="A28" s="270" t="s">
        <v>420</v>
      </c>
      <c r="B28" s="270" t="s">
        <v>421</v>
      </c>
      <c r="C28" s="270" t="s">
        <v>422</v>
      </c>
      <c r="D28" s="270" t="s">
        <v>423</v>
      </c>
      <c r="E28" s="270" t="s">
        <v>424</v>
      </c>
      <c r="F28" s="270" t="s">
        <v>425</v>
      </c>
      <c r="G28" s="270" t="s">
        <v>426</v>
      </c>
      <c r="H28" s="270" t="s">
        <v>407</v>
      </c>
      <c r="I28" s="269" t="s">
        <v>427</v>
      </c>
      <c r="J28" s="269" t="s">
        <v>428</v>
      </c>
      <c r="K28" s="265"/>
      <c r="L28" s="266"/>
      <c r="M28" s="238"/>
    </row>
    <row r="29" spans="1:134">
      <c r="A29" s="271" t="s">
        <v>429</v>
      </c>
      <c r="B29" s="272">
        <v>0</v>
      </c>
      <c r="C29" s="273" t="s">
        <v>430</v>
      </c>
      <c r="D29" s="274">
        <f>Springbok!H22</f>
        <v>649511.86902817036</v>
      </c>
      <c r="E29" s="274">
        <v>21159588</v>
      </c>
      <c r="F29" s="275">
        <v>48213</v>
      </c>
      <c r="G29" s="273">
        <f>YEAR(F29)</f>
        <v>2031</v>
      </c>
      <c r="H29" s="273">
        <f>G29+20</f>
        <v>2051</v>
      </c>
      <c r="I29" s="273" t="s">
        <v>431</v>
      </c>
      <c r="J29" s="274">
        <v>74000</v>
      </c>
      <c r="K29" s="265"/>
      <c r="L29" s="266"/>
      <c r="M29" s="238"/>
    </row>
    <row r="30" spans="1:134">
      <c r="A30" s="271" t="s">
        <v>398</v>
      </c>
      <c r="B30" s="272">
        <v>0</v>
      </c>
      <c r="C30" s="273" t="s">
        <v>430</v>
      </c>
      <c r="D30" s="274">
        <f>'Brave Blossom '!AA22</f>
        <v>1008000</v>
      </c>
      <c r="E30" s="274">
        <v>42319176</v>
      </c>
      <c r="F30" s="275">
        <v>55153</v>
      </c>
      <c r="G30" s="273">
        <v>2050</v>
      </c>
      <c r="H30" s="273">
        <f>G30+20</f>
        <v>2070</v>
      </c>
      <c r="I30" s="273" t="s">
        <v>431</v>
      </c>
      <c r="J30" s="274">
        <v>74000</v>
      </c>
      <c r="K30" s="265"/>
      <c r="L30" s="266"/>
      <c r="M30" s="238"/>
    </row>
    <row r="31" spans="1:134">
      <c r="A31" s="271" t="s">
        <v>432</v>
      </c>
      <c r="B31" s="272">
        <v>0</v>
      </c>
      <c r="C31" s="273" t="s">
        <v>430</v>
      </c>
      <c r="D31" s="274">
        <f>D29*0.5</f>
        <v>324755.93451408518</v>
      </c>
      <c r="E31" s="274">
        <v>21159588</v>
      </c>
      <c r="F31" s="275">
        <v>48579</v>
      </c>
      <c r="G31" s="273">
        <f>YEAR(F31)</f>
        <v>2032</v>
      </c>
      <c r="H31" s="273">
        <f>G31+20</f>
        <v>2052</v>
      </c>
      <c r="I31" s="273" t="s">
        <v>431</v>
      </c>
      <c r="J31" s="274">
        <v>74000</v>
      </c>
      <c r="K31" s="265"/>
      <c r="L31" s="266"/>
      <c r="M31" s="238"/>
    </row>
    <row r="33" spans="1:70">
      <c r="E33" s="303"/>
    </row>
    <row r="34" spans="1:70" hidden="1">
      <c r="A34" s="284" t="s">
        <v>433</v>
      </c>
      <c r="B34" s="293">
        <v>2024</v>
      </c>
      <c r="C34" s="293">
        <f>B34+1</f>
        <v>2025</v>
      </c>
      <c r="D34" s="293">
        <f t="shared" ref="D34:AW34" si="31">C34+1</f>
        <v>2026</v>
      </c>
      <c r="E34" s="293">
        <f t="shared" si="31"/>
        <v>2027</v>
      </c>
      <c r="F34" s="293">
        <f t="shared" si="31"/>
        <v>2028</v>
      </c>
      <c r="G34" s="293">
        <f t="shared" si="31"/>
        <v>2029</v>
      </c>
      <c r="H34" s="293">
        <f t="shared" si="31"/>
        <v>2030</v>
      </c>
      <c r="I34" s="293">
        <f t="shared" si="31"/>
        <v>2031</v>
      </c>
      <c r="J34" s="293">
        <f t="shared" si="31"/>
        <v>2032</v>
      </c>
      <c r="K34" s="293">
        <f t="shared" si="31"/>
        <v>2033</v>
      </c>
      <c r="L34" s="293">
        <f t="shared" si="31"/>
        <v>2034</v>
      </c>
      <c r="M34" s="293">
        <f t="shared" si="31"/>
        <v>2035</v>
      </c>
      <c r="N34" s="293">
        <f t="shared" si="31"/>
        <v>2036</v>
      </c>
      <c r="O34" s="293">
        <f t="shared" si="31"/>
        <v>2037</v>
      </c>
      <c r="P34" s="293">
        <f t="shared" si="31"/>
        <v>2038</v>
      </c>
      <c r="Q34" s="293">
        <f t="shared" si="31"/>
        <v>2039</v>
      </c>
      <c r="R34" s="293">
        <f t="shared" si="31"/>
        <v>2040</v>
      </c>
      <c r="S34" s="293">
        <f t="shared" si="31"/>
        <v>2041</v>
      </c>
      <c r="T34" s="293">
        <f t="shared" si="31"/>
        <v>2042</v>
      </c>
      <c r="U34" s="293">
        <f t="shared" si="31"/>
        <v>2043</v>
      </c>
      <c r="V34" s="293">
        <f t="shared" si="31"/>
        <v>2044</v>
      </c>
      <c r="W34" s="293">
        <f t="shared" si="31"/>
        <v>2045</v>
      </c>
      <c r="X34" s="293">
        <f t="shared" si="31"/>
        <v>2046</v>
      </c>
      <c r="Y34" s="293">
        <f t="shared" si="31"/>
        <v>2047</v>
      </c>
      <c r="Z34" s="293">
        <f t="shared" si="31"/>
        <v>2048</v>
      </c>
      <c r="AA34" s="293">
        <f t="shared" si="31"/>
        <v>2049</v>
      </c>
      <c r="AB34" s="293">
        <f t="shared" si="31"/>
        <v>2050</v>
      </c>
      <c r="AC34" s="293">
        <f t="shared" si="31"/>
        <v>2051</v>
      </c>
      <c r="AD34" s="293">
        <f t="shared" si="31"/>
        <v>2052</v>
      </c>
      <c r="AE34" s="293">
        <f t="shared" si="31"/>
        <v>2053</v>
      </c>
      <c r="AF34" s="293">
        <f t="shared" si="31"/>
        <v>2054</v>
      </c>
      <c r="AG34" s="293">
        <f t="shared" si="31"/>
        <v>2055</v>
      </c>
      <c r="AH34" s="293">
        <f t="shared" si="31"/>
        <v>2056</v>
      </c>
      <c r="AI34" s="293">
        <f t="shared" si="31"/>
        <v>2057</v>
      </c>
      <c r="AJ34" s="293">
        <f t="shared" si="31"/>
        <v>2058</v>
      </c>
      <c r="AK34" s="293">
        <f t="shared" si="31"/>
        <v>2059</v>
      </c>
      <c r="AL34" s="293">
        <f t="shared" si="31"/>
        <v>2060</v>
      </c>
      <c r="AM34" s="293">
        <f t="shared" si="31"/>
        <v>2061</v>
      </c>
      <c r="AN34" s="293">
        <f t="shared" si="31"/>
        <v>2062</v>
      </c>
      <c r="AO34" s="293">
        <f t="shared" si="31"/>
        <v>2063</v>
      </c>
      <c r="AP34" s="293">
        <f t="shared" si="31"/>
        <v>2064</v>
      </c>
      <c r="AQ34" s="293">
        <f t="shared" si="31"/>
        <v>2065</v>
      </c>
      <c r="AR34" s="293">
        <f t="shared" si="31"/>
        <v>2066</v>
      </c>
      <c r="AS34" s="293">
        <f t="shared" si="31"/>
        <v>2067</v>
      </c>
      <c r="AT34" s="293">
        <f t="shared" si="31"/>
        <v>2068</v>
      </c>
      <c r="AU34" s="293">
        <f t="shared" si="31"/>
        <v>2069</v>
      </c>
      <c r="AV34" s="293">
        <f t="shared" si="31"/>
        <v>2070</v>
      </c>
      <c r="AW34" s="293">
        <f t="shared" si="31"/>
        <v>2071</v>
      </c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3"/>
      <c r="BI34" s="293"/>
      <c r="BJ34" s="293"/>
      <c r="BK34" s="293"/>
      <c r="BL34" s="293"/>
      <c r="BM34" s="293"/>
      <c r="BN34" s="293"/>
      <c r="BO34" s="293"/>
      <c r="BP34" s="293"/>
      <c r="BQ34" s="293"/>
      <c r="BR34" s="293"/>
    </row>
    <row r="35" spans="1:70" hidden="1">
      <c r="A35" s="289" t="s">
        <v>418</v>
      </c>
      <c r="B35" s="290">
        <v>2.4231692821243024E-2</v>
      </c>
      <c r="C35" s="290">
        <v>2.6451601317392052E-2</v>
      </c>
      <c r="D35" s="290">
        <v>2.867150981354108E-2</v>
      </c>
      <c r="E35" s="290">
        <v>3.2001372557764612E-2</v>
      </c>
      <c r="F35" s="290">
        <v>3.6441189550062668E-2</v>
      </c>
      <c r="G35" s="290">
        <v>4.0881006542360716E-2</v>
      </c>
      <c r="H35" s="290">
        <v>4.3100915038509741E-2</v>
      </c>
      <c r="I35" s="290">
        <v>4.3100915038509741E-2</v>
      </c>
      <c r="J35" s="290">
        <v>4.3100915038509741E-2</v>
      </c>
      <c r="K35" s="290">
        <v>4.3100915038509741E-2</v>
      </c>
      <c r="L35" s="290">
        <v>4.3100915038509741E-2</v>
      </c>
      <c r="M35" s="290">
        <v>4.3100915038509741E-2</v>
      </c>
      <c r="N35" s="290">
        <v>4.3100915038509741E-2</v>
      </c>
      <c r="O35" s="290">
        <v>4.3100915038509741E-2</v>
      </c>
      <c r="P35" s="290">
        <v>4.3100915038509741E-2</v>
      </c>
      <c r="Q35" s="290">
        <v>4.3100915038509741E-2</v>
      </c>
      <c r="R35" s="290">
        <v>4.3100915038509741E-2</v>
      </c>
      <c r="S35" s="290">
        <v>4.3100915038509741E-2</v>
      </c>
      <c r="T35" s="290">
        <v>4.3100915038509741E-2</v>
      </c>
      <c r="U35" s="290">
        <v>4.3100915038509741E-2</v>
      </c>
      <c r="V35" s="290">
        <v>4.3100915038509741E-2</v>
      </c>
      <c r="W35" s="290">
        <v>4.3100915038509741E-2</v>
      </c>
      <c r="X35" s="290">
        <v>4.3100915038509741E-2</v>
      </c>
      <c r="Y35" s="290">
        <v>4.3100915038509741E-2</v>
      </c>
      <c r="Z35" s="290">
        <v>4.3100915038509741E-2</v>
      </c>
      <c r="AA35" s="290">
        <v>4.3100915038509741E-2</v>
      </c>
      <c r="AB35" s="290">
        <v>4.3100915038509741E-2</v>
      </c>
      <c r="AC35" s="290">
        <v>4.3100915038509741E-2</v>
      </c>
      <c r="AD35" s="290">
        <v>4.3100915038509741E-2</v>
      </c>
      <c r="AE35" s="290">
        <v>4.3100915038509741E-2</v>
      </c>
      <c r="AF35" s="290">
        <v>4.3100915038509741E-2</v>
      </c>
      <c r="AG35" s="290">
        <v>4.3100915038509741E-2</v>
      </c>
      <c r="AH35" s="290">
        <v>4.3100915038509741E-2</v>
      </c>
      <c r="AI35" s="290">
        <v>4.3100915038509741E-2</v>
      </c>
      <c r="AJ35" s="290">
        <v>4.3100915038509741E-2</v>
      </c>
      <c r="AK35" s="290">
        <v>4.3100915038509741E-2</v>
      </c>
      <c r="AL35" s="290">
        <v>4.3100915038509741E-2</v>
      </c>
      <c r="AM35" s="290">
        <v>4.3100915038509741E-2</v>
      </c>
      <c r="AN35" s="290">
        <v>4.3100915038509741E-2</v>
      </c>
      <c r="AO35" s="290">
        <v>4.3100915038509741E-2</v>
      </c>
      <c r="AP35" s="290">
        <v>4.3100915038509741E-2</v>
      </c>
      <c r="AQ35" s="290">
        <v>4.3100915038509741E-2</v>
      </c>
      <c r="AR35" s="290">
        <v>4.3100915038509741E-2</v>
      </c>
      <c r="AS35" s="290">
        <v>4.3100915038509741E-2</v>
      </c>
      <c r="AT35" s="290">
        <v>4.3100915038509741E-2</v>
      </c>
      <c r="AU35" s="290">
        <v>4.3100915038509741E-2</v>
      </c>
      <c r="AV35" s="290">
        <v>4.3100915038509741E-2</v>
      </c>
      <c r="AW35" s="290">
        <v>4.3100915038509741E-2</v>
      </c>
    </row>
    <row r="36" spans="1:70">
      <c r="E36" s="305"/>
    </row>
  </sheetData>
  <mergeCells count="1">
    <mergeCell ref="A4:B4"/>
  </mergeCells>
  <dataValidations count="1">
    <dataValidation type="list" allowBlank="1" showInputMessage="1" showErrorMessage="1" sqref="B5" xr:uid="{09747C78-CC22-409C-83D1-4CD2579BA693}">
      <formula1>$A$29:$A$31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>
    <oddHeader>&amp;L
Bulga UG - Decommissioned Mine Testing 2015&amp;RPreparer: RH 13/10/2015
Reviewer: PRW 14/10/2015 ST 14/10/2015 PMR 15/10/2015 PRD 20/10/2015
6140: &amp;P/&amp;N</oddHeader>
    <oddFooter>&amp;LGlencore Coal S19 NGER Assurance 2015 
Period End: 30/06/2015&amp;R&amp;D &amp;T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24DCA7-56EF-466D-AA8A-43ACA2C0AFA5}">
          <x14:formula1>
            <xm:f>Assumptions!$A$53:$A$58</xm:f>
          </x14:formula1>
          <xm:sqref>B12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80041B18D6345A9109912AF88970F" ma:contentTypeVersion="3" ma:contentTypeDescription="Create a new document." ma:contentTypeScope="" ma:versionID="33a58ed920ff1659fab02061713b4ae4">
  <xsd:schema xmlns:xsd="http://www.w3.org/2001/XMLSchema" xmlns:xs="http://www.w3.org/2001/XMLSchema" xmlns:p="http://schemas.microsoft.com/office/2006/metadata/properties" xmlns:ns2="ff65b919-41d2-4ad5-b19b-22d81702c5dd" targetNamespace="http://schemas.microsoft.com/office/2006/metadata/properties" ma:root="true" ma:fieldsID="d3f884f306c3baaf3821bc5c848882b6" ns2:_="">
    <xsd:import namespace="ff65b919-41d2-4ad5-b19b-22d81702c5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5b919-41d2-4ad5-b19b-22d81702c5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C29E62-1751-4D74-BC5B-7151552815F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6585FE3-18D0-4569-8919-154EAA9AD4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6346E4-B5E4-4B9A-88CB-BD494DC678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65b919-41d2-4ad5-b19b-22d81702c5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Assumptions</vt:lpstr>
      <vt:lpstr>Analysis</vt:lpstr>
      <vt:lpstr>List</vt:lpstr>
      <vt:lpstr>Summary</vt:lpstr>
      <vt:lpstr>Historical Performance</vt:lpstr>
      <vt:lpstr>Springbok Assumptions</vt:lpstr>
      <vt:lpstr>Springbok</vt:lpstr>
      <vt:lpstr>SpringbokCapital</vt:lpstr>
      <vt:lpstr>Brave Blossom </vt:lpstr>
      <vt:lpstr>Brave Blossom Capital</vt:lpstr>
      <vt:lpstr>Historical Performance BrumbyOC</vt:lpstr>
      <vt:lpstr>OC Clean</vt:lpstr>
      <vt:lpstr>OC Clean Capital</vt:lpstr>
      <vt:lpstr>Carbon</vt:lpstr>
      <vt:lpstr>Decommissioned Mine</vt:lpstr>
      <vt:lpstr>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2026-08-29T01:36:48Z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0x01010099D80041B18D6345A9109912AF88970F</vt:lpwstr>
  </property>
</Properties>
</file>