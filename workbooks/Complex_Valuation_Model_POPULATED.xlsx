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940" windowHeight="16780" tabRatio="794" firstSheet="4" activeTab="9" autoFilterDateGrouping="1"/>
  </bookViews>
  <sheets>
    <sheet name="Assumptions" sheetId="1" state="visible" r:id="rId1"/>
    <sheet name="Analysis" sheetId="2" state="visible" r:id="rId2"/>
    <sheet name="List" sheetId="3" state="hidden" r:id="rId3"/>
    <sheet name="Summary" sheetId="4" state="visible" r:id="rId4"/>
    <sheet name="Historical Performance" sheetId="5" state="visible" r:id="rId5"/>
    <sheet name="Springbok Assumptions" sheetId="6" state="visible" r:id="rId6"/>
    <sheet name="Springbok" sheetId="7" state="visible" r:id="rId7"/>
    <sheet name="SpringbokCapital" sheetId="8" state="visible" r:id="rId8"/>
    <sheet name="Brave Blossom " sheetId="9" state="visible" r:id="rId9"/>
    <sheet name="Brave Blossom Capital" sheetId="10" state="visible" r:id="rId10"/>
    <sheet name="Historical Performance BrumbyOC" sheetId="11" state="visible" r:id="rId11"/>
    <sheet name="OC Clean" sheetId="12" state="visible" r:id="rId12"/>
    <sheet name="OC Clean Capital" sheetId="13" state="visible" r:id="rId13"/>
    <sheet name="Carbon" sheetId="14" state="visible" r:id="rId14"/>
    <sheet name="Decommissioned Mine" sheetId="15" state="visible" r:id="rId15"/>
  </sheets>
  <definedNames>
    <definedName name="a">Springbok!$D$69:$W$69</definedName>
    <definedName name="Ac">#REF!</definedName>
    <definedName name="afhKJADF">#REF!</definedName>
    <definedName name="anscount" hidden="1">1</definedName>
    <definedName name="AS2DocOpenMode" hidden="1">"AS2DocumentEdit"</definedName>
    <definedName name="C_C_Balance">#REF!</definedName>
    <definedName name="CallingWbName" hidden="1">"RunningXCAReporting v1.81.xls"</definedName>
    <definedName name="coalfield">#REF!</definedName>
    <definedName name="CoalPP">#REF!</definedName>
    <definedName name="CPP">#REF!</definedName>
    <definedName name="CPPe">#REF!</definedName>
    <definedName name="CPPout">#REF!</definedName>
    <definedName name="_xlnm.Criteria">#REF!</definedName>
    <definedName name="Critical_Component">#REF!</definedName>
    <definedName name="d">#REF!</definedName>
    <definedName name="DA_3052065069700000637" hidden="1">'Decommissioned Mine'!#REF!</definedName>
    <definedName name="DA_3052065069700000643" hidden="1">'Decommissioned Mine'!#REF!</definedName>
    <definedName name="DA_3052065069700000647" hidden="1">'Decommissioned Mine'!#REF!</definedName>
    <definedName name="DA_3052065069700000653" hidden="1">'Decommissioned Mine'!#REF!</definedName>
    <definedName name="DA_3052065069700000657" hidden="1">'Decommissioned Mine'!#REF!</definedName>
    <definedName name="DA_3052065069700000663" hidden="1">'Decommissioned Mine'!#REF!</definedName>
    <definedName name="DA_3052065069700000667" hidden="1">'Decommissioned Mine'!#REF!</definedName>
    <definedName name="DA_3052065069700000924" hidden="1">'Decommissioned Mine'!#REF!</definedName>
    <definedName name="DA_3052065069700000929" hidden="1">'Decommissioned Mine'!#REF!</definedName>
    <definedName name="DA_3052065069700000934" hidden="1">'Decommissioned Mine'!#REF!</definedName>
    <definedName name="DA_3052065069700000939" hidden="1">'Decommissioned Mine'!#REF!</definedName>
    <definedName name="Db">#REF!</definedName>
    <definedName name="Dc">#REF!</definedName>
    <definedName name="Deisel">#REF!</definedName>
    <definedName name="diesel">#REF!</definedName>
    <definedName name="EBG73083364CMN" hidden="1">42736</definedName>
    <definedName name="Effective_Tax_Rate">#REF!</definedName>
    <definedName name="Elunits">#REF!</definedName>
    <definedName name="Em">#REF!</definedName>
    <definedName name="equiptype">#REF!</definedName>
    <definedName name="Es">#REF!</definedName>
    <definedName name="EV__LASTREFTIME__" hidden="1">39169.453912037</definedName>
    <definedName name="f">#REF!</definedName>
    <definedName name="Factor">#REF!</definedName>
    <definedName name="Fuel">#REF!</definedName>
    <definedName name="FuelList">#REF!</definedName>
    <definedName name="FuelTypes">#REF!</definedName>
    <definedName name="Fueluse">#REF!</definedName>
    <definedName name="GroupWorkbookValidate_EntryPoint" hidden="1">TRUE</definedName>
    <definedName name="gs">#REF!</definedName>
    <definedName name="H">#REF!</definedName>
    <definedName name="HFC">#REF!</definedName>
    <definedName name="HFCunit">#REF!</definedName>
    <definedName name="howoften">#REF!</definedName>
    <definedName name="IsGroupWorkbook" hidden="1">TRUE</definedName>
    <definedName name="km">#REF!</definedName>
    <definedName name="L">#REF!</definedName>
    <definedName name="Liquidunits">#REF!</definedName>
    <definedName name="LoadDataList" hidden="1">#REF!</definedName>
    <definedName name="LPG">#REF!</definedName>
    <definedName name="LVkm">#REF!</definedName>
    <definedName name="m" hidden="1">#REF!</definedName>
    <definedName name="Mc">#REF!</definedName>
    <definedName name="Md">#REF!</definedName>
    <definedName name="MenusNeedUpdate" hidden="1">TRUE</definedName>
    <definedName name="Methoda">#REF!</definedName>
    <definedName name="Methodb">#REF!</definedName>
    <definedName name="Methodc">#REF!</definedName>
    <definedName name="methodd">#REF!</definedName>
    <definedName name="methode">#REF!</definedName>
    <definedName name="methodf">#REF!</definedName>
    <definedName name="methods">#REF!</definedName>
    <definedName name="mine">#REF!</definedName>
    <definedName name="Mlv">#REF!</definedName>
    <definedName name="Mo">#REF!</definedName>
    <definedName name="Monetary_precision">#REF!</definedName>
    <definedName name="Month">#REF!</definedName>
    <definedName name="Mr">#REF!</definedName>
    <definedName name="Mt">#REF!</definedName>
    <definedName name="MTR">#REF!</definedName>
    <definedName name="Mu">#REF!</definedName>
    <definedName name="Mw">#REF!</definedName>
    <definedName name="Mwater">#REF!</definedName>
    <definedName name="NCPP">#REF!</definedName>
    <definedName name="NCPPout">#REF!</definedName>
    <definedName name="ohs">#REF!</definedName>
    <definedName name="OnTimeValue">43649.7141782407</definedName>
    <definedName name="p">#REF!</definedName>
    <definedName name="Pet">#REF!</definedName>
    <definedName name="Petrol">#REF!</definedName>
    <definedName name="Planning_Materiality">#REF!</definedName>
    <definedName name="PPP">#REF!</definedName>
    <definedName name="ROM">#REF!</definedName>
    <definedName name="RP">#REF!</definedName>
    <definedName name="s" hidden="1">{#N/A,#N/A,TRUE,"Cashflow"}</definedName>
    <definedName name="sc">#REF!</definedName>
    <definedName name="scc">#REF!</definedName>
    <definedName name="Sed">#REF!</definedName>
    <definedName name="Sheet22" hidden="1">1</definedName>
    <definedName name="Sheet23" hidden="1">1</definedName>
    <definedName name="Sheet24" hidden="1">1</definedName>
    <definedName name="Sheet26" hidden="1">1</definedName>
    <definedName name="Sheet27" hidden="1">1</definedName>
    <definedName name="Sheet28" hidden="1">1</definedName>
    <definedName name="Sheet29" hidden="1">2</definedName>
    <definedName name="Sheet32" hidden="1">1</definedName>
    <definedName name="Sheet33" hidden="1">1</definedName>
    <definedName name="Sheet37" hidden="1">1</definedName>
    <definedName name="Sheet38" hidden="1">1</definedName>
    <definedName name="Sheet39" hidden="1">1</definedName>
    <definedName name="Sheet40" hidden="1">2</definedName>
    <definedName name="Sheet43" hidden="1">1</definedName>
    <definedName name="Sheet44" hidden="1">1</definedName>
    <definedName name="Sheet45" hidden="1">1</definedName>
    <definedName name="Sheet46" hidden="1">1</definedName>
    <definedName name="so">#REF!</definedName>
    <definedName name="st">#REF!</definedName>
    <definedName name="Stk">#REF!</definedName>
    <definedName name="StkC">#REF!</definedName>
    <definedName name="supply">#REF!</definedName>
    <definedName name="sw">#REF!</definedName>
    <definedName name="Tax_Rate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19</definedName>
    <definedName name="TOB">#REF!</definedName>
    <definedName name="Total_anticipated_uncorrected_misstatements">#REF!</definedName>
    <definedName name="U">#REF!</definedName>
    <definedName name="w">#REF!</definedName>
    <definedName name="WorkbookHasToBeValidated" hidden="1">FALSE</definedName>
    <definedName name="WorkingPath" hidden="1">"C:\Documents and Settings\phuntington\My Documents\Management Accounting\Monthly Management Reports\Development\Xstrata Reporting System\QLD\v1.812"</definedName>
    <definedName name="wrn.cash._.flow._.report." hidden="1">{#N/A,#N/A,TRUE,"Cashflow"}</definedName>
    <definedName name="wrn.Full._.Report." hidden="1">{#N/A,#N/A,FALSE,"Cover";#N/A,#N/A,FALSE,"Monthly Report";#N/A,#N/A,FALSE,"P &amp; L";#N/A,#N/A,FALSE,"Variance Analysis";#N/A,#N/A,FALSE,"Mine Summ";#N/A,#N/A,FALSE,"Production";#N/A,#N/A,FALSE,"Unit Costs";#N/A,#N/A,FALSE,"Revenue";#N/A,#N/A,FALSE,"Physical OC";#N/A,#N/A,FALSE,"Physical UG";#N/A,#N/A,FALSE,"Inventory";#N/A,#N/A,FALSE,"P &amp; L_TH";#N/A,#N/A,FALSE,"P &amp; L_CO";#N/A,#N/A,FALSE,"Earnings Reconciliation";#N/A,#N/A,FALSE,"Hyp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Normalisation._.Journal." hidden="1">{"Normalisation Journal",#N/A,FALSE,"Normalisation Jnl"}</definedName>
    <definedName name="Ws">#REF!</definedName>
    <definedName name="XC">#REF!</definedName>
    <definedName name="XCA" hidden="1">"Depression"</definedName>
    <definedName name="XCAReportingSoftware" hidden="1">TRUE</definedName>
    <definedName name="Year">#REF!</definedName>
    <definedName name="YesNo">#REF!</definedName>
    <definedName name="A" localSheetId="14">#REF!</definedName>
    <definedName name="Ac" localSheetId="14">#REF!</definedName>
    <definedName name="afhKJADF" localSheetId="14">#REF!</definedName>
    <definedName name="C_C_Balance" localSheetId="14">#REF!</definedName>
    <definedName name="CPP" localSheetId="14">#REF!</definedName>
    <definedName name="CPPe" localSheetId="14">#REF!</definedName>
    <definedName name="CPPout" localSheetId="14">#REF!</definedName>
    <definedName name="Critical_Component" localSheetId="14">#REF!</definedName>
    <definedName name="d" localSheetId="14">#REF!</definedName>
    <definedName name="Db" localSheetId="14">#REF!</definedName>
    <definedName name="Dc" localSheetId="14">#REF!</definedName>
    <definedName name="Deisel" localSheetId="14">#REF!</definedName>
    <definedName name="diesel" localSheetId="14">#REF!</definedName>
    <definedName name="Effective_Tax_Rate" localSheetId="14">#REF!</definedName>
    <definedName name="Em" localSheetId="14">#REF!</definedName>
    <definedName name="Es" localSheetId="14">#REF!</definedName>
    <definedName name="f" localSheetId="14">#REF!</definedName>
    <definedName name="Factor" localSheetId="14">#REF!</definedName>
    <definedName name="FuelTypes" localSheetId="14">#REF!</definedName>
    <definedName name="Fueluse" localSheetId="14">#REF!</definedName>
    <definedName name="gs" localSheetId="14">#REF!</definedName>
    <definedName name="H" localSheetId="14">#REF!</definedName>
    <definedName name="L" localSheetId="14">#REF!</definedName>
    <definedName name="LPG" localSheetId="14">#REF!</definedName>
    <definedName name="Mc" localSheetId="14">#REF!</definedName>
    <definedName name="Md" localSheetId="14">#REF!</definedName>
    <definedName name="Mlv" localSheetId="14">#REF!</definedName>
    <definedName name="Mo" localSheetId="14">#REF!</definedName>
    <definedName name="Monetary_precision" localSheetId="14">#REF!</definedName>
    <definedName name="Mr" localSheetId="14">#REF!</definedName>
    <definedName name="Mt" localSheetId="14">#REF!</definedName>
    <definedName name="Mu" localSheetId="14">#REF!</definedName>
    <definedName name="Mw" localSheetId="14">#REF!</definedName>
    <definedName name="Mwater" localSheetId="14">#REF!</definedName>
    <definedName name="NCPP" localSheetId="14">#REF!</definedName>
    <definedName name="NCPPout" localSheetId="14">#REF!</definedName>
    <definedName name="p" localSheetId="14">#REF!</definedName>
    <definedName name="Petrol" localSheetId="14">#REF!</definedName>
    <definedName name="Planning_Materiality" localSheetId="14">#REF!</definedName>
    <definedName name="ROM" localSheetId="14">#REF!</definedName>
    <definedName name="sc" localSheetId="14">#REF!</definedName>
    <definedName name="scc" localSheetId="14">#REF!</definedName>
    <definedName name="Sed" localSheetId="14">#REF!</definedName>
    <definedName name="so" localSheetId="14">#REF!</definedName>
    <definedName name="st" localSheetId="14">#REF!</definedName>
    <definedName name="Stk" localSheetId="14">#REF!</definedName>
    <definedName name="StkC" localSheetId="14">#REF!</definedName>
    <definedName name="sw" localSheetId="14">#REF!</definedName>
    <definedName name="TextRefCopy1" localSheetId="14">#REF!</definedName>
    <definedName name="TextRefCopy10" localSheetId="14">#REF!</definedName>
    <definedName name="TextRefCopy11" localSheetId="14">#REF!</definedName>
    <definedName name="TextRefCopy12" localSheetId="14">#REF!</definedName>
    <definedName name="TextRefCopy13" localSheetId="14">#REF!</definedName>
    <definedName name="TextRefCopy14" localSheetId="14">#REF!</definedName>
    <definedName name="TextRefCopy15" localSheetId="14">#REF!</definedName>
    <definedName name="TextRefCopy16" localSheetId="14">#REF!</definedName>
    <definedName name="TextRefCopy17" localSheetId="14">#REF!</definedName>
    <definedName name="TextRefCopy18" localSheetId="14">#REF!</definedName>
    <definedName name="TextRefCopy19" localSheetId="14">#REF!</definedName>
    <definedName name="TextRefCopy2" localSheetId="14">#REF!</definedName>
    <definedName name="TextRefCopy3" localSheetId="14">#REF!</definedName>
    <definedName name="TextRefCopy4" localSheetId="14">#REF!</definedName>
    <definedName name="TextRefCopy5" localSheetId="14">#REF!</definedName>
    <definedName name="TextRefCopy6" localSheetId="14">#REF!</definedName>
    <definedName name="TextRefCopy7" localSheetId="14">#REF!</definedName>
    <definedName name="TextRefCopy8" localSheetId="14">#REF!</definedName>
    <definedName name="TextRefCopy9" localSheetId="14">#REF!</definedName>
    <definedName name="TOB" localSheetId="14">#REF!</definedName>
    <definedName name="Total_anticipated_uncorrected_misstatements" localSheetId="14">#REF!</definedName>
    <definedName name="U" localSheetId="14">#REF!</definedName>
    <definedName name="w" localSheetId="14">#REF!</definedName>
    <definedName name="Ws" localSheetId="14">#REF!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-* #,##0_-;\-* #,##0_-;_-* &quot;-&quot;??_-;_-@_-"/>
    <numFmt numFmtId="165" formatCode="_-* #,##0.0_-;\-* #,##0.0_-;_-* &quot;-&quot;??_-;_-@_-"/>
    <numFmt numFmtId="166" formatCode="0.0%"/>
    <numFmt numFmtId="167" formatCode="_-* #,##0.00_-;\-* #,##0.00_-;_-* &quot;-&quot;??_-;_-@_-"/>
    <numFmt numFmtId="168" formatCode="_-* #,##0_-;\(#,##0\);_-* &quot;-&quot;??_-;_-@_-"/>
    <numFmt numFmtId="169" formatCode="_-* #,##0.0000_-;\-* #,##0.0000_-;_-* &quot;-&quot;??_-;_-@_-"/>
    <numFmt numFmtId="170" formatCode="_-* #,##0_-;\-* #,##0_-;_-* &quot;-&quot;?_-;_-@_-"/>
    <numFmt numFmtId="171" formatCode="_-&quot;$&quot;* #,##0_-;\-&quot;$&quot;* #,##0_-;_-&quot;$&quot;* &quot;-&quot;??_-;_-@_-"/>
    <numFmt numFmtId="172" formatCode="&quot;$&quot;#,##0;[Red]\-&quot;$&quot;#,##0"/>
    <numFmt numFmtId="173" formatCode="_-* #,##0.0_-;\(#,##0.0\);_-* &quot;-&quot;??_-;_-@_-"/>
    <numFmt numFmtId="174" formatCode="_-* #,##0.000_-;\-* #,##0.000_-;_-* &quot;-&quot;??_-;_-@_-"/>
    <numFmt numFmtId="175" formatCode="_(* #,##0_);_(* \(#,##0\);_(* &quot;-&quot;??_);_(@_)"/>
    <numFmt numFmtId="176" formatCode="_-* #,##0.0_-;\-* #,##0.0_-;_-* &quot;-&quot;?_-;_-@_-"/>
    <numFmt numFmtId="177" formatCode="_-[$€-2]* #,##0.00_-;\-[$€-2]* #,##0.00_-;_-[$€-2]* &quot;-&quot;??_-"/>
    <numFmt numFmtId="178" formatCode="#,##0_);\(#,##0\);&quot;-&quot;"/>
    <numFmt numFmtId="179" formatCode="yyyy"/>
    <numFmt numFmtId="180" formatCode="_(* #,##0.0_);_(* \(#,##0.0\);_(* &quot;-&quot;??_);_(@_)"/>
    <numFmt numFmtId="181" formatCode="0_ ;\-0\ "/>
    <numFmt numFmtId="182" formatCode="_(* #,##0.00000000_);_(* \(#,##0.00000000\);_(* &quot;-&quot;??_);_(@_)"/>
    <numFmt numFmtId="183" formatCode="_-&quot;$&quot;* #,##0.00_-;\-&quot;$&quot;* #,##0.00_-;_-&quot;$&quot;* &quot;-&quot;??_-;_-@_-"/>
  </numFmts>
  <fonts count="5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FF0000"/>
      <sz val="11"/>
      <scheme val="minor"/>
    </font>
    <font>
      <name val="Symbol"/>
      <charset val="2"/>
      <family val="1"/>
      <color theme="1"/>
      <sz val="11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i val="1"/>
      <sz val="11"/>
      <scheme val="minor"/>
    </font>
    <font>
      <name val="Frutiger 45 Light"/>
      <b val="1"/>
      <color theme="0"/>
      <sz val="8"/>
    </font>
    <font>
      <name val="Frutiger 45 Light"/>
      <color theme="0"/>
      <sz val="8"/>
    </font>
    <font>
      <name val="Frutiger 45 Light"/>
      <b val="1"/>
      <sz val="8"/>
    </font>
    <font>
      <name val="Frutiger 45 Light"/>
      <sz val="8"/>
    </font>
    <font>
      <name val="Frutiger 45 Light"/>
      <i val="1"/>
      <sz val="8"/>
    </font>
    <font>
      <name val="Calibri"/>
      <family val="2"/>
      <color theme="0" tint="-0.249977111117893"/>
      <sz val="8"/>
      <scheme val="minor"/>
    </font>
    <font>
      <name val="Frutiger 45 Light"/>
      <color indexed="60"/>
      <sz val="8"/>
    </font>
    <font>
      <name val="Calibri"/>
      <family val="2"/>
      <color theme="3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8"/>
      <sz val="11"/>
      <scheme val="minor"/>
    </font>
    <font>
      <name val="Calibri"/>
      <family val="2"/>
      <b val="1"/>
      <color rgb="FFFFFF00"/>
      <sz val="11"/>
      <scheme val="minor"/>
    </font>
    <font>
      <name val="Arial"/>
      <family val="2"/>
      <sz val="10"/>
    </font>
    <font>
      <name val="Calibri"/>
      <family val="2"/>
      <color theme="0" tint="-0.1499984740745262"/>
      <sz val="10"/>
    </font>
    <font>
      <name val="Calibri"/>
      <family val="2"/>
      <sz val="10"/>
    </font>
    <font>
      <name val="Calibri"/>
      <family val="2"/>
      <b val="1"/>
      <sz val="10"/>
    </font>
    <font>
      <name val="Arial"/>
      <family val="2"/>
      <b val="1"/>
      <sz val="10"/>
    </font>
    <font>
      <name val="Arial"/>
      <family val="2"/>
      <color theme="0" tint="-0.1499984740745262"/>
      <sz val="11"/>
    </font>
    <font>
      <name val="Arial"/>
      <family val="2"/>
      <color theme="0" tint="-0.1499984740745262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rgb="FFFF0000"/>
      <sz val="10"/>
    </font>
    <font>
      <name val="Calibri"/>
      <family val="2"/>
      <sz val="8"/>
      <scheme val="minor"/>
    </font>
    <font>
      <name val="Arial"/>
      <family val="2"/>
      <b val="1"/>
      <color theme="3"/>
      <sz val="11"/>
    </font>
    <font>
      <name val="Arial"/>
      <family val="2"/>
      <color theme="3"/>
      <sz val="11"/>
    </font>
    <font>
      <name val="Calibri"/>
      <family val="2"/>
      <color rgb="FFFFFF00"/>
      <sz val="11"/>
      <scheme val="minor"/>
    </font>
    <font>
      <name val="Cambria"/>
      <family val="2"/>
      <i val="1"/>
      <color rgb="FF000000"/>
      <sz val="9.5"/>
      <scheme val="major"/>
    </font>
    <font>
      <name val="Cambria"/>
      <family val="2"/>
      <sz val="10"/>
      <scheme val="major"/>
    </font>
    <font>
      <name val="Cambria"/>
      <family val="2"/>
      <color theme="0"/>
      <sz val="10"/>
      <scheme val="major"/>
    </font>
    <font>
      <name val="Cambria"/>
      <family val="2"/>
      <color rgb="FF000000"/>
      <sz val="9.5"/>
      <vertAlign val="subscript"/>
      <scheme val="major"/>
    </font>
    <font>
      <name val="Cambria"/>
      <family val="2"/>
      <color rgb="FF000000"/>
      <sz val="9.5"/>
      <scheme val="major"/>
    </font>
    <font>
      <name val="Cambria"/>
      <family val="2"/>
      <b val="1"/>
      <color theme="0"/>
      <sz val="10"/>
      <scheme val="major"/>
    </font>
    <font>
      <name val="Cambria"/>
      <family val="2"/>
      <color theme="1"/>
      <sz val="10"/>
      <vertAlign val="subscript"/>
      <scheme val="major"/>
    </font>
    <font>
      <name val="Cambria"/>
      <family val="2"/>
      <color theme="1"/>
      <sz val="10"/>
      <scheme val="major"/>
    </font>
    <font>
      <name val="Cambria"/>
      <family val="2"/>
      <b val="1"/>
      <sz val="10"/>
      <scheme val="major"/>
    </font>
    <font>
      <name val="Calibri"/>
      <family val="2"/>
      <color rgb="FF000000"/>
      <sz val="9"/>
      <scheme val="minor"/>
    </font>
    <font>
      <name val="Cambria"/>
      <family val="2"/>
      <b val="1"/>
      <color theme="1"/>
      <sz val="10"/>
      <scheme val="major"/>
    </font>
    <font>
      <name val="Cambria"/>
      <family val="2"/>
      <sz val="10"/>
      <vertAlign val="subscript"/>
      <scheme val="major"/>
    </font>
    <font>
      <name val="Cambria"/>
      <family val="2"/>
      <sz val="10"/>
      <vertAlign val="superscript"/>
      <scheme val="major"/>
    </font>
    <font>
      <name val="Cambria"/>
      <family val="2"/>
      <b val="1"/>
      <color rgb="FFFF0000"/>
      <sz val="10"/>
      <scheme val="major"/>
    </font>
    <font>
      <name val="Cambria"/>
      <family val="2"/>
      <color theme="1"/>
      <sz val="9"/>
      <scheme val="major"/>
    </font>
    <font>
      <name val="Calibri"/>
      <family val="2"/>
      <sz val="7"/>
      <scheme val="minor"/>
    </font>
    <font>
      <name val="Cambria"/>
      <family val="2"/>
      <sz val="16"/>
      <scheme val="major"/>
    </font>
  </fonts>
  <fills count="19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1" fillId="0" borderId="0"/>
    <xf numFmtId="167" fontId="1" fillId="0" borderId="0"/>
    <xf numFmtId="9" fontId="1" fillId="0" borderId="0"/>
    <xf numFmtId="183" fontId="1" fillId="0" borderId="0"/>
    <xf numFmtId="0" fontId="27" fillId="0" borderId="0"/>
    <xf numFmtId="43" fontId="27" fillId="0" borderId="0"/>
    <xf numFmtId="9" fontId="27" fillId="0" borderId="0"/>
    <xf numFmtId="0" fontId="27" fillId="0" borderId="0"/>
    <xf numFmtId="43" fontId="1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0" fillId="0" borderId="4" pivotButton="0" quotePrefix="0" xfId="1"/>
    <xf numFmtId="165" fontId="0" fillId="0" borderId="4" pivotButton="0" quotePrefix="0" xfId="1"/>
    <xf numFmtId="166" fontId="0" fillId="0" borderId="4" pivotButton="0" quotePrefix="0" xfId="2"/>
    <xf numFmtId="0" fontId="0" fillId="0" borderId="5" pivotButton="0" quotePrefix="0" xfId="0"/>
    <xf numFmtId="164" fontId="0" fillId="0" borderId="6" pivotButton="0" quotePrefix="0" xfId="1"/>
    <xf numFmtId="0" fontId="0" fillId="0" borderId="1" pivotButton="0" quotePrefix="0" xfId="0"/>
    <xf numFmtId="164" fontId="0" fillId="0" borderId="2" pivotButton="0" quotePrefix="0" xfId="1"/>
    <xf numFmtId="164" fontId="0" fillId="0" borderId="0" pivotButton="0" quotePrefix="0" xfId="1"/>
    <xf numFmtId="165" fontId="0" fillId="0" borderId="0" pivotButton="0" quotePrefix="0" xfId="1"/>
    <xf numFmtId="166" fontId="0" fillId="0" borderId="0" pivotButton="0" quotePrefix="0" xfId="2"/>
    <xf numFmtId="0" fontId="2" fillId="2" borderId="1" pivotButton="0" quotePrefix="0" xfId="0"/>
    <xf numFmtId="0" fontId="4" fillId="2" borderId="2" pivotButton="0" quotePrefix="0" xfId="0"/>
    <xf numFmtId="0" fontId="5" fillId="0" borderId="0" applyAlignment="1" pivotButton="0" quotePrefix="0" xfId="0">
      <alignment horizontal="center"/>
    </xf>
    <xf numFmtId="0" fontId="4" fillId="2" borderId="7" pivotButton="0" quotePrefix="0" xfId="0"/>
    <xf numFmtId="0" fontId="2" fillId="2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8" pivotButton="0" quotePrefix="0" xfId="0"/>
    <xf numFmtId="167" fontId="0" fillId="0" borderId="0" pivotButton="0" quotePrefix="0" xfId="1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3" pivotButton="0" quotePrefix="0" xfId="0"/>
    <xf numFmtId="0" fontId="5" fillId="0" borderId="9" applyAlignment="1" pivotButton="0" quotePrefix="0" xfId="0">
      <alignment horizontal="center"/>
    </xf>
    <xf numFmtId="167" fontId="0" fillId="0" borderId="9" pivotButton="0" quotePrefix="0" xfId="1"/>
    <xf numFmtId="167" fontId="0" fillId="0" borderId="9" pivotButton="0" quotePrefix="0" xfId="0"/>
    <xf numFmtId="9" fontId="5" fillId="0" borderId="0" applyAlignment="1" pivotButton="0" quotePrefix="0" xfId="2">
      <alignment horizontal="center"/>
    </xf>
    <xf numFmtId="9" fontId="0" fillId="0" borderId="0" pivotButton="0" quotePrefix="0" xfId="2"/>
    <xf numFmtId="9" fontId="0" fillId="0" borderId="0" pivotButton="0" quotePrefix="0" xfId="0"/>
    <xf numFmtId="164" fontId="0" fillId="0" borderId="9" pivotButton="0" quotePrefix="0" xfId="0"/>
    <xf numFmtId="0" fontId="0" fillId="0" borderId="9" pivotButton="0" quotePrefix="0" xfId="0"/>
    <xf numFmtId="164" fontId="0" fillId="0" borderId="0" pivotButton="0" quotePrefix="0" xfId="0"/>
    <xf numFmtId="164" fontId="0" fillId="0" borderId="2" pivotButton="0" quotePrefix="0" xfId="0"/>
    <xf numFmtId="9" fontId="0" fillId="3" borderId="4" pivotButton="0" quotePrefix="0" xfId="0"/>
    <xf numFmtId="9" fontId="0" fillId="3" borderId="6" pivotButton="0" quotePrefix="0" xfId="0"/>
    <xf numFmtId="164" fontId="0" fillId="0" borderId="0" pivotButton="0" quotePrefix="0" xfId="1"/>
    <xf numFmtId="165" fontId="0" fillId="0" borderId="8" pivotButton="0" quotePrefix="0" xfId="1"/>
    <xf numFmtId="9" fontId="0" fillId="3" borderId="0" pivotButton="0" quotePrefix="0" xfId="0"/>
    <xf numFmtId="164" fontId="0" fillId="0" borderId="8" pivotButton="0" quotePrefix="0" xfId="1"/>
    <xf numFmtId="164" fontId="0" fillId="0" borderId="6" pivotButton="0" quotePrefix="0" xfId="1"/>
    <xf numFmtId="164" fontId="3" fillId="0" borderId="0" pivotButton="0" quotePrefix="0" xfId="0"/>
    <xf numFmtId="164" fontId="3" fillId="0" borderId="0" pivotButton="0" quotePrefix="0" xfId="1"/>
    <xf numFmtId="165" fontId="3" fillId="0" borderId="0" pivotButton="0" quotePrefix="0" xfId="1"/>
    <xf numFmtId="164" fontId="3" fillId="0" borderId="4" pivotButton="0" quotePrefix="0" xfId="1"/>
    <xf numFmtId="0" fontId="5" fillId="0" borderId="9" pivotButton="0" quotePrefix="0" xfId="0"/>
    <xf numFmtId="0" fontId="4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165" fontId="0" fillId="0" borderId="9" pivotButton="0" quotePrefix="0" xfId="1"/>
    <xf numFmtId="0" fontId="6" fillId="0" borderId="0" applyAlignment="1" pivotButton="0" quotePrefix="0" xfId="0">
      <alignment horizontal="center"/>
    </xf>
    <xf numFmtId="165" fontId="3" fillId="0" borderId="0" pivotButton="0" quotePrefix="0" xfId="0"/>
    <xf numFmtId="165" fontId="3" fillId="0" borderId="4" pivotButton="0" quotePrefix="0" xfId="1"/>
    <xf numFmtId="164" fontId="0" fillId="0" borderId="4" pivotButton="0" quotePrefix="0" xfId="0"/>
    <xf numFmtId="164" fontId="3" fillId="0" borderId="4" pivotButton="0" quotePrefix="0" xfId="0"/>
    <xf numFmtId="168" fontId="3" fillId="0" borderId="0" pivotButton="0" quotePrefix="0" xfId="0"/>
    <xf numFmtId="168" fontId="3" fillId="0" borderId="4" pivotButton="0" quotePrefix="0" xfId="0"/>
    <xf numFmtId="164" fontId="0" fillId="0" borderId="8" pivotButton="0" quotePrefix="0" xfId="0"/>
    <xf numFmtId="165" fontId="0" fillId="3" borderId="0" pivotButton="0" quotePrefix="0" xfId="1"/>
    <xf numFmtId="164" fontId="0" fillId="3" borderId="0" pivotButton="0" quotePrefix="0" xfId="1"/>
    <xf numFmtId="0" fontId="5" fillId="0" borderId="3" pivotButton="0" quotePrefix="0" xfId="0"/>
    <xf numFmtId="165" fontId="1" fillId="0" borderId="0" pivotButton="0" quotePrefix="0" xfId="1"/>
    <xf numFmtId="165" fontId="1" fillId="0" borderId="4" pivotButton="0" quotePrefix="0" xfId="1"/>
    <xf numFmtId="164" fontId="0" fillId="0" borderId="9" pivotButton="0" quotePrefix="0" xfId="1"/>
    <xf numFmtId="9" fontId="5" fillId="3" borderId="8" applyAlignment="1" pivotButton="0" quotePrefix="0" xfId="0">
      <alignment horizontal="center"/>
    </xf>
    <xf numFmtId="0" fontId="3" fillId="0" borderId="5" pivotButton="0" quotePrefix="0" xfId="0"/>
    <xf numFmtId="0" fontId="3" fillId="3" borderId="0" pivotButton="0" quotePrefix="0" xfId="0"/>
    <xf numFmtId="9" fontId="0" fillId="0" borderId="6" pivotButton="0" quotePrefix="0" xfId="0"/>
    <xf numFmtId="164" fontId="0" fillId="0" borderId="4" pivotButton="0" quotePrefix="0" xfId="1"/>
    <xf numFmtId="169" fontId="0" fillId="0" borderId="0" pivotButton="0" quotePrefix="0" xfId="1"/>
    <xf numFmtId="164" fontId="0" fillId="0" borderId="0" pivotButton="0" quotePrefix="0" xfId="1"/>
    <xf numFmtId="165" fontId="0" fillId="0" borderId="8" pivotButton="0" quotePrefix="0" xfId="1"/>
    <xf numFmtId="165" fontId="0" fillId="0" borderId="0" pivotButton="0" quotePrefix="0" xfId="1"/>
    <xf numFmtId="164" fontId="0" fillId="0" borderId="0" pivotButton="0" quotePrefix="0" xfId="1"/>
    <xf numFmtId="165" fontId="0" fillId="0" borderId="0" pivotButton="0" quotePrefix="0" xfId="1"/>
    <xf numFmtId="168" fontId="0" fillId="0" borderId="0" pivotButton="0" quotePrefix="0" xfId="0"/>
    <xf numFmtId="17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1"/>
    <xf numFmtId="170" fontId="8" fillId="0" borderId="0" pivotButton="0" quotePrefix="0" xfId="0"/>
    <xf numFmtId="0" fontId="10" fillId="0" borderId="0" applyAlignment="1" pivotButton="0" quotePrefix="0" xfId="0">
      <alignment horizontal="center"/>
    </xf>
    <xf numFmtId="0" fontId="2" fillId="2" borderId="0" pivotButton="0" quotePrefix="0" xfId="0"/>
    <xf numFmtId="0" fontId="11" fillId="0" borderId="0" applyAlignment="1" pivotButton="0" quotePrefix="0" xfId="0">
      <alignment horizontal="justify" vertical="center"/>
    </xf>
    <xf numFmtId="167" fontId="4" fillId="0" borderId="0" pivotButton="0" quotePrefix="0" xfId="1"/>
    <xf numFmtId="0" fontId="0" fillId="3" borderId="0" pivotButton="0" quotePrefix="0" xfId="0"/>
    <xf numFmtId="0" fontId="6" fillId="0" borderId="8" applyAlignment="1" pivotButton="0" quotePrefix="0" xfId="0">
      <alignment horizontal="center"/>
    </xf>
    <xf numFmtId="9" fontId="3" fillId="0" borderId="8" pivotButton="0" quotePrefix="0" xfId="0"/>
    <xf numFmtId="0" fontId="12" fillId="0" borderId="3" pivotButton="0" quotePrefix="0" xfId="0"/>
    <xf numFmtId="0" fontId="9" fillId="0" borderId="9" pivotButton="0" quotePrefix="0" xfId="0"/>
    <xf numFmtId="0" fontId="3" fillId="0" borderId="10" pivotButton="0" quotePrefix="0" xfId="0"/>
    <xf numFmtId="0" fontId="0" fillId="0" borderId="11" pivotButton="0" quotePrefix="0" xfId="0"/>
    <xf numFmtId="0" fontId="5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71" fontId="0" fillId="0" borderId="0" pivotButton="0" quotePrefix="0" xfId="3"/>
    <xf numFmtId="0" fontId="0" fillId="4" borderId="0" pivotButton="0" quotePrefix="0" xfId="0"/>
    <xf numFmtId="0" fontId="0" fillId="4" borderId="14" pivotButton="0" quotePrefix="0" xfId="0"/>
    <xf numFmtId="171" fontId="0" fillId="0" borderId="0" pivotButton="0" quotePrefix="0" xfId="3"/>
    <xf numFmtId="0" fontId="0" fillId="0" borderId="15" pivotButton="0" quotePrefix="0" xfId="0"/>
    <xf numFmtId="0" fontId="0" fillId="0" borderId="16" pivotButton="0" quotePrefix="0" xfId="0"/>
    <xf numFmtId="171" fontId="0" fillId="0" borderId="11" pivotButton="0" quotePrefix="0" xfId="3"/>
    <xf numFmtId="171" fontId="0" fillId="0" borderId="16" pivotButton="0" quotePrefix="0" xfId="3"/>
    <xf numFmtId="172" fontId="0" fillId="0" borderId="0" pivotButton="0" quotePrefix="0" xfId="0"/>
    <xf numFmtId="172" fontId="0" fillId="0" borderId="14" pivotButton="0" quotePrefix="0" xfId="0"/>
    <xf numFmtId="172" fontId="0" fillId="0" borderId="16" pivotButton="0" quotePrefix="0" xfId="0"/>
    <xf numFmtId="172" fontId="0" fillId="0" borderId="17" pivotButton="0" quotePrefix="0" xfId="0"/>
    <xf numFmtId="0" fontId="12" fillId="0" borderId="0" pivotButton="0" quotePrefix="0" xfId="0"/>
    <xf numFmtId="164" fontId="9" fillId="0" borderId="0" pivotButton="0" quotePrefix="0" xfId="0"/>
    <xf numFmtId="171" fontId="9" fillId="0" borderId="0" pivotButton="0" quotePrefix="0" xfId="3"/>
    <xf numFmtId="171" fontId="12" fillId="0" borderId="0" pivotButton="0" quotePrefix="0" xfId="3"/>
    <xf numFmtId="171" fontId="12" fillId="0" borderId="0" pivotButton="0" quotePrefix="0" xfId="3"/>
    <xf numFmtId="167" fontId="0" fillId="0" borderId="0" pivotButton="0" quotePrefix="0" xfId="0"/>
    <xf numFmtId="0" fontId="6" fillId="0" borderId="3" pivotButton="0" quotePrefix="0" xfId="0"/>
    <xf numFmtId="164" fontId="12" fillId="0" borderId="0" pivotButton="0" quotePrefix="0" xfId="0"/>
    <xf numFmtId="0" fontId="15" fillId="0" borderId="0" applyAlignment="1" pivotButton="0" quotePrefix="0" xfId="0">
      <alignment horizontal="center"/>
    </xf>
    <xf numFmtId="165" fontId="12" fillId="0" borderId="0" pivotButton="0" quotePrefix="0" xfId="1"/>
    <xf numFmtId="9" fontId="15" fillId="0" borderId="0" applyAlignment="1" pivotButton="0" quotePrefix="0" xfId="2">
      <alignment horizontal="center"/>
    </xf>
    <xf numFmtId="9" fontId="15" fillId="0" borderId="8" applyAlignment="1" pivotButton="0" quotePrefix="0" xfId="2">
      <alignment horizontal="center"/>
    </xf>
    <xf numFmtId="165" fontId="12" fillId="0" borderId="8" pivotButton="0" quotePrefix="0" xfId="1"/>
    <xf numFmtId="173" fontId="3" fillId="0" borderId="0" pivotButton="0" quotePrefix="0" xfId="0"/>
    <xf numFmtId="165" fontId="12" fillId="5" borderId="0" pivotButton="0" quotePrefix="0" xfId="1"/>
    <xf numFmtId="165" fontId="12" fillId="5" borderId="8" pivotButton="0" quotePrefix="0" xfId="1"/>
    <xf numFmtId="43" fontId="17" fillId="0" borderId="0" pivotButton="0" quotePrefix="0" xfId="1"/>
    <xf numFmtId="174" fontId="18" fillId="0" borderId="0" pivotButton="0" quotePrefix="0" xfId="1"/>
    <xf numFmtId="43" fontId="19" fillId="0" borderId="0" pivotButton="0" quotePrefix="0" xfId="1"/>
    <xf numFmtId="174" fontId="19" fillId="0" borderId="0" applyAlignment="1" pivotButton="0" quotePrefix="0" xfId="1">
      <alignment horizontal="left"/>
    </xf>
    <xf numFmtId="43" fontId="19" fillId="0" borderId="0" applyAlignment="1" pivotButton="0" quotePrefix="0" xfId="1">
      <alignment horizontal="center"/>
    </xf>
    <xf numFmtId="2" fontId="20" fillId="0" borderId="0" applyAlignment="1" pivotButton="0" quotePrefix="0" xfId="1">
      <alignment horizontal="center" vertical="center"/>
    </xf>
    <xf numFmtId="9" fontId="0" fillId="3" borderId="0" pivotButton="0" quotePrefix="0" xfId="1"/>
    <xf numFmtId="175" fontId="0" fillId="0" borderId="0" pivotButton="0" quotePrefix="0" xfId="0"/>
    <xf numFmtId="167" fontId="12" fillId="0" borderId="0" pivotButton="0" quotePrefix="0" xfId="1"/>
    <xf numFmtId="2" fontId="0" fillId="3" borderId="0" pivotButton="0" quotePrefix="0" xfId="0"/>
    <xf numFmtId="176" fontId="8" fillId="0" borderId="0" pivotButton="0" quotePrefix="0" xfId="0"/>
    <xf numFmtId="164" fontId="8" fillId="0" borderId="0" pivotButton="0" quotePrefix="0" xfId="0"/>
    <xf numFmtId="9" fontId="3" fillId="3" borderId="0" pivotButton="0" quotePrefix="0" xfId="2"/>
    <xf numFmtId="0" fontId="21" fillId="0" borderId="0" pivotButton="0" quotePrefix="0" xfId="0"/>
    <xf numFmtId="2" fontId="21" fillId="0" borderId="0" pivotButton="0" quotePrefix="0" xfId="0"/>
    <xf numFmtId="175" fontId="0" fillId="0" borderId="0" pivotButton="0" quotePrefix="0" xfId="1"/>
    <xf numFmtId="0" fontId="9" fillId="0" borderId="13" pivotButton="0" quotePrefix="0" xfId="0"/>
    <xf numFmtId="0" fontId="9" fillId="0" borderId="0" pivotButton="0" quotePrefix="0" xfId="0"/>
    <xf numFmtId="0" fontId="9" fillId="4" borderId="0" pivotButton="0" quotePrefix="0" xfId="0"/>
    <xf numFmtId="164" fontId="12" fillId="3" borderId="0" pivotButton="0" quotePrefix="0" xfId="1"/>
    <xf numFmtId="167" fontId="0" fillId="5" borderId="8" pivotButton="0" quotePrefix="0" xfId="1"/>
    <xf numFmtId="166" fontId="12" fillId="0" borderId="0" pivotButton="0" quotePrefix="0" xfId="2"/>
    <xf numFmtId="0" fontId="12" fillId="0" borderId="13" pivotButton="0" quotePrefix="0" xfId="0"/>
    <xf numFmtId="164" fontId="12" fillId="0" borderId="0" pivotButton="0" quotePrefix="0" xfId="1"/>
    <xf numFmtId="164" fontId="9" fillId="3" borderId="0" applyAlignment="1" pivotButton="0" quotePrefix="0" xfId="1">
      <alignment horizontal="center"/>
    </xf>
    <xf numFmtId="16" fontId="0" fillId="0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8" borderId="0" pivotButton="0" quotePrefix="0" xfId="1"/>
    <xf numFmtId="171" fontId="9" fillId="4" borderId="0" pivotButton="0" quotePrefix="0" xfId="0"/>
    <xf numFmtId="0" fontId="12" fillId="4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5" fontId="3" fillId="0" borderId="0" pivotButton="0" quotePrefix="0" xfId="0"/>
    <xf numFmtId="166" fontId="0" fillId="0" borderId="0" pivotButton="0" quotePrefix="0" xfId="0"/>
    <xf numFmtId="177" fontId="0" fillId="0" borderId="0" applyAlignment="1" pivotButton="0" quotePrefix="0" xfId="0">
      <alignment horizontal="center"/>
    </xf>
    <xf numFmtId="166" fontId="0" fillId="0" borderId="0" pivotButton="0" quotePrefix="0" xfId="2"/>
    <xf numFmtId="177" fontId="3" fillId="0" borderId="0" pivotButton="0" quotePrefix="0" xfId="0"/>
    <xf numFmtId="167" fontId="0" fillId="0" borderId="0" pivotButton="0" quotePrefix="0" xfId="1"/>
    <xf numFmtId="174" fontId="16" fillId="9" borderId="0" pivotButton="0" quotePrefix="0" xfId="1"/>
    <xf numFmtId="167" fontId="22" fillId="10" borderId="0" pivotButton="0" quotePrefix="0" xfId="1"/>
    <xf numFmtId="174" fontId="22" fillId="10" borderId="0" pivotButton="0" quotePrefix="0" xfId="1"/>
    <xf numFmtId="9" fontId="0" fillId="0" borderId="0" pivotButton="0" quotePrefix="0" xfId="2"/>
    <xf numFmtId="0" fontId="5" fillId="0" borderId="0" pivotButton="0" quotePrefix="0" xfId="0"/>
    <xf numFmtId="167" fontId="15" fillId="5" borderId="0" pivotButton="0" quotePrefix="0" xfId="1"/>
    <xf numFmtId="10" fontId="0" fillId="0" borderId="0" pivotButton="0" quotePrefix="0" xfId="2"/>
    <xf numFmtId="165" fontId="0" fillId="0" borderId="0" pivotButton="0" quotePrefix="0" xfId="0"/>
    <xf numFmtId="0" fontId="0" fillId="0" borderId="0" pivotButton="0" quotePrefix="1" xfId="0"/>
    <xf numFmtId="9" fontId="0" fillId="0" borderId="0" pivotButton="0" quotePrefix="1" xfId="2"/>
    <xf numFmtId="164" fontId="12" fillId="0" borderId="4" pivotButton="0" quotePrefix="0" xfId="1"/>
    <xf numFmtId="167" fontId="15" fillId="11" borderId="0" pivotButton="0" quotePrefix="0" xfId="1"/>
    <xf numFmtId="167" fontId="0" fillId="11" borderId="8" pivotButton="0" quotePrefix="0" xfId="1"/>
    <xf numFmtId="165" fontId="12" fillId="11" borderId="0" pivotButton="0" quotePrefix="0" xfId="1"/>
    <xf numFmtId="165" fontId="12" fillId="11" borderId="8" pivotButton="0" quotePrefix="0" xfId="1"/>
    <xf numFmtId="167" fontId="0" fillId="0" borderId="16" pivotButton="0" quotePrefix="0" xfId="0"/>
    <xf numFmtId="167" fontId="0" fillId="0" borderId="16" pivotButton="0" quotePrefix="0" xfId="1"/>
    <xf numFmtId="164" fontId="0" fillId="0" borderId="16" pivotButton="0" quotePrefix="0" xfId="0"/>
    <xf numFmtId="178" fontId="0" fillId="0" borderId="16" pivotButton="0" quotePrefix="0" xfId="0"/>
    <xf numFmtId="164" fontId="3" fillId="0" borderId="18" pivotButton="0" quotePrefix="0" xfId="0"/>
    <xf numFmtId="164" fontId="3" fillId="0" borderId="16" pivotButton="0" quotePrefix="0" xfId="0"/>
    <xf numFmtId="175" fontId="3" fillId="0" borderId="18" pivotButton="0" quotePrefix="0" xfId="0"/>
    <xf numFmtId="175" fontId="0" fillId="0" borderId="18" pivotButton="0" quotePrefix="0" xfId="0"/>
    <xf numFmtId="175" fontId="3" fillId="0" borderId="19" pivotButton="0" quotePrefix="0" xfId="0"/>
    <xf numFmtId="175" fontId="3" fillId="0" borderId="20" pivotButton="0" quotePrefix="0" xfId="0"/>
    <xf numFmtId="167" fontId="0" fillId="0" borderId="18" pivotButton="0" quotePrefix="0" xfId="0"/>
    <xf numFmtId="164" fontId="3" fillId="0" borderId="0" pivotButton="0" quotePrefix="0" xfId="1"/>
    <xf numFmtId="164" fontId="23" fillId="0" borderId="0" pivotButton="0" quotePrefix="0" xfId="1"/>
    <xf numFmtId="164" fontId="0" fillId="0" borderId="16" pivotButton="0" quotePrefix="0" xfId="1"/>
    <xf numFmtId="164" fontId="3" fillId="0" borderId="18" pivotButton="0" quotePrefix="0" xfId="1"/>
    <xf numFmtId="167" fontId="3" fillId="0" borderId="0" pivotButton="0" quotePrefix="0" xfId="1"/>
    <xf numFmtId="0" fontId="6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center"/>
    </xf>
    <xf numFmtId="0" fontId="24" fillId="0" borderId="0" pivotButton="0" quotePrefix="0" xfId="0"/>
    <xf numFmtId="0" fontId="25" fillId="11" borderId="0" pivotButton="0" quotePrefix="0" xfId="0"/>
    <xf numFmtId="0" fontId="26" fillId="11" borderId="0" applyAlignment="1" pivotButton="0" quotePrefix="0" xfId="0">
      <alignment horizontal="center"/>
    </xf>
    <xf numFmtId="0" fontId="28" fillId="12" borderId="0" applyAlignment="1" pivotButton="0" quotePrefix="0" xfId="4">
      <alignment horizontal="center"/>
    </xf>
    <xf numFmtId="0" fontId="29" fillId="12" borderId="0" pivotButton="0" quotePrefix="0" xfId="4"/>
    <xf numFmtId="0" fontId="31" fillId="12" borderId="0" applyAlignment="1" pivotButton="0" quotePrefix="0" xfId="4">
      <alignment horizontal="left"/>
    </xf>
    <xf numFmtId="0" fontId="32" fillId="12" borderId="0" applyAlignment="1" pivotButton="0" quotePrefix="0" xfId="4">
      <alignment horizontal="center"/>
    </xf>
    <xf numFmtId="0" fontId="33" fillId="12" borderId="0" applyAlignment="1" pivotButton="0" quotePrefix="0" xfId="4">
      <alignment horizontal="center"/>
    </xf>
    <xf numFmtId="0" fontId="0" fillId="12" borderId="0" pivotButton="0" quotePrefix="0" xfId="0"/>
    <xf numFmtId="0" fontId="27" fillId="12" borderId="0" applyAlignment="1" pivotButton="0" quotePrefix="0" xfId="4">
      <alignment horizontal="center"/>
    </xf>
    <xf numFmtId="0" fontId="34" fillId="12" borderId="21" applyAlignment="1" pivotButton="0" quotePrefix="0" xfId="4">
      <alignment horizontal="center"/>
    </xf>
    <xf numFmtId="0" fontId="31" fillId="12" borderId="22" applyAlignment="1" pivotButton="0" quotePrefix="0" xfId="4">
      <alignment horizontal="center"/>
    </xf>
    <xf numFmtId="0" fontId="34" fillId="12" borderId="22" applyAlignment="1" pivotButton="0" quotePrefix="0" xfId="4">
      <alignment horizontal="center" vertical="center"/>
    </xf>
    <xf numFmtId="0" fontId="30" fillId="12" borderId="0" applyAlignment="1" pivotButton="0" quotePrefix="0" xfId="4">
      <alignment horizontal="center"/>
    </xf>
    <xf numFmtId="0" fontId="34" fillId="12" borderId="23" pivotButton="0" quotePrefix="0" xfId="4"/>
    <xf numFmtId="0" fontId="31" fillId="12" borderId="24" applyAlignment="1" pivotButton="0" quotePrefix="0" xfId="4">
      <alignment horizontal="center"/>
    </xf>
    <xf numFmtId="175" fontId="34" fillId="12" borderId="24" pivotButton="0" quotePrefix="0" xfId="5"/>
    <xf numFmtId="0" fontId="30" fillId="12" borderId="0" pivotButton="0" quotePrefix="0" xfId="4"/>
    <xf numFmtId="43" fontId="31" fillId="12" borderId="24" applyAlignment="1" pivotButton="0" quotePrefix="0" xfId="5">
      <alignment horizontal="center"/>
    </xf>
    <xf numFmtId="0" fontId="35" fillId="12" borderId="23" pivotButton="0" quotePrefix="0" xfId="4"/>
    <xf numFmtId="0" fontId="27" fillId="12" borderId="24" applyAlignment="1" pivotButton="0" quotePrefix="0" xfId="4">
      <alignment horizontal="center"/>
    </xf>
    <xf numFmtId="0" fontId="36" fillId="12" borderId="24" applyAlignment="1" pivotButton="0" quotePrefix="0" xfId="4">
      <alignment horizontal="center"/>
    </xf>
    <xf numFmtId="43" fontId="35" fillId="12" borderId="24" pivotButton="0" quotePrefix="0" xfId="5"/>
    <xf numFmtId="0" fontId="35" fillId="12" borderId="0" pivotButton="0" quotePrefix="0" xfId="4"/>
    <xf numFmtId="0" fontId="35" fillId="12" borderId="23" applyAlignment="1" pivotButton="0" quotePrefix="0" xfId="4">
      <alignment horizontal="left" indent="1"/>
    </xf>
    <xf numFmtId="168" fontId="27" fillId="12" borderId="0" applyAlignment="1" pivotButton="0" quotePrefix="0" xfId="1">
      <alignment horizontal="right"/>
    </xf>
    <xf numFmtId="0" fontId="0" fillId="12" borderId="25" pivotButton="0" quotePrefix="0" xfId="0"/>
    <xf numFmtId="0" fontId="0" fillId="12" borderId="26" pivotButton="0" quotePrefix="0" xfId="0"/>
    <xf numFmtId="0" fontId="34" fillId="12" borderId="0" pivotButton="0" quotePrefix="0" xfId="4"/>
    <xf numFmtId="175" fontId="38" fillId="13" borderId="24" pivotButton="0" quotePrefix="0" xfId="5"/>
    <xf numFmtId="164" fontId="34" fillId="12" borderId="24" pivotButton="0" quotePrefix="0" xfId="1"/>
    <xf numFmtId="164" fontId="0" fillId="12" borderId="26" pivotButton="0" quotePrefix="0" xfId="1"/>
    <xf numFmtId="165" fontId="39" fillId="13" borderId="24" pivotButton="0" quotePrefix="0" xfId="1"/>
    <xf numFmtId="165" fontId="35" fillId="12" borderId="24" pivotButton="0" quotePrefix="0" xfId="1"/>
    <xf numFmtId="0" fontId="40" fillId="11" borderId="0" pivotButton="0" quotePrefix="0" xfId="0"/>
    <xf numFmtId="9" fontId="12" fillId="0" borderId="3" pivotButton="0" quotePrefix="0" xfId="0"/>
    <xf numFmtId="0" fontId="41" fillId="14" borderId="27" applyAlignment="1" pivotButton="0" quotePrefix="0" xfId="0">
      <alignment vertical="center"/>
    </xf>
    <xf numFmtId="0" fontId="42" fillId="12" borderId="0" pivotButton="0" quotePrefix="0" xfId="7"/>
    <xf numFmtId="179" fontId="43" fillId="15" borderId="27" applyAlignment="1" pivotButton="0" quotePrefix="0" xfId="0">
      <alignment horizontal="center" vertical="center"/>
    </xf>
    <xf numFmtId="0" fontId="41" fillId="16" borderId="27" applyAlignment="1" pivotButton="0" quotePrefix="0" xfId="0">
      <alignment vertical="center"/>
    </xf>
    <xf numFmtId="0" fontId="46" fillId="12" borderId="0" pivotButton="0" quotePrefix="0" xfId="7"/>
    <xf numFmtId="0" fontId="41" fillId="16" borderId="27" applyAlignment="1" pivotButton="0" quotePrefix="0" xfId="0">
      <alignment horizontal="center" vertical="center" wrapText="1"/>
    </xf>
    <xf numFmtId="164" fontId="48" fillId="0" borderId="27" pivotButton="0" quotePrefix="0" xfId="1"/>
    <xf numFmtId="180" fontId="42" fillId="12" borderId="27" pivotButton="0" quotePrefix="0" xfId="7"/>
    <xf numFmtId="167" fontId="42" fillId="12" borderId="27" pivotButton="0" quotePrefix="0" xfId="7"/>
    <xf numFmtId="0" fontId="42" fillId="12" borderId="28" applyAlignment="1" pivotButton="0" quotePrefix="0" xfId="7">
      <alignment horizontal="left"/>
    </xf>
    <xf numFmtId="0" fontId="48" fillId="0" borderId="0" pivotButton="0" quotePrefix="0" xfId="0"/>
    <xf numFmtId="0" fontId="42" fillId="12" borderId="27" applyAlignment="1" pivotButton="0" quotePrefix="0" xfId="7">
      <alignment horizontal="left"/>
    </xf>
    <xf numFmtId="14" fontId="42" fillId="12" borderId="30" applyAlignment="1" applyProtection="1" pivotButton="0" quotePrefix="0" xfId="7">
      <alignment horizontal="center"/>
      <protection locked="0" hidden="0"/>
    </xf>
    <xf numFmtId="0" fontId="51" fillId="0" borderId="27" applyAlignment="1" pivotButton="0" quotePrefix="0" xfId="0">
      <alignment horizontal="left" vertical="center"/>
    </xf>
    <xf numFmtId="0" fontId="42" fillId="0" borderId="27" pivotButton="0" quotePrefix="0" xfId="7"/>
    <xf numFmtId="164" fontId="42" fillId="12" borderId="27" applyAlignment="1" applyProtection="1" pivotButton="0" quotePrefix="0" xfId="1">
      <alignment horizontal="center"/>
      <protection locked="0" hidden="0"/>
    </xf>
    <xf numFmtId="181" fontId="42" fillId="12" borderId="27" applyAlignment="1" pivotButton="0" quotePrefix="0" xfId="1">
      <alignment horizontal="center"/>
    </xf>
    <xf numFmtId="180" fontId="42" fillId="0" borderId="27" applyAlignment="1" pivotButton="0" quotePrefix="0" xfId="8">
      <alignment horizontal="right" vertical="center"/>
    </xf>
    <xf numFmtId="14" fontId="43" fillId="12" borderId="0" pivotButton="0" quotePrefix="0" xfId="7"/>
    <xf numFmtId="0" fontId="49" fillId="12" borderId="27" applyAlignment="1" pivotButton="0" quotePrefix="0" xfId="7">
      <alignment horizontal="left" vertical="center"/>
    </xf>
    <xf numFmtId="175" fontId="42" fillId="0" borderId="27" applyAlignment="1" pivotButton="0" quotePrefix="0" xfId="8">
      <alignment horizontal="right" vertical="center"/>
    </xf>
    <xf numFmtId="0" fontId="49" fillId="12" borderId="27" applyAlignment="1" pivotButton="0" quotePrefix="0" xfId="7">
      <alignment horizontal="left"/>
    </xf>
    <xf numFmtId="0" fontId="51" fillId="0" borderId="27" applyAlignment="1" pivotButton="0" quotePrefix="0" xfId="0">
      <alignment horizontal="left"/>
    </xf>
    <xf numFmtId="182" fontId="42" fillId="0" borderId="27" applyAlignment="1" pivotButton="0" quotePrefix="0" xfId="8">
      <alignment horizontal="right" vertical="center"/>
    </xf>
    <xf numFmtId="43" fontId="42" fillId="0" borderId="27" applyAlignment="1" pivotButton="0" quotePrefix="0" xfId="8">
      <alignment horizontal="right" vertical="center"/>
    </xf>
    <xf numFmtId="0" fontId="42" fillId="0" borderId="0" pivotButton="0" quotePrefix="0" xfId="7"/>
    <xf numFmtId="0" fontId="51" fillId="0" borderId="27" pivotButton="0" quotePrefix="0" xfId="0"/>
    <xf numFmtId="0" fontId="49" fillId="12" borderId="0" applyAlignment="1" pivotButton="0" quotePrefix="0" xfId="7">
      <alignment horizontal="center"/>
    </xf>
    <xf numFmtId="0" fontId="42" fillId="12" borderId="0" applyAlignment="1" pivotButton="0" quotePrefix="0" xfId="7">
      <alignment horizontal="center"/>
    </xf>
    <xf numFmtId="0" fontId="54" fillId="12" borderId="0" applyAlignment="1" pivotButton="0" quotePrefix="0" xfId="7">
      <alignment horizontal="center"/>
    </xf>
    <xf numFmtId="164" fontId="42" fillId="3" borderId="27" applyAlignment="1" applyProtection="1" pivotButton="0" quotePrefix="0" xfId="1">
      <alignment horizontal="center"/>
      <protection locked="0" hidden="0"/>
    </xf>
    <xf numFmtId="164" fontId="42" fillId="0" borderId="27" applyAlignment="1" pivotButton="0" quotePrefix="0" xfId="1">
      <alignment horizontal="right" vertical="center"/>
    </xf>
    <xf numFmtId="0" fontId="55" fillId="0" borderId="27" applyAlignment="1" pivotButton="0" quotePrefix="0" xfId="0">
      <alignment horizontal="center" vertical="center" wrapText="1"/>
    </xf>
    <xf numFmtId="0" fontId="50" fillId="0" borderId="27" applyAlignment="1" pivotButton="0" quotePrefix="0" xfId="0">
      <alignment horizontal="center" vertical="center" wrapText="1"/>
    </xf>
    <xf numFmtId="0" fontId="50" fillId="0" borderId="27" applyAlignment="1" pivotButton="0" quotePrefix="0" xfId="0">
      <alignment vertical="center"/>
    </xf>
    <xf numFmtId="167" fontId="50" fillId="0" borderId="27" applyAlignment="1" pivotButton="0" quotePrefix="0" xfId="1">
      <alignment horizontal="center" vertical="center"/>
    </xf>
    <xf numFmtId="0" fontId="50" fillId="0" borderId="27" applyAlignment="1" pivotButton="0" quotePrefix="0" xfId="0">
      <alignment horizontal="center" vertical="center"/>
    </xf>
    <xf numFmtId="164" fontId="50" fillId="0" borderId="27" applyAlignment="1" pivotButton="0" quotePrefix="0" xfId="1">
      <alignment horizontal="center" vertical="center"/>
    </xf>
    <xf numFmtId="14" fontId="50" fillId="0" borderId="27" applyAlignment="1" pivotButton="0" quotePrefix="0" xfId="0">
      <alignment horizontal="center" vertical="center"/>
    </xf>
    <xf numFmtId="164" fontId="42" fillId="12" borderId="30" applyAlignment="1" applyProtection="1" pivotButton="0" quotePrefix="0" xfId="1">
      <alignment horizontal="center"/>
      <protection locked="0" hidden="0"/>
    </xf>
    <xf numFmtId="164" fontId="42" fillId="12" borderId="27" applyAlignment="1" pivotButton="0" quotePrefix="0" xfId="1">
      <alignment horizontal="center"/>
    </xf>
    <xf numFmtId="0" fontId="56" fillId="18" borderId="0" pivotButton="0" quotePrefix="0" xfId="0"/>
    <xf numFmtId="174" fontId="42" fillId="12" borderId="0" pivotButton="0" quotePrefix="0" xfId="1"/>
    <xf numFmtId="174" fontId="42" fillId="12" borderId="0" applyAlignment="1" pivotButton="0" quotePrefix="0" xfId="1">
      <alignment horizontal="center"/>
    </xf>
    <xf numFmtId="174" fontId="54" fillId="12" borderId="0" applyAlignment="1" pivotButton="0" quotePrefix="0" xfId="1">
      <alignment horizontal="center"/>
    </xf>
    <xf numFmtId="164" fontId="0" fillId="3" borderId="0" pivotButton="0" quotePrefix="0" xfId="1"/>
    <xf numFmtId="9" fontId="0" fillId="3" borderId="0" pivotButton="0" quotePrefix="0" xfId="2"/>
    <xf numFmtId="0" fontId="51" fillId="12" borderId="0" pivotButton="0" quotePrefix="0" xfId="0"/>
    <xf numFmtId="180" fontId="42" fillId="12" borderId="0" applyAlignment="1" pivotButton="0" quotePrefix="0" xfId="8">
      <alignment horizontal="right" vertical="center"/>
    </xf>
    <xf numFmtId="164" fontId="42" fillId="12" borderId="0" applyAlignment="1" pivotButton="0" quotePrefix="0" xfId="1">
      <alignment horizontal="right" vertical="center"/>
    </xf>
    <xf numFmtId="0" fontId="42" fillId="12" borderId="27" pivotButton="0" quotePrefix="0" xfId="7"/>
    <xf numFmtId="2" fontId="42" fillId="12" borderId="27" pivotButton="0" quotePrefix="0" xfId="7"/>
    <xf numFmtId="175" fontId="42" fillId="12" borderId="27" applyAlignment="1" pivotButton="0" quotePrefix="0" xfId="8">
      <alignment horizontal="left"/>
    </xf>
    <xf numFmtId="174" fontId="42" fillId="12" borderId="27" pivotButton="0" quotePrefix="0" xfId="1"/>
    <xf numFmtId="0" fontId="57" fillId="12" borderId="0" pivotButton="0" quotePrefix="0" xfId="7"/>
    <xf numFmtId="14" fontId="43" fillId="15" borderId="27" applyAlignment="1" pivotButton="0" quotePrefix="0" xfId="0">
      <alignment horizontal="center" vertical="center"/>
    </xf>
    <xf numFmtId="0" fontId="42" fillId="12" borderId="0" applyAlignment="1" pivotButton="0" quotePrefix="0" xfId="8">
      <alignment horizontal="right" vertical="center"/>
    </xf>
    <xf numFmtId="0" fontId="50" fillId="0" borderId="29" applyAlignment="1" applyProtection="1" pivotButton="0" quotePrefix="0" xfId="0">
      <alignment horizontal="center" vertical="center"/>
      <protection locked="0" hidden="0"/>
    </xf>
    <xf numFmtId="164" fontId="23" fillId="0" borderId="0" pivotButton="0" quotePrefix="0" xfId="1"/>
    <xf numFmtId="9" fontId="0" fillId="0" borderId="0" pivotButton="0" quotePrefix="1" xfId="2"/>
    <xf numFmtId="166" fontId="0" fillId="3" borderId="0" pivotButton="0" quotePrefix="0" xfId="2"/>
    <xf numFmtId="165" fontId="0" fillId="3" borderId="8" pivotButton="0" quotePrefix="0" xfId="1"/>
    <xf numFmtId="9" fontId="0" fillId="3" borderId="0" pivotButton="0" quotePrefix="0" xfId="2"/>
    <xf numFmtId="164" fontId="0" fillId="0" borderId="7" pivotButton="0" quotePrefix="0" xfId="1"/>
    <xf numFmtId="164" fontId="1" fillId="0" borderId="0" pivotButton="0" quotePrefix="0" xfId="1"/>
    <xf numFmtId="10" fontId="3" fillId="0" borderId="8" pivotButton="0" quotePrefix="0" xfId="0"/>
    <xf numFmtId="176" fontId="42" fillId="12" borderId="0" pivotButton="0" quotePrefix="0" xfId="7"/>
    <xf numFmtId="0" fontId="15" fillId="0" borderId="11" pivotButton="0" quotePrefix="0" xfId="0"/>
    <xf numFmtId="164" fontId="42" fillId="12" borderId="0" pivotButton="0" quotePrefix="0" xfId="7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49" fillId="17" borderId="8" applyAlignment="1" pivotButton="0" quotePrefix="0" xfId="7">
      <alignment horizontal="center"/>
    </xf>
    <xf numFmtId="0" fontId="49" fillId="17" borderId="0" applyAlignment="1" pivotButton="0" quotePrefix="0" xfId="7">
      <alignment horizontal="center"/>
    </xf>
    <xf numFmtId="167" fontId="0" fillId="0" borderId="8" pivotButton="0" quotePrefix="0" xfId="1"/>
    <xf numFmtId="167" fontId="0" fillId="0" borderId="8" pivotButton="0" quotePrefix="0" xfId="0"/>
    <xf numFmtId="167" fontId="0" fillId="11" borderId="8" pivotButton="0" quotePrefix="0" xfId="1"/>
    <xf numFmtId="167" fontId="0" fillId="5" borderId="8" pivotButton="0" quotePrefix="0" xfId="1"/>
    <xf numFmtId="167" fontId="0" fillId="0" borderId="9" pivotButton="0" quotePrefix="0" xfId="1"/>
    <xf numFmtId="167" fontId="0" fillId="0" borderId="9" pivotButton="0" quotePrefix="0" xfId="0"/>
    <xf numFmtId="165" fontId="12" fillId="11" borderId="0" pivotButton="0" quotePrefix="0" xfId="1"/>
    <xf numFmtId="165" fontId="12" fillId="5" borderId="0" pivotButton="0" quotePrefix="0" xfId="1"/>
    <xf numFmtId="165" fontId="12" fillId="0" borderId="0" pivotButton="0" quotePrefix="0" xfId="1"/>
    <xf numFmtId="165" fontId="12" fillId="11" borderId="8" pivotButton="0" quotePrefix="0" xfId="1"/>
    <xf numFmtId="165" fontId="12" fillId="5" borderId="8" pivotButton="0" quotePrefix="0" xfId="1"/>
    <xf numFmtId="165" fontId="12" fillId="0" borderId="8" pivotButton="0" quotePrefix="0" xfId="1"/>
    <xf numFmtId="165" fontId="0" fillId="0" borderId="0" pivotButton="0" quotePrefix="0" xfId="1"/>
    <xf numFmtId="164" fontId="0" fillId="0" borderId="0" pivotButton="0" quotePrefix="0" xfId="1"/>
    <xf numFmtId="167" fontId="0" fillId="0" borderId="0" pivotButton="0" quotePrefix="0" xfId="1"/>
    <xf numFmtId="174" fontId="18" fillId="0" borderId="0" pivotButton="0" quotePrefix="0" xfId="1"/>
    <xf numFmtId="174" fontId="16" fillId="9" borderId="0" pivotButton="0" quotePrefix="0" xfId="1"/>
    <xf numFmtId="174" fontId="19" fillId="0" borderId="0" applyAlignment="1" pivotButton="0" quotePrefix="0" xfId="1">
      <alignment horizontal="left"/>
    </xf>
    <xf numFmtId="167" fontId="22" fillId="10" borderId="0" pivotButton="0" quotePrefix="0" xfId="1"/>
    <xf numFmtId="166" fontId="0" fillId="0" borderId="0" pivotButton="0" quotePrefix="0" xfId="2"/>
    <xf numFmtId="174" fontId="22" fillId="10" borderId="0" pivotButton="0" quotePrefix="0" xfId="1"/>
    <xf numFmtId="167" fontId="15" fillId="11" borderId="0" pivotButton="0" quotePrefix="0" xfId="1"/>
    <xf numFmtId="167" fontId="15" fillId="5" borderId="0" pivotButton="0" quotePrefix="0" xfId="1"/>
    <xf numFmtId="164" fontId="3" fillId="0" borderId="0" pivotButton="0" quotePrefix="0" xfId="1"/>
    <xf numFmtId="164" fontId="0" fillId="0" borderId="0" applyAlignment="1" pivotButton="0" quotePrefix="0" xfId="1">
      <alignment horizontal="center"/>
    </xf>
    <xf numFmtId="168" fontId="0" fillId="0" borderId="0" pivotButton="0" quotePrefix="0" xfId="0"/>
    <xf numFmtId="175" fontId="38" fillId="13" borderId="24" pivotButton="0" quotePrefix="0" xfId="5"/>
    <xf numFmtId="175" fontId="34" fillId="12" borderId="24" pivotButton="0" quotePrefix="0" xfId="5"/>
    <xf numFmtId="164" fontId="34" fillId="12" borderId="24" pivotButton="0" quotePrefix="0" xfId="1"/>
    <xf numFmtId="165" fontId="39" fillId="13" borderId="24" pivotButton="0" quotePrefix="0" xfId="1"/>
    <xf numFmtId="165" fontId="35" fillId="12" borderId="24" pivotButton="0" quotePrefix="0" xfId="1"/>
    <xf numFmtId="168" fontId="27" fillId="12" borderId="0" applyAlignment="1" pivotButton="0" quotePrefix="0" xfId="1">
      <alignment horizontal="right"/>
    </xf>
    <xf numFmtId="164" fontId="0" fillId="12" borderId="26" pivotButton="0" quotePrefix="0" xfId="1"/>
    <xf numFmtId="177" fontId="0" fillId="0" borderId="0" pivotButton="0" quotePrefix="0" xfId="0"/>
    <xf numFmtId="164" fontId="0" fillId="0" borderId="0" pivotButton="0" quotePrefix="0" xfId="0"/>
    <xf numFmtId="177" fontId="0" fillId="0" borderId="0" applyAlignment="1" pivotButton="0" quotePrefix="0" xfId="0">
      <alignment horizontal="center"/>
    </xf>
    <xf numFmtId="166" fontId="0" fillId="0" borderId="0" pivotButton="0" quotePrefix="0" xfId="0"/>
    <xf numFmtId="164" fontId="0" fillId="0" borderId="9" pivotButton="0" quotePrefix="0" xfId="0"/>
    <xf numFmtId="167" fontId="0" fillId="0" borderId="16" pivotButton="0" quotePrefix="0" xfId="1"/>
    <xf numFmtId="177" fontId="3" fillId="0" borderId="0" pivotButton="0" quotePrefix="0" xfId="0"/>
    <xf numFmtId="164" fontId="3" fillId="0" borderId="0" pivotButton="0" quotePrefix="0" xfId="0"/>
    <xf numFmtId="164" fontId="0" fillId="0" borderId="16" pivotButton="0" quotePrefix="0" xfId="0"/>
    <xf numFmtId="175" fontId="3" fillId="0" borderId="0" pivotButton="0" quotePrefix="0" xfId="0"/>
    <xf numFmtId="175" fontId="0" fillId="0" borderId="0" pivotButton="0" quotePrefix="0" xfId="0"/>
    <xf numFmtId="178" fontId="0" fillId="0" borderId="16" pivotButton="0" quotePrefix="0" xfId="0"/>
    <xf numFmtId="164" fontId="3" fillId="0" borderId="18" pivotButton="0" quotePrefix="0" xfId="0"/>
    <xf numFmtId="164" fontId="3" fillId="0" borderId="16" pivotButton="0" quotePrefix="0" xfId="0"/>
    <xf numFmtId="178" fontId="0" fillId="0" borderId="0" pivotButton="0" quotePrefix="0" xfId="0"/>
    <xf numFmtId="175" fontId="3" fillId="0" borderId="18" pivotButton="0" quotePrefix="0" xfId="0"/>
    <xf numFmtId="175" fontId="0" fillId="0" borderId="18" pivotButton="0" quotePrefix="0" xfId="0"/>
    <xf numFmtId="175" fontId="3" fillId="0" borderId="19" pivotButton="0" quotePrefix="0" xfId="0"/>
    <xf numFmtId="175" fontId="3" fillId="0" borderId="20" pivotButton="0" quotePrefix="0" xfId="0"/>
    <xf numFmtId="167" fontId="3" fillId="0" borderId="0" pivotButton="0" quotePrefix="0" xfId="1"/>
    <xf numFmtId="167" fontId="0" fillId="0" borderId="0" pivotButton="0" quotePrefix="0" xfId="0"/>
    <xf numFmtId="167" fontId="0" fillId="0" borderId="16" pivotButton="0" quotePrefix="0" xfId="0"/>
    <xf numFmtId="167" fontId="0" fillId="0" borderId="18" pivotButton="0" quotePrefix="0" xfId="0"/>
    <xf numFmtId="164" fontId="23" fillId="0" borderId="0" pivotButton="0" quotePrefix="0" xfId="1"/>
    <xf numFmtId="164" fontId="0" fillId="0" borderId="16" pivotButton="0" quotePrefix="0" xfId="1"/>
    <xf numFmtId="164" fontId="3" fillId="0" borderId="18" pivotButton="0" quotePrefix="0" xfId="1"/>
    <xf numFmtId="165" fontId="0" fillId="0" borderId="0" pivotButton="0" quotePrefix="0" xfId="0"/>
    <xf numFmtId="164" fontId="0" fillId="0" borderId="4" pivotButton="0" quotePrefix="0" xfId="1"/>
    <xf numFmtId="170" fontId="8" fillId="0" borderId="0" pivotButton="0" quotePrefix="0" xfId="0"/>
    <xf numFmtId="170" fontId="0" fillId="0" borderId="0" pivotButton="0" quotePrefix="0" xfId="0"/>
    <xf numFmtId="176" fontId="8" fillId="0" borderId="0" pivotButton="0" quotePrefix="0" xfId="0"/>
    <xf numFmtId="164" fontId="8" fillId="0" borderId="0" pivotButton="0" quotePrefix="0" xfId="0"/>
    <xf numFmtId="169" fontId="0" fillId="0" borderId="0" pivotButton="0" quotePrefix="0" xfId="1"/>
    <xf numFmtId="164" fontId="8" fillId="0" borderId="0" pivotButton="0" quotePrefix="0" xfId="1"/>
    <xf numFmtId="167" fontId="12" fillId="0" borderId="0" pivotButton="0" quotePrefix="0" xfId="1"/>
    <xf numFmtId="167" fontId="4" fillId="0" borderId="0" pivotButton="0" quotePrefix="0" xfId="1"/>
    <xf numFmtId="166" fontId="12" fillId="0" borderId="0" pivotButton="0" quotePrefix="0" xfId="2"/>
    <xf numFmtId="166" fontId="0" fillId="0" borderId="4" pivotButton="0" quotePrefix="0" xfId="2"/>
    <xf numFmtId="165" fontId="0" fillId="0" borderId="4" pivotButton="0" quotePrefix="0" xfId="1"/>
    <xf numFmtId="164" fontId="12" fillId="0" borderId="0" pivotButton="0" quotePrefix="0" xfId="0"/>
    <xf numFmtId="164" fontId="0" fillId="0" borderId="6" pivotButton="0" quotePrefix="0" xfId="1"/>
    <xf numFmtId="175" fontId="0" fillId="0" borderId="0" pivotButton="0" quotePrefix="0" xfId="1"/>
    <xf numFmtId="164" fontId="0" fillId="0" borderId="7" pivotButton="0" quotePrefix="0" xfId="1"/>
    <xf numFmtId="165" fontId="3" fillId="0" borderId="0" pivotButton="0" quotePrefix="0" xfId="1"/>
    <xf numFmtId="164" fontId="3" fillId="0" borderId="4" pivotButton="0" quotePrefix="0" xfId="1"/>
    <xf numFmtId="165" fontId="1" fillId="0" borderId="0" pivotButton="0" quotePrefix="0" xfId="1"/>
    <xf numFmtId="165" fontId="1" fillId="0" borderId="4" pivotButton="0" quotePrefix="0" xfId="1"/>
    <xf numFmtId="165" fontId="0" fillId="0" borderId="9" pivotButton="0" quotePrefix="0" xfId="1"/>
    <xf numFmtId="164" fontId="0" fillId="3" borderId="0" pivotButton="0" quotePrefix="0" xfId="1"/>
    <xf numFmtId="165" fontId="0" fillId="0" borderId="8" pivotButton="0" quotePrefix="0" xfId="1"/>
    <xf numFmtId="165" fontId="0" fillId="3" borderId="0" pivotButton="0" quotePrefix="0" xfId="1"/>
    <xf numFmtId="164" fontId="0" fillId="0" borderId="9" pivotButton="0" quotePrefix="0" xfId="1"/>
    <xf numFmtId="164" fontId="0" fillId="0" borderId="2" pivotButton="0" quotePrefix="0" xfId="1"/>
    <xf numFmtId="165" fontId="3" fillId="0" borderId="0" pivotButton="0" quotePrefix="0" xfId="0"/>
    <xf numFmtId="165" fontId="3" fillId="0" borderId="4" pivotButton="0" quotePrefix="0" xfId="1"/>
    <xf numFmtId="164" fontId="12" fillId="0" borderId="0" pivotButton="0" quotePrefix="0" xfId="1"/>
    <xf numFmtId="164" fontId="12" fillId="0" borderId="4" pivotButton="0" quotePrefix="0" xfId="1"/>
    <xf numFmtId="164" fontId="0" fillId="0" borderId="2" pivotButton="0" quotePrefix="0" xfId="0"/>
    <xf numFmtId="164" fontId="0" fillId="0" borderId="4" pivotButton="0" quotePrefix="0" xfId="0"/>
    <xf numFmtId="164" fontId="3" fillId="0" borderId="4" pivotButton="0" quotePrefix="0" xfId="0"/>
    <xf numFmtId="164" fontId="0" fillId="0" borderId="8" pivotButton="0" quotePrefix="0" xfId="1"/>
    <xf numFmtId="168" fontId="3" fillId="0" borderId="0" pivotButton="0" quotePrefix="0" xfId="0"/>
    <xf numFmtId="168" fontId="3" fillId="0" borderId="4" pivotButton="0" quotePrefix="0" xfId="0"/>
    <xf numFmtId="173" fontId="3" fillId="0" borderId="0" pivotButton="0" quotePrefix="0" xfId="0"/>
    <xf numFmtId="164" fontId="0" fillId="0" borderId="8" pivotButton="0" quotePrefix="0" xfId="0"/>
    <xf numFmtId="164" fontId="12" fillId="3" borderId="0" pivotButton="0" quotePrefix="0" xfId="1"/>
    <xf numFmtId="171" fontId="0" fillId="0" borderId="0" pivotButton="0" quotePrefix="0" xfId="3"/>
    <xf numFmtId="171" fontId="12" fillId="0" borderId="0" pivotButton="0" quotePrefix="0" xfId="3"/>
    <xf numFmtId="171" fontId="9" fillId="4" borderId="0" pivotButton="0" quotePrefix="0" xfId="0"/>
    <xf numFmtId="171" fontId="0" fillId="0" borderId="11" pivotButton="0" quotePrefix="0" xfId="3"/>
    <xf numFmtId="171" fontId="0" fillId="0" borderId="16" pivotButton="0" quotePrefix="0" xfId="3"/>
    <xf numFmtId="172" fontId="0" fillId="0" borderId="0" pivotButton="0" quotePrefix="0" xfId="0"/>
    <xf numFmtId="172" fontId="0" fillId="0" borderId="14" pivotButton="0" quotePrefix="0" xfId="0"/>
    <xf numFmtId="172" fontId="0" fillId="0" borderId="16" pivotButton="0" quotePrefix="0" xfId="0"/>
    <xf numFmtId="172" fontId="0" fillId="0" borderId="17" pivotButton="0" quotePrefix="0" xfId="0"/>
    <xf numFmtId="164" fontId="1" fillId="0" borderId="0" pivotButton="0" quotePrefix="0" xfId="1"/>
    <xf numFmtId="164" fontId="0" fillId="8" borderId="0" pivotButton="0" quotePrefix="0" xfId="1"/>
    <xf numFmtId="164" fontId="9" fillId="3" borderId="0" applyAlignment="1" pivotButton="0" quotePrefix="0" xfId="1">
      <alignment horizontal="center"/>
    </xf>
    <xf numFmtId="171" fontId="9" fillId="0" borderId="0" pivotButton="0" quotePrefix="0" xfId="3"/>
    <xf numFmtId="166" fontId="0" fillId="3" borderId="0" pivotButton="0" quotePrefix="0" xfId="2"/>
    <xf numFmtId="164" fontId="9" fillId="0" borderId="0" pivotButton="0" quotePrefix="0" xfId="0"/>
    <xf numFmtId="165" fontId="0" fillId="3" borderId="8" pivotButton="0" quotePrefix="0" xfId="1"/>
    <xf numFmtId="179" fontId="43" fillId="15" borderId="27" applyAlignment="1" pivotButton="0" quotePrefix="0" xfId="0">
      <alignment horizontal="center" vertical="center"/>
    </xf>
    <xf numFmtId="164" fontId="48" fillId="0" borderId="27" pivotButton="0" quotePrefix="0" xfId="1"/>
    <xf numFmtId="180" fontId="42" fillId="12" borderId="27" pivotButton="0" quotePrefix="0" xfId="7"/>
    <xf numFmtId="167" fontId="42" fillId="12" borderId="27" pivotButton="0" quotePrefix="0" xfId="7"/>
    <xf numFmtId="164" fontId="42" fillId="12" borderId="30" applyAlignment="1" applyProtection="1" pivotButton="0" quotePrefix="0" xfId="1">
      <alignment horizontal="center"/>
      <protection locked="0" hidden="0"/>
    </xf>
    <xf numFmtId="164" fontId="42" fillId="12" borderId="27" applyAlignment="1" pivotButton="0" quotePrefix="0" xfId="1">
      <alignment horizontal="center"/>
    </xf>
    <xf numFmtId="181" fontId="42" fillId="12" borderId="27" applyAlignment="1" pivotButton="0" quotePrefix="0" xfId="1">
      <alignment horizontal="center"/>
    </xf>
    <xf numFmtId="180" fontId="42" fillId="0" borderId="27" applyAlignment="1" pivotButton="0" quotePrefix="0" xfId="8">
      <alignment horizontal="right" vertical="center"/>
    </xf>
    <xf numFmtId="175" fontId="42" fillId="0" borderId="27" applyAlignment="1" pivotButton="0" quotePrefix="0" xfId="8">
      <alignment horizontal="right" vertical="center"/>
    </xf>
    <xf numFmtId="164" fontId="42" fillId="3" borderId="27" applyAlignment="1" applyProtection="1" pivotButton="0" quotePrefix="0" xfId="1">
      <alignment horizontal="center"/>
      <protection locked="0" hidden="0"/>
    </xf>
    <xf numFmtId="164" fontId="42" fillId="12" borderId="27" applyAlignment="1" applyProtection="1" pivotButton="0" quotePrefix="0" xfId="1">
      <alignment horizontal="center"/>
      <protection locked="0" hidden="0"/>
    </xf>
    <xf numFmtId="182" fontId="42" fillId="0" borderId="27" applyAlignment="1" pivotButton="0" quotePrefix="0" xfId="8">
      <alignment horizontal="right" vertical="center"/>
    </xf>
    <xf numFmtId="164" fontId="42" fillId="0" borderId="27" applyAlignment="1" pivotButton="0" quotePrefix="0" xfId="1">
      <alignment horizontal="right" vertical="center"/>
    </xf>
    <xf numFmtId="180" fontId="42" fillId="12" borderId="0" applyAlignment="1" pivotButton="0" quotePrefix="0" xfId="8">
      <alignment horizontal="right" vertical="center"/>
    </xf>
    <xf numFmtId="164" fontId="42" fillId="12" borderId="0" applyAlignment="1" pivotButton="0" quotePrefix="0" xfId="1">
      <alignment horizontal="right" vertical="center"/>
    </xf>
    <xf numFmtId="175" fontId="42" fillId="12" borderId="27" applyAlignment="1" pivotButton="0" quotePrefix="0" xfId="8">
      <alignment horizontal="left"/>
    </xf>
    <xf numFmtId="174" fontId="42" fillId="12" borderId="27" pivotButton="0" quotePrefix="0" xfId="1"/>
    <xf numFmtId="174" fontId="42" fillId="12" borderId="0" pivotButton="0" quotePrefix="0" xfId="1"/>
    <xf numFmtId="174" fontId="42" fillId="12" borderId="0" applyAlignment="1" pivotButton="0" quotePrefix="0" xfId="1">
      <alignment horizontal="center"/>
    </xf>
    <xf numFmtId="174" fontId="54" fillId="12" borderId="0" applyAlignment="1" pivotButton="0" quotePrefix="0" xfId="1">
      <alignment horizontal="center"/>
    </xf>
    <xf numFmtId="167" fontId="50" fillId="0" borderId="27" applyAlignment="1" pivotButton="0" quotePrefix="0" xfId="1">
      <alignment horizontal="center" vertical="center"/>
    </xf>
    <xf numFmtId="164" fontId="50" fillId="0" borderId="27" applyAlignment="1" pivotButton="0" quotePrefix="0" xfId="1">
      <alignment horizontal="center" vertical="center"/>
    </xf>
    <xf numFmtId="176" fontId="42" fillId="12" borderId="0" pivotButton="0" quotePrefix="0" xfId="7"/>
    <xf numFmtId="164" fontId="42" fillId="12" borderId="0" pivotButton="0" quotePrefix="0" xfId="7"/>
  </cellXfs>
  <cellStyles count="9">
    <cellStyle name="Normal" xfId="0" builtinId="0"/>
    <cellStyle name="Comma" xfId="1" builtinId="3"/>
    <cellStyle name="Per cent" xfId="2" builtinId="5"/>
    <cellStyle name="Currency" xfId="3" builtinId="4"/>
    <cellStyle name="Normal 2" xfId="4"/>
    <cellStyle name="Comma 2" xfId="5"/>
    <cellStyle name="Percent 2" xfId="6"/>
    <cellStyle name="Normal 10" xfId="7"/>
    <cellStyle name="Comma 2 2" xf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Pricing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96834886038064"/>
          <y val="0.05383114668528073"/>
          <w val="0.8586523065709843"/>
          <h val="0.8285843383501112"/>
        </manualLayout>
      </layout>
      <lineChart>
        <grouping val="standard"/>
        <varyColors val="0"/>
        <ser>
          <idx val="0"/>
          <order val="0"/>
          <tx>
            <strRef>
              <f>Assumptions!$A$6</f>
              <strCache>
                <ptCount val="1"/>
                <pt idx="0">
                  <v>Premium Hard Coking Coal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Assumptions!$I$1:$AI$1</f>
              <numCache>
                <formatCode>General</formatCode>
                <ptCount val="27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numCache>
            </numRef>
          </cat>
          <val>
            <numRef>
              <f>Assumptions!$I$6:$AI$6</f>
              <numCache>
                <formatCode>_-* #,##0.0_-;\-* #,##0.0_-;_-* "-"??_-;_-@_-</formatCode>
                <ptCount val="27"/>
                <pt idx="0">
                  <v>315</v>
                </pt>
                <pt idx="1">
                  <v>240</v>
                </pt>
                <pt idx="2">
                  <v>240</v>
                </pt>
                <pt idx="3">
                  <v>240</v>
                </pt>
                <pt idx="4">
                  <v>240</v>
                </pt>
                <pt idx="5">
                  <v>240</v>
                </pt>
                <pt idx="6">
                  <v>240</v>
                </pt>
                <pt idx="7">
                  <v>240</v>
                </pt>
                <pt idx="8">
                  <v>240</v>
                </pt>
                <pt idx="9">
                  <v>240</v>
                </pt>
                <pt idx="10">
                  <v>240</v>
                </pt>
                <pt idx="11">
                  <v>240</v>
                </pt>
                <pt idx="12">
                  <v>240</v>
                </pt>
                <pt idx="13">
                  <v>240</v>
                </pt>
                <pt idx="14">
                  <v>240</v>
                </pt>
                <pt idx="15">
                  <v>240</v>
                </pt>
                <pt idx="16">
                  <v>240</v>
                </pt>
                <pt idx="17">
                  <v>240</v>
                </pt>
                <pt idx="18">
                  <v>240</v>
                </pt>
                <pt idx="19">
                  <v>240</v>
                </pt>
                <pt idx="20">
                  <v>240</v>
                </pt>
                <pt idx="21">
                  <v>240</v>
                </pt>
                <pt idx="22">
                  <v>240</v>
                </pt>
                <pt idx="23">
                  <v>240</v>
                </pt>
                <pt idx="24">
                  <v>240</v>
                </pt>
                <pt idx="25">
                  <v>240</v>
                </pt>
                <pt idx="26">
                  <v>240</v>
                </pt>
              </numCache>
            </numRef>
          </val>
          <smooth val="0"/>
        </ser>
        <ser>
          <idx val="1"/>
          <order val="1"/>
          <tx>
            <strRef>
              <f>Assumptions!$A$7</f>
              <strCache>
                <ptCount val="1"/>
                <pt idx="0">
                  <v>88% PHCC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Assumptions!$I$1:$AI$1</f>
              <numCache>
                <formatCode>General</formatCode>
                <ptCount val="27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numCache>
            </numRef>
          </cat>
          <val>
            <numRef>
              <f>Assumptions!$I$7:$AI$7</f>
              <numCache>
                <formatCode>_-* #,##0.0_-;\-* #,##0.0_-;_-* "-"??_-;_-@_-</formatCode>
                <ptCount val="27"/>
                <pt idx="1">
                  <v>211.2</v>
                </pt>
                <pt idx="2">
                  <v>211.2</v>
                </pt>
                <pt idx="3">
                  <v>211.2</v>
                </pt>
                <pt idx="4">
                  <v>211.2</v>
                </pt>
                <pt idx="5">
                  <v>211.2</v>
                </pt>
                <pt idx="6">
                  <v>211.2</v>
                </pt>
                <pt idx="7">
                  <v>211.2</v>
                </pt>
                <pt idx="8">
                  <v>211.2</v>
                </pt>
                <pt idx="9">
                  <v>211.2</v>
                </pt>
                <pt idx="10">
                  <v>211.2</v>
                </pt>
                <pt idx="11">
                  <v>211.2</v>
                </pt>
                <pt idx="12">
                  <v>211.2</v>
                </pt>
                <pt idx="13">
                  <v>211.2</v>
                </pt>
                <pt idx="14">
                  <v>211.2</v>
                </pt>
                <pt idx="15">
                  <v>211.2</v>
                </pt>
                <pt idx="16">
                  <v>211.2</v>
                </pt>
                <pt idx="17">
                  <v>211.2</v>
                </pt>
                <pt idx="18">
                  <v>211.2</v>
                </pt>
                <pt idx="19">
                  <v>211.2</v>
                </pt>
                <pt idx="20">
                  <v>211.2</v>
                </pt>
                <pt idx="21">
                  <v>211.2</v>
                </pt>
                <pt idx="22">
                  <v>211.2</v>
                </pt>
                <pt idx="23">
                  <v>211.2</v>
                </pt>
                <pt idx="24">
                  <v>211.2</v>
                </pt>
                <pt idx="25">
                  <v>211.2</v>
                </pt>
                <pt idx="26">
                  <v>211.2</v>
                </pt>
              </numCache>
            </numRef>
          </val>
          <smooth val="0"/>
        </ser>
        <ser>
          <idx val="2"/>
          <order val="2"/>
          <tx>
            <strRef>
              <f>Assumptions!$A$8</f>
              <strCache>
                <ptCount val="1"/>
                <pt idx="0">
                  <v>6000NAR (GCN)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Assumptions!$I$1:$AI$1</f>
              <numCache>
                <formatCode>General</formatCode>
                <ptCount val="27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numCache>
            </numRef>
          </cat>
          <val>
            <numRef>
              <f>Assumptions!$I$8:$AI$8</f>
              <numCache>
                <formatCode>_-* #,##0.0_-;\-* #,##0.0_-;_-* "-"??_-;_-@_-</formatCode>
                <ptCount val="27"/>
                <pt idx="1">
                  <v>118</v>
                </pt>
                <pt idx="2">
                  <v>118</v>
                </pt>
                <pt idx="3">
                  <v>118</v>
                </pt>
                <pt idx="4">
                  <v>118</v>
                </pt>
                <pt idx="5">
                  <v>118</v>
                </pt>
                <pt idx="6">
                  <v>118</v>
                </pt>
                <pt idx="7">
                  <v>118</v>
                </pt>
                <pt idx="8">
                  <v>118</v>
                </pt>
                <pt idx="9">
                  <v>118</v>
                </pt>
                <pt idx="10">
                  <v>118</v>
                </pt>
                <pt idx="11">
                  <v>118</v>
                </pt>
                <pt idx="12">
                  <v>118</v>
                </pt>
                <pt idx="13">
                  <v>118</v>
                </pt>
                <pt idx="14">
                  <v>118</v>
                </pt>
                <pt idx="15">
                  <v>118</v>
                </pt>
                <pt idx="16">
                  <v>118</v>
                </pt>
                <pt idx="17">
                  <v>118</v>
                </pt>
                <pt idx="18">
                  <v>118</v>
                </pt>
                <pt idx="19">
                  <v>118</v>
                </pt>
                <pt idx="20">
                  <v>118</v>
                </pt>
                <pt idx="21">
                  <v>118</v>
                </pt>
                <pt idx="22">
                  <v>118</v>
                </pt>
                <pt idx="23">
                  <v>118</v>
                </pt>
                <pt idx="24">
                  <v>118</v>
                </pt>
                <pt idx="25">
                  <v>118</v>
                </pt>
                <pt idx="26">
                  <v>118</v>
                </pt>
              </numCache>
            </numRef>
          </val>
          <smooth val="0"/>
        </ser>
        <ser>
          <idx val="3"/>
          <order val="3"/>
          <tx>
            <strRef>
              <f>Assumptions!$A$9</f>
              <strCache>
                <ptCount val="1"/>
                <pt idx="0">
                  <v>5500NAR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Assumptions!$I$1:$AI$1</f>
              <numCache>
                <formatCode>General</formatCode>
                <ptCount val="27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numCache>
            </numRef>
          </cat>
          <val>
            <numRef>
              <f>Assumptions!$I$9:$AI$9</f>
              <numCache>
                <formatCode>_-* #,##0.0_-;\-* #,##0.0_-;_-* "-"??_-;_-@_-</formatCode>
                <ptCount val="27"/>
                <pt idx="1">
                  <v>105</v>
                </pt>
                <pt idx="2">
                  <v>105</v>
                </pt>
                <pt idx="3">
                  <v>105</v>
                </pt>
                <pt idx="4">
                  <v>105</v>
                </pt>
                <pt idx="5">
                  <v>105</v>
                </pt>
                <pt idx="6">
                  <v>105</v>
                </pt>
                <pt idx="7">
                  <v>105</v>
                </pt>
                <pt idx="8">
                  <v>105</v>
                </pt>
                <pt idx="9">
                  <v>105</v>
                </pt>
                <pt idx="10">
                  <v>105</v>
                </pt>
                <pt idx="11">
                  <v>105</v>
                </pt>
                <pt idx="12">
                  <v>105</v>
                </pt>
                <pt idx="13">
                  <v>105</v>
                </pt>
                <pt idx="14">
                  <v>105</v>
                </pt>
                <pt idx="15">
                  <v>105</v>
                </pt>
                <pt idx="16">
                  <v>105</v>
                </pt>
                <pt idx="17">
                  <v>105</v>
                </pt>
                <pt idx="18">
                  <v>105</v>
                </pt>
                <pt idx="19">
                  <v>105</v>
                </pt>
                <pt idx="20">
                  <v>105</v>
                </pt>
                <pt idx="21">
                  <v>105</v>
                </pt>
                <pt idx="22">
                  <v>105</v>
                </pt>
                <pt idx="23">
                  <v>105</v>
                </pt>
                <pt idx="24">
                  <v>105</v>
                </pt>
                <pt idx="25">
                  <v>105</v>
                </pt>
                <pt idx="26">
                  <v>105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1958096"/>
        <axId val="201958656"/>
      </lineChart>
      <catAx>
        <axId val="201958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958656"/>
        <crosses val="autoZero"/>
        <auto val="1"/>
        <lblAlgn val="ctr"/>
        <lblOffset val="100"/>
        <noMultiLvlLbl val="0"/>
      </catAx>
      <valAx>
        <axId val="2019586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USD/t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-* #,##0.0_-;\-* #,##0.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9580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40663717333396"/>
          <y val="0.7014077544104454"/>
          <w val="0.5593362826666041"/>
          <h val="0.17510588391640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FOR cash cost/t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Analysis!$A$3</f>
              <strCache>
                <ptCount val="1"/>
                <pt idx="0">
                  <v>Springbok Coal Complex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Analysis!$C$1:$AH$1</f>
              <strCache>
                <ptCount val="32"/>
                <pt idx="0">
                  <v>2021Act</v>
                </pt>
                <pt idx="1">
                  <v>2022Act</v>
                </pt>
                <pt idx="2">
                  <v>2023Act</v>
                </pt>
                <pt idx="3">
                  <v>2024Act</v>
                </pt>
                <pt idx="4">
                  <v>2025Act</v>
                </pt>
                <pt idx="5">
                  <v>2026FYF</v>
                </pt>
                <pt idx="6">
                  <v>2027</v>
                </pt>
                <pt idx="7">
                  <v>2028</v>
                </pt>
                <pt idx="8">
                  <v>2029</v>
                </pt>
                <pt idx="9">
                  <v>2030</v>
                </pt>
                <pt idx="10">
                  <v>2031</v>
                </pt>
                <pt idx="11">
                  <v>2032</v>
                </pt>
                <pt idx="12">
                  <v>2033</v>
                </pt>
                <pt idx="13">
                  <v>2034</v>
                </pt>
                <pt idx="14">
                  <v>2035</v>
                </pt>
                <pt idx="15">
                  <v>2036</v>
                </pt>
                <pt idx="16">
                  <v>2037</v>
                </pt>
                <pt idx="17">
                  <v>2038</v>
                </pt>
                <pt idx="18">
                  <v>2039</v>
                </pt>
                <pt idx="19">
                  <v>2040</v>
                </pt>
                <pt idx="20">
                  <v>2041</v>
                </pt>
                <pt idx="21">
                  <v>2042</v>
                </pt>
                <pt idx="22">
                  <v>2043</v>
                </pt>
                <pt idx="23">
                  <v>2044</v>
                </pt>
                <pt idx="24">
                  <v>2045</v>
                </pt>
                <pt idx="25">
                  <v>2046</v>
                </pt>
                <pt idx="26">
                  <v>2047</v>
                </pt>
                <pt idx="27">
                  <v>2048</v>
                </pt>
                <pt idx="28">
                  <v>2049</v>
                </pt>
                <pt idx="29">
                  <v>2050</v>
                </pt>
                <pt idx="30">
                  <v>2051</v>
                </pt>
                <pt idx="31">
                  <v>2052</v>
                </pt>
              </strCache>
            </strRef>
          </cat>
          <val>
            <numRef>
              <f>Analysis!$C$3:$AH$3</f>
              <numCache>
                <formatCode>_-* #,##0_-;\-* #,##0_-;_-* "-"??_-;_-@_-</formatCode>
                <ptCount val="32"/>
                <pt idx="0">
                  <v>134.9778233607569</v>
                </pt>
                <pt idx="1">
                  <v>144.9522967110971</v>
                </pt>
                <pt idx="2">
                  <v>136.0829336106346</v>
                </pt>
                <pt idx="3">
                  <v>145.6493125556798</v>
                </pt>
                <pt idx="4">
                  <v>168.4590832135485</v>
                </pt>
                <pt idx="5">
                  <v>147.3733646758345</v>
                </pt>
                <pt idx="6">
                  <formatCode>_-* #,##0.0_-;\-* #,##0.0_-;_-* "-"??_-;_-@_-</formatCode>
                  <v>155.7326095801639</v>
                </pt>
                <pt idx="7">
                  <formatCode>_-* #,##0.0_-;\-* #,##0.0_-;_-* "-"??_-;_-@_-</formatCode>
                  <v>154.9166222161672</v>
                </pt>
                <pt idx="8">
                  <formatCode>_-* #,##0.0_-;\-* #,##0.0_-;_-* "-"??_-;_-@_-</formatCode>
                  <v>149.1024742168566</v>
                </pt>
                <pt idx="9">
                  <formatCode>_-* #,##0.0_-;\-* #,##0.0_-;_-* "-"??_-;_-@_-</formatCode>
                  <v>143.5875672814584</v>
                </pt>
                <pt idx="10">
                  <formatCode>_-* #,##0.0_-;\-* #,##0.0_-;_-* "-"??_-;_-@_-</formatCode>
                  <v>144.309069333082</v>
                </pt>
                <pt idx="11">
                  <formatCode>_-* #,##0.0_-;\-* #,##0.0_-;_-* "-"??_-;_-@_-</formatCode>
                  <v>#N/A</v>
                </pt>
                <pt idx="12">
                  <formatCode>_-* #,##0.0_-;\-* #,##0.0_-;_-* "-"??_-;_-@_-</formatCode>
                  <v>#N/A</v>
                </pt>
                <pt idx="13">
                  <formatCode>_-* #,##0.0_-;\-* #,##0.0_-;_-* "-"??_-;_-@_-</formatCode>
                  <v>#N/A</v>
                </pt>
                <pt idx="14">
                  <formatCode>_-* #,##0.0_-;\-* #,##0.0_-;_-* "-"??_-;_-@_-</formatCode>
                  <v>#N/A</v>
                </pt>
                <pt idx="15">
                  <formatCode>_-* #,##0.0_-;\-* #,##0.0_-;_-* "-"??_-;_-@_-</formatCode>
                  <v>#N/A</v>
                </pt>
                <pt idx="16">
                  <formatCode>_-* #,##0.0_-;\-* #,##0.0_-;_-* "-"??_-;_-@_-</formatCode>
                  <v>#N/A</v>
                </pt>
                <pt idx="17">
                  <formatCode>_-* #,##0.0_-;\-* #,##0.0_-;_-* "-"??_-;_-@_-</formatCode>
                  <v>#N/A</v>
                </pt>
                <pt idx="18">
                  <formatCode>_-* #,##0.0_-;\-* #,##0.0_-;_-* "-"??_-;_-@_-</formatCode>
                  <v>#N/A</v>
                </pt>
                <pt idx="19">
                  <formatCode>_-* #,##0.0_-;\-* #,##0.0_-;_-* "-"??_-;_-@_-</formatCode>
                  <v>#N/A</v>
                </pt>
                <pt idx="20">
                  <formatCode>_-* #,##0.0_-;\-* #,##0.0_-;_-* "-"??_-;_-@_-</formatCode>
                  <v>#N/A</v>
                </pt>
                <pt idx="21">
                  <formatCode>_-* #,##0.0_-;\-* #,##0.0_-;_-* "-"??_-;_-@_-</formatCode>
                  <v>#N/A</v>
                </pt>
                <pt idx="22">
                  <formatCode>_-* #,##0.0_-;\-* #,##0.0_-;_-* "-"??_-;_-@_-</formatCode>
                  <v>#N/A</v>
                </pt>
                <pt idx="23">
                  <formatCode>_-* #,##0.0_-;\-* #,##0.0_-;_-* "-"??_-;_-@_-</formatCode>
                  <v>#N/A</v>
                </pt>
                <pt idx="24">
                  <formatCode>_-* #,##0.0_-;\-* #,##0.0_-;_-* "-"??_-;_-@_-</formatCode>
                  <v>#N/A</v>
                </pt>
                <pt idx="25">
                  <formatCode>_-* #,##0.0_-;\-* #,##0.0_-;_-* "-"??_-;_-@_-</formatCode>
                  <v>#N/A</v>
                </pt>
                <pt idx="26">
                  <formatCode>_-* #,##0.0_-;\-* #,##0.0_-;_-* "-"??_-;_-@_-</formatCode>
                  <v>#N/A</v>
                </pt>
                <pt idx="27">
                  <formatCode>_-* #,##0.0_-;\-* #,##0.0_-;_-* "-"??_-;_-@_-</formatCode>
                  <v>#N/A</v>
                </pt>
                <pt idx="28">
                  <formatCode>_-* #,##0.0_-;\-* #,##0.0_-;_-* "-"??_-;_-@_-</formatCode>
                  <v>#N/A</v>
                </pt>
                <pt idx="29">
                  <formatCode>_-* #,##0.0_-;\-* #,##0.0_-;_-* "-"??_-;_-@_-</formatCode>
                  <v>#N/A</v>
                </pt>
                <pt idx="30">
                  <formatCode>_-* #,##0.0_-;\-* #,##0.0_-;_-* "-"??_-;_-@_-</formatCode>
                  <v>#N/A</v>
                </pt>
                <pt idx="31">
                  <formatCode>_-* #,##0.0_-;\-* #,##0.0_-;_-* "-"??_-;_-@_-</formatCode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Analysis!$A$4</f>
              <strCache>
                <ptCount val="1"/>
                <pt idx="0">
                  <v>Brave Blossom UG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Analysis!$C$1:$AH$1</f>
              <strCache>
                <ptCount val="32"/>
                <pt idx="0">
                  <v>2021Act</v>
                </pt>
                <pt idx="1">
                  <v>2022Act</v>
                </pt>
                <pt idx="2">
                  <v>2023Act</v>
                </pt>
                <pt idx="3">
                  <v>2024Act</v>
                </pt>
                <pt idx="4">
                  <v>2025Act</v>
                </pt>
                <pt idx="5">
                  <v>2026FYF</v>
                </pt>
                <pt idx="6">
                  <v>2027</v>
                </pt>
                <pt idx="7">
                  <v>2028</v>
                </pt>
                <pt idx="8">
                  <v>2029</v>
                </pt>
                <pt idx="9">
                  <v>2030</v>
                </pt>
                <pt idx="10">
                  <v>2031</v>
                </pt>
                <pt idx="11">
                  <v>2032</v>
                </pt>
                <pt idx="12">
                  <v>2033</v>
                </pt>
                <pt idx="13">
                  <v>2034</v>
                </pt>
                <pt idx="14">
                  <v>2035</v>
                </pt>
                <pt idx="15">
                  <v>2036</v>
                </pt>
                <pt idx="16">
                  <v>2037</v>
                </pt>
                <pt idx="17">
                  <v>2038</v>
                </pt>
                <pt idx="18">
                  <v>2039</v>
                </pt>
                <pt idx="19">
                  <v>2040</v>
                </pt>
                <pt idx="20">
                  <v>2041</v>
                </pt>
                <pt idx="21">
                  <v>2042</v>
                </pt>
                <pt idx="22">
                  <v>2043</v>
                </pt>
                <pt idx="23">
                  <v>2044</v>
                </pt>
                <pt idx="24">
                  <v>2045</v>
                </pt>
                <pt idx="25">
                  <v>2046</v>
                </pt>
                <pt idx="26">
                  <v>2047</v>
                </pt>
                <pt idx="27">
                  <v>2048</v>
                </pt>
                <pt idx="28">
                  <v>2049</v>
                </pt>
                <pt idx="29">
                  <v>2050</v>
                </pt>
                <pt idx="30">
                  <v>2051</v>
                </pt>
                <pt idx="31">
                  <v>2052</v>
                </pt>
              </strCache>
            </strRef>
          </cat>
          <val>
            <numRef>
              <f>Analysis!$C$4:$AH$4</f>
              <numCache>
                <formatCode>_-* #,##0_-;\-* #,##0_-;_-* "-"??_-;_-@_-</formatCode>
                <ptCount val="32"/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1088.387550348757</v>
                </pt>
                <pt idx="11">
                  <v>1241.88985902348</v>
                </pt>
                <pt idx="12">
                  <v>120.409776458289</v>
                </pt>
                <pt idx="13">
                  <v>120.409776458289</v>
                </pt>
                <pt idx="14">
                  <v>120.409776458289</v>
                </pt>
                <pt idx="15">
                  <v>120.409776458289</v>
                </pt>
                <pt idx="16">
                  <v>120.409776458289</v>
                </pt>
                <pt idx="17">
                  <v>120.409776458289</v>
                </pt>
                <pt idx="18">
                  <v>120.409776458289</v>
                </pt>
                <pt idx="19">
                  <v>120.409776458289</v>
                </pt>
                <pt idx="20">
                  <v>120.409776458289</v>
                </pt>
                <pt idx="21">
                  <v>120.409776458289</v>
                </pt>
                <pt idx="22">
                  <v>120.409776458289</v>
                </pt>
                <pt idx="23">
                  <v>120.409776458289</v>
                </pt>
                <pt idx="24">
                  <v>120.409776458289</v>
                </pt>
                <pt idx="25">
                  <v>120.409776458289</v>
                </pt>
                <pt idx="26">
                  <v>120.409776458289</v>
                </pt>
                <pt idx="27">
                  <v>114.5917268209144</v>
                </pt>
                <pt idx="28">
                  <v>104.6439628482972</v>
                </pt>
                <pt idx="29">
                  <v>104.6439628482972</v>
                </pt>
                <pt idx="30">
                  <v>#N/A</v>
                </pt>
                <pt idx="3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45840"/>
        <axId val="202046400"/>
      </lineChart>
      <catAx>
        <axId val="2020458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6400"/>
        <crosses val="autoZero"/>
        <auto val="1"/>
        <lblAlgn val="ctr"/>
        <lblOffset val="100"/>
        <noMultiLvlLbl val="0"/>
      </catAx>
      <valAx>
        <axId val="202046400"/>
        <scaling>
          <orientation val="minMax"/>
          <max val="32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Analysis!$B$3</f>
              <strCache>
                <ptCount val="1"/>
                <pt idx="0">
                  <v>AUD/t</v>
                </pt>
              </strCache>
            </strRef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58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Analysis!$A$10</f>
          <strCache>
            <ptCount val="1"/>
            <pt idx="0">
              <v>Net Cashflow Before Tax Combined</v>
            </pt>
          </strCache>
        </strRef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Analysis!$A$11</f>
              <strCache>
                <ptCount val="1"/>
                <pt idx="0">
                  <v xml:space="preserve"> Springbok Coal Complex + Brave Blossom UG - Project</v>
                </pt>
              </strCache>
            </strRef>
          </tx>
          <spPr>
            <a:ln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Analysis!$C$1:$AH$1</f>
              <strCache>
                <ptCount val="32"/>
                <pt idx="0">
                  <v>2021Act</v>
                </pt>
                <pt idx="1">
                  <v>2022Act</v>
                </pt>
                <pt idx="2">
                  <v>2023Act</v>
                </pt>
                <pt idx="3">
                  <v>2024Act</v>
                </pt>
                <pt idx="4">
                  <v>2025Act</v>
                </pt>
                <pt idx="5">
                  <v>2026FYF</v>
                </pt>
                <pt idx="6">
                  <v>2027</v>
                </pt>
                <pt idx="7">
                  <v>2028</v>
                </pt>
                <pt idx="8">
                  <v>2029</v>
                </pt>
                <pt idx="9">
                  <v>2030</v>
                </pt>
                <pt idx="10">
                  <v>2031</v>
                </pt>
                <pt idx="11">
                  <v>2032</v>
                </pt>
                <pt idx="12">
                  <v>2033</v>
                </pt>
                <pt idx="13">
                  <v>2034</v>
                </pt>
                <pt idx="14">
                  <v>2035</v>
                </pt>
                <pt idx="15">
                  <v>2036</v>
                </pt>
                <pt idx="16">
                  <v>2037</v>
                </pt>
                <pt idx="17">
                  <v>2038</v>
                </pt>
                <pt idx="18">
                  <v>2039</v>
                </pt>
                <pt idx="19">
                  <v>2040</v>
                </pt>
                <pt idx="20">
                  <v>2041</v>
                </pt>
                <pt idx="21">
                  <v>2042</v>
                </pt>
                <pt idx="22">
                  <v>2043</v>
                </pt>
                <pt idx="23">
                  <v>2044</v>
                </pt>
                <pt idx="24">
                  <v>2045</v>
                </pt>
                <pt idx="25">
                  <v>2046</v>
                </pt>
                <pt idx="26">
                  <v>2047</v>
                </pt>
                <pt idx="27">
                  <v>2048</v>
                </pt>
                <pt idx="28">
                  <v>2049</v>
                </pt>
                <pt idx="29">
                  <v>2050</v>
                </pt>
                <pt idx="30">
                  <v>2051</v>
                </pt>
                <pt idx="31">
                  <v>2052</v>
                </pt>
              </strCache>
            </strRef>
          </cat>
          <val>
            <numRef>
              <f>Analysis!$C$11:$AH$11</f>
              <numCache>
                <formatCode>_-* #,##0_-;\(#,##0\);_-* "-"??_-;_-@_-</formatCode>
                <ptCount val="32"/>
                <pt idx="0">
                  <v>522475.4261160406</v>
                </pt>
                <pt idx="1">
                  <v>545821.2731273945</v>
                </pt>
                <pt idx="2">
                  <v>482741.527182575</v>
                </pt>
                <pt idx="3">
                  <v>438805.483337849</v>
                </pt>
                <pt idx="4">
                  <v>351060.1945718032</v>
                </pt>
                <pt idx="5">
                  <v>461475.2281185436</v>
                </pt>
                <pt idx="6">
                  <v>226119.2953043999</v>
                </pt>
                <pt idx="7">
                  <v>287082.1673055801</v>
                </pt>
                <pt idx="8">
                  <v>379815.7728181655</v>
                </pt>
                <pt idx="9">
                  <v>374686.3511982138</v>
                </pt>
                <pt idx="10">
                  <v>248973.2951377335</v>
                </pt>
                <pt idx="11">
                  <v>-1068927.553943089</v>
                </pt>
                <pt idx="12">
                  <v>452810.3950704311</v>
                </pt>
                <pt idx="13">
                  <v>438582.1408075344</v>
                </pt>
                <pt idx="14">
                  <v>424306.1746255465</v>
                </pt>
                <pt idx="15">
                  <v>409978.8463341309</v>
                </pt>
                <pt idx="16">
                  <v>399359.0739416093</v>
                </pt>
                <pt idx="17">
                  <v>388920.4055237586</v>
                </pt>
                <pt idx="18">
                  <v>374657.060520193</v>
                </pt>
                <pt idx="19">
                  <v>364450.1167021054</v>
                </pt>
                <pt idx="20">
                  <v>354413.7058809525</v>
                </pt>
                <pt idx="21">
                  <v>344544.3795358762</v>
                </pt>
                <pt idx="22">
                  <v>334838.7295548614</v>
                </pt>
                <pt idx="23">
                  <v>325293.3896693638</v>
                </pt>
                <pt idx="24">
                  <v>320626.300108782</v>
                </pt>
                <pt idx="25">
                  <v>311511.4955457518</v>
                </pt>
                <pt idx="26">
                  <v>302547.1652932481</v>
                </pt>
                <pt idx="27">
                  <v>313115.525049059</v>
                </pt>
                <pt idx="28">
                  <v>339199.4666288422</v>
                </pt>
                <pt idx="29">
                  <v>322099.4322251501</v>
                </pt>
                <pt idx="30">
                  <v>-117686.967407819</v>
                </pt>
                <pt idx="31">
                  <v>-91684.50902789048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49760"/>
        <axId val="202050320"/>
      </lineChart>
      <catAx>
        <axId val="2020497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50320"/>
        <crosses val="autoZero"/>
        <auto val="1"/>
        <lblAlgn val="ctr"/>
        <lblOffset val="100"/>
        <noMultiLvlLbl val="0"/>
      </catAx>
      <valAx>
        <axId val="202050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Analysis!$B$7</f>
              <strCache>
                <ptCount val="1"/>
                <pt idx="0">
                  <v>AUDk</v>
                </pt>
              </strCache>
            </strRef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-* #,##0_-;\(#,##0\)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97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Discounted Cashflow After Tax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Analysis!$A$22</f>
              <strCache>
                <ptCount val="1"/>
                <pt idx="0">
                  <v>Brave Blossom UG - Project + Springbok Coal Complex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Analysis!$H$1:$AH$1</f>
              <strCache>
                <ptCount val="27"/>
                <pt idx="0">
                  <v>2026FYF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strCache>
            </strRef>
          </cat>
          <val>
            <numRef>
              <f>Analysis!$H$22:$AH$22</f>
              <numCache>
                <formatCode>_-* #,##0_-;\(#,##0\);_-* "-"??_-;_-@_-</formatCode>
                <ptCount val="27"/>
                <pt idx="1">
                  <v>83923.78779778467</v>
                </pt>
                <pt idx="2">
                  <v>254768.6387791204</v>
                </pt>
                <pt idx="3">
                  <v>478333.3445182339</v>
                </pt>
                <pt idx="4">
                  <v>686062.8868158272</v>
                </pt>
                <pt idx="5">
                  <v>811743.1309601718</v>
                </pt>
                <pt idx="6">
                  <v>111711.5759955933</v>
                </pt>
                <pt idx="7">
                  <v>295276.2134823905</v>
                </pt>
                <pt idx="8">
                  <v>460073.7164958724</v>
                </pt>
                <pt idx="9">
                  <v>607881.5482948564</v>
                </pt>
                <pt idx="10">
                  <v>740317.6323552341</v>
                </pt>
                <pt idx="11">
                  <v>860028.4064999199</v>
                </pt>
                <pt idx="12">
                  <v>968249.3211025501</v>
                </pt>
                <pt idx="13">
                  <v>1065028.684699797</v>
                </pt>
                <pt idx="14">
                  <v>1152500.177073543</v>
                </pt>
                <pt idx="15">
                  <v>1231580.835829422</v>
                </pt>
                <pt idx="16">
                  <v>1303102.113379006</v>
                </pt>
                <pt idx="17">
                  <v>1367818.675095464</v>
                </pt>
                <pt idx="18">
                  <v>1426416.670832085</v>
                </pt>
                <pt idx="19">
                  <v>1480317.537632197</v>
                </pt>
                <pt idx="20">
                  <v>1529258.340481866</v>
                </pt>
                <pt idx="21">
                  <v>1573770.142504598</v>
                </pt>
                <pt idx="22">
                  <v>1617003.649367545</v>
                </pt>
                <pt idx="23">
                  <v>1660939.307902707</v>
                </pt>
                <pt idx="24">
                  <v>1700406.074312126</v>
                </pt>
                <pt idx="25">
                  <v>1682547.517383871</v>
                </pt>
                <pt idx="26">
                  <v>1669665.312598346</v>
                </pt>
              </numCache>
            </numRef>
          </val>
          <smooth val="0"/>
        </ser>
        <ser>
          <idx val="1"/>
          <order val="1"/>
          <tx>
            <strRef>
              <f>Analysis!$A$23</f>
              <strCache>
                <ptCount val="1"/>
                <pt idx="0">
                  <v>Springbok (Base Case)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Analysis!$H$1:$AH$1</f>
              <strCache>
                <ptCount val="27"/>
                <pt idx="0">
                  <v>2026FYF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strCache>
            </strRef>
          </cat>
          <val>
            <numRef>
              <f>Analysis!$H$23:$AH$23</f>
              <numCache>
                <formatCode>_-* #,##0_-;\(#,##0\);_-* "-"??_-;_-@_-</formatCode>
                <ptCount val="27"/>
                <pt idx="1">
                  <v>83923.78779778467</v>
                </pt>
                <pt idx="2">
                  <v>254768.6387791204</v>
                </pt>
                <pt idx="3">
                  <v>478333.3445182339</v>
                </pt>
                <pt idx="4">
                  <v>686062.8868158272</v>
                </pt>
                <pt idx="5">
                  <v>865573.5755484032</v>
                </pt>
                <pt idx="6">
                  <v>279445.6949617879</v>
                </pt>
                <pt idx="7">
                  <v>279445.6949617879</v>
                </pt>
                <pt idx="8">
                  <v>279445.6949617879</v>
                </pt>
                <pt idx="9">
                  <v>279445.6949617879</v>
                </pt>
                <pt idx="10">
                  <v>279445.6949617879</v>
                </pt>
                <pt idx="11">
                  <v>279445.6949617879</v>
                </pt>
                <pt idx="12">
                  <v>279445.6949617879</v>
                </pt>
                <pt idx="13">
                  <v>279445.6949617879</v>
                </pt>
                <pt idx="14">
                  <v>279445.6949617879</v>
                </pt>
                <pt idx="15">
                  <v>279445.6949617879</v>
                </pt>
                <pt idx="16">
                  <v>279445.6949617879</v>
                </pt>
                <pt idx="17">
                  <v>279445.6949617879</v>
                </pt>
                <pt idx="18">
                  <v>279445.6949617879</v>
                </pt>
                <pt idx="19">
                  <v>279445.6949617879</v>
                </pt>
                <pt idx="20">
                  <v>279445.6949617879</v>
                </pt>
                <pt idx="21">
                  <v>279445.6949617879</v>
                </pt>
                <pt idx="22">
                  <v>279445.6949617879</v>
                </pt>
                <pt idx="23">
                  <v>279445.6949617879</v>
                </pt>
                <pt idx="24">
                  <v>279445.6949617879</v>
                </pt>
                <pt idx="25">
                  <v>279445.6949617879</v>
                </pt>
                <pt idx="26">
                  <v>279445.6949617879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49760"/>
        <axId val="202050320"/>
      </lineChart>
      <catAx>
        <axId val="2020497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50320"/>
        <crosses val="autoZero"/>
        <auto val="1"/>
        <lblAlgn val="ctr"/>
        <lblOffset val="100"/>
        <noMultiLvlLbl val="0"/>
      </catAx>
      <valAx>
        <axId val="202050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Analysis!$B$7</f>
              <strCache>
                <ptCount val="1"/>
                <pt idx="0">
                  <v>AUDk</v>
                </pt>
              </strCache>
            </strRef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97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Discounted Cashflow After Tax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Analysis!$A$22</f>
              <strCache>
                <ptCount val="1"/>
                <pt idx="0">
                  <v>Brave Blossom UG - Project + Springbok Coal Complex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Analysis!$H$1:$AH$1</f>
              <strCache>
                <ptCount val="27"/>
                <pt idx="0">
                  <v>2026FYF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strCache>
            </strRef>
          </cat>
          <val>
            <numRef>
              <f>Analysis!$H$22:$AH$22</f>
              <numCache>
                <formatCode>_-* #,##0_-;\(#,##0\);_-* "-"??_-;_-@_-</formatCode>
                <ptCount val="27"/>
                <pt idx="1">
                  <v>83923.78779778467</v>
                </pt>
                <pt idx="2">
                  <v>254768.6387791204</v>
                </pt>
                <pt idx="3">
                  <v>478333.3445182339</v>
                </pt>
                <pt idx="4">
                  <v>686062.8868158272</v>
                </pt>
                <pt idx="5">
                  <v>811743.1309601718</v>
                </pt>
                <pt idx="6">
                  <v>111711.5759955933</v>
                </pt>
                <pt idx="7">
                  <v>295276.2134823905</v>
                </pt>
                <pt idx="8">
                  <v>460073.7164958724</v>
                </pt>
                <pt idx="9">
                  <v>607881.5482948564</v>
                </pt>
                <pt idx="10">
                  <v>740317.6323552341</v>
                </pt>
                <pt idx="11">
                  <v>860028.4064999199</v>
                </pt>
                <pt idx="12">
                  <v>968249.3211025501</v>
                </pt>
                <pt idx="13">
                  <v>1065028.684699797</v>
                </pt>
                <pt idx="14">
                  <v>1152500.177073543</v>
                </pt>
                <pt idx="15">
                  <v>1231580.835829422</v>
                </pt>
                <pt idx="16">
                  <v>1303102.113379006</v>
                </pt>
                <pt idx="17">
                  <v>1367818.675095464</v>
                </pt>
                <pt idx="18">
                  <v>1426416.670832085</v>
                </pt>
                <pt idx="19">
                  <v>1480317.537632197</v>
                </pt>
                <pt idx="20">
                  <v>1529258.340481866</v>
                </pt>
                <pt idx="21">
                  <v>1573770.142504598</v>
                </pt>
                <pt idx="22">
                  <v>1617003.649367545</v>
                </pt>
                <pt idx="23">
                  <v>1660939.307902707</v>
                </pt>
                <pt idx="24">
                  <v>1700406.074312126</v>
                </pt>
                <pt idx="25">
                  <v>1682547.517383871</v>
                </pt>
                <pt idx="26">
                  <v>1669665.312598346</v>
                </pt>
              </numCache>
            </numRef>
          </val>
          <smooth val="0"/>
        </ser>
        <ser>
          <idx val="1"/>
          <order val="1"/>
          <tx>
            <strRef>
              <f>Analysis!$A$23</f>
              <strCache>
                <ptCount val="1"/>
                <pt idx="0">
                  <v>Springbok (Base Case)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Analysis!$H$1:$AH$1</f>
              <strCache>
                <ptCount val="27"/>
                <pt idx="0">
                  <v>2026FYF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strCache>
            </strRef>
          </cat>
          <val>
            <numRef>
              <f>Analysis!$H$23:$AH$23</f>
              <numCache>
                <formatCode>_-* #,##0_-;\(#,##0\);_-* "-"??_-;_-@_-</formatCode>
                <ptCount val="27"/>
                <pt idx="1">
                  <v>83923.78779778467</v>
                </pt>
                <pt idx="2">
                  <v>254768.6387791204</v>
                </pt>
                <pt idx="3">
                  <v>478333.3445182339</v>
                </pt>
                <pt idx="4">
                  <v>686062.8868158272</v>
                </pt>
                <pt idx="5">
                  <v>865573.5755484032</v>
                </pt>
                <pt idx="6">
                  <v>279445.6949617879</v>
                </pt>
                <pt idx="7">
                  <v>279445.6949617879</v>
                </pt>
                <pt idx="8">
                  <v>279445.6949617879</v>
                </pt>
                <pt idx="9">
                  <v>279445.6949617879</v>
                </pt>
                <pt idx="10">
                  <v>279445.6949617879</v>
                </pt>
                <pt idx="11">
                  <v>279445.6949617879</v>
                </pt>
                <pt idx="12">
                  <v>279445.6949617879</v>
                </pt>
                <pt idx="13">
                  <v>279445.6949617879</v>
                </pt>
                <pt idx="14">
                  <v>279445.6949617879</v>
                </pt>
                <pt idx="15">
                  <v>279445.6949617879</v>
                </pt>
                <pt idx="16">
                  <v>279445.6949617879</v>
                </pt>
                <pt idx="17">
                  <v>279445.6949617879</v>
                </pt>
                <pt idx="18">
                  <v>279445.6949617879</v>
                </pt>
                <pt idx="19">
                  <v>279445.6949617879</v>
                </pt>
                <pt idx="20">
                  <v>279445.6949617879</v>
                </pt>
                <pt idx="21">
                  <v>279445.6949617879</v>
                </pt>
                <pt idx="22">
                  <v>279445.6949617879</v>
                </pt>
                <pt idx="23">
                  <v>279445.6949617879</v>
                </pt>
                <pt idx="24">
                  <v>279445.6949617879</v>
                </pt>
                <pt idx="25">
                  <v>279445.6949617879</v>
                </pt>
                <pt idx="26">
                  <v>279445.6949617879</v>
                </pt>
              </numCache>
            </numRef>
          </val>
          <smooth val="0"/>
        </ser>
        <ser>
          <idx val="2"/>
          <order val="2"/>
          <tx>
            <strRef>
              <f>Analysis!$A$24</f>
              <strCache>
                <ptCount val="1"/>
                <pt idx="0">
                  <v>Brave Blossom UG Project Standalone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Analysis!$H$1:$AH$1</f>
              <strCache>
                <ptCount val="27"/>
                <pt idx="0">
                  <v>2026FYF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  <pt idx="21">
                  <v>2047</v>
                </pt>
                <pt idx="22">
                  <v>2048</v>
                </pt>
                <pt idx="23">
                  <v>2049</v>
                </pt>
                <pt idx="24">
                  <v>2050</v>
                </pt>
                <pt idx="25">
                  <v>2051</v>
                </pt>
                <pt idx="26">
                  <v>2052</v>
                </pt>
              </strCache>
            </strRef>
          </cat>
          <val>
            <numRef>
              <f>Analysis!$H$24:$AH$24</f>
              <numCache>
                <formatCode>_-* #,##0_-;\(#,##0\);_-* "-"??_-;_-@_-</formatCode>
                <ptCount val="27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-53830.44458823139</v>
                </pt>
                <pt idx="6">
                  <v>-167734.1189661946</v>
                </pt>
                <pt idx="7">
                  <v>15830.51852060261</v>
                </pt>
                <pt idx="8">
                  <v>180628.0215340844</v>
                </pt>
                <pt idx="9">
                  <v>328435.8533330685</v>
                </pt>
                <pt idx="10">
                  <v>460871.9373934463</v>
                </pt>
                <pt idx="11">
                  <v>580582.7115381322</v>
                </pt>
                <pt idx="12">
                  <v>688803.6261407624</v>
                </pt>
                <pt idx="13">
                  <v>785582.9897380089</v>
                </pt>
                <pt idx="14">
                  <v>873054.4821117552</v>
                </pt>
                <pt idx="15">
                  <v>952135.140867634</v>
                </pt>
                <pt idx="16">
                  <v>1023656.418417218</v>
                </pt>
                <pt idx="17">
                  <v>1088372.980133676</v>
                </pt>
                <pt idx="18">
                  <v>1146970.975870297</v>
                </pt>
                <pt idx="19">
                  <v>1200871.842670409</v>
                </pt>
                <pt idx="20">
                  <v>1249812.645520078</v>
                </pt>
                <pt idx="21">
                  <v>1294324.44754281</v>
                </pt>
                <pt idx="22">
                  <v>1337557.954405757</v>
                </pt>
                <pt idx="23">
                  <v>1381493.612940919</v>
                </pt>
                <pt idx="24">
                  <v>1420960.379350338</v>
                </pt>
                <pt idx="25">
                  <v>1403101.822422083</v>
                </pt>
                <pt idx="26">
                  <v>1390219.617636558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49760"/>
        <axId val="202050320"/>
      </lineChart>
      <catAx>
        <axId val="2020497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50320"/>
        <crosses val="autoZero"/>
        <auto val="1"/>
        <lblAlgn val="ctr"/>
        <lblOffset val="100"/>
        <noMultiLvlLbl val="0"/>
      </catAx>
      <valAx>
        <axId val="202050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Analysis!$B$7</f>
              <strCache>
                <ptCount val="1"/>
                <pt idx="0">
                  <v>AUDk</v>
                </pt>
              </strCache>
            </strRef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97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Analysis!$A$6</f>
          <strCache>
            <ptCount val="1"/>
            <pt idx="0">
              <v>Net Cashflow Before Tax</v>
            </pt>
          </strCache>
        </strRef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Analysis!$A$7</f>
              <strCache>
                <ptCount val="1"/>
                <pt idx="0">
                  <v>Springbok Coal Complex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Analysis!$C$1:$AC$1</f>
              <strCache>
                <ptCount val="27"/>
                <pt idx="0">
                  <v>2021Act</v>
                </pt>
                <pt idx="1">
                  <v>2022Act</v>
                </pt>
                <pt idx="2">
                  <v>2023Act</v>
                </pt>
                <pt idx="3">
                  <v>2024Act</v>
                </pt>
                <pt idx="4">
                  <v>2025Act</v>
                </pt>
                <pt idx="5">
                  <v>2026FYF</v>
                </pt>
                <pt idx="6">
                  <v>2027</v>
                </pt>
                <pt idx="7">
                  <v>2028</v>
                </pt>
                <pt idx="8">
                  <v>2029</v>
                </pt>
                <pt idx="9">
                  <v>2030</v>
                </pt>
                <pt idx="10">
                  <v>2031</v>
                </pt>
                <pt idx="11">
                  <v>2032</v>
                </pt>
                <pt idx="12">
                  <v>2033</v>
                </pt>
                <pt idx="13">
                  <v>2034</v>
                </pt>
                <pt idx="14">
                  <v>2035</v>
                </pt>
                <pt idx="15">
                  <v>2036</v>
                </pt>
                <pt idx="16">
                  <v>2037</v>
                </pt>
                <pt idx="17">
                  <v>2038</v>
                </pt>
                <pt idx="18">
                  <v>2039</v>
                </pt>
                <pt idx="19">
                  <v>2040</v>
                </pt>
                <pt idx="20">
                  <v>2041</v>
                </pt>
                <pt idx="21">
                  <v>2042</v>
                </pt>
                <pt idx="22">
                  <v>2043</v>
                </pt>
                <pt idx="23">
                  <v>2044</v>
                </pt>
                <pt idx="24">
                  <v>2045</v>
                </pt>
                <pt idx="25">
                  <v>2046</v>
                </pt>
                <pt idx="26">
                  <v>2047</v>
                </pt>
              </strCache>
            </strRef>
          </cat>
          <val>
            <numRef>
              <f>Analysis!$C$7:$AC$7</f>
              <numCache>
                <formatCode>_-* #,##0_-;\(#,##0\);_-* "-"??_-;_-@_-</formatCode>
                <ptCount val="27"/>
                <pt idx="0">
                  <v>522475.4261160406</v>
                </pt>
                <pt idx="1">
                  <v>545821.2731273945</v>
                </pt>
                <pt idx="2">
                  <v>482741.527182575</v>
                </pt>
                <pt idx="3">
                  <v>438805.483337849</v>
                </pt>
                <pt idx="4">
                  <v>351060.1945718032</v>
                </pt>
                <pt idx="5">
                  <v>461475.2281185436</v>
                </pt>
                <pt idx="6">
                  <v>226119.2953043999</v>
                </pt>
                <pt idx="7">
                  <v>287082.1673055801</v>
                </pt>
                <pt idx="8">
                  <v>379815.7728181655</v>
                </pt>
                <pt idx="9">
                  <v>374686.3511982138</v>
                </pt>
                <pt idx="10">
                  <v>325082.0937119247</v>
                </pt>
                <pt idx="11">
                  <v>-895000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Analysis!$A$8</f>
              <strCache>
                <ptCount val="1"/>
                <pt idx="0">
                  <v>Brave Blossom UG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Analysis!$C$1:$AC$1</f>
              <strCache>
                <ptCount val="27"/>
                <pt idx="0">
                  <v>2021Act</v>
                </pt>
                <pt idx="1">
                  <v>2022Act</v>
                </pt>
                <pt idx="2">
                  <v>2023Act</v>
                </pt>
                <pt idx="3">
                  <v>2024Act</v>
                </pt>
                <pt idx="4">
                  <v>2025Act</v>
                </pt>
                <pt idx="5">
                  <v>2026FYF</v>
                </pt>
                <pt idx="6">
                  <v>2027</v>
                </pt>
                <pt idx="7">
                  <v>2028</v>
                </pt>
                <pt idx="8">
                  <v>2029</v>
                </pt>
                <pt idx="9">
                  <v>2030</v>
                </pt>
                <pt idx="10">
                  <v>2031</v>
                </pt>
                <pt idx="11">
                  <v>2032</v>
                </pt>
                <pt idx="12">
                  <v>2033</v>
                </pt>
                <pt idx="13">
                  <v>2034</v>
                </pt>
                <pt idx="14">
                  <v>2035</v>
                </pt>
                <pt idx="15">
                  <v>2036</v>
                </pt>
                <pt idx="16">
                  <v>2037</v>
                </pt>
                <pt idx="17">
                  <v>2038</v>
                </pt>
                <pt idx="18">
                  <v>2039</v>
                </pt>
                <pt idx="19">
                  <v>2040</v>
                </pt>
                <pt idx="20">
                  <v>2041</v>
                </pt>
                <pt idx="21">
                  <v>2042</v>
                </pt>
                <pt idx="22">
                  <v>2043</v>
                </pt>
                <pt idx="23">
                  <v>2044</v>
                </pt>
                <pt idx="24">
                  <v>2045</v>
                </pt>
                <pt idx="25">
                  <v>2046</v>
                </pt>
                <pt idx="26">
                  <v>2047</v>
                </pt>
              </strCache>
            </strRef>
          </cat>
          <val>
            <numRef>
              <f>Analysis!$C$8:$AC$8</f>
              <numCache>
                <formatCode>_-* #,##0_-;\-* #,##0_-;_-* "-"??_-;_-@_-</formatCode>
                <ptCount val="27"/>
                <pt idx="6">
                  <formatCode>_-* #,##0_-;\(#,##0\);_-* "-"??_-;_-@_-</formatCode>
                  <v>#N/A</v>
                </pt>
                <pt idx="7">
                  <formatCode>_-* #,##0_-;\(#,##0\);_-* "-"??_-;_-@_-</formatCode>
                  <v>#N/A</v>
                </pt>
                <pt idx="8">
                  <formatCode>_-* #,##0_-;\(#,##0\);_-* "-"??_-;_-@_-</formatCode>
                  <v>#N/A</v>
                </pt>
                <pt idx="9">
                  <formatCode>_-* #,##0_-;\(#,##0\);_-* "-"??_-;_-@_-</formatCode>
                  <v>#N/A</v>
                </pt>
                <pt idx="10">
                  <formatCode>_-* #,##0_-;\(#,##0\);_-* "-"??_-;_-@_-</formatCode>
                  <v>-76108.79857419129</v>
                </pt>
                <pt idx="11">
                  <formatCode>_-* #,##0_-;\(#,##0\);_-* "-"??_-;_-@_-</formatCode>
                  <v>-173927.5539430892</v>
                </pt>
                <pt idx="12">
                  <formatCode>_-* #,##0_-;\(#,##0\);_-* "-"??_-;_-@_-</formatCode>
                  <v>452810.3950704311</v>
                </pt>
                <pt idx="13">
                  <formatCode>_-* #,##0_-;\(#,##0\);_-* "-"??_-;_-@_-</formatCode>
                  <v>438582.1408075344</v>
                </pt>
                <pt idx="14">
                  <formatCode>_-* #,##0_-;\(#,##0\);_-* "-"??_-;_-@_-</formatCode>
                  <v>424306.1746255465</v>
                </pt>
                <pt idx="15">
                  <formatCode>_-* #,##0_-;\(#,##0\);_-* "-"??_-;_-@_-</formatCode>
                  <v>409978.8463341309</v>
                </pt>
                <pt idx="16">
                  <formatCode>_-* #,##0_-;\(#,##0\);_-* "-"??_-;_-@_-</formatCode>
                  <v>399359.0739416093</v>
                </pt>
                <pt idx="17">
                  <formatCode>_-* #,##0_-;\(#,##0\);_-* "-"??_-;_-@_-</formatCode>
                  <v>388920.4055237586</v>
                </pt>
                <pt idx="18">
                  <formatCode>_-* #,##0_-;\(#,##0\);_-* "-"??_-;_-@_-</formatCode>
                  <v>374657.060520193</v>
                </pt>
                <pt idx="19">
                  <formatCode>_-* #,##0_-;\(#,##0\);_-* "-"??_-;_-@_-</formatCode>
                  <v>364450.1167021054</v>
                </pt>
                <pt idx="20">
                  <formatCode>_-* #,##0_-;\(#,##0\);_-* "-"??_-;_-@_-</formatCode>
                  <v>354413.7058809525</v>
                </pt>
                <pt idx="21">
                  <formatCode>_-* #,##0_-;\(#,##0\);_-* "-"??_-;_-@_-</formatCode>
                  <v>344544.3795358762</v>
                </pt>
                <pt idx="22">
                  <formatCode>_-* #,##0_-;\(#,##0\);_-* "-"??_-;_-@_-</formatCode>
                  <v>334838.7295548614</v>
                </pt>
                <pt idx="23">
                  <formatCode>_-* #,##0_-;\(#,##0\);_-* "-"??_-;_-@_-</formatCode>
                  <v>325293.3896693638</v>
                </pt>
                <pt idx="24">
                  <formatCode>_-* #,##0_-;\(#,##0\);_-* "-"??_-;_-@_-</formatCode>
                  <v>320626.300108782</v>
                </pt>
                <pt idx="25">
                  <formatCode>_-* #,##0_-;\(#,##0\);_-* "-"??_-;_-@_-</formatCode>
                  <v>311511.4955457518</v>
                </pt>
                <pt idx="26">
                  <formatCode>_-* #,##0_-;\(#,##0\);_-* "-"??_-;_-@_-</formatCode>
                  <v>302547.1652932481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49760"/>
        <axId val="202050320"/>
      </lineChart>
      <catAx>
        <axId val="2020497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50320"/>
        <crosses val="autoZero"/>
        <auto val="1"/>
        <lblAlgn val="ctr"/>
        <lblOffset val="100"/>
        <noMultiLvlLbl val="0"/>
      </catAx>
      <valAx>
        <axId val="202050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Analysis!$B$7</f>
              <strCache>
                <ptCount val="1"/>
                <pt idx="0">
                  <v>AUDk</v>
                </pt>
              </strCache>
            </strRef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-* #,##0_-;\(#,##0\)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497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Springbok Average Revenue &amp; FOB Cost AUD/t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Summary!$B$6:$C$6</f>
              <strCache>
                <ptCount val="2"/>
                <pt idx="0">
                  <v>Direct Mining Cost</v>
                </pt>
                <pt idx="1">
                  <v>AUD/t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Summary!$D$6:$M$6</f>
              <numCache>
                <formatCode>_-* #,##0.0_-;\-* #,##0.0_-;_-* "-"??_-;_-@_-</formatCode>
                <ptCount val="10"/>
                <pt idx="0">
                  <v>104.8396081629038</v>
                </pt>
                <pt idx="1">
                  <v>101.4579612336379</v>
                </pt>
                <pt idx="2">
                  <v>109.4296756115825</v>
                </pt>
                <pt idx="3">
                  <v>136.9926846008022</v>
                </pt>
                <pt idx="4">
                  <v>110.8568368144091</v>
                </pt>
                <pt idx="5">
                  <v>115.9656876169728</v>
                </pt>
                <pt idx="6">
                  <v>117.281298568529</v>
                </pt>
                <pt idx="7">
                  <v>112.7398619200766</v>
                </pt>
                <pt idx="8">
                  <v>106.3817402914394</v>
                </pt>
                <pt idx="9">
                  <v>104.8082842141327</v>
                </pt>
              </numCache>
            </numRef>
          </val>
        </ser>
        <ser>
          <idx val="1"/>
          <order val="1"/>
          <tx>
            <strRef>
              <f>Summary!$B$7:$C$7</f>
              <strCache>
                <ptCount val="2"/>
                <pt idx="0">
                  <v>CHPP Cash Cost</v>
                </pt>
                <pt idx="1">
                  <v>AUD/t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Summary!$D$7:$M$7</f>
              <numCache>
                <formatCode>_-* #,##0.0_-;\-* #,##0.0_-;_-* "-"??_-;_-@_-</formatCode>
                <ptCount val="10"/>
                <pt idx="0">
                  <v>24.80518654297987</v>
                </pt>
                <pt idx="1">
                  <v>19.6017225422778</v>
                </pt>
                <pt idx="2">
                  <v>20.12483941482084</v>
                </pt>
                <pt idx="3">
                  <v>27.84450033155849</v>
                </pt>
                <pt idx="4">
                  <v>18.75398344083051</v>
                </pt>
                <pt idx="5">
                  <v>19.92917582268591</v>
                </pt>
                <pt idx="6">
                  <v>19.4501649652583</v>
                </pt>
                <pt idx="7">
                  <v>19.16416241450364</v>
                </pt>
                <pt idx="8">
                  <v>19.35364886242251</v>
                </pt>
                <pt idx="9">
                  <v>19.86936979027201</v>
                </pt>
              </numCache>
            </numRef>
          </val>
        </ser>
        <ser>
          <idx val="2"/>
          <order val="2"/>
          <tx>
            <strRef>
              <f>Summary!$B$8:$C$8</f>
              <strCache>
                <ptCount val="2"/>
                <pt idx="0">
                  <v>Overhead &amp; Indirect Cash Cost</v>
                </pt>
                <pt idx="1">
                  <v>AUD/t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Summary!$D$8:$M$8</f>
              <numCache>
                <formatCode>_-* #,##0.0_-;\-* #,##0.0_-;_-* "-"??_-;_-@_-</formatCode>
                <ptCount val="10"/>
                <pt idx="0">
                  <v>19.84555868698416</v>
                </pt>
                <pt idx="1">
                  <v>18.75779811727913</v>
                </pt>
                <pt idx="2">
                  <v>17.17111524902589</v>
                </pt>
                <pt idx="3">
                  <v>20.93695421212356</v>
                </pt>
                <pt idx="4">
                  <v>17.78253047888799</v>
                </pt>
                <pt idx="5">
                  <v>19.83774614050522</v>
                </pt>
                <pt idx="6">
                  <v>18.18515868237993</v>
                </pt>
                <pt idx="7">
                  <v>17.19844988227636</v>
                </pt>
                <pt idx="8">
                  <v>17.85217812759649</v>
                </pt>
                <pt idx="9">
                  <v>19.63141532867724</v>
                </pt>
              </numCache>
            </numRef>
          </val>
        </ser>
        <ser>
          <idx val="3"/>
          <order val="3"/>
          <tx>
            <strRef>
              <f>Summary!$B$9:$C$9</f>
              <strCache>
                <ptCount val="2"/>
                <pt idx="0">
                  <v>Distribution (excluding Royalty)</v>
                </pt>
                <pt idx="1">
                  <v>AUD/t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Summary!$D$9:$M$9</f>
              <numCache>
                <formatCode>_-* #,##0.0_-;\-* #,##0.0_-;_-* "-"??_-;_-@_-</formatCode>
                <ptCount val="10"/>
                <pt idx="0">
                  <v>109.1955352844922</v>
                </pt>
                <pt idx="1">
                  <v>128.4374337209447</v>
                </pt>
                <pt idx="2">
                  <v>96.73644396952908</v>
                </pt>
                <pt idx="3">
                  <v>72.17475615365059</v>
                </pt>
                <pt idx="4">
                  <v>83.85924983940207</v>
                </pt>
                <pt idx="5">
                  <v>34</v>
                </pt>
                <pt idx="6">
                  <v>34</v>
                </pt>
                <pt idx="7">
                  <v>24</v>
                </pt>
                <pt idx="8">
                  <v>24</v>
                </pt>
                <pt idx="9">
                  <v>24</v>
                </pt>
              </numCache>
            </numRef>
          </val>
        </ser>
        <ser>
          <idx val="4"/>
          <order val="4"/>
          <tx>
            <strRef>
              <f>Summary!$B$10:$C$10</f>
              <strCache>
                <ptCount val="2"/>
                <pt idx="0">
                  <v>Other Costs (Carbon)</v>
                </pt>
                <pt idx="1">
                  <v>AUD/t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Summary!$D$10:$M$10</f>
              <numCache>
                <formatCode>_-* #,##0.0_-;\-* #,##0.0_-;_-* "-"??_-;_-@_-</formatCode>
                <ptCount val="10"/>
                <pt idx="0">
                  <v>0</v>
                </pt>
                <pt idx="1">
                  <v>0</v>
                </pt>
                <pt idx="2">
                  <v>2.285657363945307</v>
                </pt>
                <pt idx="3">
                  <v>2.422751413009048</v>
                </pt>
                <pt idx="4">
                  <v>6.240171946990003</v>
                </pt>
                <pt idx="5">
                  <v>2.806386568737285</v>
                </pt>
                <pt idx="6">
                  <v>3.768962725874857</v>
                </pt>
                <pt idx="7">
                  <v>4.829507216379793</v>
                </pt>
                <pt idx="8">
                  <v>6.26698006784851</v>
                </pt>
                <pt idx="9">
                  <v>8.114931374266538</v>
                </pt>
              </numCache>
            </numRef>
          </val>
        </ser>
        <ser>
          <idx val="5"/>
          <order val="5"/>
          <tx>
            <strRef>
              <f>Summary!$B$11:$C$11</f>
              <strCache>
                <ptCount val="2"/>
                <pt idx="0">
                  <v>Royalty - Government Export</v>
                </pt>
                <pt idx="1">
                  <v>AUD/t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Summary!$D$11:$M$11</f>
              <numCache>
                <formatCode>_-* #,##0.0_-;\-* #,##0.0_-;_-* "-"??_-;_-@_-</formatCode>
                <ptCount val="10"/>
                <pt idx="0">
                  <v>51.82653657246214</v>
                </pt>
                <pt idx="1">
                  <v>98.14424847639822</v>
                </pt>
                <pt idx="2">
                  <v>91.18152030162277</v>
                </pt>
                <pt idx="3">
                  <v>84.98363740543984</v>
                </pt>
                <pt idx="4">
                  <v>96.56710079800446</v>
                </pt>
                <pt idx="5">
                  <v>61.9218097826087</v>
                </pt>
                <pt idx="6">
                  <v>63.74170423752351</v>
                </pt>
                <pt idx="7">
                  <v>67.49404917563871</v>
                </pt>
                <pt idx="8">
                  <v>69.23321845275139</v>
                </pt>
                <pt idx="9">
                  <v>70.93310525927917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74623199"/>
        <axId val="474628959"/>
      </barChart>
      <lineChart>
        <grouping val="standard"/>
        <varyColors val="0"/>
        <ser>
          <idx val="6"/>
          <order val="6"/>
          <tx>
            <strRef>
              <f>Summary!$B$4</f>
              <strCache>
                <ptCount val="1"/>
                <pt idx="0">
                  <v>Average Realisation A$ (Ex-Mine)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Summary!$D$2:$M$2</f>
              <strCache>
                <ptCount val="10"/>
                <pt idx="0">
                  <v>2022 A</v>
                </pt>
                <pt idx="1">
                  <v>2023 A</v>
                </pt>
                <pt idx="2">
                  <v>2024 A</v>
                </pt>
                <pt idx="3">
                  <v>2025 A</v>
                </pt>
                <pt idx="4">
                  <v>2026 FYF</v>
                </pt>
                <pt idx="5">
                  <v>2027</v>
                </pt>
                <pt idx="6">
                  <v>2028</v>
                </pt>
                <pt idx="7">
                  <v>2029</v>
                </pt>
                <pt idx="8">
                  <v>2030</v>
                </pt>
                <pt idx="9">
                  <v>2031</v>
                </pt>
              </strCache>
            </strRef>
          </cat>
          <val>
            <numRef>
              <f>Summary!$D$4:$M$4</f>
              <numCache>
                <formatCode>_(* #,##0_);_(* \(#,##0\);_(* "-"??_);_(@_)</formatCode>
                <ptCount val="10"/>
                <pt idx="0">
                  <v>502.9849177559596</v>
                </pt>
                <pt idx="1">
                  <v>505.243744215386</v>
                </pt>
                <pt idx="2">
                  <v>464.211751312033</v>
                </pt>
                <pt idx="3">
                  <v>431.3963473999005</v>
                </pt>
                <pt idx="4">
                  <v>470.0855030238336</v>
                </pt>
                <pt idx="5">
                  <formatCode>_-* #,##0_-;\-* #,##0_-;_-* "-"??_-;_-@_-</formatCode>
                  <v>347.8260869565217</v>
                </pt>
                <pt idx="6">
                  <formatCode>_-* #,##0_-;\-* #,##0_-;_-* "-"??_-;_-@_-</formatCode>
                  <v>347.8260869565217</v>
                </pt>
                <pt idx="7">
                  <formatCode>_-* #,##0_-;\-* #,##0_-;_-* "-"??_-;_-@_-</formatCode>
                  <v>347.8260869565217</v>
                </pt>
                <pt idx="8">
                  <formatCode>_-* #,##0_-;\-* #,##0_-;_-* "-"??_-;_-@_-</formatCode>
                  <v>347.8260869565218</v>
                </pt>
                <pt idx="9">
                  <formatCode>_-* #,##0_-;\-* #,##0_-;_-* "-"??_-;_-@_-</formatCode>
                  <v>347.8260869565217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74623199"/>
        <axId val="474628959"/>
      </lineChart>
      <catAx>
        <axId val="4746231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74628959"/>
        <crosses val="autoZero"/>
        <auto val="1"/>
        <lblAlgn val="ctr"/>
        <lblOffset val="100"/>
        <noMultiLvlLbl val="0"/>
      </catAx>
      <valAx>
        <axId val="4746289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.0_-;\-* #,##0.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746231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Brave Blossom Average Revenue &amp; FOB Cost AUD/t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Summary!$B$49:$C$49</f>
              <strCache>
                <ptCount val="2"/>
                <pt idx="0">
                  <v>Direct Mining Cost</v>
                </pt>
                <pt idx="1">
                  <v>AUD/t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Summary!$D$49:$W$49</f>
              <numCache>
                <formatCode>_-* #,##0.0_-;\-* #,##0.0_-;_-* "-"??_-;_-@_-</formatCode>
                <ptCount val="20"/>
                <pt idx="0">
                  <v>822.9921898025345</v>
                </pt>
                <pt idx="1">
                  <v>675.6299734748011</v>
                </pt>
                <pt idx="2">
                  <v>89.95381130800537</v>
                </pt>
                <pt idx="3">
                  <v>89.95381130800537</v>
                </pt>
                <pt idx="4">
                  <v>89.95381130800537</v>
                </pt>
                <pt idx="5">
                  <v>89.95381130800537</v>
                </pt>
                <pt idx="6">
                  <v>89.95381130800537</v>
                </pt>
                <pt idx="7">
                  <v>89.95381130800537</v>
                </pt>
                <pt idx="8">
                  <v>89.95381130800537</v>
                </pt>
                <pt idx="9">
                  <v>89.95381130800537</v>
                </pt>
                <pt idx="10">
                  <v>89.95381130800537</v>
                </pt>
                <pt idx="11">
                  <v>89.95381130800537</v>
                </pt>
                <pt idx="12">
                  <v>89.95381130800537</v>
                </pt>
                <pt idx="13">
                  <v>89.95381130800537</v>
                </pt>
                <pt idx="14">
                  <v>89.95381130800537</v>
                </pt>
                <pt idx="15">
                  <v>89.95381130800537</v>
                </pt>
                <pt idx="16">
                  <v>89.95381130800537</v>
                </pt>
                <pt idx="17">
                  <v>83.77580411866535</v>
                </pt>
                <pt idx="18">
                  <v>77.3219814241486</v>
                </pt>
                <pt idx="19">
                  <v>77.3219814241486</v>
                </pt>
              </numCache>
            </numRef>
          </val>
        </ser>
        <ser>
          <idx val="1"/>
          <order val="1"/>
          <tx>
            <strRef>
              <f>Summary!$B$50:$C$50</f>
              <strCache>
                <ptCount val="2"/>
                <pt idx="0">
                  <v>CHPP Cash Cost</v>
                </pt>
                <pt idx="1">
                  <v>AUD/t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Summary!$D$50:$W$50</f>
              <numCache>
                <formatCode>_-* #,##0.0_-;\-* #,##0.0_-;_-* "-"??_-;_-@_-</formatCode>
                <ptCount val="20"/>
                <pt idx="0">
                  <v>265.3953605462226</v>
                </pt>
                <pt idx="1">
                  <v>142.5935136064446</v>
                </pt>
                <pt idx="2">
                  <v>17.67516731731424</v>
                </pt>
                <pt idx="3">
                  <v>17.67516731731424</v>
                </pt>
                <pt idx="4">
                  <v>17.67516731731424</v>
                </pt>
                <pt idx="5">
                  <v>17.67516731731424</v>
                </pt>
                <pt idx="6">
                  <v>17.67516731731424</v>
                </pt>
                <pt idx="7">
                  <v>17.67516731731424</v>
                </pt>
                <pt idx="8">
                  <v>17.67516731731424</v>
                </pt>
                <pt idx="9">
                  <v>17.67516731731424</v>
                </pt>
                <pt idx="10">
                  <v>17.67516731731424</v>
                </pt>
                <pt idx="11">
                  <v>17.67516731731424</v>
                </pt>
                <pt idx="12">
                  <v>17.67516731731424</v>
                </pt>
                <pt idx="13">
                  <v>17.67516731731424</v>
                </pt>
                <pt idx="14">
                  <v>17.67516731731424</v>
                </pt>
                <pt idx="15">
                  <v>17.67516731731424</v>
                </pt>
                <pt idx="16">
                  <v>17.67516731731424</v>
                </pt>
                <pt idx="17">
                  <v>17.75605665483456</v>
                </pt>
                <pt idx="18">
                  <v>13.97058823529412</v>
                </pt>
                <pt idx="19">
                  <v>13.97058823529412</v>
                </pt>
              </numCache>
            </numRef>
          </val>
        </ser>
        <ser>
          <idx val="2"/>
          <order val="2"/>
          <tx>
            <strRef>
              <f>Summary!$B$51:$C$51</f>
              <strCache>
                <ptCount val="2"/>
                <pt idx="0">
                  <v>Overhead &amp; Indirect Cash Cost</v>
                </pt>
                <pt idx="1">
                  <v>AUD/t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Summary!$D$51:$W$51</f>
              <numCache>
                <formatCode>_-* #,##0.0_-;\-* #,##0.0_-;_-* "-"??_-;_-@_-</formatCode>
                <ptCount val="20"/>
                <pt idx="0">
                  <v>0</v>
                </pt>
                <pt idx="1">
                  <v>423.666371942234</v>
                </pt>
                <pt idx="2">
                  <v>12.78079783296942</v>
                </pt>
                <pt idx="3">
                  <v>12.78079783296942</v>
                </pt>
                <pt idx="4">
                  <v>12.78079783296942</v>
                </pt>
                <pt idx="5">
                  <v>12.78079783296942</v>
                </pt>
                <pt idx="6">
                  <v>12.78079783296942</v>
                </pt>
                <pt idx="7">
                  <v>12.78079783296942</v>
                </pt>
                <pt idx="8">
                  <v>12.78079783296942</v>
                </pt>
                <pt idx="9">
                  <v>12.78079783296942</v>
                </pt>
                <pt idx="10">
                  <v>12.78079783296942</v>
                </pt>
                <pt idx="11">
                  <v>12.78079783296942</v>
                </pt>
                <pt idx="12">
                  <v>12.78079783296942</v>
                </pt>
                <pt idx="13">
                  <v>12.78079783296942</v>
                </pt>
                <pt idx="14">
                  <v>12.78079783296942</v>
                </pt>
                <pt idx="15">
                  <v>12.78079783296942</v>
                </pt>
                <pt idx="16">
                  <v>12.78079783296942</v>
                </pt>
                <pt idx="17">
                  <v>13.05986604741451</v>
                </pt>
                <pt idx="18">
                  <v>13.35139318885449</v>
                </pt>
                <pt idx="19">
                  <v>13.35139318885449</v>
                </pt>
              </numCache>
            </numRef>
          </val>
        </ser>
        <ser>
          <idx val="3"/>
          <order val="3"/>
          <tx>
            <strRef>
              <f>Summary!$B$52:$C$52</f>
              <strCache>
                <ptCount val="2"/>
                <pt idx="0">
                  <v>Distribution (excluding Royalty)</v>
                </pt>
                <pt idx="1">
                  <v>AUD/t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Summary!$D$52:$W$52</f>
              <numCache>
                <formatCode>_-* #,##0.0_-;\-* #,##0.0_-;_-* "-"??_-;_-@_-</formatCode>
                <ptCount val="20"/>
                <pt idx="0">
                  <v>22</v>
                </pt>
                <pt idx="1">
                  <v>22</v>
                </pt>
                <pt idx="2">
                  <v>22</v>
                </pt>
                <pt idx="3">
                  <v>22</v>
                </pt>
                <pt idx="4">
                  <v>22</v>
                </pt>
                <pt idx="5">
                  <v>22</v>
                </pt>
                <pt idx="6">
                  <v>22</v>
                </pt>
                <pt idx="7">
                  <v>22</v>
                </pt>
                <pt idx="8">
                  <v>22</v>
                </pt>
                <pt idx="9">
                  <v>22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22</v>
                </pt>
                <pt idx="15">
                  <v>22</v>
                </pt>
                <pt idx="16">
                  <v>22</v>
                </pt>
                <pt idx="17">
                  <v>22</v>
                </pt>
                <pt idx="18">
                  <v>22</v>
                </pt>
                <pt idx="19">
                  <v>22</v>
                </pt>
              </numCache>
            </numRef>
          </val>
        </ser>
        <ser>
          <idx val="4"/>
          <order val="4"/>
          <tx>
            <strRef>
              <f>Summary!$B$10:$C$10</f>
              <strCache>
                <ptCount val="2"/>
                <pt idx="0">
                  <v>Other Costs (Carbon)</v>
                </pt>
                <pt idx="1">
                  <v>AUD/t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Summary!$D$10:$W$10</f>
              <numCache>
                <formatCode>_-* #,##0.0_-;\-* #,##0.0_-;_-* "-"??_-;_-@_-</formatCode>
                <ptCount val="20"/>
                <pt idx="0">
                  <v>0</v>
                </pt>
                <pt idx="1">
                  <v>0</v>
                </pt>
                <pt idx="2">
                  <v>2.285657363945307</v>
                </pt>
                <pt idx="3">
                  <v>2.422751413009048</v>
                </pt>
                <pt idx="4">
                  <v>6.240171946990003</v>
                </pt>
                <pt idx="5">
                  <v>2.806386568737285</v>
                </pt>
                <pt idx="6">
                  <v>3.768962725874857</v>
                </pt>
                <pt idx="7">
                  <v>4.829507216379793</v>
                </pt>
                <pt idx="8">
                  <v>6.26698006784851</v>
                </pt>
                <pt idx="9">
                  <v>8.114931374266538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5"/>
          <order val="5"/>
          <tx>
            <strRef>
              <f>Summary!$B$54:$C$54</f>
              <strCache>
                <ptCount val="2"/>
                <pt idx="0">
                  <v>Royalty - Government Export</v>
                </pt>
                <pt idx="1">
                  <v>AUD/t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Summary!$D$54:$W$54</f>
              <numCache>
                <formatCode>_-* #,##0.0_-;\-* #,##0.0_-;_-* "-"??_-;_-@_-</formatCode>
                <ptCount val="20"/>
                <pt idx="0">
                  <v>55.12240683882935</v>
                </pt>
                <pt idx="1">
                  <v>56.75675814641789</v>
                </pt>
                <pt idx="2">
                  <v>58.35418587033038</v>
                </pt>
                <pt idx="3">
                  <v>59.91537470792571</v>
                </pt>
                <pt idx="4">
                  <v>61.44100536556889</v>
                </pt>
                <pt idx="5">
                  <v>62.93175396419827</v>
                </pt>
                <pt idx="6">
                  <v>64.38829149578521</v>
                </pt>
                <pt idx="7">
                  <v>65.81128332756032</v>
                </pt>
                <pt idx="8">
                  <v>67.20138875105424</v>
                </pt>
                <pt idx="9">
                  <v>68.55926057316401</v>
                </pt>
                <pt idx="10">
                  <v>69.88554474661183</v>
                </pt>
                <pt idx="11">
                  <v>71.18088003730944</v>
                </pt>
                <pt idx="12">
                  <v>72.44589772628093</v>
                </pt>
                <pt idx="13">
                  <v>73.6812213439279</v>
                </pt>
                <pt idx="14">
                  <v>74.88746643454618</v>
                </pt>
                <pt idx="15">
                  <v>76.06524034912074</v>
                </pt>
                <pt idx="16">
                  <v>77.21514206453743</v>
                </pt>
                <pt idx="17">
                  <v>78.33776202745617</v>
                </pt>
                <pt idx="18">
                  <v>79.43368202118913</v>
                </pt>
                <pt idx="19">
                  <v>80.50347505402431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74623199"/>
        <axId val="474628959"/>
      </barChart>
      <lineChart>
        <grouping val="standard"/>
        <varyColors val="0"/>
        <ser>
          <idx val="6"/>
          <order val="6"/>
          <tx>
            <strRef>
              <f>Summary!$B$47</f>
              <strCache>
                <ptCount val="1"/>
                <pt idx="0">
                  <v>Average Realisation A$ (Ex-Mine)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Summary!$D$45:$W$45</f>
              <numCache>
                <formatCode>General</formatCode>
                <ptCount val="20"/>
                <pt idx="0">
                  <v>2031</v>
                </pt>
                <pt idx="1">
                  <v>2032</v>
                </pt>
                <pt idx="2">
                  <v>2033</v>
                </pt>
                <pt idx="3">
                  <v>2034</v>
                </pt>
                <pt idx="4">
                  <v>2035</v>
                </pt>
                <pt idx="5">
                  <v>2036</v>
                </pt>
                <pt idx="6">
                  <v>2037</v>
                </pt>
                <pt idx="7">
                  <v>2038</v>
                </pt>
                <pt idx="8">
                  <v>2039</v>
                </pt>
                <pt idx="9">
                  <v>2040</v>
                </pt>
                <pt idx="10">
                  <v>2041</v>
                </pt>
                <pt idx="11">
                  <v>2042</v>
                </pt>
                <pt idx="12">
                  <v>2043</v>
                </pt>
                <pt idx="13">
                  <v>2044</v>
                </pt>
                <pt idx="14">
                  <v>2045</v>
                </pt>
                <pt idx="15">
                  <v>2046</v>
                </pt>
                <pt idx="16">
                  <v>2047</v>
                </pt>
                <pt idx="17">
                  <v>2048</v>
                </pt>
                <pt idx="18">
                  <v>2049</v>
                </pt>
                <pt idx="19">
                  <v>2050</v>
                </pt>
              </numCache>
            </numRef>
          </cat>
          <val>
            <numRef>
              <f>Summary!$D$47:$W$47</f>
              <numCache>
                <formatCode>_-* #,##0_-;\-* #,##0_-;_-* "-"??_-;_-@_-</formatCode>
                <ptCount val="20"/>
                <pt idx="0">
                  <v>306.0869565217391</v>
                </pt>
                <pt idx="1">
                  <v>306.0869565217391</v>
                </pt>
                <pt idx="2">
                  <v>306.0869565217391</v>
                </pt>
                <pt idx="3">
                  <v>306.0869565217391</v>
                </pt>
                <pt idx="4">
                  <v>306.0869565217391</v>
                </pt>
                <pt idx="5">
                  <v>306.0869565217391</v>
                </pt>
                <pt idx="6">
                  <v>306.0869565217391</v>
                </pt>
                <pt idx="7">
                  <v>306.0869565217391</v>
                </pt>
                <pt idx="8">
                  <v>306.0869565217391</v>
                </pt>
                <pt idx="9">
                  <v>306.0869565217391</v>
                </pt>
                <pt idx="10">
                  <v>306.0869565217391</v>
                </pt>
                <pt idx="11">
                  <v>306.0869565217391</v>
                </pt>
                <pt idx="12">
                  <v>306.0869565217391</v>
                </pt>
                <pt idx="13">
                  <v>306.0869565217391</v>
                </pt>
                <pt idx="14">
                  <v>306.0869565217391</v>
                </pt>
                <pt idx="15">
                  <v>306.0869565217391</v>
                </pt>
                <pt idx="16">
                  <v>306.0869565217391</v>
                </pt>
                <pt idx="17">
                  <v>306.0869565217392</v>
                </pt>
                <pt idx="18">
                  <v>306.0869565217391</v>
                </pt>
                <pt idx="19">
                  <v>306.0869565217391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74623199"/>
        <axId val="474628959"/>
      </lineChart>
      <catAx>
        <axId val="4746231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74628959"/>
        <crosses val="autoZero"/>
        <auto val="1"/>
        <lblAlgn val="ctr"/>
        <lblOffset val="100"/>
        <noMultiLvlLbl val="0"/>
      </catAx>
      <valAx>
        <axId val="474628959"/>
        <scaling>
          <orientation val="minMax"/>
          <max val="35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.0_-;\-* #,##0.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746231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C22" authorId="0" shapeId="0">
      <text>
        <t>Author:
ROM intensity factor + 20,000t fossil fuel emissions</t>
      </text>
    </comment>
    <comment ref="C25" authorId="0" shapeId="0">
      <text>
        <t>Author:
ROM Production Variable</t>
      </text>
    </comment>
    <comment ref="A107" authorId="0" shapeId="0">
      <text>
        <t>Author:
Revenue outside of coal sales (salvage, scrap, asset sales etc.)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H17" authorId="0" shapeId="0">
      <text>
        <t>Author:
Development Coal</t>
      </text>
    </comment>
    <comment ref="C22" authorId="0" shapeId="0">
      <text>
        <t xml:space="preserve">Author:
ROM intensity factor + 20,000t fossil fuel emissions
</t>
      </text>
    </comment>
    <comment ref="A107" authorId="0" shapeId="0">
      <text>
        <t>Author:
Revenue outside of coal sales (salvage, scrap, asset sales etc.)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C27" authorId="0" shapeId="0">
      <text>
        <t>Author:
ROM intensity factor + 20,000t fossil fuel emissions</t>
      </text>
    </comment>
    <comment ref="C28" authorId="0" shapeId="0">
      <text>
        <t>Author:
ROM Production Variable</t>
      </text>
    </comment>
    <comment ref="A108" authorId="0" shapeId="0">
      <text>
        <t>Author:
Revenue outside of coal sales (salvage, scrap, asset sales etc.)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B5" authorId="0" shapeId="0">
      <text>
        <t xml:space="preserve">Author:
Please drop down to select your decom mines profile to match the proposal you are taking forward:
Option 1: Utilising a Springbok only valuation
Option 2: Implementing a Springbok &amp; Brave Blossom Complex Valuation
Option 3: Minimising the "Last 12 Months emissions at Springbok" 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37</col>
      <colOff>114300</colOff>
      <row>2</row>
      <rowOff>142875</rowOff>
    </from>
    <to>
      <col>47</col>
      <colOff>466725</colOff>
      <row>22</row>
      <rowOff>104775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33</col>
      <colOff>588510</colOff>
      <row>44</row>
      <rowOff>74092</rowOff>
    </from>
    <to>
      <col>50</col>
      <colOff>565295</colOff>
      <row>64</row>
      <rowOff>97413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126707</colOff>
      <row>24</row>
      <rowOff>124945</rowOff>
    </from>
    <to>
      <col>20</col>
      <colOff>427985</colOff>
      <row>44</row>
      <rowOff>91608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190500</colOff>
      <row>45</row>
      <rowOff>31377</rowOff>
    </from>
    <to>
      <col>20</col>
      <colOff>458800</colOff>
      <row>62</row>
      <rowOff>180920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20</col>
      <colOff>495301</colOff>
      <row>45</row>
      <rowOff>19050</rowOff>
    </from>
    <to>
      <col>33</col>
      <colOff>361951</colOff>
      <row>62</row>
      <rowOff>176213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20</col>
      <colOff>642936</colOff>
      <row>24</row>
      <rowOff>95250</rowOff>
    </from>
    <to>
      <col>33</col>
      <colOff>809624</colOff>
      <row>44</row>
      <rowOff>61913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28574</colOff>
      <row>16</row>
      <rowOff>104775</rowOff>
    </from>
    <to>
      <col>17</col>
      <colOff>624840</colOff>
      <row>41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561975</colOff>
      <row>59</row>
      <rowOff>95250</rowOff>
    </from>
    <to>
      <col>17</col>
      <colOff>548641</colOff>
      <row>84</row>
      <rowOff>123825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772084</colOff>
      <row>27</row>
      <rowOff>241052</rowOff>
    </from>
    <to>
      <col>24</col>
      <colOff>272719</colOff>
      <row>63</row>
      <rowOff>137709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184409" y="4794002"/>
          <a:ext cx="5729985" cy="64784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745936</colOff>
      <row>27</row>
      <rowOff>222001</rowOff>
    </from>
    <to>
      <col>30</col>
      <colOff>337886</colOff>
      <row>62</row>
      <rowOff>148502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9387611" y="4774951"/>
          <a:ext cx="5707000" cy="634635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30</col>
      <colOff>611777</colOff>
      <row>27</row>
      <rowOff>33372</rowOff>
    </from>
    <to>
      <col>36</col>
      <colOff>592564</colOff>
      <row>44</row>
      <rowOff>7559</rowOff>
    </to>
    <pic>
      <nvPicPr>
        <cNvPr id="4" name="Picture 3"/>
        <cNvPicPr>
          <a:picLocks noChangeAspect="1"/>
        </cNvPicPr>
      </nvPicPr>
      <blipFill rotWithShape="1">
        <a:blip r:embed="rId3"/>
        <a:srcRect b="23330"/>
        <a:stretch>
          <a:fillRect/>
        </a:stretch>
      </blipFill>
      <spPr>
        <a:xfrm>
          <a:off x="35368502" y="4586322"/>
          <a:ext cx="6038687" cy="347938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30</col>
      <colOff>571565</colOff>
      <row>48</row>
      <rowOff>130985</rowOff>
    </from>
    <to>
      <col>35</col>
      <colOff>274983</colOff>
      <row>60</row>
      <rowOff>44414</rowOff>
    </to>
    <pic>
      <nvPicPr>
        <cNvPr id="5" name="Picture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35328290" y="8836835"/>
          <a:ext cx="4751668" cy="18565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 fitToPage="1"/>
  </sheetPr>
  <dimension ref="A1:BV58"/>
  <sheetViews>
    <sheetView zoomScale="70" zoomScaleNormal="70" workbookViewId="0">
      <pane xSplit="3" ySplit="1" topLeftCell="D10" activePane="bottomRight" state="frozen"/>
      <selection pane="topRight" activeCell="D1" sqref="D1"/>
      <selection pane="bottomLeft" activeCell="A2" sqref="A2"/>
      <selection pane="bottomRight" activeCell="C20" sqref="C20"/>
    </sheetView>
  </sheetViews>
  <sheetFormatPr baseColWidth="10" defaultColWidth="8.83203125" defaultRowHeight="15"/>
  <cols>
    <col width="45.83203125" bestFit="1" customWidth="1" min="1" max="1"/>
    <col width="13.5" customWidth="1" min="2" max="2"/>
    <col width="23.33203125" bestFit="1" customWidth="1" min="3" max="3"/>
    <col width="9.83203125" customWidth="1" min="4" max="74"/>
  </cols>
  <sheetData>
    <row r="1">
      <c r="A1" s="15" t="inlineStr">
        <is>
          <t>Corporate Assumptions</t>
        </is>
      </c>
      <c r="B1" s="18" t="n"/>
      <c r="C1" s="19" t="n"/>
      <c r="D1" s="19">
        <f>E1-1</f>
        <v/>
      </c>
      <c r="E1" s="19">
        <f>F1-1</f>
        <v/>
      </c>
      <c r="F1" s="19">
        <f>G1-1</f>
        <v/>
      </c>
      <c r="G1" s="19">
        <f>H1-1</f>
        <v/>
      </c>
      <c r="H1" s="19">
        <f>I1-1</f>
        <v/>
      </c>
      <c r="I1" s="19" t="n">
        <v>2026</v>
      </c>
      <c r="J1" s="19">
        <f>I1+1</f>
        <v/>
      </c>
      <c r="K1" s="19">
        <f>J1+1</f>
        <v/>
      </c>
      <c r="L1" s="19">
        <f>K1+1</f>
        <v/>
      </c>
      <c r="M1" s="19">
        <f>L1+1</f>
        <v/>
      </c>
      <c r="N1" s="19">
        <f>M1+1</f>
        <v/>
      </c>
      <c r="O1" s="19">
        <f>N1+1</f>
        <v/>
      </c>
      <c r="P1" s="19">
        <f>O1+1</f>
        <v/>
      </c>
      <c r="Q1" s="19">
        <f>P1+1</f>
        <v/>
      </c>
      <c r="R1" s="19">
        <f>Q1+1</f>
        <v/>
      </c>
      <c r="S1" s="19">
        <f>R1+1</f>
        <v/>
      </c>
      <c r="T1" s="19">
        <f>S1+1</f>
        <v/>
      </c>
      <c r="U1" s="19">
        <f>T1+1</f>
        <v/>
      </c>
      <c r="V1" s="19">
        <f>U1+1</f>
        <v/>
      </c>
      <c r="W1" s="19">
        <f>V1+1</f>
        <v/>
      </c>
      <c r="X1" s="19">
        <f>W1+1</f>
        <v/>
      </c>
      <c r="Y1" s="19">
        <f>X1+1</f>
        <v/>
      </c>
      <c r="Z1" s="19">
        <f>Y1+1</f>
        <v/>
      </c>
      <c r="AA1" s="19">
        <f>Z1+1</f>
        <v/>
      </c>
      <c r="AB1" s="19">
        <f>AA1+1</f>
        <v/>
      </c>
      <c r="AC1" s="19">
        <f>AB1+1</f>
        <v/>
      </c>
      <c r="AD1" s="19">
        <f>AC1+1</f>
        <v/>
      </c>
      <c r="AE1" s="19">
        <f>AD1+1</f>
        <v/>
      </c>
      <c r="AF1" s="19">
        <f>AE1+1</f>
        <v/>
      </c>
      <c r="AG1" s="19">
        <f>AF1+1</f>
        <v/>
      </c>
      <c r="AH1" s="19">
        <f>AG1+1</f>
        <v/>
      </c>
      <c r="AI1" s="19">
        <f>AH1+1</f>
        <v/>
      </c>
      <c r="AJ1" s="19">
        <f>AI1+1</f>
        <v/>
      </c>
      <c r="AK1" s="19">
        <f>AJ1+1</f>
        <v/>
      </c>
      <c r="AL1" s="19">
        <f>AK1+1</f>
        <v/>
      </c>
      <c r="AM1" s="19">
        <f>AL1+1</f>
        <v/>
      </c>
      <c r="AN1" s="19">
        <f>AM1+1</f>
        <v/>
      </c>
      <c r="AO1" s="19">
        <f>AN1+1</f>
        <v/>
      </c>
      <c r="AP1" s="19">
        <f>AO1+1</f>
        <v/>
      </c>
      <c r="AQ1" s="19">
        <f>AP1+1</f>
        <v/>
      </c>
      <c r="AR1" s="19">
        <f>AQ1+1</f>
        <v/>
      </c>
      <c r="AS1" s="19">
        <f>AR1+1</f>
        <v/>
      </c>
      <c r="AT1" s="19">
        <f>AS1+1</f>
        <v/>
      </c>
      <c r="AU1" s="19">
        <f>AT1+1</f>
        <v/>
      </c>
      <c r="AV1" s="19">
        <f>AU1+1</f>
        <v/>
      </c>
      <c r="AW1" s="19">
        <f>AV1+1</f>
        <v/>
      </c>
      <c r="AX1" s="19">
        <f>AW1+1</f>
        <v/>
      </c>
      <c r="AY1" s="19">
        <f>AX1+1</f>
        <v/>
      </c>
      <c r="AZ1" s="19">
        <f>AY1+1</f>
        <v/>
      </c>
      <c r="BA1" s="19">
        <f>AZ1+1</f>
        <v/>
      </c>
      <c r="BB1" s="19">
        <f>BA1+1</f>
        <v/>
      </c>
      <c r="BC1" s="19">
        <f>BB1+1</f>
        <v/>
      </c>
      <c r="BD1" s="19">
        <f>BC1+1</f>
        <v/>
      </c>
      <c r="BE1" s="19">
        <f>BD1+1</f>
        <v/>
      </c>
      <c r="BF1" s="19">
        <f>BE1+1</f>
        <v/>
      </c>
      <c r="BG1" s="19">
        <f>BF1+1</f>
        <v/>
      </c>
      <c r="BH1" s="19">
        <f>BG1+1</f>
        <v/>
      </c>
      <c r="BI1" s="19">
        <f>BH1+1</f>
        <v/>
      </c>
      <c r="BJ1" s="19">
        <f>BI1+1</f>
        <v/>
      </c>
      <c r="BK1" s="19">
        <f>BJ1+1</f>
        <v/>
      </c>
      <c r="BL1" s="19">
        <f>BK1+1</f>
        <v/>
      </c>
      <c r="BM1" s="19">
        <f>BL1+1</f>
        <v/>
      </c>
      <c r="BN1" s="19">
        <f>BM1+1</f>
        <v/>
      </c>
      <c r="BO1" s="19">
        <f>BN1+1</f>
        <v/>
      </c>
      <c r="BP1" s="19">
        <f>BO1+1</f>
        <v/>
      </c>
      <c r="BQ1" s="19">
        <f>BP1+1</f>
        <v/>
      </c>
      <c r="BR1" s="19">
        <f>BQ1+1</f>
        <v/>
      </c>
      <c r="BS1" s="19">
        <f>BR1+1</f>
        <v/>
      </c>
      <c r="BT1" s="19">
        <f>BS1+1</f>
        <v/>
      </c>
      <c r="BU1" s="19">
        <f>BT1+1</f>
        <v/>
      </c>
      <c r="BV1" s="19">
        <f>BU1+1</f>
        <v/>
      </c>
    </row>
    <row r="2">
      <c r="A2" s="71" t="inlineStr">
        <is>
          <t>Discount Rate</t>
        </is>
      </c>
      <c r="B2" s="70" t="n">
        <v>0.08</v>
      </c>
      <c r="C2" s="21" t="n"/>
      <c r="D2" s="310" t="n">
        <v>1</v>
      </c>
      <c r="E2" s="310" t="n">
        <v>1</v>
      </c>
      <c r="F2" s="310" t="n">
        <v>1</v>
      </c>
      <c r="G2" s="310" t="n">
        <v>1</v>
      </c>
      <c r="H2" s="310" t="n">
        <v>1</v>
      </c>
      <c r="I2" s="310">
        <f>(1+$B2)^-(I$1-$I$1+0.5)</f>
        <v/>
      </c>
      <c r="J2" s="310">
        <f>(1+$B2)^-(J$1-$I$1+0.5)</f>
        <v/>
      </c>
      <c r="K2" s="310">
        <f>(1+$B2)^-(K$1-$I$1+0.5)</f>
        <v/>
      </c>
      <c r="L2" s="310">
        <f>(1+$B2)^-(L$1-$I$1+0.5)</f>
        <v/>
      </c>
      <c r="M2" s="310">
        <f>(1+$B2)^-(M$1-$I$1+0.5)</f>
        <v/>
      </c>
      <c r="N2" s="310">
        <f>(1+$B2)^-(N$1-$I$1+0.5)</f>
        <v/>
      </c>
      <c r="O2" s="311">
        <f>(1+$B2)^-(O$1-$I$1+0.5)</f>
        <v/>
      </c>
      <c r="P2" s="311">
        <f>(1+$B2)^-(P$1-$I$1+0.5)</f>
        <v/>
      </c>
      <c r="Q2" s="311">
        <f>(1+$B2)^-(Q$1-$I$1+0.5)</f>
        <v/>
      </c>
      <c r="R2" s="311">
        <f>(1+$B2)^-(R$1-$I$1+0.5)</f>
        <v/>
      </c>
      <c r="S2" s="311">
        <f>(1+$B2)^-(S$1-$I$1+0.5)</f>
        <v/>
      </c>
      <c r="T2" s="311">
        <f>(1+$B2)^-(T$1-$I$1+0.5)</f>
        <v/>
      </c>
      <c r="U2" s="311">
        <f>(1+$B2)^-(U$1-$I$1+0.5)</f>
        <v/>
      </c>
      <c r="V2" s="311">
        <f>(1+$B2)^-(V$1-$I$1+0.5)</f>
        <v/>
      </c>
      <c r="W2" s="311">
        <f>(1+$B2)^-(W$1-$I$1+0.5)</f>
        <v/>
      </c>
      <c r="X2" s="311">
        <f>(1+$B2)^-(X$1-$I$1+0.5)</f>
        <v/>
      </c>
      <c r="Y2" s="311">
        <f>(1+$B2)^-(Y$1-$I$1+0.5)</f>
        <v/>
      </c>
      <c r="Z2" s="311">
        <f>(1+$B2)^-(Z$1-$I$1+0.5)</f>
        <v/>
      </c>
      <c r="AA2" s="311">
        <f>(1+$B2)^-(AA$1-$I$1+0.5)</f>
        <v/>
      </c>
      <c r="AB2" s="311">
        <f>(1+$B2)^-(AB$1-$I$1+0.5)</f>
        <v/>
      </c>
      <c r="AC2" s="311">
        <f>(1+$B2)^-(AC$1-$I$1+0.5)</f>
        <v/>
      </c>
      <c r="AD2" s="311">
        <f>(1+$B2)^-(AD$1-$I$1+0.5)</f>
        <v/>
      </c>
      <c r="AE2" s="311">
        <f>(1+$B2)^-(AE$1-$I$1+0.5)</f>
        <v/>
      </c>
      <c r="AF2" s="311">
        <f>(1+$B2)^-(AF$1-$I$1+0.5)</f>
        <v/>
      </c>
      <c r="AG2" s="311">
        <f>(1+$B2)^-(AG$1-$I$1+0.5)</f>
        <v/>
      </c>
      <c r="AH2" s="311">
        <f>(1+$B2)^-(AH$1-$I$1+0.5)</f>
        <v/>
      </c>
      <c r="AI2" s="311">
        <f>(1+$B2)^-(AI$1-$I$1+0.5)</f>
        <v/>
      </c>
      <c r="AJ2" s="311">
        <f>(1+$B2)^-(AJ$1-$I$1+0.5)</f>
        <v/>
      </c>
      <c r="AK2" s="311">
        <f>(1+$B2)^-(AK$1-$I$1+0.5)</f>
        <v/>
      </c>
      <c r="AL2" s="311">
        <f>(1+$B2)^-(AL$1-$I$1+0.5)</f>
        <v/>
      </c>
      <c r="AM2" s="311">
        <f>(1+$B2)^-(AM$1-$I$1+0.5)</f>
        <v/>
      </c>
      <c r="AN2" s="311">
        <f>(1+$B2)^-(AN$1-$I$1+0.5)</f>
        <v/>
      </c>
      <c r="AO2" s="311">
        <f>(1+$B2)^-(AO$1-$I$1+0.5)</f>
        <v/>
      </c>
      <c r="AP2" s="311">
        <f>(1+$B2)^-(AP$1-$I$1+0.5)</f>
        <v/>
      </c>
      <c r="AQ2" s="311">
        <f>(1+$B2)^-(AQ$1-$I$1+0.5)</f>
        <v/>
      </c>
      <c r="AR2" s="311">
        <f>(1+$B2)^-(AR$1-$I$1+0.5)</f>
        <v/>
      </c>
      <c r="AS2" s="311">
        <f>(1+$B2)^-(AS$1-$I$1+0.5)</f>
        <v/>
      </c>
      <c r="AT2" s="311">
        <f>(1+$B2)^-(AT$1-$I$1+0.5)</f>
        <v/>
      </c>
      <c r="AU2" s="311">
        <f>(1+$B2)^-(AU$1-$I$1+0.5)</f>
        <v/>
      </c>
      <c r="AV2" s="311">
        <f>(1+$B2)^-(AV$1-$I$1+0.5)</f>
        <v/>
      </c>
      <c r="AW2" s="311">
        <f>(1+$B2)^-(AW$1-$I$1+0.5)</f>
        <v/>
      </c>
      <c r="AX2" s="311">
        <f>(1+$B2)^-(AX$1-$I$1+0.5)</f>
        <v/>
      </c>
      <c r="AY2" s="311">
        <f>(1+$B2)^-(AY$1-$I$1+0.5)</f>
        <v/>
      </c>
      <c r="AZ2" s="311">
        <f>(1+$B2)^-(AZ$1-$I$1+0.5)</f>
        <v/>
      </c>
      <c r="BA2" s="311">
        <f>(1+$B2)^-(BA$1-$I$1+0.5)</f>
        <v/>
      </c>
      <c r="BB2" s="311">
        <f>(1+$B2)^-(BB$1-$I$1+0.5)</f>
        <v/>
      </c>
      <c r="BC2" s="311">
        <f>(1+$B2)^-(BC$1-$I$1+0.5)</f>
        <v/>
      </c>
      <c r="BD2" s="311">
        <f>(1+$B2)^-(BD$1-$I$1+0.5)</f>
        <v/>
      </c>
      <c r="BE2" s="311">
        <f>(1+$B2)^-(BE$1-$I$1+0.5)</f>
        <v/>
      </c>
      <c r="BF2" s="311">
        <f>(1+$B2)^-(BF$1-$I$1+0.5)</f>
        <v/>
      </c>
      <c r="BG2" s="311">
        <f>(1+$B2)^-(BG$1-$I$1+0.5)</f>
        <v/>
      </c>
      <c r="BH2" s="311">
        <f>(1+$B2)^-(BH$1-$I$1+0.5)</f>
        <v/>
      </c>
      <c r="BI2" s="311">
        <f>(1+$B2)^-(BI$1-$I$1+0.5)</f>
        <v/>
      </c>
      <c r="BJ2" s="311">
        <f>(1+$B2)^-(BJ$1-$I$1+0.5)</f>
        <v/>
      </c>
      <c r="BK2" s="311">
        <f>(1+$B2)^-(BK$1-$I$1+0.5)</f>
        <v/>
      </c>
      <c r="BL2" s="311">
        <f>(1+$B2)^-(BL$1-$I$1+0.5)</f>
        <v/>
      </c>
      <c r="BM2" s="311">
        <f>(1+$B2)^-(BM$1-$I$1+0.5)</f>
        <v/>
      </c>
      <c r="BN2" s="311">
        <f>(1+$B2)^-(BN$1-$I$1+0.5)</f>
        <v/>
      </c>
      <c r="BO2" s="311">
        <f>(1+$B2)^-(BO$1-$I$1+0.5)</f>
        <v/>
      </c>
      <c r="BP2" s="311">
        <f>(1+$B2)^-(BP$1-$I$1+0.5)</f>
        <v/>
      </c>
      <c r="BQ2" s="311">
        <f>(1+$B2)^-(BQ$1-$I$1+0.5)</f>
        <v/>
      </c>
      <c r="BR2" s="311">
        <f>(1+$B2)^-(BR$1-$I$1+0.5)</f>
        <v/>
      </c>
      <c r="BS2" s="311">
        <f>(1+$B2)^-(BS$1-$I$1+0.5)</f>
        <v/>
      </c>
      <c r="BT2" s="311">
        <f>(1+$B2)^-(BT$1-$I$1+0.5)</f>
        <v/>
      </c>
      <c r="BU2" s="311">
        <f>(1+$B2)^-(BU$1-$I$1+0.5)</f>
        <v/>
      </c>
      <c r="BV2" s="311">
        <f>(1+$B2)^-(BV$1-$I$1+0.5)</f>
        <v/>
      </c>
    </row>
    <row r="3">
      <c r="A3" s="28" t="inlineStr">
        <is>
          <t>Foreign Exchange Forecast</t>
        </is>
      </c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</row>
    <row r="4">
      <c r="A4" s="8" t="inlineStr">
        <is>
          <t>Foreign Exchange Rate</t>
        </is>
      </c>
      <c r="B4" s="21" t="inlineStr">
        <is>
          <t>USD:AUD</t>
        </is>
      </c>
      <c r="C4" s="21" t="n"/>
      <c r="D4" s="312" t="n">
        <v>0.743</v>
      </c>
      <c r="E4" s="312" t="n">
        <v>0.694</v>
      </c>
      <c r="F4" s="312" t="n">
        <v>0.6646</v>
      </c>
      <c r="G4" s="312" t="n">
        <v>0.6629</v>
      </c>
      <c r="H4" s="312" t="n">
        <v>0.6306</v>
      </c>
      <c r="I4" s="312" t="n">
        <v>0.6899999999999999</v>
      </c>
      <c r="J4" s="313" t="n">
        <v>0.6899999999999999</v>
      </c>
      <c r="K4" s="313" t="n">
        <v>0.6899999999999999</v>
      </c>
      <c r="L4" s="313" t="n">
        <v>0.6899999999999999</v>
      </c>
      <c r="M4" s="313" t="n">
        <v>0.6899999999999999</v>
      </c>
      <c r="N4" s="310">
        <f>M4</f>
        <v/>
      </c>
      <c r="O4" s="310">
        <f>N4</f>
        <v/>
      </c>
      <c r="P4" s="310">
        <f>O4</f>
        <v/>
      </c>
      <c r="Q4" s="310">
        <f>P4</f>
        <v/>
      </c>
      <c r="R4" s="310">
        <f>Q4</f>
        <v/>
      </c>
      <c r="S4" s="310">
        <f>R4</f>
        <v/>
      </c>
      <c r="T4" s="310">
        <f>S4</f>
        <v/>
      </c>
      <c r="U4" s="310">
        <f>T4</f>
        <v/>
      </c>
      <c r="V4" s="310">
        <f>U4</f>
        <v/>
      </c>
      <c r="W4" s="310">
        <f>V4</f>
        <v/>
      </c>
      <c r="X4" s="310">
        <f>W4</f>
        <v/>
      </c>
      <c r="Y4" s="310">
        <f>X4</f>
        <v/>
      </c>
      <c r="Z4" s="310">
        <f>Y4</f>
        <v/>
      </c>
      <c r="AA4" s="310">
        <f>Z4</f>
        <v/>
      </c>
      <c r="AB4" s="310">
        <f>AA4</f>
        <v/>
      </c>
      <c r="AC4" s="310">
        <f>AB4</f>
        <v/>
      </c>
      <c r="AD4" s="310">
        <f>AC4</f>
        <v/>
      </c>
      <c r="AE4" s="310">
        <f>AD4</f>
        <v/>
      </c>
      <c r="AF4" s="310">
        <f>AE4</f>
        <v/>
      </c>
      <c r="AG4" s="310">
        <f>AF4</f>
        <v/>
      </c>
      <c r="AH4" s="310">
        <f>AG4</f>
        <v/>
      </c>
      <c r="AI4" s="310">
        <f>AH4</f>
        <v/>
      </c>
      <c r="AJ4" s="310">
        <f>AI4</f>
        <v/>
      </c>
      <c r="AK4" s="310">
        <f>AJ4</f>
        <v/>
      </c>
      <c r="AL4" s="310">
        <f>AK4</f>
        <v/>
      </c>
      <c r="AM4" s="310">
        <f>AL4</f>
        <v/>
      </c>
      <c r="AN4" s="310">
        <f>AM4</f>
        <v/>
      </c>
      <c r="AO4" s="310">
        <f>AN4</f>
        <v/>
      </c>
      <c r="AP4" s="310">
        <f>AO4</f>
        <v/>
      </c>
      <c r="AQ4" s="310">
        <f>AP4</f>
        <v/>
      </c>
      <c r="AR4" s="310">
        <f>AQ4</f>
        <v/>
      </c>
      <c r="AS4" s="310">
        <f>AR4</f>
        <v/>
      </c>
      <c r="AT4" s="310">
        <f>AS4</f>
        <v/>
      </c>
      <c r="AU4" s="310">
        <f>AT4</f>
        <v/>
      </c>
      <c r="AV4" s="310">
        <f>AU4</f>
        <v/>
      </c>
      <c r="AW4" s="310">
        <f>AV4</f>
        <v/>
      </c>
      <c r="AX4" s="310">
        <f>AW4</f>
        <v/>
      </c>
      <c r="AY4" s="310">
        <f>AX4</f>
        <v/>
      </c>
      <c r="AZ4" s="310">
        <f>AY4</f>
        <v/>
      </c>
      <c r="BA4" s="310">
        <f>AZ4</f>
        <v/>
      </c>
      <c r="BB4" s="310">
        <f>BA4</f>
        <v/>
      </c>
      <c r="BC4" s="310">
        <f>BB4</f>
        <v/>
      </c>
      <c r="BD4" s="310">
        <f>BC4</f>
        <v/>
      </c>
      <c r="BE4" s="310">
        <f>BD4</f>
        <v/>
      </c>
      <c r="BF4" s="310">
        <f>BE4</f>
        <v/>
      </c>
      <c r="BG4" s="310">
        <f>BF4</f>
        <v/>
      </c>
      <c r="BH4" s="310">
        <f>BG4</f>
        <v/>
      </c>
      <c r="BI4" s="310">
        <f>BH4</f>
        <v/>
      </c>
      <c r="BJ4" s="310">
        <f>BI4</f>
        <v/>
      </c>
      <c r="BK4" s="310">
        <f>BJ4</f>
        <v/>
      </c>
      <c r="BL4" s="310">
        <f>BK4</f>
        <v/>
      </c>
      <c r="BM4" s="310">
        <f>BL4</f>
        <v/>
      </c>
      <c r="BN4" s="310">
        <f>BM4</f>
        <v/>
      </c>
      <c r="BO4" s="310">
        <f>BN4</f>
        <v/>
      </c>
      <c r="BP4" s="310">
        <f>BO4</f>
        <v/>
      </c>
      <c r="BQ4" s="310">
        <f>BP4</f>
        <v/>
      </c>
      <c r="BR4" s="310">
        <f>BQ4</f>
        <v/>
      </c>
      <c r="BS4" s="310">
        <f>BR4</f>
        <v/>
      </c>
      <c r="BT4" s="310">
        <f>BS4</f>
        <v/>
      </c>
      <c r="BU4" s="310">
        <f>BT4</f>
        <v/>
      </c>
      <c r="BV4" s="310">
        <f>BU4</f>
        <v/>
      </c>
    </row>
    <row r="5">
      <c r="A5" s="2" t="inlineStr">
        <is>
          <t>Pricing Forecasts (real terms 2023)</t>
        </is>
      </c>
      <c r="B5" s="29" t="n"/>
      <c r="C5" s="29" t="n"/>
      <c r="D5" s="314" t="n"/>
      <c r="E5" s="314" t="n"/>
      <c r="F5" s="314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5" t="n"/>
      <c r="P5" s="315" t="n"/>
      <c r="Q5" s="315" t="n"/>
      <c r="R5" s="315" t="n"/>
      <c r="S5" s="315" t="n"/>
      <c r="T5" s="315" t="n"/>
      <c r="U5" s="315" t="n"/>
      <c r="V5" s="315" t="n"/>
      <c r="W5" s="315" t="n"/>
      <c r="X5" s="315" t="n"/>
      <c r="Y5" s="315" t="n"/>
      <c r="Z5" s="315" t="n"/>
      <c r="AA5" s="315" t="n"/>
      <c r="AB5" s="315" t="n"/>
      <c r="AC5" s="315" t="n"/>
      <c r="AD5" s="315" t="n"/>
      <c r="AE5" s="315" t="n"/>
      <c r="AF5" s="315" t="n"/>
      <c r="AG5" s="315" t="n"/>
      <c r="AH5" s="315" t="n"/>
      <c r="AI5" s="315" t="n"/>
      <c r="AJ5" s="315" t="n"/>
      <c r="AK5" s="315" t="n"/>
      <c r="AL5" s="315" t="n"/>
      <c r="AM5" s="315" t="n"/>
      <c r="AN5" s="315" t="n"/>
      <c r="AO5" s="315" t="n"/>
      <c r="AP5" s="315" t="n"/>
      <c r="AQ5" s="315" t="n"/>
      <c r="AR5" s="315" t="n"/>
      <c r="AS5" s="315" t="n"/>
      <c r="AT5" s="315" t="n"/>
      <c r="AU5" s="315" t="n"/>
      <c r="AV5" s="315" t="n"/>
      <c r="AW5" s="315" t="n"/>
      <c r="AX5" s="315" t="n"/>
      <c r="AY5" s="315" t="n"/>
      <c r="AZ5" s="315" t="n"/>
      <c r="BA5" s="315" t="n"/>
      <c r="BB5" s="315" t="n"/>
      <c r="BC5" s="315" t="n"/>
      <c r="BD5" s="315" t="n"/>
      <c r="BE5" s="315" t="n"/>
      <c r="BF5" s="315" t="n"/>
      <c r="BG5" s="315" t="n"/>
      <c r="BH5" s="315" t="n"/>
      <c r="BI5" s="315" t="n"/>
      <c r="BJ5" s="315" t="n"/>
      <c r="BK5" s="315" t="n"/>
      <c r="BL5" s="315" t="n"/>
      <c r="BM5" s="315" t="n"/>
      <c r="BN5" s="315" t="n"/>
      <c r="BO5" s="315" t="n"/>
      <c r="BP5" s="315" t="n"/>
      <c r="BQ5" s="315" t="n"/>
      <c r="BR5" s="315" t="n"/>
      <c r="BS5" s="315" t="n"/>
      <c r="BT5" s="315" t="n"/>
      <c r="BU5" s="315" t="n"/>
      <c r="BV5" s="315" t="n"/>
    </row>
    <row r="6">
      <c r="A6" s="4" t="inlineStr">
        <is>
          <t>Premium Hard Coking Coal</t>
        </is>
      </c>
      <c r="B6" s="17" t="inlineStr">
        <is>
          <t>USD/t</t>
        </is>
      </c>
      <c r="C6" s="121" t="inlineStr">
        <is>
          <t>PLV</t>
        </is>
      </c>
      <c r="D6" s="316">
        <f>'Historical Performance'!D23</f>
        <v/>
      </c>
      <c r="E6" s="316">
        <f>'Historical Performance'!E23</f>
        <v/>
      </c>
      <c r="F6" s="316">
        <f>'Historical Performance'!F23</f>
        <v/>
      </c>
      <c r="G6" s="316">
        <f>'Historical Performance'!G23</f>
        <v/>
      </c>
      <c r="H6" s="316">
        <f>'Historical Performance'!H23</f>
        <v/>
      </c>
      <c r="I6" s="316">
        <f>'Historical Performance'!I23</f>
        <v/>
      </c>
      <c r="J6" s="317" t="n">
        <v>240</v>
      </c>
      <c r="K6" s="317" t="n">
        <v>240</v>
      </c>
      <c r="L6" s="317" t="n">
        <v>240</v>
      </c>
      <c r="M6" s="317" t="n">
        <v>240</v>
      </c>
      <c r="N6" s="318">
        <f>M6</f>
        <v/>
      </c>
      <c r="O6" s="318">
        <f>N6</f>
        <v/>
      </c>
      <c r="P6" s="318">
        <f>O6</f>
        <v/>
      </c>
      <c r="Q6" s="318">
        <f>P6</f>
        <v/>
      </c>
      <c r="R6" s="318">
        <f>Q6</f>
        <v/>
      </c>
      <c r="S6" s="318">
        <f>R6</f>
        <v/>
      </c>
      <c r="T6" s="318">
        <f>S6</f>
        <v/>
      </c>
      <c r="U6" s="318">
        <f>T6</f>
        <v/>
      </c>
      <c r="V6" s="318">
        <f>U6</f>
        <v/>
      </c>
      <c r="W6" s="318">
        <f>V6</f>
        <v/>
      </c>
      <c r="X6" s="318">
        <f>W6</f>
        <v/>
      </c>
      <c r="Y6" s="318">
        <f>X6</f>
        <v/>
      </c>
      <c r="Z6" s="318">
        <f>Y6</f>
        <v/>
      </c>
      <c r="AA6" s="318">
        <f>Z6</f>
        <v/>
      </c>
      <c r="AB6" s="318">
        <f>AA6</f>
        <v/>
      </c>
      <c r="AC6" s="318">
        <f>AB6</f>
        <v/>
      </c>
      <c r="AD6" s="318">
        <f>AC6</f>
        <v/>
      </c>
      <c r="AE6" s="318">
        <f>AD6</f>
        <v/>
      </c>
      <c r="AF6" s="318">
        <f>AE6</f>
        <v/>
      </c>
      <c r="AG6" s="318">
        <f>AF6</f>
        <v/>
      </c>
      <c r="AH6" s="318">
        <f>AG6</f>
        <v/>
      </c>
      <c r="AI6" s="318">
        <f>AH6</f>
        <v/>
      </c>
      <c r="AJ6" s="318">
        <f>AI6</f>
        <v/>
      </c>
      <c r="AK6" s="318">
        <f>AJ6</f>
        <v/>
      </c>
      <c r="AL6" s="318">
        <f>AK6</f>
        <v/>
      </c>
      <c r="AM6" s="318">
        <f>AL6</f>
        <v/>
      </c>
      <c r="AN6" s="318">
        <f>AM6</f>
        <v/>
      </c>
      <c r="AO6" s="318">
        <f>AN6</f>
        <v/>
      </c>
      <c r="AP6" s="318">
        <f>AO6</f>
        <v/>
      </c>
      <c r="AQ6" s="318">
        <f>AP6</f>
        <v/>
      </c>
      <c r="AR6" s="318">
        <f>AQ6</f>
        <v/>
      </c>
      <c r="AS6" s="318">
        <f>AR6</f>
        <v/>
      </c>
      <c r="AT6" s="318">
        <f>AS6</f>
        <v/>
      </c>
      <c r="AU6" s="318">
        <f>AT6</f>
        <v/>
      </c>
      <c r="AV6" s="318">
        <f>AU6</f>
        <v/>
      </c>
      <c r="AW6" s="318">
        <f>AV6</f>
        <v/>
      </c>
      <c r="AX6" s="318">
        <f>AW6</f>
        <v/>
      </c>
      <c r="AY6" s="318">
        <f>AX6</f>
        <v/>
      </c>
      <c r="AZ6" s="318">
        <f>AY6</f>
        <v/>
      </c>
      <c r="BA6" s="318">
        <f>AZ6</f>
        <v/>
      </c>
      <c r="BB6" s="318">
        <f>BA6</f>
        <v/>
      </c>
      <c r="BC6" s="318">
        <f>BB6</f>
        <v/>
      </c>
      <c r="BD6" s="318">
        <f>BC6</f>
        <v/>
      </c>
      <c r="BE6" s="318">
        <f>BD6</f>
        <v/>
      </c>
      <c r="BF6" s="318">
        <f>BE6</f>
        <v/>
      </c>
      <c r="BG6" s="318">
        <f>BF6</f>
        <v/>
      </c>
      <c r="BH6" s="318">
        <f>BG6</f>
        <v/>
      </c>
      <c r="BI6" s="318">
        <f>BH6</f>
        <v/>
      </c>
      <c r="BJ6" s="318">
        <f>BI6</f>
        <v/>
      </c>
      <c r="BK6" s="318">
        <f>BJ6</f>
        <v/>
      </c>
      <c r="BL6" s="318">
        <f>BK6</f>
        <v/>
      </c>
      <c r="BM6" s="318">
        <f>BL6</f>
        <v/>
      </c>
      <c r="BN6" s="318">
        <f>BM6</f>
        <v/>
      </c>
      <c r="BO6" s="318">
        <f>BN6</f>
        <v/>
      </c>
      <c r="BP6" s="318">
        <f>BO6</f>
        <v/>
      </c>
      <c r="BQ6" s="318">
        <f>BP6</f>
        <v/>
      </c>
      <c r="BR6" s="318">
        <f>BQ6</f>
        <v/>
      </c>
      <c r="BS6" s="318">
        <f>BR6</f>
        <v/>
      </c>
      <c r="BT6" s="318">
        <f>BS6</f>
        <v/>
      </c>
      <c r="BU6" s="318">
        <f>BT6</f>
        <v/>
      </c>
      <c r="BV6" s="318">
        <f>BU6</f>
        <v/>
      </c>
    </row>
    <row r="7">
      <c r="A7" s="4" t="inlineStr">
        <is>
          <t>88% PHCC</t>
        </is>
      </c>
      <c r="B7" s="17" t="inlineStr">
        <is>
          <t>USD/t</t>
        </is>
      </c>
      <c r="C7" s="123" t="inlineStr">
        <is>
          <t>Benchmark</t>
        </is>
      </c>
      <c r="D7" s="316" t="n"/>
      <c r="E7" s="316" t="n"/>
      <c r="F7" s="316" t="n"/>
      <c r="G7" s="316" t="n"/>
      <c r="H7" s="316" t="n"/>
      <c r="I7" s="316" t="n"/>
      <c r="J7" s="317">
        <f>J6*0.88</f>
        <v/>
      </c>
      <c r="K7" s="317">
        <f>K6*0.88</f>
        <v/>
      </c>
      <c r="L7" s="317">
        <f>L6*0.88</f>
        <v/>
      </c>
      <c r="M7" s="317">
        <f>M6*0.88</f>
        <v/>
      </c>
      <c r="N7" s="318">
        <f>M7</f>
        <v/>
      </c>
      <c r="O7" s="318">
        <f>N7</f>
        <v/>
      </c>
      <c r="P7" s="318">
        <f>O7</f>
        <v/>
      </c>
      <c r="Q7" s="318">
        <f>P7</f>
        <v/>
      </c>
      <c r="R7" s="318">
        <f>Q7</f>
        <v/>
      </c>
      <c r="S7" s="318">
        <f>R7</f>
        <v/>
      </c>
      <c r="T7" s="318">
        <f>S7</f>
        <v/>
      </c>
      <c r="U7" s="318">
        <f>T7</f>
        <v/>
      </c>
      <c r="V7" s="318">
        <f>U7</f>
        <v/>
      </c>
      <c r="W7" s="318">
        <f>V7</f>
        <v/>
      </c>
      <c r="X7" s="318">
        <f>W7</f>
        <v/>
      </c>
      <c r="Y7" s="318">
        <f>X7</f>
        <v/>
      </c>
      <c r="Z7" s="318">
        <f>Y7</f>
        <v/>
      </c>
      <c r="AA7" s="318">
        <f>Z7</f>
        <v/>
      </c>
      <c r="AB7" s="318">
        <f>AA7</f>
        <v/>
      </c>
      <c r="AC7" s="318">
        <f>AB7</f>
        <v/>
      </c>
      <c r="AD7" s="318">
        <f>AC7</f>
        <v/>
      </c>
      <c r="AE7" s="318">
        <f>AD7</f>
        <v/>
      </c>
      <c r="AF7" s="318">
        <f>AE7</f>
        <v/>
      </c>
      <c r="AG7" s="318">
        <f>AF7</f>
        <v/>
      </c>
      <c r="AH7" s="318">
        <f>AG7</f>
        <v/>
      </c>
      <c r="AI7" s="318">
        <f>AH7</f>
        <v/>
      </c>
      <c r="AJ7" s="318">
        <f>AI7</f>
        <v/>
      </c>
      <c r="AK7" s="318">
        <f>AJ7</f>
        <v/>
      </c>
      <c r="AL7" s="318">
        <f>AK7</f>
        <v/>
      </c>
      <c r="AM7" s="318">
        <f>AL7</f>
        <v/>
      </c>
      <c r="AN7" s="318">
        <f>AM7</f>
        <v/>
      </c>
      <c r="AO7" s="318">
        <f>AN7</f>
        <v/>
      </c>
      <c r="AP7" s="318">
        <f>AO7</f>
        <v/>
      </c>
      <c r="AQ7" s="318">
        <f>AP7</f>
        <v/>
      </c>
      <c r="AR7" s="318">
        <f>AQ7</f>
        <v/>
      </c>
      <c r="AS7" s="318">
        <f>AR7</f>
        <v/>
      </c>
      <c r="AT7" s="318">
        <f>AS7</f>
        <v/>
      </c>
      <c r="AU7" s="318">
        <f>AT7</f>
        <v/>
      </c>
      <c r="AV7" s="318">
        <f>AU7</f>
        <v/>
      </c>
      <c r="AW7" s="318">
        <f>AV7</f>
        <v/>
      </c>
      <c r="AX7" s="318">
        <f>AW7</f>
        <v/>
      </c>
      <c r="AY7" s="318">
        <f>AX7</f>
        <v/>
      </c>
      <c r="AZ7" s="318">
        <f>AY7</f>
        <v/>
      </c>
      <c r="BA7" s="318">
        <f>AZ7</f>
        <v/>
      </c>
      <c r="BB7" s="318">
        <f>BA7</f>
        <v/>
      </c>
      <c r="BC7" s="318">
        <f>BB7</f>
        <v/>
      </c>
      <c r="BD7" s="318">
        <f>BC7</f>
        <v/>
      </c>
      <c r="BE7" s="318">
        <f>BD7</f>
        <v/>
      </c>
      <c r="BF7" s="318">
        <f>BE7</f>
        <v/>
      </c>
      <c r="BG7" s="318">
        <f>BF7</f>
        <v/>
      </c>
      <c r="BH7" s="318">
        <f>BG7</f>
        <v/>
      </c>
      <c r="BI7" s="318">
        <f>BH7</f>
        <v/>
      </c>
      <c r="BJ7" s="318">
        <f>BI7</f>
        <v/>
      </c>
      <c r="BK7" s="318">
        <f>BJ7</f>
        <v/>
      </c>
      <c r="BL7" s="318">
        <f>BK7</f>
        <v/>
      </c>
      <c r="BM7" s="318">
        <f>BL7</f>
        <v/>
      </c>
      <c r="BN7" s="318">
        <f>BM7</f>
        <v/>
      </c>
      <c r="BO7" s="318">
        <f>BN7</f>
        <v/>
      </c>
      <c r="BP7" s="318">
        <f>BO7</f>
        <v/>
      </c>
      <c r="BQ7" s="318">
        <f>BP7</f>
        <v/>
      </c>
      <c r="BR7" s="318">
        <f>BQ7</f>
        <v/>
      </c>
      <c r="BS7" s="318">
        <f>BR7</f>
        <v/>
      </c>
      <c r="BT7" s="318">
        <f>BS7</f>
        <v/>
      </c>
      <c r="BU7" s="318">
        <f>BT7</f>
        <v/>
      </c>
      <c r="BV7" s="318">
        <f>BU7</f>
        <v/>
      </c>
    </row>
    <row r="8">
      <c r="A8" s="4" t="inlineStr">
        <is>
          <t>6000NAR (GCN)</t>
        </is>
      </c>
      <c r="B8" s="17" t="inlineStr">
        <is>
          <t>USD/t</t>
        </is>
      </c>
      <c r="C8" s="123" t="inlineStr">
        <is>
          <t>Thermal Product A</t>
        </is>
      </c>
      <c r="D8" s="316" t="n"/>
      <c r="E8" s="316" t="n"/>
      <c r="F8" s="316" t="n"/>
      <c r="G8" s="316" t="n"/>
      <c r="H8" s="316" t="n"/>
      <c r="I8" s="316" t="n"/>
      <c r="J8" s="317" t="n">
        <v>118</v>
      </c>
      <c r="K8" s="317" t="n">
        <v>118</v>
      </c>
      <c r="L8" s="317" t="n">
        <v>118</v>
      </c>
      <c r="M8" s="317" t="n">
        <v>118</v>
      </c>
      <c r="N8" s="318" t="n">
        <v>118</v>
      </c>
      <c r="O8" s="318" t="n">
        <v>118</v>
      </c>
      <c r="P8" s="318" t="n">
        <v>118</v>
      </c>
      <c r="Q8" s="318" t="n">
        <v>118</v>
      </c>
      <c r="R8" s="318" t="n">
        <v>118</v>
      </c>
      <c r="S8" s="318" t="n">
        <v>118</v>
      </c>
      <c r="T8" s="318" t="n">
        <v>118</v>
      </c>
      <c r="U8" s="318" t="n">
        <v>118</v>
      </c>
      <c r="V8" s="318" t="n">
        <v>118</v>
      </c>
      <c r="W8" s="318" t="n">
        <v>118</v>
      </c>
      <c r="X8" s="318" t="n">
        <v>118</v>
      </c>
      <c r="Y8" s="318" t="n">
        <v>118</v>
      </c>
      <c r="Z8" s="318" t="n">
        <v>118</v>
      </c>
      <c r="AA8" s="318" t="n">
        <v>118</v>
      </c>
      <c r="AB8" s="318" t="n">
        <v>118</v>
      </c>
      <c r="AC8" s="318" t="n">
        <v>118</v>
      </c>
      <c r="AD8" s="318" t="n">
        <v>118</v>
      </c>
      <c r="AE8" s="318" t="n">
        <v>118</v>
      </c>
      <c r="AF8" s="318" t="n">
        <v>118</v>
      </c>
      <c r="AG8" s="318" t="n">
        <v>118</v>
      </c>
      <c r="AH8" s="318" t="n">
        <v>118</v>
      </c>
      <c r="AI8" s="318" t="n">
        <v>118</v>
      </c>
      <c r="AJ8" s="318" t="n">
        <v>118</v>
      </c>
      <c r="AK8" s="318" t="n">
        <v>118</v>
      </c>
      <c r="AL8" s="318" t="n">
        <v>118</v>
      </c>
      <c r="AM8" s="318" t="n">
        <v>118</v>
      </c>
      <c r="AN8" s="318" t="n">
        <v>118</v>
      </c>
      <c r="AO8" s="318" t="n">
        <v>118</v>
      </c>
      <c r="AP8" s="318" t="n">
        <v>118</v>
      </c>
      <c r="AQ8" s="318" t="n">
        <v>118</v>
      </c>
      <c r="AR8" s="318" t="n">
        <v>118</v>
      </c>
      <c r="AS8" s="318" t="n">
        <v>118</v>
      </c>
      <c r="AT8" s="318" t="n">
        <v>118</v>
      </c>
      <c r="AU8" s="318" t="n">
        <v>118</v>
      </c>
      <c r="AV8" s="318" t="n">
        <v>118</v>
      </c>
      <c r="AW8" s="318" t="n">
        <v>118</v>
      </c>
      <c r="AX8" s="318" t="n">
        <v>118</v>
      </c>
      <c r="AY8" s="318" t="n">
        <v>118</v>
      </c>
      <c r="AZ8" s="318" t="n">
        <v>118</v>
      </c>
      <c r="BA8" s="318" t="n">
        <v>118</v>
      </c>
      <c r="BB8" s="318" t="n">
        <v>118</v>
      </c>
      <c r="BC8" s="318" t="n">
        <v>118</v>
      </c>
      <c r="BD8" s="318" t="n">
        <v>118</v>
      </c>
      <c r="BE8" s="318" t="n">
        <v>118</v>
      </c>
      <c r="BF8" s="318" t="n">
        <v>118</v>
      </c>
      <c r="BG8" s="318" t="n">
        <v>118</v>
      </c>
      <c r="BH8" s="318" t="n">
        <v>118</v>
      </c>
      <c r="BI8" s="318" t="n">
        <v>118</v>
      </c>
      <c r="BJ8" s="318" t="n">
        <v>118</v>
      </c>
      <c r="BK8" s="318" t="n">
        <v>118</v>
      </c>
      <c r="BL8" s="318" t="n">
        <v>118</v>
      </c>
      <c r="BM8" s="318" t="n">
        <v>118</v>
      </c>
      <c r="BN8" s="318" t="n">
        <v>118</v>
      </c>
      <c r="BO8" s="318" t="n">
        <v>118</v>
      </c>
      <c r="BP8" s="318" t="n">
        <v>118</v>
      </c>
      <c r="BQ8" s="318" t="n">
        <v>118</v>
      </c>
      <c r="BR8" s="318" t="n">
        <v>118</v>
      </c>
      <c r="BS8" s="318" t="n">
        <v>118</v>
      </c>
      <c r="BT8" s="318" t="n">
        <v>118</v>
      </c>
      <c r="BU8" s="318" t="n">
        <v>118</v>
      </c>
      <c r="BV8" s="318" t="n">
        <v>118</v>
      </c>
    </row>
    <row r="9">
      <c r="A9" s="4" t="inlineStr">
        <is>
          <t>5500NAR</t>
        </is>
      </c>
      <c r="B9" s="21" t="inlineStr">
        <is>
          <t>USD/t</t>
        </is>
      </c>
      <c r="C9" s="124" t="inlineStr">
        <is>
          <t>Thermal Product B</t>
        </is>
      </c>
      <c r="D9" s="319" t="n"/>
      <c r="E9" s="319" t="n"/>
      <c r="F9" s="319" t="n"/>
      <c r="G9" s="319" t="n"/>
      <c r="H9" s="319" t="n"/>
      <c r="I9" s="319" t="n"/>
      <c r="J9" s="320" t="n">
        <v>105</v>
      </c>
      <c r="K9" s="320" t="n">
        <v>105</v>
      </c>
      <c r="L9" s="320" t="n">
        <v>105</v>
      </c>
      <c r="M9" s="320" t="n">
        <v>105</v>
      </c>
      <c r="N9" s="321" t="n">
        <v>105</v>
      </c>
      <c r="O9" s="321" t="n">
        <v>105</v>
      </c>
      <c r="P9" s="321" t="n">
        <v>105</v>
      </c>
      <c r="Q9" s="321" t="n">
        <v>105</v>
      </c>
      <c r="R9" s="321" t="n">
        <v>105</v>
      </c>
      <c r="S9" s="321" t="n">
        <v>105</v>
      </c>
      <c r="T9" s="321" t="n">
        <v>105</v>
      </c>
      <c r="U9" s="321" t="n">
        <v>105</v>
      </c>
      <c r="V9" s="321" t="n">
        <v>105</v>
      </c>
      <c r="W9" s="321" t="n">
        <v>105</v>
      </c>
      <c r="X9" s="321" t="n">
        <v>105</v>
      </c>
      <c r="Y9" s="321" t="n">
        <v>105</v>
      </c>
      <c r="Z9" s="321" t="n">
        <v>105</v>
      </c>
      <c r="AA9" s="321" t="n">
        <v>105</v>
      </c>
      <c r="AB9" s="321" t="n">
        <v>105</v>
      </c>
      <c r="AC9" s="321" t="n">
        <v>105</v>
      </c>
      <c r="AD9" s="321" t="n">
        <v>105</v>
      </c>
      <c r="AE9" s="321" t="n">
        <v>105</v>
      </c>
      <c r="AF9" s="321" t="n">
        <v>105</v>
      </c>
      <c r="AG9" s="321" t="n">
        <v>105</v>
      </c>
      <c r="AH9" s="321" t="n">
        <v>105</v>
      </c>
      <c r="AI9" s="321" t="n">
        <v>105</v>
      </c>
      <c r="AJ9" s="321" t="n">
        <v>105</v>
      </c>
      <c r="AK9" s="321" t="n">
        <v>105</v>
      </c>
      <c r="AL9" s="321" t="n">
        <v>105</v>
      </c>
      <c r="AM9" s="321" t="n">
        <v>105</v>
      </c>
      <c r="AN9" s="321" t="n">
        <v>105</v>
      </c>
      <c r="AO9" s="321" t="n">
        <v>105</v>
      </c>
      <c r="AP9" s="321" t="n">
        <v>105</v>
      </c>
      <c r="AQ9" s="321" t="n">
        <v>105</v>
      </c>
      <c r="AR9" s="321" t="n">
        <v>105</v>
      </c>
      <c r="AS9" s="321" t="n">
        <v>105</v>
      </c>
      <c r="AT9" s="321" t="n">
        <v>105</v>
      </c>
      <c r="AU9" s="321" t="n">
        <v>105</v>
      </c>
      <c r="AV9" s="321" t="n">
        <v>105</v>
      </c>
      <c r="AW9" s="321" t="n">
        <v>105</v>
      </c>
      <c r="AX9" s="321" t="n">
        <v>105</v>
      </c>
      <c r="AY9" s="321" t="n">
        <v>105</v>
      </c>
      <c r="AZ9" s="321" t="n">
        <v>105</v>
      </c>
      <c r="BA9" s="321" t="n">
        <v>105</v>
      </c>
      <c r="BB9" s="321" t="n">
        <v>105</v>
      </c>
      <c r="BC9" s="321" t="n">
        <v>105</v>
      </c>
      <c r="BD9" s="321" t="n">
        <v>105</v>
      </c>
      <c r="BE9" s="321" t="n">
        <v>105</v>
      </c>
      <c r="BF9" s="321" t="n">
        <v>105</v>
      </c>
      <c r="BG9" s="321" t="n">
        <v>105</v>
      </c>
      <c r="BH9" s="321" t="n">
        <v>105</v>
      </c>
      <c r="BI9" s="321" t="n">
        <v>105</v>
      </c>
      <c r="BJ9" s="321" t="n">
        <v>105</v>
      </c>
      <c r="BK9" s="321" t="n">
        <v>105</v>
      </c>
      <c r="BL9" s="321" t="n">
        <v>105</v>
      </c>
      <c r="BM9" s="321" t="n">
        <v>105</v>
      </c>
      <c r="BN9" s="321" t="n">
        <v>105</v>
      </c>
      <c r="BO9" s="321" t="n">
        <v>105</v>
      </c>
      <c r="BP9" s="321" t="n">
        <v>105</v>
      </c>
      <c r="BQ9" s="321" t="n">
        <v>105</v>
      </c>
      <c r="BR9" s="321" t="n">
        <v>105</v>
      </c>
      <c r="BS9" s="321" t="n">
        <v>105</v>
      </c>
      <c r="BT9" s="321" t="n">
        <v>105</v>
      </c>
      <c r="BU9" s="321" t="n">
        <v>105</v>
      </c>
      <c r="BV9" s="321" t="n">
        <v>105</v>
      </c>
    </row>
    <row r="10">
      <c r="B10" s="17" t="n"/>
      <c r="C10" s="32" t="n"/>
      <c r="D10" s="322" t="n"/>
      <c r="E10" s="322" t="n"/>
      <c r="F10" s="322" t="n"/>
      <c r="G10" s="322" t="n"/>
      <c r="H10" s="322" t="n"/>
      <c r="I10" s="322" t="n"/>
      <c r="J10" s="322" t="n"/>
      <c r="K10" s="322" t="n"/>
      <c r="L10" s="322" t="n"/>
      <c r="M10" s="322" t="n"/>
      <c r="N10" s="322" t="n"/>
      <c r="O10" s="322" t="n"/>
      <c r="P10" s="322" t="n"/>
      <c r="Q10" s="322" t="n"/>
      <c r="R10" s="322" t="n"/>
      <c r="S10" s="322" t="n"/>
      <c r="T10" s="322" t="n"/>
      <c r="U10" s="322" t="n"/>
      <c r="V10" s="322" t="n"/>
      <c r="W10" s="322" t="n"/>
      <c r="X10" s="322" t="n"/>
      <c r="Y10" s="322" t="n"/>
      <c r="Z10" s="322" t="n"/>
      <c r="AA10" s="322" t="n"/>
      <c r="AB10" s="322" t="n"/>
      <c r="AC10" s="322" t="n"/>
      <c r="AD10" s="322" t="n"/>
      <c r="AE10" s="322" t="n"/>
      <c r="AF10" s="322" t="n"/>
      <c r="AG10" s="322" t="n"/>
      <c r="AH10" s="322" t="n"/>
      <c r="AI10" s="322" t="n"/>
      <c r="AJ10" s="322" t="n"/>
      <c r="AK10" s="322" t="n"/>
      <c r="AL10" s="322" t="n"/>
      <c r="AM10" s="322" t="n"/>
      <c r="AN10" s="322" t="n"/>
      <c r="AO10" s="322" t="n"/>
      <c r="AP10" s="322" t="n"/>
      <c r="AQ10" s="322" t="n"/>
      <c r="AR10" s="322" t="n"/>
      <c r="AS10" s="322" t="n"/>
      <c r="AT10" s="322" t="n"/>
      <c r="AU10" s="322" t="n"/>
      <c r="AV10" s="322" t="n"/>
      <c r="AW10" s="322" t="n"/>
      <c r="AX10" s="322" t="n"/>
      <c r="AY10" s="322" t="n"/>
      <c r="AZ10" s="322" t="n"/>
      <c r="BA10" s="322" t="n"/>
      <c r="BB10" s="322" t="n"/>
      <c r="BC10" s="322" t="n"/>
      <c r="BD10" s="322" t="n"/>
      <c r="BE10" s="322" t="n"/>
      <c r="BF10" s="322" t="n"/>
      <c r="BG10" s="322" t="n"/>
      <c r="BH10" s="322" t="n"/>
      <c r="BI10" s="322" t="n"/>
      <c r="BJ10" s="322" t="n"/>
      <c r="BK10" s="322" t="n"/>
      <c r="BL10" s="322" t="n"/>
      <c r="BM10" s="322" t="n"/>
      <c r="BN10" s="322" t="n"/>
      <c r="BO10" s="322" t="n"/>
      <c r="BP10" s="322" t="n"/>
      <c r="BQ10" s="322" t="n"/>
      <c r="BR10" s="322" t="n"/>
      <c r="BS10" s="322" t="n"/>
      <c r="BT10" s="322" t="n"/>
      <c r="BU10" s="322" t="n"/>
      <c r="BV10" s="322" t="n"/>
    </row>
    <row r="11">
      <c r="A11" s="15" t="inlineStr">
        <is>
          <t>Thermal Categories</t>
        </is>
      </c>
      <c r="B11" s="18" t="n"/>
      <c r="C11" s="19" t="n"/>
      <c r="D11" s="306" t="n"/>
      <c r="E11" s="306" t="n"/>
      <c r="F11" s="306" t="n"/>
      <c r="G11" s="306" t="n"/>
      <c r="H11" s="306" t="n"/>
      <c r="I11" s="306" t="inlineStr">
        <is>
          <t>Thermal category minimum spec</t>
        </is>
      </c>
    </row>
    <row r="12">
      <c r="A12" t="inlineStr">
        <is>
          <t>Benchmark Thermal</t>
        </is>
      </c>
      <c r="B12" s="17" t="inlineStr">
        <is>
          <t>kcal/kg(nar)</t>
        </is>
      </c>
      <c r="C12" s="323" t="n"/>
      <c r="D12" s="323" t="n"/>
      <c r="E12" s="323" t="n"/>
      <c r="F12" s="323" t="n"/>
      <c r="G12" s="323" t="n"/>
      <c r="H12" s="323" t="n"/>
      <c r="I12" s="323" t="n">
        <v>5950</v>
      </c>
      <c r="J12" s="323" t="n">
        <v>5950</v>
      </c>
      <c r="K12" s="323" t="n">
        <v>5950</v>
      </c>
      <c r="L12" s="323" t="n">
        <v>5950</v>
      </c>
      <c r="M12" s="323" t="n">
        <v>5950</v>
      </c>
      <c r="N12" s="323" t="n">
        <v>5950</v>
      </c>
      <c r="O12" s="323" t="n">
        <v>5950</v>
      </c>
      <c r="P12" s="323" t="n">
        <v>5950</v>
      </c>
      <c r="Q12" s="323" t="n">
        <v>5950</v>
      </c>
      <c r="R12" s="323" t="n">
        <v>5950</v>
      </c>
      <c r="S12" s="323" t="n">
        <v>5950</v>
      </c>
      <c r="T12" s="323" t="n">
        <v>5950</v>
      </c>
      <c r="U12" s="323" t="n">
        <v>5950</v>
      </c>
      <c r="V12" s="323" t="n">
        <v>5950</v>
      </c>
      <c r="W12" s="323" t="n">
        <v>5950</v>
      </c>
      <c r="X12" s="323" t="n">
        <v>5950</v>
      </c>
      <c r="Y12" s="323" t="n">
        <v>5950</v>
      </c>
      <c r="Z12" s="323" t="n">
        <v>5950</v>
      </c>
      <c r="AA12" s="323" t="n">
        <v>5950</v>
      </c>
      <c r="AB12" s="323" t="n">
        <v>5950</v>
      </c>
      <c r="AC12" s="323" t="n">
        <v>5950</v>
      </c>
      <c r="AD12" s="323" t="n">
        <v>5950</v>
      </c>
      <c r="AE12" s="323" t="n">
        <v>5950</v>
      </c>
      <c r="AF12" s="323" t="n">
        <v>5950</v>
      </c>
      <c r="AG12" s="323" t="n">
        <v>5950</v>
      </c>
      <c r="AH12" s="323" t="n">
        <v>5950</v>
      </c>
      <c r="AI12" s="323" t="n">
        <v>5950</v>
      </c>
      <c r="AJ12" s="323" t="n">
        <v>5950</v>
      </c>
      <c r="AK12" s="323" t="n">
        <v>5950</v>
      </c>
      <c r="AL12" s="323" t="n">
        <v>5950</v>
      </c>
      <c r="AM12" s="323" t="n">
        <v>5950</v>
      </c>
      <c r="AN12" s="323" t="n">
        <v>5950</v>
      </c>
      <c r="AO12" s="323" t="n">
        <v>5950</v>
      </c>
      <c r="AP12" s="323" t="n">
        <v>5950</v>
      </c>
      <c r="AQ12" s="323" t="n">
        <v>5950</v>
      </c>
      <c r="AR12" s="323" t="n">
        <v>5950</v>
      </c>
      <c r="AS12" s="323" t="n">
        <v>5950</v>
      </c>
      <c r="AT12" s="323" t="n">
        <v>5950</v>
      </c>
      <c r="AU12" s="323" t="n">
        <v>5950</v>
      </c>
      <c r="AV12" s="323" t="n">
        <v>5950</v>
      </c>
      <c r="AW12" s="323" t="n">
        <v>5950</v>
      </c>
      <c r="AX12" s="323" t="n">
        <v>5950</v>
      </c>
      <c r="AY12" s="323" t="n">
        <v>5950</v>
      </c>
      <c r="AZ12" s="323" t="n">
        <v>5950</v>
      </c>
      <c r="BA12" s="323" t="n">
        <v>5950</v>
      </c>
      <c r="BB12" s="323" t="n">
        <v>5950</v>
      </c>
      <c r="BC12" s="323" t="n">
        <v>5950</v>
      </c>
      <c r="BD12" s="323" t="n">
        <v>5950</v>
      </c>
      <c r="BE12" s="323" t="n">
        <v>5950</v>
      </c>
      <c r="BF12" s="323" t="n">
        <v>5950</v>
      </c>
      <c r="BG12" s="323" t="n">
        <v>5950</v>
      </c>
      <c r="BH12" s="323" t="n">
        <v>5950</v>
      </c>
      <c r="BI12" s="323" t="n">
        <v>5950</v>
      </c>
      <c r="BJ12" s="323" t="n">
        <v>5950</v>
      </c>
      <c r="BK12" s="323" t="n">
        <v>5950</v>
      </c>
      <c r="BL12" s="323" t="n">
        <v>5950</v>
      </c>
      <c r="BM12" s="323" t="n">
        <v>5950</v>
      </c>
      <c r="BN12" s="323" t="n">
        <v>5950</v>
      </c>
      <c r="BO12" s="323" t="n">
        <v>5950</v>
      </c>
      <c r="BP12" s="323" t="n">
        <v>5950</v>
      </c>
      <c r="BQ12" s="323" t="n">
        <v>5950</v>
      </c>
      <c r="BR12" s="323" t="n">
        <v>5950</v>
      </c>
      <c r="BS12" s="323" t="n">
        <v>5950</v>
      </c>
      <c r="BT12" s="323" t="n">
        <v>5950</v>
      </c>
      <c r="BU12" s="323" t="n">
        <v>5950</v>
      </c>
      <c r="BV12" s="323" t="n">
        <v>5950</v>
      </c>
    </row>
    <row r="13">
      <c r="A13" t="inlineStr">
        <is>
          <t>5500NAR</t>
        </is>
      </c>
      <c r="B13" s="17" t="inlineStr">
        <is>
          <t>kcal/kg(nar)</t>
        </is>
      </c>
      <c r="C13" s="323" t="n"/>
      <c r="D13" s="323" t="n"/>
      <c r="E13" s="323" t="n"/>
      <c r="F13" s="323" t="n"/>
      <c r="G13" s="323" t="n"/>
      <c r="H13" s="323" t="n"/>
      <c r="I13" s="323" t="n">
        <v>5300</v>
      </c>
      <c r="J13" s="323" t="n">
        <v>5300</v>
      </c>
      <c r="K13" s="323" t="n">
        <v>5300</v>
      </c>
      <c r="L13" s="323" t="n">
        <v>5300</v>
      </c>
      <c r="M13" s="323" t="n">
        <v>5300</v>
      </c>
      <c r="N13" s="323" t="n">
        <v>5300</v>
      </c>
      <c r="O13" s="323" t="n">
        <v>5300</v>
      </c>
      <c r="P13" s="323" t="n">
        <v>5300</v>
      </c>
      <c r="Q13" s="323" t="n">
        <v>5300</v>
      </c>
      <c r="R13" s="323" t="n">
        <v>5300</v>
      </c>
      <c r="S13" s="323" t="n">
        <v>5300</v>
      </c>
      <c r="T13" s="323" t="n">
        <v>5300</v>
      </c>
      <c r="U13" s="323" t="n">
        <v>5300</v>
      </c>
      <c r="V13" s="323" t="n">
        <v>5300</v>
      </c>
      <c r="W13" s="323" t="n">
        <v>5300</v>
      </c>
      <c r="X13" s="323" t="n">
        <v>5300</v>
      </c>
      <c r="Y13" s="323" t="n">
        <v>5300</v>
      </c>
      <c r="Z13" s="323" t="n">
        <v>5300</v>
      </c>
      <c r="AA13" s="323" t="n">
        <v>5300</v>
      </c>
      <c r="AB13" s="323" t="n">
        <v>5300</v>
      </c>
      <c r="AC13" s="323" t="n">
        <v>5300</v>
      </c>
      <c r="AD13" s="323" t="n">
        <v>5300</v>
      </c>
      <c r="AE13" s="323" t="n">
        <v>5300</v>
      </c>
      <c r="AF13" s="323" t="n">
        <v>5300</v>
      </c>
      <c r="AG13" s="323" t="n">
        <v>5300</v>
      </c>
      <c r="AH13" s="323" t="n">
        <v>5300</v>
      </c>
      <c r="AI13" s="323" t="n">
        <v>5300</v>
      </c>
      <c r="AJ13" s="323" t="n">
        <v>5300</v>
      </c>
      <c r="AK13" s="323" t="n">
        <v>5300</v>
      </c>
      <c r="AL13" s="323" t="n">
        <v>5300</v>
      </c>
      <c r="AM13" s="323" t="n">
        <v>5300</v>
      </c>
      <c r="AN13" s="323" t="n">
        <v>5300</v>
      </c>
      <c r="AO13" s="323" t="n">
        <v>5300</v>
      </c>
      <c r="AP13" s="323" t="n">
        <v>5300</v>
      </c>
      <c r="AQ13" s="323" t="n">
        <v>5300</v>
      </c>
      <c r="AR13" s="323" t="n">
        <v>5300</v>
      </c>
      <c r="AS13" s="323" t="n">
        <v>5300</v>
      </c>
      <c r="AT13" s="323" t="n">
        <v>5300</v>
      </c>
      <c r="AU13" s="323" t="n">
        <v>5300</v>
      </c>
      <c r="AV13" s="323" t="n">
        <v>5300</v>
      </c>
      <c r="AW13" s="323" t="n">
        <v>5300</v>
      </c>
      <c r="AX13" s="323" t="n">
        <v>5300</v>
      </c>
      <c r="AY13" s="323" t="n">
        <v>5300</v>
      </c>
      <c r="AZ13" s="323" t="n">
        <v>5300</v>
      </c>
      <c r="BA13" s="323" t="n">
        <v>5300</v>
      </c>
      <c r="BB13" s="323" t="n">
        <v>5300</v>
      </c>
      <c r="BC13" s="323" t="n">
        <v>5300</v>
      </c>
      <c r="BD13" s="323" t="n">
        <v>5300</v>
      </c>
      <c r="BE13" s="323" t="n">
        <v>5300</v>
      </c>
      <c r="BF13" s="323" t="n">
        <v>5300</v>
      </c>
      <c r="BG13" s="323" t="n">
        <v>5300</v>
      </c>
      <c r="BH13" s="323" t="n">
        <v>5300</v>
      </c>
      <c r="BI13" s="323" t="n">
        <v>5300</v>
      </c>
      <c r="BJ13" s="323" t="n">
        <v>5300</v>
      </c>
      <c r="BK13" s="323" t="n">
        <v>5300</v>
      </c>
      <c r="BL13" s="323" t="n">
        <v>5300</v>
      </c>
      <c r="BM13" s="323" t="n">
        <v>5300</v>
      </c>
      <c r="BN13" s="323" t="n">
        <v>5300</v>
      </c>
      <c r="BO13" s="323" t="n">
        <v>5300</v>
      </c>
      <c r="BP13" s="323" t="n">
        <v>5300</v>
      </c>
      <c r="BQ13" s="323" t="n">
        <v>5300</v>
      </c>
      <c r="BR13" s="323" t="n">
        <v>5300</v>
      </c>
      <c r="BS13" s="323" t="n">
        <v>5300</v>
      </c>
      <c r="BT13" s="323" t="n">
        <v>5300</v>
      </c>
      <c r="BU13" s="323" t="n">
        <v>5300</v>
      </c>
      <c r="BV13" s="323" t="n">
        <v>5300</v>
      </c>
    </row>
    <row r="14">
      <c r="A14" t="inlineStr">
        <is>
          <t>5100NAR</t>
        </is>
      </c>
      <c r="B14" s="17" t="inlineStr">
        <is>
          <t>kcal/kg(nar)</t>
        </is>
      </c>
      <c r="C14" s="323" t="n"/>
      <c r="D14" s="323" t="n"/>
      <c r="E14" s="323" t="n"/>
      <c r="F14" s="323" t="n"/>
      <c r="G14" s="323" t="n"/>
      <c r="H14" s="323" t="n"/>
      <c r="I14" s="323" t="n">
        <v>0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3" t="n">
        <v>0</v>
      </c>
      <c r="P14" s="323" t="n">
        <v>0</v>
      </c>
      <c r="Q14" s="323" t="n">
        <v>0</v>
      </c>
      <c r="R14" s="323" t="n">
        <v>0</v>
      </c>
      <c r="S14" s="323" t="n">
        <v>0</v>
      </c>
      <c r="T14" s="323" t="n">
        <v>0</v>
      </c>
      <c r="U14" s="323" t="n">
        <v>0</v>
      </c>
      <c r="V14" s="323" t="n">
        <v>0</v>
      </c>
      <c r="W14" s="323" t="n">
        <v>0</v>
      </c>
      <c r="X14" s="323" t="n">
        <v>0</v>
      </c>
      <c r="Y14" s="323" t="n">
        <v>0</v>
      </c>
      <c r="Z14" s="323" t="n">
        <v>0</v>
      </c>
      <c r="AA14" s="323" t="n">
        <v>0</v>
      </c>
      <c r="AB14" s="323" t="n">
        <v>0</v>
      </c>
      <c r="AC14" s="323" t="n">
        <v>0</v>
      </c>
      <c r="AD14" s="323" t="n">
        <v>0</v>
      </c>
      <c r="AE14" s="323" t="n">
        <v>0</v>
      </c>
      <c r="AF14" s="323" t="n">
        <v>0</v>
      </c>
      <c r="AG14" s="323" t="n">
        <v>0</v>
      </c>
      <c r="AH14" s="323" t="n">
        <v>0</v>
      </c>
      <c r="AI14" s="323" t="n">
        <v>0</v>
      </c>
      <c r="AJ14" s="323" t="n">
        <v>0</v>
      </c>
      <c r="AK14" s="323" t="n">
        <v>0</v>
      </c>
      <c r="AL14" s="323" t="n">
        <v>0</v>
      </c>
      <c r="AM14" s="323" t="n">
        <v>0</v>
      </c>
      <c r="AN14" s="323" t="n">
        <v>0</v>
      </c>
      <c r="AO14" s="323" t="n">
        <v>0</v>
      </c>
      <c r="AP14" s="323" t="n">
        <v>0</v>
      </c>
      <c r="AQ14" s="323" t="n">
        <v>0</v>
      </c>
      <c r="AR14" s="323" t="n">
        <v>0</v>
      </c>
      <c r="AS14" s="323" t="n">
        <v>0</v>
      </c>
      <c r="AT14" s="323" t="n">
        <v>0</v>
      </c>
      <c r="AU14" s="323" t="n">
        <v>0</v>
      </c>
      <c r="AV14" s="323" t="n">
        <v>0</v>
      </c>
      <c r="AW14" s="323" t="n">
        <v>0</v>
      </c>
      <c r="AX14" s="323" t="n">
        <v>0</v>
      </c>
      <c r="AY14" s="323" t="n">
        <v>0</v>
      </c>
      <c r="AZ14" s="323" t="n">
        <v>0</v>
      </c>
      <c r="BA14" s="323" t="n">
        <v>0</v>
      </c>
      <c r="BB14" s="323" t="n">
        <v>0</v>
      </c>
      <c r="BC14" s="323" t="n">
        <v>0</v>
      </c>
      <c r="BD14" s="323" t="n">
        <v>0</v>
      </c>
      <c r="BE14" s="323" t="n">
        <v>0</v>
      </c>
      <c r="BF14" s="323" t="n">
        <v>0</v>
      </c>
      <c r="BG14" s="323" t="n">
        <v>0</v>
      </c>
      <c r="BH14" s="323" t="n">
        <v>0</v>
      </c>
      <c r="BI14" s="323" t="n">
        <v>0</v>
      </c>
      <c r="BJ14" s="323" t="n">
        <v>0</v>
      </c>
      <c r="BK14" s="323" t="n">
        <v>0</v>
      </c>
      <c r="BL14" s="323" t="n">
        <v>0</v>
      </c>
      <c r="BM14" s="323" t="n">
        <v>0</v>
      </c>
      <c r="BN14" s="323" t="n">
        <v>0</v>
      </c>
      <c r="BO14" s="323" t="n">
        <v>0</v>
      </c>
      <c r="BP14" s="323" t="n">
        <v>0</v>
      </c>
      <c r="BQ14" s="323" t="n">
        <v>0</v>
      </c>
      <c r="BR14" s="323" t="n">
        <v>0</v>
      </c>
      <c r="BS14" s="323" t="n">
        <v>0</v>
      </c>
      <c r="BT14" s="323" t="n">
        <v>0</v>
      </c>
      <c r="BU14" s="323" t="n">
        <v>0</v>
      </c>
      <c r="BV14" s="323" t="n">
        <v>0</v>
      </c>
    </row>
    <row r="15">
      <c r="B15" s="17" t="n"/>
      <c r="C15" s="32" t="n"/>
      <c r="D15" s="322" t="n"/>
      <c r="E15" s="322" t="n"/>
      <c r="F15" s="322" t="n"/>
      <c r="G15" s="322" t="n"/>
      <c r="H15" s="322" t="n"/>
      <c r="I15" s="322" t="n"/>
      <c r="J15" s="322" t="n"/>
      <c r="K15" s="322" t="n"/>
      <c r="L15" s="322" t="n"/>
      <c r="M15" s="322" t="n"/>
      <c r="N15" s="322" t="n"/>
      <c r="O15" s="322" t="n"/>
      <c r="P15" s="322" t="n"/>
      <c r="Q15" s="322" t="n"/>
      <c r="R15" s="322" t="n"/>
      <c r="S15" s="322" t="n"/>
      <c r="T15" s="322" t="n"/>
      <c r="U15" s="322" t="n"/>
      <c r="V15" s="322" t="n"/>
      <c r="W15" s="322" t="n"/>
      <c r="X15" s="322" t="n"/>
      <c r="Y15" s="322" t="n"/>
      <c r="Z15" s="322" t="n"/>
      <c r="AA15" s="322" t="n"/>
      <c r="AB15" s="322" t="n"/>
      <c r="AC15" s="322" t="n"/>
      <c r="AD15" s="322" t="n"/>
      <c r="AE15" s="322" t="n"/>
      <c r="AF15" s="322" t="n"/>
      <c r="AG15" s="322" t="n"/>
      <c r="AH15" s="322" t="n"/>
      <c r="AI15" s="322" t="n"/>
      <c r="AJ15" s="322" t="n"/>
      <c r="AK15" s="322" t="n"/>
      <c r="AL15" s="322" t="n"/>
      <c r="AM15" s="322" t="n"/>
      <c r="AN15" s="322" t="n"/>
      <c r="AO15" s="322" t="n"/>
      <c r="AP15" s="322" t="n"/>
      <c r="AQ15" s="322" t="n"/>
      <c r="AR15" s="322" t="n"/>
      <c r="AS15" s="322" t="n"/>
      <c r="AT15" s="322" t="n"/>
      <c r="AU15" s="322" t="n"/>
      <c r="AV15" s="322" t="n"/>
      <c r="AW15" s="322" t="n"/>
      <c r="AX15" s="322" t="n"/>
      <c r="AY15" s="322" t="n"/>
      <c r="AZ15" s="322" t="n"/>
      <c r="BA15" s="322" t="n"/>
      <c r="BB15" s="322" t="n"/>
      <c r="BC15" s="322" t="n"/>
      <c r="BD15" s="322" t="n"/>
      <c r="BE15" s="322" t="n"/>
      <c r="BF15" s="322" t="n"/>
      <c r="BG15" s="322" t="n"/>
      <c r="BH15" s="322" t="n"/>
      <c r="BI15" s="322" t="n"/>
      <c r="BJ15" s="322" t="n"/>
      <c r="BK15" s="322" t="n"/>
      <c r="BL15" s="322" t="n"/>
      <c r="BM15" s="322" t="n"/>
      <c r="BN15" s="322" t="n"/>
      <c r="BO15" s="322" t="n"/>
      <c r="BP15" s="322" t="n"/>
      <c r="BQ15" s="322" t="n"/>
      <c r="BR15" s="322" t="n"/>
      <c r="BS15" s="322" t="n"/>
      <c r="BT15" s="322" t="n"/>
      <c r="BU15" s="322" t="n"/>
      <c r="BV15" s="322" t="n"/>
    </row>
    <row r="16">
      <c r="A16" s="4" t="inlineStr">
        <is>
          <t>GAR-&gt; NAR adjustment</t>
        </is>
      </c>
      <c r="B16" s="17" t="n">
        <v>260</v>
      </c>
      <c r="C16" s="17" t="inlineStr">
        <is>
          <t>kcal/kg</t>
        </is>
      </c>
      <c r="D16" s="324" t="n"/>
      <c r="E16" s="324" t="n"/>
      <c r="F16" s="324" t="n"/>
      <c r="G16" s="324" t="n"/>
      <c r="H16" s="324" t="n"/>
      <c r="I16" s="324" t="n"/>
      <c r="J16" s="324" t="n"/>
      <c r="K16" s="324" t="n"/>
      <c r="L16" s="324" t="n"/>
      <c r="M16" s="324" t="n"/>
      <c r="N16" s="324" t="n"/>
      <c r="O16" s="324" t="n"/>
      <c r="P16" s="324" t="n"/>
      <c r="Q16" s="324" t="n"/>
      <c r="R16" s="324" t="n"/>
      <c r="S16" s="324" t="n"/>
      <c r="T16" s="324" t="n"/>
      <c r="U16" s="324" t="n"/>
      <c r="V16" s="324" t="n"/>
      <c r="W16" s="324" t="n"/>
      <c r="X16" s="324" t="n"/>
      <c r="Y16" s="324" t="n"/>
      <c r="Z16" s="324" t="n"/>
      <c r="AA16" s="324" t="n"/>
      <c r="AB16" s="324" t="n"/>
      <c r="AC16" s="324" t="n"/>
      <c r="AD16" s="324" t="n"/>
      <c r="AE16" s="324" t="n"/>
      <c r="AF16" s="324" t="n"/>
      <c r="AG16" s="324" t="n"/>
      <c r="AH16" s="324" t="n"/>
      <c r="AI16" s="324" t="n"/>
      <c r="AJ16" s="324" t="n"/>
      <c r="AK16" s="324" t="n"/>
      <c r="AL16" s="324" t="n"/>
      <c r="AM16" s="324" t="n"/>
      <c r="AN16" s="324" t="n"/>
      <c r="AO16" s="324" t="n"/>
      <c r="AP16" s="324" t="n"/>
      <c r="AQ16" s="324" t="n"/>
      <c r="AR16" s="324" t="n"/>
      <c r="AS16" s="324" t="n"/>
      <c r="AT16" s="324" t="n"/>
      <c r="AU16" s="324" t="n"/>
      <c r="AV16" s="324" t="n"/>
      <c r="AW16" s="324" t="n"/>
      <c r="AX16" s="324" t="n"/>
      <c r="AY16" s="324" t="n"/>
      <c r="AZ16" s="324" t="n"/>
      <c r="BA16" s="324" t="n"/>
      <c r="BB16" s="324" t="n"/>
      <c r="BC16" s="324" t="n"/>
      <c r="BD16" s="324" t="n"/>
      <c r="BE16" s="324" t="n"/>
      <c r="BF16" s="324" t="n"/>
      <c r="BG16" s="324" t="n"/>
      <c r="BH16" s="324" t="n"/>
      <c r="BI16" s="324" t="n"/>
      <c r="BJ16" s="324" t="n"/>
      <c r="BK16" s="324" t="n"/>
      <c r="BL16" s="324" t="n"/>
      <c r="BM16" s="324" t="n"/>
      <c r="BN16" s="324" t="n"/>
      <c r="BO16" s="324" t="n"/>
      <c r="BP16" s="324" t="n"/>
      <c r="BQ16" s="324" t="n"/>
      <c r="BR16" s="324" t="n"/>
      <c r="BS16" s="324" t="n"/>
      <c r="BT16" s="324" t="n"/>
      <c r="BU16" s="324" t="n"/>
      <c r="BV16" s="324" t="n"/>
    </row>
    <row r="17">
      <c r="A17" t="inlineStr">
        <is>
          <t>Basis of coal prices</t>
        </is>
      </c>
      <c r="B17" s="17" t="n">
        <v>6000</v>
      </c>
      <c r="C17" s="17" t="inlineStr">
        <is>
          <t>kcal/kg(nar)</t>
        </is>
      </c>
      <c r="D17" s="324" t="n"/>
      <c r="E17" s="324" t="n"/>
      <c r="F17" s="324" t="n"/>
      <c r="G17" s="324" t="n"/>
      <c r="H17" s="324" t="n"/>
      <c r="I17" s="324" t="n"/>
      <c r="J17" s="324" t="n"/>
      <c r="K17" s="324" t="n"/>
      <c r="L17" s="324" t="n"/>
      <c r="M17" s="324" t="n"/>
      <c r="N17" s="324" t="n"/>
      <c r="O17" s="324" t="n"/>
      <c r="P17" s="324" t="n"/>
      <c r="Q17" s="324" t="n"/>
      <c r="R17" s="324" t="n"/>
      <c r="S17" s="324" t="n"/>
      <c r="T17" s="324" t="n"/>
      <c r="U17" s="324" t="n"/>
      <c r="V17" s="324" t="n"/>
      <c r="W17" s="324" t="n"/>
      <c r="X17" s="324" t="n"/>
      <c r="Y17" s="324" t="n"/>
      <c r="Z17" s="324" t="n"/>
      <c r="AA17" s="324" t="n"/>
      <c r="AB17" s="324" t="n"/>
      <c r="AC17" s="324" t="n"/>
      <c r="AD17" s="324" t="n"/>
      <c r="AE17" s="324" t="n"/>
      <c r="AF17" s="324" t="n"/>
      <c r="AG17" s="324" t="n"/>
      <c r="AH17" s="324" t="n"/>
      <c r="AI17" s="324" t="n"/>
      <c r="AJ17" s="324" t="n"/>
      <c r="AK17" s="324" t="n"/>
      <c r="AL17" s="324" t="n"/>
      <c r="AM17" s="324" t="n"/>
      <c r="AN17" s="324" t="n"/>
      <c r="AO17" s="324" t="n"/>
      <c r="AP17" s="324" t="n"/>
      <c r="AQ17" s="324" t="n"/>
      <c r="AR17" s="324" t="n"/>
      <c r="AS17" s="324" t="n"/>
      <c r="AT17" s="324" t="n"/>
      <c r="AU17" s="324" t="n"/>
      <c r="AV17" s="324" t="n"/>
      <c r="AW17" s="324" t="n"/>
      <c r="AX17" s="324" t="n"/>
      <c r="AY17" s="324" t="n"/>
      <c r="AZ17" s="324" t="n"/>
      <c r="BA17" s="324" t="n"/>
      <c r="BB17" s="324" t="n"/>
      <c r="BC17" s="324" t="n"/>
      <c r="BD17" s="324" t="n"/>
      <c r="BE17" s="324" t="n"/>
      <c r="BF17" s="324" t="n"/>
      <c r="BG17" s="324" t="n"/>
      <c r="BH17" s="324" t="n"/>
      <c r="BI17" s="324" t="n"/>
      <c r="BJ17" s="324" t="n"/>
      <c r="BK17" s="324" t="n"/>
      <c r="BL17" s="324" t="n"/>
      <c r="BM17" s="324" t="n"/>
      <c r="BN17" s="324" t="n"/>
      <c r="BO17" s="324" t="n"/>
      <c r="BP17" s="324" t="n"/>
      <c r="BQ17" s="324" t="n"/>
      <c r="BR17" s="324" t="n"/>
      <c r="BS17" s="324" t="n"/>
      <c r="BT17" s="324" t="n"/>
      <c r="BU17" s="324" t="n"/>
      <c r="BV17" s="324" t="n"/>
    </row>
    <row r="20">
      <c r="A20" s="88" t="inlineStr">
        <is>
          <t>Carbon Scenario</t>
        </is>
      </c>
      <c r="B20" s="88" t="n"/>
      <c r="C20" s="72" t="inlineStr">
        <is>
          <t>Accelerated Transition</t>
        </is>
      </c>
    </row>
    <row r="23">
      <c r="A23" s="15" t="inlineStr">
        <is>
          <t>Other Assumptions</t>
        </is>
      </c>
      <c r="B23" s="18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</row>
    <row r="24">
      <c r="A24" s="325" t="n"/>
      <c r="B24" s="131" t="n"/>
      <c r="C24" s="129" t="n"/>
    </row>
    <row r="25">
      <c r="A25" s="326" t="inlineStr">
        <is>
          <t xml:space="preserve"> QLD royalty assumptions </t>
        </is>
      </c>
      <c r="B25" s="133" t="n"/>
      <c r="C25" s="129" t="n"/>
    </row>
    <row r="26">
      <c r="A26" s="327" t="n"/>
      <c r="B26" s="133" t="n"/>
      <c r="C26" s="129" t="n"/>
    </row>
    <row r="27">
      <c r="A27" s="28" t="inlineStr">
        <is>
          <t xml:space="preserve"> Threshold </t>
        </is>
      </c>
      <c r="B27" s="328" t="n"/>
      <c r="C27" s="129" t="n"/>
    </row>
    <row r="28">
      <c r="A28" s="4" t="inlineStr">
        <is>
          <t xml:space="preserve"> Tier 1 </t>
        </is>
      </c>
      <c r="B28" s="17" t="inlineStr">
        <is>
          <t xml:space="preserve"> AUD/t </t>
        </is>
      </c>
      <c r="C28" s="129" t="n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s="4" t="inlineStr">
        <is>
          <t xml:space="preserve"> Tier 2 </t>
        </is>
      </c>
      <c r="B29" s="17" t="inlineStr">
        <is>
          <t xml:space="preserve"> AUD/t </t>
        </is>
      </c>
      <c r="C29" s="129" t="n"/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100</v>
      </c>
      <c r="AP29" t="n">
        <v>100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n">
        <v>100</v>
      </c>
      <c r="BR29" t="n">
        <v>100</v>
      </c>
      <c r="BS29" t="n">
        <v>100</v>
      </c>
      <c r="BT29" t="n">
        <v>100</v>
      </c>
      <c r="BU29" t="n">
        <v>100</v>
      </c>
      <c r="BV29" t="n">
        <v>100</v>
      </c>
    </row>
    <row r="30">
      <c r="A30" s="4" t="inlineStr">
        <is>
          <t xml:space="preserve"> Tier 3 </t>
        </is>
      </c>
      <c r="B30" s="17" t="inlineStr">
        <is>
          <t xml:space="preserve"> AUD/t </t>
        </is>
      </c>
      <c r="C30" s="129" t="n"/>
      <c r="D30" t="n">
        <v>150</v>
      </c>
      <c r="E30" t="n">
        <v>150</v>
      </c>
      <c r="F30" t="n">
        <v>150</v>
      </c>
      <c r="G30" t="n">
        <v>150</v>
      </c>
      <c r="H30" t="n">
        <v>150</v>
      </c>
      <c r="I30" t="n">
        <v>150</v>
      </c>
      <c r="J30" t="n">
        <v>150</v>
      </c>
      <c r="K30" t="n">
        <v>150</v>
      </c>
      <c r="L30" t="n">
        <v>150</v>
      </c>
      <c r="M30" t="n">
        <v>150</v>
      </c>
      <c r="N30" t="n">
        <v>150</v>
      </c>
      <c r="O30" t="n">
        <v>150</v>
      </c>
      <c r="P30" t="n">
        <v>150</v>
      </c>
      <c r="Q30" t="n">
        <v>150</v>
      </c>
      <c r="R30" t="n">
        <v>150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  <c r="Z30" t="n">
        <v>150</v>
      </c>
      <c r="AA30" t="n">
        <v>150</v>
      </c>
      <c r="AB30" t="n">
        <v>150</v>
      </c>
      <c r="AC30" t="n">
        <v>150</v>
      </c>
      <c r="AD30" t="n">
        <v>150</v>
      </c>
      <c r="AE30" t="n">
        <v>150</v>
      </c>
      <c r="AF30" t="n">
        <v>150</v>
      </c>
      <c r="AG30" t="n">
        <v>150</v>
      </c>
      <c r="AH30" t="n">
        <v>150</v>
      </c>
      <c r="AI30" t="n">
        <v>150</v>
      </c>
      <c r="AJ30" t="n">
        <v>150</v>
      </c>
      <c r="AK30" t="n">
        <v>150</v>
      </c>
      <c r="AL30" t="n">
        <v>150</v>
      </c>
      <c r="AM30" t="n">
        <v>150</v>
      </c>
      <c r="AN30" t="n">
        <v>150</v>
      </c>
      <c r="AO30" t="n">
        <v>150</v>
      </c>
      <c r="AP30" t="n">
        <v>150</v>
      </c>
      <c r="AQ30" t="n">
        <v>150</v>
      </c>
      <c r="AR30" t="n">
        <v>150</v>
      </c>
      <c r="AS30" t="n">
        <v>150</v>
      </c>
      <c r="AT30" t="n">
        <v>150</v>
      </c>
      <c r="AU30" t="n">
        <v>150</v>
      </c>
      <c r="AV30" t="n">
        <v>150</v>
      </c>
      <c r="AW30" t="n">
        <v>150</v>
      </c>
      <c r="AX30" t="n">
        <v>150</v>
      </c>
      <c r="AY30" t="n">
        <v>150</v>
      </c>
      <c r="AZ30" t="n">
        <v>150</v>
      </c>
      <c r="BA30" t="n">
        <v>150</v>
      </c>
      <c r="BB30" t="n">
        <v>150</v>
      </c>
      <c r="BC30" t="n">
        <v>150</v>
      </c>
      <c r="BD30" t="n">
        <v>150</v>
      </c>
      <c r="BE30" t="n">
        <v>150</v>
      </c>
      <c r="BF30" t="n">
        <v>150</v>
      </c>
      <c r="BG30" t="n">
        <v>150</v>
      </c>
      <c r="BH30" t="n">
        <v>150</v>
      </c>
      <c r="BI30" t="n">
        <v>150</v>
      </c>
      <c r="BJ30" t="n">
        <v>150</v>
      </c>
      <c r="BK30" t="n">
        <v>150</v>
      </c>
      <c r="BL30" t="n">
        <v>150</v>
      </c>
      <c r="BM30" t="n">
        <v>150</v>
      </c>
      <c r="BN30" t="n">
        <v>150</v>
      </c>
      <c r="BO30" t="n">
        <v>150</v>
      </c>
      <c r="BP30" t="n">
        <v>150</v>
      </c>
      <c r="BQ30" t="n">
        <v>150</v>
      </c>
      <c r="BR30" t="n">
        <v>150</v>
      </c>
      <c r="BS30" t="n">
        <v>150</v>
      </c>
      <c r="BT30" t="n">
        <v>150</v>
      </c>
      <c r="BU30" t="n">
        <v>150</v>
      </c>
      <c r="BV30" t="n">
        <v>150</v>
      </c>
    </row>
    <row r="31">
      <c r="A31" s="4" t="inlineStr">
        <is>
          <t>Tier 4</t>
        </is>
      </c>
      <c r="B31" s="17" t="inlineStr">
        <is>
          <t xml:space="preserve"> AUD/t </t>
        </is>
      </c>
      <c r="C31" s="129" t="n"/>
      <c r="F31" t="n">
        <v>175</v>
      </c>
      <c r="G31" t="n">
        <v>175</v>
      </c>
      <c r="H31" t="n">
        <v>175</v>
      </c>
      <c r="I31" t="n">
        <v>175</v>
      </c>
      <c r="J31" t="n">
        <v>175</v>
      </c>
      <c r="K31" t="n">
        <v>175</v>
      </c>
      <c r="L31" t="n">
        <v>175</v>
      </c>
      <c r="M31" t="n">
        <v>175</v>
      </c>
      <c r="N31" t="n">
        <v>175</v>
      </c>
      <c r="O31" t="n">
        <v>175</v>
      </c>
      <c r="P31" t="n">
        <v>175</v>
      </c>
      <c r="Q31" t="n">
        <v>175</v>
      </c>
      <c r="R31" t="n">
        <v>175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  <c r="Z31" t="n">
        <v>175</v>
      </c>
      <c r="AA31" t="n">
        <v>175</v>
      </c>
      <c r="AB31" t="n">
        <v>175</v>
      </c>
      <c r="AC31" t="n">
        <v>175</v>
      </c>
      <c r="AD31" t="n">
        <v>175</v>
      </c>
      <c r="AE31" t="n">
        <v>175</v>
      </c>
      <c r="AF31" t="n">
        <v>175</v>
      </c>
      <c r="AG31" t="n">
        <v>175</v>
      </c>
      <c r="AH31" t="n">
        <v>175</v>
      </c>
      <c r="AI31" t="n">
        <v>175</v>
      </c>
      <c r="AJ31" t="n">
        <v>175</v>
      </c>
      <c r="AK31" t="n">
        <v>175</v>
      </c>
      <c r="AL31" t="n">
        <v>175</v>
      </c>
      <c r="AM31" t="n">
        <v>175</v>
      </c>
      <c r="AN31" t="n">
        <v>175</v>
      </c>
      <c r="AO31" t="n">
        <v>175</v>
      </c>
      <c r="AP31" t="n">
        <v>175</v>
      </c>
      <c r="AQ31" t="n">
        <v>175</v>
      </c>
      <c r="AR31" t="n">
        <v>175</v>
      </c>
      <c r="AS31" t="n">
        <v>175</v>
      </c>
      <c r="AT31" t="n">
        <v>175</v>
      </c>
      <c r="AU31" t="n">
        <v>175</v>
      </c>
      <c r="AV31" t="n">
        <v>175</v>
      </c>
      <c r="AW31" t="n">
        <v>175</v>
      </c>
      <c r="AX31" t="n">
        <v>175</v>
      </c>
      <c r="AY31" t="n">
        <v>175</v>
      </c>
      <c r="AZ31" t="n">
        <v>175</v>
      </c>
      <c r="BA31" t="n">
        <v>175</v>
      </c>
      <c r="BB31" t="n">
        <v>175</v>
      </c>
      <c r="BC31" t="n">
        <v>175</v>
      </c>
      <c r="BD31" t="n">
        <v>175</v>
      </c>
      <c r="BE31" t="n">
        <v>175</v>
      </c>
      <c r="BF31" t="n">
        <v>175</v>
      </c>
      <c r="BG31" t="n">
        <v>175</v>
      </c>
      <c r="BH31" t="n">
        <v>175</v>
      </c>
      <c r="BI31" t="n">
        <v>175</v>
      </c>
      <c r="BJ31" t="n">
        <v>175</v>
      </c>
      <c r="BK31" t="n">
        <v>175</v>
      </c>
      <c r="BL31" t="n">
        <v>175</v>
      </c>
      <c r="BM31" t="n">
        <v>175</v>
      </c>
      <c r="BN31" t="n">
        <v>175</v>
      </c>
      <c r="BO31" t="n">
        <v>175</v>
      </c>
      <c r="BP31" t="n">
        <v>175</v>
      </c>
      <c r="BQ31" t="n">
        <v>175</v>
      </c>
      <c r="BR31" t="n">
        <v>175</v>
      </c>
      <c r="BS31" t="n">
        <v>175</v>
      </c>
      <c r="BT31" t="n">
        <v>175</v>
      </c>
      <c r="BU31" t="n">
        <v>175</v>
      </c>
      <c r="BV31" t="n">
        <v>175</v>
      </c>
    </row>
    <row r="32">
      <c r="A32" s="4" t="inlineStr">
        <is>
          <t>Tier 5</t>
        </is>
      </c>
      <c r="B32" s="17" t="inlineStr">
        <is>
          <t xml:space="preserve"> AUD/t </t>
        </is>
      </c>
      <c r="C32" s="129" t="n"/>
      <c r="F32" t="n">
        <v>225</v>
      </c>
      <c r="G32" t="n">
        <v>225</v>
      </c>
      <c r="H32" t="n">
        <v>225</v>
      </c>
      <c r="I32" t="n">
        <v>225</v>
      </c>
      <c r="J32" t="n">
        <v>225</v>
      </c>
      <c r="K32" t="n">
        <v>225</v>
      </c>
      <c r="L32" t="n">
        <v>225</v>
      </c>
      <c r="M32" t="n">
        <v>225</v>
      </c>
      <c r="N32" t="n">
        <v>225</v>
      </c>
      <c r="O32" t="n">
        <v>225</v>
      </c>
      <c r="P32" t="n">
        <v>225</v>
      </c>
      <c r="Q32" t="n">
        <v>225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  <c r="Z32" t="n">
        <v>225</v>
      </c>
      <c r="AA32" t="n">
        <v>225</v>
      </c>
      <c r="AB32" t="n">
        <v>225</v>
      </c>
      <c r="AC32" t="n">
        <v>225</v>
      </c>
      <c r="AD32" t="n">
        <v>225</v>
      </c>
      <c r="AE32" t="n">
        <v>225</v>
      </c>
      <c r="AF32" t="n">
        <v>225</v>
      </c>
      <c r="AG32" t="n">
        <v>225</v>
      </c>
      <c r="AH32" t="n">
        <v>225</v>
      </c>
      <c r="AI32" t="n">
        <v>225</v>
      </c>
      <c r="AJ32" t="n">
        <v>225</v>
      </c>
      <c r="AK32" t="n">
        <v>225</v>
      </c>
      <c r="AL32" t="n">
        <v>225</v>
      </c>
      <c r="AM32" t="n">
        <v>225</v>
      </c>
      <c r="AN32" t="n">
        <v>225</v>
      </c>
      <c r="AO32" t="n">
        <v>225</v>
      </c>
      <c r="AP32" t="n">
        <v>225</v>
      </c>
      <c r="AQ32" t="n">
        <v>225</v>
      </c>
      <c r="AR32" t="n">
        <v>225</v>
      </c>
      <c r="AS32" t="n">
        <v>225</v>
      </c>
      <c r="AT32" t="n">
        <v>225</v>
      </c>
      <c r="AU32" t="n">
        <v>225</v>
      </c>
      <c r="AV32" t="n">
        <v>225</v>
      </c>
      <c r="AW32" t="n">
        <v>225</v>
      </c>
      <c r="AX32" t="n">
        <v>225</v>
      </c>
      <c r="AY32" t="n">
        <v>225</v>
      </c>
      <c r="AZ32" t="n">
        <v>225</v>
      </c>
      <c r="BA32" t="n">
        <v>225</v>
      </c>
      <c r="BB32" t="n">
        <v>225</v>
      </c>
      <c r="BC32" t="n">
        <v>225</v>
      </c>
      <c r="BD32" t="n">
        <v>225</v>
      </c>
      <c r="BE32" t="n">
        <v>225</v>
      </c>
      <c r="BF32" t="n">
        <v>225</v>
      </c>
      <c r="BG32" t="n">
        <v>225</v>
      </c>
      <c r="BH32" t="n">
        <v>225</v>
      </c>
      <c r="BI32" t="n">
        <v>225</v>
      </c>
      <c r="BJ32" t="n">
        <v>225</v>
      </c>
      <c r="BK32" t="n">
        <v>225</v>
      </c>
      <c r="BL32" t="n">
        <v>225</v>
      </c>
      <c r="BM32" t="n">
        <v>225</v>
      </c>
      <c r="BN32" t="n">
        <v>225</v>
      </c>
      <c r="BO32" t="n">
        <v>225</v>
      </c>
      <c r="BP32" t="n">
        <v>225</v>
      </c>
      <c r="BQ32" t="n">
        <v>225</v>
      </c>
      <c r="BR32" t="n">
        <v>225</v>
      </c>
      <c r="BS32" t="n">
        <v>225</v>
      </c>
      <c r="BT32" t="n">
        <v>225</v>
      </c>
      <c r="BU32" t="n">
        <v>225</v>
      </c>
      <c r="BV32" t="n">
        <v>225</v>
      </c>
    </row>
    <row r="33">
      <c r="A33" s="4" t="inlineStr">
        <is>
          <t>Tier 6</t>
        </is>
      </c>
      <c r="B33" s="17" t="inlineStr">
        <is>
          <t xml:space="preserve"> AUD/t </t>
        </is>
      </c>
      <c r="C33" s="129" t="n"/>
      <c r="F33" t="n">
        <v>300</v>
      </c>
      <c r="G33" t="n">
        <v>300</v>
      </c>
      <c r="H33" t="n">
        <v>300</v>
      </c>
      <c r="I33" t="n">
        <v>300</v>
      </c>
      <c r="J33" t="n">
        <v>300</v>
      </c>
      <c r="K33" t="n">
        <v>300</v>
      </c>
      <c r="L33" t="n">
        <v>300</v>
      </c>
      <c r="M33" t="n">
        <v>300</v>
      </c>
      <c r="N33" t="n">
        <v>300</v>
      </c>
      <c r="O33" t="n">
        <v>300</v>
      </c>
      <c r="P33" t="n">
        <v>300</v>
      </c>
      <c r="Q33" t="n">
        <v>300</v>
      </c>
      <c r="R33" t="n">
        <v>300</v>
      </c>
      <c r="S33" t="n">
        <v>300</v>
      </c>
      <c r="T33" t="n">
        <v>300</v>
      </c>
      <c r="U33" t="n">
        <v>300</v>
      </c>
      <c r="V33" t="n">
        <v>300</v>
      </c>
      <c r="W33" t="n">
        <v>300</v>
      </c>
      <c r="X33" t="n">
        <v>300</v>
      </c>
      <c r="Y33" t="n">
        <v>300</v>
      </c>
      <c r="Z33" t="n">
        <v>300</v>
      </c>
      <c r="AA33" t="n">
        <v>300</v>
      </c>
      <c r="AB33" t="n">
        <v>300</v>
      </c>
      <c r="AC33" t="n">
        <v>300</v>
      </c>
      <c r="AD33" t="n">
        <v>300</v>
      </c>
      <c r="AE33" t="n">
        <v>300</v>
      </c>
      <c r="AF33" t="n">
        <v>300</v>
      </c>
      <c r="AG33" t="n">
        <v>300</v>
      </c>
      <c r="AH33" t="n">
        <v>300</v>
      </c>
      <c r="AI33" t="n">
        <v>300</v>
      </c>
      <c r="AJ33" t="n">
        <v>300</v>
      </c>
      <c r="AK33" t="n">
        <v>300</v>
      </c>
      <c r="AL33" t="n">
        <v>300</v>
      </c>
      <c r="AM33" t="n">
        <v>300</v>
      </c>
      <c r="AN33" t="n">
        <v>300</v>
      </c>
      <c r="AO33" t="n">
        <v>300</v>
      </c>
      <c r="AP33" t="n">
        <v>300</v>
      </c>
      <c r="AQ33" t="n">
        <v>300</v>
      </c>
      <c r="AR33" t="n">
        <v>300</v>
      </c>
      <c r="AS33" t="n">
        <v>300</v>
      </c>
      <c r="AT33" t="n">
        <v>300</v>
      </c>
      <c r="AU33" t="n">
        <v>300</v>
      </c>
      <c r="AV33" t="n">
        <v>300</v>
      </c>
      <c r="AW33" t="n">
        <v>300</v>
      </c>
      <c r="AX33" t="n">
        <v>300</v>
      </c>
      <c r="AY33" t="n">
        <v>300</v>
      </c>
      <c r="AZ33" t="n">
        <v>300</v>
      </c>
      <c r="BA33" t="n">
        <v>300</v>
      </c>
      <c r="BB33" t="n">
        <v>300</v>
      </c>
      <c r="BC33" t="n">
        <v>300</v>
      </c>
      <c r="BD33" t="n">
        <v>300</v>
      </c>
      <c r="BE33" t="n">
        <v>300</v>
      </c>
      <c r="BF33" t="n">
        <v>300</v>
      </c>
      <c r="BG33" t="n">
        <v>300</v>
      </c>
      <c r="BH33" t="n">
        <v>300</v>
      </c>
      <c r="BI33" t="n">
        <v>300</v>
      </c>
      <c r="BJ33" t="n">
        <v>300</v>
      </c>
      <c r="BK33" t="n">
        <v>300</v>
      </c>
      <c r="BL33" t="n">
        <v>300</v>
      </c>
      <c r="BM33" t="n">
        <v>300</v>
      </c>
      <c r="BN33" t="n">
        <v>300</v>
      </c>
      <c r="BO33" t="n">
        <v>300</v>
      </c>
      <c r="BP33" t="n">
        <v>300</v>
      </c>
      <c r="BQ33" t="n">
        <v>300</v>
      </c>
      <c r="BR33" t="n">
        <v>300</v>
      </c>
      <c r="BS33" t="n">
        <v>300</v>
      </c>
      <c r="BT33" t="n">
        <v>300</v>
      </c>
      <c r="BU33" t="n">
        <v>300</v>
      </c>
      <c r="BV33" t="n">
        <v>300</v>
      </c>
    </row>
    <row r="34">
      <c r="A34" s="28" t="inlineStr">
        <is>
          <t xml:space="preserve"> Rate </t>
        </is>
      </c>
      <c r="B34" s="328" t="n"/>
      <c r="C34" s="129" t="n"/>
    </row>
    <row r="35">
      <c r="A35" s="4" t="inlineStr">
        <is>
          <t xml:space="preserve"> Tier 1 </t>
        </is>
      </c>
      <c r="B35" s="17" t="inlineStr">
        <is>
          <t xml:space="preserve"> % </t>
        </is>
      </c>
      <c r="C35" s="129" t="n"/>
      <c r="D35" s="329" t="n">
        <v>0.07000000000000001</v>
      </c>
      <c r="E35" s="329" t="n">
        <v>0.07000000000000001</v>
      </c>
      <c r="F35" s="329" t="n">
        <v>0.07000000000000001</v>
      </c>
      <c r="G35" s="329" t="n">
        <v>0.07000000000000001</v>
      </c>
      <c r="H35" s="329" t="n">
        <v>0.07000000000000001</v>
      </c>
      <c r="I35" s="171" t="n">
        <v>0.07000000000000001</v>
      </c>
      <c r="J35" t="n">
        <v>0.07000000000000001</v>
      </c>
      <c r="K35" t="n">
        <v>0.07000000000000001</v>
      </c>
      <c r="L35" t="n">
        <v>0.07000000000000001</v>
      </c>
      <c r="M35" t="n">
        <v>0.07000000000000001</v>
      </c>
      <c r="N35" t="n">
        <v>0.07000000000000001</v>
      </c>
      <c r="O35" t="n">
        <v>0.07000000000000001</v>
      </c>
      <c r="P35" t="n">
        <v>0.07000000000000001</v>
      </c>
      <c r="Q35" t="n">
        <v>0.07000000000000001</v>
      </c>
      <c r="R35" t="n">
        <v>0.07000000000000001</v>
      </c>
      <c r="S35" t="n">
        <v>0.07000000000000001</v>
      </c>
      <c r="T35" t="n">
        <v>0.07000000000000001</v>
      </c>
      <c r="U35" t="n">
        <v>0.07000000000000001</v>
      </c>
      <c r="V35" t="n">
        <v>0.07000000000000001</v>
      </c>
      <c r="W35" t="n">
        <v>0.07000000000000001</v>
      </c>
      <c r="X35" t="n">
        <v>0.07000000000000001</v>
      </c>
      <c r="Y35" t="n">
        <v>0.07000000000000001</v>
      </c>
      <c r="Z35" t="n">
        <v>0.07000000000000001</v>
      </c>
      <c r="AA35" t="n">
        <v>0.07000000000000001</v>
      </c>
      <c r="AB35" t="n">
        <v>0.07000000000000001</v>
      </c>
      <c r="AC35" t="n">
        <v>0.07000000000000001</v>
      </c>
      <c r="AD35" t="n">
        <v>0.07000000000000001</v>
      </c>
      <c r="AE35" t="n">
        <v>0.07000000000000001</v>
      </c>
      <c r="AF35" t="n">
        <v>0.07000000000000001</v>
      </c>
      <c r="AG35" t="n">
        <v>0.07000000000000001</v>
      </c>
      <c r="AH35" t="n">
        <v>0.07000000000000001</v>
      </c>
      <c r="AI35" t="n">
        <v>0.07000000000000001</v>
      </c>
      <c r="AJ35" t="n">
        <v>0.07000000000000001</v>
      </c>
      <c r="AK35" t="n">
        <v>0.07000000000000001</v>
      </c>
      <c r="AL35" t="n">
        <v>0.07000000000000001</v>
      </c>
      <c r="AM35" t="n">
        <v>0.07000000000000001</v>
      </c>
      <c r="AN35" t="n">
        <v>0.07000000000000001</v>
      </c>
      <c r="AO35" t="n">
        <v>0.07000000000000001</v>
      </c>
      <c r="AP35" t="n">
        <v>0.07000000000000001</v>
      </c>
      <c r="AQ35" t="n">
        <v>0.07000000000000001</v>
      </c>
      <c r="AR35" t="n">
        <v>0.07000000000000001</v>
      </c>
      <c r="AS35" t="n">
        <v>0.07000000000000001</v>
      </c>
      <c r="AT35" t="n">
        <v>0.07000000000000001</v>
      </c>
      <c r="AU35" t="n">
        <v>0.07000000000000001</v>
      </c>
      <c r="AV35" t="n">
        <v>0.07000000000000001</v>
      </c>
      <c r="AW35" t="n">
        <v>0.07000000000000001</v>
      </c>
      <c r="AX35" t="n">
        <v>0.07000000000000001</v>
      </c>
      <c r="AY35" t="n">
        <v>0.07000000000000001</v>
      </c>
      <c r="AZ35" t="n">
        <v>0.07000000000000001</v>
      </c>
      <c r="BA35" t="n">
        <v>0.07000000000000001</v>
      </c>
      <c r="BB35" t="n">
        <v>0.07000000000000001</v>
      </c>
      <c r="BC35" t="n">
        <v>0.07000000000000001</v>
      </c>
      <c r="BD35" t="n">
        <v>0.07000000000000001</v>
      </c>
      <c r="BE35" t="n">
        <v>0.07000000000000001</v>
      </c>
      <c r="BF35" t="n">
        <v>0.07000000000000001</v>
      </c>
      <c r="BG35" t="n">
        <v>0.07000000000000001</v>
      </c>
      <c r="BH35" t="n">
        <v>0.07000000000000001</v>
      </c>
      <c r="BI35" t="n">
        <v>0.07000000000000001</v>
      </c>
      <c r="BJ35" t="n">
        <v>0.07000000000000001</v>
      </c>
      <c r="BK35" t="n">
        <v>0.07000000000000001</v>
      </c>
      <c r="BL35" t="n">
        <v>0.07000000000000001</v>
      </c>
      <c r="BM35" t="n">
        <v>0.07000000000000001</v>
      </c>
      <c r="BN35" t="n">
        <v>0.07000000000000001</v>
      </c>
      <c r="BO35" t="n">
        <v>0.07000000000000001</v>
      </c>
      <c r="BP35" t="n">
        <v>0.07000000000000001</v>
      </c>
      <c r="BQ35" t="n">
        <v>0.07000000000000001</v>
      </c>
      <c r="BR35" t="n">
        <v>0.07000000000000001</v>
      </c>
      <c r="BS35" t="n">
        <v>0.07000000000000001</v>
      </c>
      <c r="BT35" t="n">
        <v>0.07000000000000001</v>
      </c>
      <c r="BU35" t="n">
        <v>0.07000000000000001</v>
      </c>
      <c r="BV35" t="n">
        <v>0.07000000000000001</v>
      </c>
    </row>
    <row r="36">
      <c r="A36" s="4" t="inlineStr">
        <is>
          <t xml:space="preserve"> Tier 2 </t>
        </is>
      </c>
      <c r="B36" s="17" t="inlineStr">
        <is>
          <t xml:space="preserve"> % </t>
        </is>
      </c>
      <c r="C36" s="129" t="n"/>
      <c r="D36" s="329" t="n">
        <v>0.125</v>
      </c>
      <c r="E36" s="329" t="n">
        <v>0.125</v>
      </c>
      <c r="F36" s="329" t="n">
        <v>0.125</v>
      </c>
      <c r="G36" s="329" t="n">
        <v>0.125</v>
      </c>
      <c r="H36" s="329" t="n">
        <v>0.125</v>
      </c>
      <c r="I36" s="171" t="n">
        <v>0.125</v>
      </c>
      <c r="J36" t="n">
        <v>0.125</v>
      </c>
      <c r="K36" t="n">
        <v>0.125</v>
      </c>
      <c r="L36" t="n">
        <v>0.125</v>
      </c>
      <c r="M36" t="n">
        <v>0.125</v>
      </c>
      <c r="N36" t="n">
        <v>0.125</v>
      </c>
      <c r="O36" t="n">
        <v>0.125</v>
      </c>
      <c r="P36" t="n">
        <v>0.125</v>
      </c>
      <c r="Q36" t="n">
        <v>0.125</v>
      </c>
      <c r="R36" t="n">
        <v>0.125</v>
      </c>
      <c r="S36" t="n">
        <v>0.125</v>
      </c>
      <c r="T36" t="n">
        <v>0.125</v>
      </c>
      <c r="U36" t="n">
        <v>0.125</v>
      </c>
      <c r="V36" t="n">
        <v>0.125</v>
      </c>
      <c r="W36" t="n">
        <v>0.125</v>
      </c>
      <c r="X36" t="n">
        <v>0.125</v>
      </c>
      <c r="Y36" t="n">
        <v>0.125</v>
      </c>
      <c r="Z36" t="n">
        <v>0.125</v>
      </c>
      <c r="AA36" t="n">
        <v>0.125</v>
      </c>
      <c r="AB36" t="n">
        <v>0.125</v>
      </c>
      <c r="AC36" t="n">
        <v>0.125</v>
      </c>
      <c r="AD36" t="n">
        <v>0.125</v>
      </c>
      <c r="AE36" t="n">
        <v>0.125</v>
      </c>
      <c r="AF36" t="n">
        <v>0.125</v>
      </c>
      <c r="AG36" t="n">
        <v>0.125</v>
      </c>
      <c r="AH36" t="n">
        <v>0.125</v>
      </c>
      <c r="AI36" t="n">
        <v>0.125</v>
      </c>
      <c r="AJ36" t="n">
        <v>0.125</v>
      </c>
      <c r="AK36" t="n">
        <v>0.125</v>
      </c>
      <c r="AL36" t="n">
        <v>0.125</v>
      </c>
      <c r="AM36" t="n">
        <v>0.125</v>
      </c>
      <c r="AN36" t="n">
        <v>0.125</v>
      </c>
      <c r="AO36" t="n">
        <v>0.125</v>
      </c>
      <c r="AP36" t="n">
        <v>0.125</v>
      </c>
      <c r="AQ36" t="n">
        <v>0.125</v>
      </c>
      <c r="AR36" t="n">
        <v>0.125</v>
      </c>
      <c r="AS36" t="n">
        <v>0.125</v>
      </c>
      <c r="AT36" t="n">
        <v>0.125</v>
      </c>
      <c r="AU36" t="n">
        <v>0.125</v>
      </c>
      <c r="AV36" t="n">
        <v>0.125</v>
      </c>
      <c r="AW36" t="n">
        <v>0.125</v>
      </c>
      <c r="AX36" t="n">
        <v>0.125</v>
      </c>
      <c r="AY36" t="n">
        <v>0.125</v>
      </c>
      <c r="AZ36" t="n">
        <v>0.125</v>
      </c>
      <c r="BA36" t="n">
        <v>0.125</v>
      </c>
      <c r="BB36" t="n">
        <v>0.125</v>
      </c>
      <c r="BC36" t="n">
        <v>0.125</v>
      </c>
      <c r="BD36" t="n">
        <v>0.125</v>
      </c>
      <c r="BE36" t="n">
        <v>0.125</v>
      </c>
      <c r="BF36" t="n">
        <v>0.125</v>
      </c>
      <c r="BG36" t="n">
        <v>0.125</v>
      </c>
      <c r="BH36" t="n">
        <v>0.125</v>
      </c>
      <c r="BI36" t="n">
        <v>0.125</v>
      </c>
      <c r="BJ36" t="n">
        <v>0.125</v>
      </c>
      <c r="BK36" t="n">
        <v>0.125</v>
      </c>
      <c r="BL36" t="n">
        <v>0.125</v>
      </c>
      <c r="BM36" t="n">
        <v>0.125</v>
      </c>
      <c r="BN36" t="n">
        <v>0.125</v>
      </c>
      <c r="BO36" t="n">
        <v>0.125</v>
      </c>
      <c r="BP36" t="n">
        <v>0.125</v>
      </c>
      <c r="BQ36" t="n">
        <v>0.125</v>
      </c>
      <c r="BR36" t="n">
        <v>0.125</v>
      </c>
      <c r="BS36" t="n">
        <v>0.125</v>
      </c>
      <c r="BT36" t="n">
        <v>0.125</v>
      </c>
      <c r="BU36" t="n">
        <v>0.125</v>
      </c>
      <c r="BV36" t="n">
        <v>0.125</v>
      </c>
    </row>
    <row r="37">
      <c r="A37" s="4" t="inlineStr">
        <is>
          <t xml:space="preserve"> Tier 3 </t>
        </is>
      </c>
      <c r="B37" s="17" t="inlineStr">
        <is>
          <t xml:space="preserve"> % </t>
        </is>
      </c>
      <c r="C37" s="129" t="n"/>
      <c r="D37" s="329" t="n">
        <v>0.15</v>
      </c>
      <c r="E37" s="329" t="n">
        <v>0.15</v>
      </c>
      <c r="F37" s="329" t="n">
        <v>0.15</v>
      </c>
      <c r="G37" s="329" t="n">
        <v>0.15</v>
      </c>
      <c r="H37" s="329" t="n">
        <v>0.15</v>
      </c>
      <c r="I37" s="171" t="n">
        <v>0.15</v>
      </c>
      <c r="J37" t="n">
        <v>0.15</v>
      </c>
      <c r="K37" t="n">
        <v>0.15</v>
      </c>
      <c r="L37" t="n">
        <v>0.15</v>
      </c>
      <c r="M37" t="n">
        <v>0.15</v>
      </c>
      <c r="N37" t="n">
        <v>0.15</v>
      </c>
      <c r="O37" t="n">
        <v>0.15</v>
      </c>
      <c r="P37" t="n">
        <v>0.15</v>
      </c>
      <c r="Q37" t="n">
        <v>0.15</v>
      </c>
      <c r="R37" t="n">
        <v>0.15</v>
      </c>
      <c r="S37" t="n">
        <v>0.15</v>
      </c>
      <c r="T37" t="n">
        <v>0.15</v>
      </c>
      <c r="U37" t="n">
        <v>0.15</v>
      </c>
      <c r="V37" t="n">
        <v>0.15</v>
      </c>
      <c r="W37" t="n">
        <v>0.15</v>
      </c>
      <c r="X37" t="n">
        <v>0.15</v>
      </c>
      <c r="Y37" t="n">
        <v>0.15</v>
      </c>
      <c r="Z37" t="n">
        <v>0.15</v>
      </c>
      <c r="AA37" t="n">
        <v>0.15</v>
      </c>
      <c r="AB37" t="n">
        <v>0.15</v>
      </c>
      <c r="AC37" t="n">
        <v>0.15</v>
      </c>
      <c r="AD37" t="n">
        <v>0.15</v>
      </c>
      <c r="AE37" t="n">
        <v>0.15</v>
      </c>
      <c r="AF37" t="n">
        <v>0.15</v>
      </c>
      <c r="AG37" t="n">
        <v>0.15</v>
      </c>
      <c r="AH37" t="n">
        <v>0.15</v>
      </c>
      <c r="AI37" t="n">
        <v>0.15</v>
      </c>
      <c r="AJ37" t="n">
        <v>0.15</v>
      </c>
      <c r="AK37" t="n">
        <v>0.15</v>
      </c>
      <c r="AL37" t="n">
        <v>0.15</v>
      </c>
      <c r="AM37" t="n">
        <v>0.15</v>
      </c>
      <c r="AN37" t="n">
        <v>0.15</v>
      </c>
      <c r="AO37" t="n">
        <v>0.15</v>
      </c>
      <c r="AP37" t="n">
        <v>0.15</v>
      </c>
      <c r="AQ37" t="n">
        <v>0.15</v>
      </c>
      <c r="AR37" t="n">
        <v>0.15</v>
      </c>
      <c r="AS37" t="n">
        <v>0.15</v>
      </c>
      <c r="AT37" t="n">
        <v>0.15</v>
      </c>
      <c r="AU37" t="n">
        <v>0.15</v>
      </c>
      <c r="AV37" t="n">
        <v>0.15</v>
      </c>
      <c r="AW37" t="n">
        <v>0.15</v>
      </c>
      <c r="AX37" t="n">
        <v>0.15</v>
      </c>
      <c r="AY37" t="n">
        <v>0.15</v>
      </c>
      <c r="AZ37" t="n">
        <v>0.15</v>
      </c>
      <c r="BA37" t="n">
        <v>0.15</v>
      </c>
      <c r="BB37" t="n">
        <v>0.15</v>
      </c>
      <c r="BC37" t="n">
        <v>0.15</v>
      </c>
      <c r="BD37" t="n">
        <v>0.15</v>
      </c>
      <c r="BE37" t="n">
        <v>0.15</v>
      </c>
      <c r="BF37" t="n">
        <v>0.15</v>
      </c>
      <c r="BG37" t="n">
        <v>0.15</v>
      </c>
      <c r="BH37" t="n">
        <v>0.15</v>
      </c>
      <c r="BI37" t="n">
        <v>0.15</v>
      </c>
      <c r="BJ37" t="n">
        <v>0.15</v>
      </c>
      <c r="BK37" t="n">
        <v>0.15</v>
      </c>
      <c r="BL37" t="n">
        <v>0.15</v>
      </c>
      <c r="BM37" t="n">
        <v>0.15</v>
      </c>
      <c r="BN37" t="n">
        <v>0.15</v>
      </c>
      <c r="BO37" t="n">
        <v>0.15</v>
      </c>
      <c r="BP37" t="n">
        <v>0.15</v>
      </c>
      <c r="BQ37" t="n">
        <v>0.15</v>
      </c>
      <c r="BR37" t="n">
        <v>0.15</v>
      </c>
      <c r="BS37" t="n">
        <v>0.15</v>
      </c>
      <c r="BT37" t="n">
        <v>0.15</v>
      </c>
      <c r="BU37" t="n">
        <v>0.15</v>
      </c>
      <c r="BV37" t="n">
        <v>0.15</v>
      </c>
    </row>
    <row r="38">
      <c r="A38" s="4" t="inlineStr">
        <is>
          <t>Tier 4</t>
        </is>
      </c>
      <c r="B38" s="17" t="inlineStr">
        <is>
          <t xml:space="preserve"> % </t>
        </is>
      </c>
      <c r="C38" s="129" t="n"/>
      <c r="D38" s="329" t="n"/>
      <c r="E38" s="329" t="n"/>
      <c r="F38" s="329" t="n">
        <v>0.2</v>
      </c>
      <c r="G38" s="329" t="n">
        <v>0.2</v>
      </c>
      <c r="H38" s="329" t="n">
        <v>0.2</v>
      </c>
      <c r="I38" s="171" t="n">
        <v>0.2</v>
      </c>
      <c r="J38" t="n">
        <v>0.2</v>
      </c>
      <c r="K38" t="n">
        <v>0.2</v>
      </c>
      <c r="L38" t="n">
        <v>0.2</v>
      </c>
      <c r="M38" t="n">
        <v>0.2</v>
      </c>
      <c r="N38" t="n">
        <v>0.2</v>
      </c>
      <c r="O38" t="n">
        <v>0.2</v>
      </c>
      <c r="P38" t="n">
        <v>0.2</v>
      </c>
      <c r="Q38" t="n">
        <v>0.2</v>
      </c>
      <c r="R38" t="n">
        <v>0.2</v>
      </c>
      <c r="S38" t="n">
        <v>0.2</v>
      </c>
      <c r="T38" t="n">
        <v>0.2</v>
      </c>
      <c r="U38" t="n">
        <v>0.2</v>
      </c>
      <c r="V38" t="n">
        <v>0.2</v>
      </c>
      <c r="W38" t="n">
        <v>0.2</v>
      </c>
      <c r="X38" t="n">
        <v>0.2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0.2</v>
      </c>
      <c r="AJ38" t="n">
        <v>0.2</v>
      </c>
      <c r="AK38" t="n">
        <v>0.2</v>
      </c>
      <c r="AL38" t="n">
        <v>0.2</v>
      </c>
      <c r="AM38" t="n">
        <v>0.2</v>
      </c>
      <c r="AN38" t="n">
        <v>0.2</v>
      </c>
      <c r="AO38" t="n">
        <v>0.2</v>
      </c>
      <c r="AP38" t="n">
        <v>0.2</v>
      </c>
      <c r="AQ38" t="n">
        <v>0.2</v>
      </c>
      <c r="AR38" t="n">
        <v>0.2</v>
      </c>
      <c r="AS38" t="n">
        <v>0.2</v>
      </c>
      <c r="AT38" t="n">
        <v>0.2</v>
      </c>
      <c r="AU38" t="n">
        <v>0.2</v>
      </c>
      <c r="AV38" t="n">
        <v>0.2</v>
      </c>
      <c r="AW38" t="n">
        <v>0.2</v>
      </c>
      <c r="AX38" t="n">
        <v>0.2</v>
      </c>
      <c r="AY38" t="n">
        <v>0.2</v>
      </c>
      <c r="AZ38" t="n">
        <v>0.2</v>
      </c>
      <c r="BA38" t="n">
        <v>0.2</v>
      </c>
      <c r="BB38" t="n">
        <v>0.2</v>
      </c>
      <c r="BC38" t="n">
        <v>0.2</v>
      </c>
      <c r="BD38" t="n">
        <v>0.2</v>
      </c>
      <c r="BE38" t="n">
        <v>0.2</v>
      </c>
      <c r="BF38" t="n">
        <v>0.2</v>
      </c>
      <c r="BG38" t="n">
        <v>0.2</v>
      </c>
      <c r="BH38" t="n">
        <v>0.2</v>
      </c>
      <c r="BI38" t="n">
        <v>0.2</v>
      </c>
      <c r="BJ38" t="n">
        <v>0.2</v>
      </c>
      <c r="BK38" t="n">
        <v>0.2</v>
      </c>
      <c r="BL38" t="n">
        <v>0.2</v>
      </c>
      <c r="BM38" t="n">
        <v>0.2</v>
      </c>
      <c r="BN38" t="n">
        <v>0.2</v>
      </c>
      <c r="BO38" t="n">
        <v>0.2</v>
      </c>
      <c r="BP38" t="n">
        <v>0.2</v>
      </c>
      <c r="BQ38" t="n">
        <v>0.2</v>
      </c>
      <c r="BR38" t="n">
        <v>0.2</v>
      </c>
      <c r="BS38" t="n">
        <v>0.2</v>
      </c>
      <c r="BT38" t="n">
        <v>0.2</v>
      </c>
      <c r="BU38" t="n">
        <v>0.2</v>
      </c>
      <c r="BV38" t="n">
        <v>0.2</v>
      </c>
    </row>
    <row r="39">
      <c r="A39" s="4" t="inlineStr">
        <is>
          <t>Tier 5</t>
        </is>
      </c>
      <c r="B39" s="17" t="inlineStr">
        <is>
          <t xml:space="preserve"> % </t>
        </is>
      </c>
      <c r="C39" s="129" t="n"/>
      <c r="D39" s="329" t="n"/>
      <c r="E39" s="329" t="n"/>
      <c r="F39" s="329" t="n">
        <v>0.3</v>
      </c>
      <c r="G39" s="329" t="n">
        <v>0.3</v>
      </c>
      <c r="H39" s="329" t="n">
        <v>0.3</v>
      </c>
      <c r="I39" s="171" t="n">
        <v>0.3</v>
      </c>
      <c r="J39" t="n">
        <v>0.3</v>
      </c>
      <c r="K39" t="n">
        <v>0.3</v>
      </c>
      <c r="L39" t="n">
        <v>0.3</v>
      </c>
      <c r="M39" t="n">
        <v>0.3</v>
      </c>
      <c r="N39" t="n">
        <v>0.3</v>
      </c>
      <c r="O39" t="n">
        <v>0.3</v>
      </c>
      <c r="P39" t="n">
        <v>0.3</v>
      </c>
      <c r="Q39" t="n">
        <v>0.3</v>
      </c>
      <c r="R39" t="n">
        <v>0.3</v>
      </c>
      <c r="S39" t="n">
        <v>0.3</v>
      </c>
      <c r="T39" t="n">
        <v>0.3</v>
      </c>
      <c r="U39" t="n">
        <v>0.3</v>
      </c>
      <c r="V39" t="n">
        <v>0.3</v>
      </c>
      <c r="W39" t="n">
        <v>0.3</v>
      </c>
      <c r="X39" t="n">
        <v>0.3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0.3</v>
      </c>
      <c r="AJ39" t="n">
        <v>0.3</v>
      </c>
      <c r="AK39" t="n">
        <v>0.3</v>
      </c>
      <c r="AL39" t="n">
        <v>0.3</v>
      </c>
      <c r="AM39" t="n">
        <v>0.3</v>
      </c>
      <c r="AN39" t="n">
        <v>0.3</v>
      </c>
      <c r="AO39" t="n">
        <v>0.3</v>
      </c>
      <c r="AP39" t="n">
        <v>0.3</v>
      </c>
      <c r="AQ39" t="n">
        <v>0.3</v>
      </c>
      <c r="AR39" t="n">
        <v>0.3</v>
      </c>
      <c r="AS39" t="n">
        <v>0.3</v>
      </c>
      <c r="AT39" t="n">
        <v>0.3</v>
      </c>
      <c r="AU39" t="n">
        <v>0.3</v>
      </c>
      <c r="AV39" t="n">
        <v>0.3</v>
      </c>
      <c r="AW39" t="n">
        <v>0.3</v>
      </c>
      <c r="AX39" t="n">
        <v>0.3</v>
      </c>
      <c r="AY39" t="n">
        <v>0.3</v>
      </c>
      <c r="AZ39" t="n">
        <v>0.3</v>
      </c>
      <c r="BA39" t="n">
        <v>0.3</v>
      </c>
      <c r="BB39" t="n">
        <v>0.3</v>
      </c>
      <c r="BC39" t="n">
        <v>0.3</v>
      </c>
      <c r="BD39" t="n">
        <v>0.3</v>
      </c>
      <c r="BE39" t="n">
        <v>0.3</v>
      </c>
      <c r="BF39" t="n">
        <v>0.3</v>
      </c>
      <c r="BG39" t="n">
        <v>0.3</v>
      </c>
      <c r="BH39" t="n">
        <v>0.3</v>
      </c>
      <c r="BI39" t="n">
        <v>0.3</v>
      </c>
      <c r="BJ39" t="n">
        <v>0.3</v>
      </c>
      <c r="BK39" t="n">
        <v>0.3</v>
      </c>
      <c r="BL39" t="n">
        <v>0.3</v>
      </c>
      <c r="BM39" t="n">
        <v>0.3</v>
      </c>
      <c r="BN39" t="n">
        <v>0.3</v>
      </c>
      <c r="BO39" t="n">
        <v>0.3</v>
      </c>
      <c r="BP39" t="n">
        <v>0.3</v>
      </c>
      <c r="BQ39" t="n">
        <v>0.3</v>
      </c>
      <c r="BR39" t="n">
        <v>0.3</v>
      </c>
      <c r="BS39" t="n">
        <v>0.3</v>
      </c>
      <c r="BT39" t="n">
        <v>0.3</v>
      </c>
      <c r="BU39" t="n">
        <v>0.3</v>
      </c>
      <c r="BV39" t="n">
        <v>0.3</v>
      </c>
    </row>
    <row r="40">
      <c r="A40" s="4" t="inlineStr">
        <is>
          <t>Tier 6</t>
        </is>
      </c>
      <c r="B40" s="17" t="inlineStr">
        <is>
          <t xml:space="preserve"> % </t>
        </is>
      </c>
      <c r="C40" s="129" t="n"/>
      <c r="D40" s="329" t="n"/>
      <c r="E40" s="329" t="n"/>
      <c r="F40" s="329" t="n">
        <v>0.4</v>
      </c>
      <c r="G40" s="329" t="n">
        <v>0.4</v>
      </c>
      <c r="H40" s="329" t="n">
        <v>0.4</v>
      </c>
      <c r="I40" s="171" t="n">
        <v>0.4</v>
      </c>
      <c r="J40" t="n">
        <v>0.4</v>
      </c>
      <c r="K40" t="n">
        <v>0.4</v>
      </c>
      <c r="L40" t="n">
        <v>0.4</v>
      </c>
      <c r="M40" t="n">
        <v>0.4</v>
      </c>
      <c r="N40" t="n">
        <v>0.4</v>
      </c>
      <c r="O40" t="n">
        <v>0.4</v>
      </c>
      <c r="P40" t="n">
        <v>0.4</v>
      </c>
      <c r="Q40" t="n">
        <v>0.4</v>
      </c>
      <c r="R40" t="n">
        <v>0.4</v>
      </c>
      <c r="S40" t="n">
        <v>0.4</v>
      </c>
      <c r="T40" t="n">
        <v>0.4</v>
      </c>
      <c r="U40" t="n">
        <v>0.4</v>
      </c>
      <c r="V40" t="n">
        <v>0.4</v>
      </c>
      <c r="W40" t="n">
        <v>0.4</v>
      </c>
      <c r="X40" t="n">
        <v>0.4</v>
      </c>
      <c r="Y40" t="n">
        <v>0.4</v>
      </c>
      <c r="Z40" t="n">
        <v>0.4</v>
      </c>
      <c r="AA40" t="n">
        <v>0.4</v>
      </c>
      <c r="AB40" t="n">
        <v>0.4</v>
      </c>
      <c r="AC40" t="n">
        <v>0.4</v>
      </c>
      <c r="AD40" t="n">
        <v>0.4</v>
      </c>
      <c r="AE40" t="n">
        <v>0.4</v>
      </c>
      <c r="AF40" t="n">
        <v>0.4</v>
      </c>
      <c r="AG40" t="n">
        <v>0.4</v>
      </c>
      <c r="AH40" t="n">
        <v>0.4</v>
      </c>
      <c r="AI40" t="n">
        <v>0.4</v>
      </c>
      <c r="AJ40" t="n">
        <v>0.4</v>
      </c>
      <c r="AK40" t="n">
        <v>0.4</v>
      </c>
      <c r="AL40" t="n">
        <v>0.4</v>
      </c>
      <c r="AM40" t="n">
        <v>0.4</v>
      </c>
      <c r="AN40" t="n">
        <v>0.4</v>
      </c>
      <c r="AO40" t="n">
        <v>0.4</v>
      </c>
      <c r="AP40" t="n">
        <v>0.4</v>
      </c>
      <c r="AQ40" t="n">
        <v>0.4</v>
      </c>
      <c r="AR40" t="n">
        <v>0.4</v>
      </c>
      <c r="AS40" t="n">
        <v>0.4</v>
      </c>
      <c r="AT40" t="n">
        <v>0.4</v>
      </c>
      <c r="AU40" t="n">
        <v>0.4</v>
      </c>
      <c r="AV40" t="n">
        <v>0.4</v>
      </c>
      <c r="AW40" t="n">
        <v>0.4</v>
      </c>
      <c r="AX40" t="n">
        <v>0.4</v>
      </c>
      <c r="AY40" t="n">
        <v>0.4</v>
      </c>
      <c r="AZ40" t="n">
        <v>0.4</v>
      </c>
      <c r="BA40" t="n">
        <v>0.4</v>
      </c>
      <c r="BB40" t="n">
        <v>0.4</v>
      </c>
      <c r="BC40" t="n">
        <v>0.4</v>
      </c>
      <c r="BD40" t="n">
        <v>0.4</v>
      </c>
      <c r="BE40" t="n">
        <v>0.4</v>
      </c>
      <c r="BF40" t="n">
        <v>0.4</v>
      </c>
      <c r="BG40" t="n">
        <v>0.4</v>
      </c>
      <c r="BH40" t="n">
        <v>0.4</v>
      </c>
      <c r="BI40" t="n">
        <v>0.4</v>
      </c>
      <c r="BJ40" t="n">
        <v>0.4</v>
      </c>
      <c r="BK40" t="n">
        <v>0.4</v>
      </c>
      <c r="BL40" t="n">
        <v>0.4</v>
      </c>
      <c r="BM40" t="n">
        <v>0.4</v>
      </c>
      <c r="BN40" t="n">
        <v>0.4</v>
      </c>
      <c r="BO40" t="n">
        <v>0.4</v>
      </c>
      <c r="BP40" t="n">
        <v>0.4</v>
      </c>
      <c r="BQ40" t="n">
        <v>0.4</v>
      </c>
      <c r="BR40" t="n">
        <v>0.4</v>
      </c>
      <c r="BS40" t="n">
        <v>0.4</v>
      </c>
      <c r="BT40" t="n">
        <v>0.4</v>
      </c>
      <c r="BU40" t="n">
        <v>0.4</v>
      </c>
      <c r="BV40" t="n">
        <v>0.4</v>
      </c>
    </row>
    <row r="41">
      <c r="A41" s="330" t="n"/>
      <c r="B41" s="328" t="n"/>
      <c r="C41" s="134" t="n"/>
    </row>
    <row r="42" customFormat="1" s="172">
      <c r="A42" s="66" t="inlineStr">
        <is>
          <t xml:space="preserve"> Royalty on first threshold </t>
        </is>
      </c>
      <c r="B42" s="17" t="inlineStr">
        <is>
          <t xml:space="preserve"> AUD/t </t>
        </is>
      </c>
      <c r="C42" s="134" t="n"/>
      <c r="D42" s="331">
        <f>D29*D35</f>
        <v/>
      </c>
      <c r="E42" s="331">
        <f>E29*E35</f>
        <v/>
      </c>
      <c r="F42" s="331">
        <f>F29*F35</f>
        <v/>
      </c>
      <c r="G42" s="331">
        <f>G29*G35</f>
        <v/>
      </c>
      <c r="H42" s="331">
        <f>H29*H35</f>
        <v/>
      </c>
      <c r="I42" s="331">
        <f>I29*I35</f>
        <v/>
      </c>
      <c r="J42" s="332">
        <f>J29*J35</f>
        <v/>
      </c>
      <c r="K42" s="332">
        <f>K29*K35</f>
        <v/>
      </c>
      <c r="L42" s="332">
        <f>L29*L35</f>
        <v/>
      </c>
      <c r="M42" s="332">
        <f>M29*M35</f>
        <v/>
      </c>
      <c r="N42" s="332">
        <f>N29*N35</f>
        <v/>
      </c>
      <c r="O42" s="332">
        <f>O29*O35</f>
        <v/>
      </c>
      <c r="P42" s="332">
        <f>P29*P35</f>
        <v/>
      </c>
      <c r="Q42" s="332">
        <f>Q29*Q35</f>
        <v/>
      </c>
      <c r="R42" s="332">
        <f>R29*R35</f>
        <v/>
      </c>
      <c r="S42" s="332">
        <f>S29*S35</f>
        <v/>
      </c>
      <c r="T42" s="332">
        <f>T29*T35</f>
        <v/>
      </c>
      <c r="U42" s="332">
        <f>U29*U35</f>
        <v/>
      </c>
      <c r="V42" s="332">
        <f>V29*V35</f>
        <v/>
      </c>
      <c r="W42" s="332">
        <f>W29*W35</f>
        <v/>
      </c>
      <c r="X42" s="332">
        <f>X29*X35</f>
        <v/>
      </c>
      <c r="Y42" s="332">
        <f>Y29*Y35</f>
        <v/>
      </c>
      <c r="Z42" s="332">
        <f>Z29*Z35</f>
        <v/>
      </c>
      <c r="AA42" s="332">
        <f>AA29*AA35</f>
        <v/>
      </c>
      <c r="AB42" s="332">
        <f>AB29*AB35</f>
        <v/>
      </c>
      <c r="AC42" s="332">
        <f>AC29*AC35</f>
        <v/>
      </c>
      <c r="AD42" s="332">
        <f>AD29*AD35</f>
        <v/>
      </c>
      <c r="AE42" s="332">
        <f>AE29*AE35</f>
        <v/>
      </c>
      <c r="AF42" s="332">
        <f>AF29*AF35</f>
        <v/>
      </c>
      <c r="AG42" s="332">
        <f>AG29*AG35</f>
        <v/>
      </c>
      <c r="AH42" s="332">
        <f>AH29*AH35</f>
        <v/>
      </c>
      <c r="AI42" s="332">
        <f>AI29*AI35</f>
        <v/>
      </c>
      <c r="AJ42" s="332">
        <f>AJ29*AJ35</f>
        <v/>
      </c>
      <c r="AK42" s="332">
        <f>AK29*AK35</f>
        <v/>
      </c>
      <c r="AL42" s="332">
        <f>AL29*AL35</f>
        <v/>
      </c>
      <c r="AM42" s="332">
        <f>AM29*AM35</f>
        <v/>
      </c>
      <c r="AN42" s="332">
        <f>AN29*AN35</f>
        <v/>
      </c>
      <c r="AO42" s="332">
        <f>AO29*AO35</f>
        <v/>
      </c>
      <c r="AP42" s="332">
        <f>AP29*AP35</f>
        <v/>
      </c>
      <c r="AQ42" s="332">
        <f>AQ29*AQ35</f>
        <v/>
      </c>
      <c r="AR42" s="332">
        <f>AR29*AR35</f>
        <v/>
      </c>
      <c r="AS42" s="332">
        <f>AS29*AS35</f>
        <v/>
      </c>
      <c r="AT42" s="332">
        <f>AT29*AT35</f>
        <v/>
      </c>
      <c r="AU42" s="332">
        <f>AU29*AU35</f>
        <v/>
      </c>
      <c r="AV42" s="332">
        <f>AV29*AV35</f>
        <v/>
      </c>
      <c r="AW42" s="332">
        <f>AW29*AW35</f>
        <v/>
      </c>
      <c r="AX42" s="332">
        <f>AX29*AX35</f>
        <v/>
      </c>
      <c r="AY42" s="332">
        <f>AY29*AY35</f>
        <v/>
      </c>
      <c r="AZ42" s="332">
        <f>AZ29*AZ35</f>
        <v/>
      </c>
      <c r="BA42" s="332">
        <f>BA29*BA35</f>
        <v/>
      </c>
      <c r="BB42" s="332">
        <f>BB29*BB35</f>
        <v/>
      </c>
      <c r="BC42" s="332">
        <f>BC29*BC35</f>
        <v/>
      </c>
      <c r="BD42" s="332">
        <f>BD29*BD35</f>
        <v/>
      </c>
      <c r="BE42" s="332">
        <f>BE29*BE35</f>
        <v/>
      </c>
      <c r="BF42" s="332">
        <f>BF29*BF35</f>
        <v/>
      </c>
      <c r="BG42" s="332">
        <f>BG29*BG35</f>
        <v/>
      </c>
      <c r="BH42" s="332">
        <f>BH29*BH35</f>
        <v/>
      </c>
      <c r="BI42" s="332">
        <f>BI29*BI35</f>
        <v/>
      </c>
      <c r="BJ42" s="332">
        <f>BJ29*BJ35</f>
        <v/>
      </c>
      <c r="BK42" s="332">
        <f>BK29*BK35</f>
        <v/>
      </c>
      <c r="BL42" s="332">
        <f>BL29*BL35</f>
        <v/>
      </c>
      <c r="BM42" s="332">
        <f>BM29*BM35</f>
        <v/>
      </c>
      <c r="BN42" s="332">
        <f>BN29*BN35</f>
        <v/>
      </c>
      <c r="BO42" s="332">
        <f>BO29*BO35</f>
        <v/>
      </c>
      <c r="BP42" s="332">
        <f>BP29*BP35</f>
        <v/>
      </c>
      <c r="BQ42" s="332">
        <f>BQ29*BQ35</f>
        <v/>
      </c>
      <c r="BR42" s="332">
        <f>BR29*BR35</f>
        <v/>
      </c>
      <c r="BS42" s="332">
        <f>BS29*BS35</f>
        <v/>
      </c>
      <c r="BT42" s="332">
        <f>BT29*BT35</f>
        <v/>
      </c>
      <c r="BU42" s="332">
        <f>BU29*BU35</f>
        <v/>
      </c>
      <c r="BV42" s="332">
        <f>BV29*BV35</f>
        <v/>
      </c>
    </row>
    <row r="43" customFormat="1" s="172">
      <c r="A43" s="66" t="inlineStr">
        <is>
          <t xml:space="preserve"> Royalty up to second threshold </t>
        </is>
      </c>
      <c r="B43" s="17" t="inlineStr">
        <is>
          <t xml:space="preserve"> AUD/t </t>
        </is>
      </c>
      <c r="C43" s="134" t="n"/>
      <c r="D43" s="331">
        <f>D42+(D30-D29)*D36</f>
        <v/>
      </c>
      <c r="E43" s="331">
        <f>E42+(E30-E29)*E36</f>
        <v/>
      </c>
      <c r="F43" s="331">
        <f>F42+(F30-F29)*F36</f>
        <v/>
      </c>
      <c r="G43" s="331">
        <f>G42+(G30-G29)*G36</f>
        <v/>
      </c>
      <c r="H43" s="331">
        <f>H42+(H30-H29)*H36</f>
        <v/>
      </c>
      <c r="I43" s="331">
        <f>I42+(I30-I29)*I36</f>
        <v/>
      </c>
      <c r="J43" s="332">
        <f>J42+(J30-J29)*J36</f>
        <v/>
      </c>
      <c r="K43" s="332">
        <f>K42+(K30-K29)*K36</f>
        <v/>
      </c>
      <c r="L43" s="332">
        <f>L42+(L30-L29)*L36</f>
        <v/>
      </c>
      <c r="M43" s="332">
        <f>M42+(M30-M29)*M36</f>
        <v/>
      </c>
      <c r="N43" s="332">
        <f>N42+(N30-N29)*N36</f>
        <v/>
      </c>
      <c r="O43" s="332">
        <f>O42+(O30-O29)*O36</f>
        <v/>
      </c>
      <c r="P43" s="332">
        <f>P42+(P30-P29)*P36</f>
        <v/>
      </c>
      <c r="Q43" s="332">
        <f>Q42+(Q30-Q29)*Q36</f>
        <v/>
      </c>
      <c r="R43" s="332">
        <f>R42+(R30-R29)*R36</f>
        <v/>
      </c>
      <c r="S43" s="332">
        <f>S42+(S30-S29)*S36</f>
        <v/>
      </c>
      <c r="T43" s="332">
        <f>T42+(T30-T29)*T36</f>
        <v/>
      </c>
      <c r="U43" s="332">
        <f>U42+(U30-U29)*U36</f>
        <v/>
      </c>
      <c r="V43" s="332">
        <f>V42+(V30-V29)*V36</f>
        <v/>
      </c>
      <c r="W43" s="332">
        <f>W42+(W30-W29)*W36</f>
        <v/>
      </c>
      <c r="X43" s="332">
        <f>X42+(X30-X29)*X36</f>
        <v/>
      </c>
      <c r="Y43" s="332">
        <f>Y42+(Y30-Y29)*Y36</f>
        <v/>
      </c>
      <c r="Z43" s="332">
        <f>Z42+(Z30-Z29)*Z36</f>
        <v/>
      </c>
      <c r="AA43" s="332">
        <f>AA42+(AA30-AA29)*AA36</f>
        <v/>
      </c>
      <c r="AB43" s="332">
        <f>AB42+(AB30-AB29)*AB36</f>
        <v/>
      </c>
      <c r="AC43" s="332">
        <f>AC42+(AC30-AC29)*AC36</f>
        <v/>
      </c>
      <c r="AD43" s="332">
        <f>AD42+(AD30-AD29)*AD36</f>
        <v/>
      </c>
      <c r="AE43" s="332">
        <f>AE42+(AE30-AE29)*AE36</f>
        <v/>
      </c>
      <c r="AF43" s="332">
        <f>AF42+(AF30-AF29)*AF36</f>
        <v/>
      </c>
      <c r="AG43" s="332">
        <f>AG42+(AG30-AG29)*AG36</f>
        <v/>
      </c>
      <c r="AH43" s="332">
        <f>AH42+(AH30-AH29)*AH36</f>
        <v/>
      </c>
      <c r="AI43" s="332">
        <f>AI42+(AI30-AI29)*AI36</f>
        <v/>
      </c>
      <c r="AJ43" s="332">
        <f>AJ42+(AJ30-AJ29)*AJ36</f>
        <v/>
      </c>
      <c r="AK43" s="332">
        <f>AK42+(AK30-AK29)*AK36</f>
        <v/>
      </c>
      <c r="AL43" s="332">
        <f>AL42+(AL30-AL29)*AL36</f>
        <v/>
      </c>
      <c r="AM43" s="332">
        <f>AM42+(AM30-AM29)*AM36</f>
        <v/>
      </c>
      <c r="AN43" s="332">
        <f>AN42+(AN30-AN29)*AN36</f>
        <v/>
      </c>
      <c r="AO43" s="332">
        <f>AO42+(AO30-AO29)*AO36</f>
        <v/>
      </c>
      <c r="AP43" s="332">
        <f>AP42+(AP30-AP29)*AP36</f>
        <v/>
      </c>
      <c r="AQ43" s="332">
        <f>AQ42+(AQ30-AQ29)*AQ36</f>
        <v/>
      </c>
      <c r="AR43" s="332">
        <f>AR42+(AR30-AR29)*AR36</f>
        <v/>
      </c>
      <c r="AS43" s="332">
        <f>AS42+(AS30-AS29)*AS36</f>
        <v/>
      </c>
      <c r="AT43" s="332">
        <f>AT42+(AT30-AT29)*AT36</f>
        <v/>
      </c>
      <c r="AU43" s="332">
        <f>AU42+(AU30-AU29)*AU36</f>
        <v/>
      </c>
      <c r="AV43" s="332">
        <f>AV42+(AV30-AV29)*AV36</f>
        <v/>
      </c>
      <c r="AW43" s="332">
        <f>AW42+(AW30-AW29)*AW36</f>
        <v/>
      </c>
      <c r="AX43" s="332">
        <f>AX42+(AX30-AX29)*AX36</f>
        <v/>
      </c>
      <c r="AY43" s="332">
        <f>AY42+(AY30-AY29)*AY36</f>
        <v/>
      </c>
      <c r="AZ43" s="332">
        <f>AZ42+(AZ30-AZ29)*AZ36</f>
        <v/>
      </c>
      <c r="BA43" s="332">
        <f>BA42+(BA30-BA29)*BA36</f>
        <v/>
      </c>
      <c r="BB43" s="332">
        <f>BB42+(BB30-BB29)*BB36</f>
        <v/>
      </c>
      <c r="BC43" s="332">
        <f>BC42+(BC30-BC29)*BC36</f>
        <v/>
      </c>
      <c r="BD43" s="332">
        <f>BD42+(BD30-BD29)*BD36</f>
        <v/>
      </c>
      <c r="BE43" s="332">
        <f>BE42+(BE30-BE29)*BE36</f>
        <v/>
      </c>
      <c r="BF43" s="332">
        <f>BF42+(BF30-BF29)*BF36</f>
        <v/>
      </c>
      <c r="BG43" s="332">
        <f>BG42+(BG30-BG29)*BG36</f>
        <v/>
      </c>
      <c r="BH43" s="332">
        <f>BH42+(BH30-BH29)*BH36</f>
        <v/>
      </c>
      <c r="BI43" s="332">
        <f>BI42+(BI30-BI29)*BI36</f>
        <v/>
      </c>
      <c r="BJ43" s="332">
        <f>BJ42+(BJ30-BJ29)*BJ36</f>
        <v/>
      </c>
      <c r="BK43" s="332">
        <f>BK42+(BK30-BK29)*BK36</f>
        <v/>
      </c>
      <c r="BL43" s="332">
        <f>BL42+(BL30-BL29)*BL36</f>
        <v/>
      </c>
      <c r="BM43" s="332">
        <f>BM42+(BM30-BM29)*BM36</f>
        <v/>
      </c>
      <c r="BN43" s="332">
        <f>BN42+(BN30-BN29)*BN36</f>
        <v/>
      </c>
      <c r="BO43" s="332">
        <f>BO42+(BO30-BO29)*BO36</f>
        <v/>
      </c>
      <c r="BP43" s="332">
        <f>BP42+(BP30-BP29)*BP36</f>
        <v/>
      </c>
      <c r="BQ43" s="332">
        <f>BQ42+(BQ30-BQ29)*BQ36</f>
        <v/>
      </c>
      <c r="BR43" s="332">
        <f>BR42+(BR30-BR29)*BR36</f>
        <v/>
      </c>
      <c r="BS43" s="332">
        <f>BS42+(BS30-BS29)*BS36</f>
        <v/>
      </c>
      <c r="BT43" s="332">
        <f>BT42+(BT30-BT29)*BT36</f>
        <v/>
      </c>
      <c r="BU43" s="332">
        <f>BU42+(BU30-BU29)*BU36</f>
        <v/>
      </c>
      <c r="BV43" s="332">
        <f>BV42+(BV30-BV29)*BV36</f>
        <v/>
      </c>
    </row>
    <row r="44" customFormat="1" s="172">
      <c r="A44" s="66" t="inlineStr">
        <is>
          <t xml:space="preserve"> Royalty up to third threshold </t>
        </is>
      </c>
      <c r="B44" s="17" t="inlineStr">
        <is>
          <t xml:space="preserve"> AUD/t </t>
        </is>
      </c>
      <c r="D44" s="331" t="n"/>
      <c r="E44" s="331" t="n"/>
      <c r="F44" s="331">
        <f>F43+(F31-F30)*F37</f>
        <v/>
      </c>
      <c r="G44" s="331">
        <f>G43+(G31-G30)*G37</f>
        <v/>
      </c>
      <c r="H44" s="331">
        <f>H43+(H31-H30)*H37</f>
        <v/>
      </c>
      <c r="I44" s="331">
        <f>I43+(I31-I30)*I37</f>
        <v/>
      </c>
      <c r="J44" s="332">
        <f>J43+(J31-J30)*J37</f>
        <v/>
      </c>
      <c r="K44" s="332">
        <f>K43+(K31-K30)*K37</f>
        <v/>
      </c>
      <c r="L44" s="332">
        <f>L43+(L31-L30)*L37</f>
        <v/>
      </c>
      <c r="M44" s="332">
        <f>M43+(M31-M30)*M37</f>
        <v/>
      </c>
      <c r="N44" s="332">
        <f>N43+(N31-N30)*N37</f>
        <v/>
      </c>
      <c r="O44" s="332">
        <f>O43+(O31-O30)*O37</f>
        <v/>
      </c>
      <c r="P44" s="332">
        <f>P43+(P31-P30)*P37</f>
        <v/>
      </c>
      <c r="Q44" s="332">
        <f>Q43+(Q31-Q30)*Q37</f>
        <v/>
      </c>
      <c r="R44" s="332">
        <f>R43+(R31-R30)*R37</f>
        <v/>
      </c>
      <c r="S44" s="332">
        <f>S43+(S31-S30)*S37</f>
        <v/>
      </c>
      <c r="T44" s="332">
        <f>T43+(T31-T30)*T37</f>
        <v/>
      </c>
      <c r="U44" s="332">
        <f>U43+(U31-U30)*U37</f>
        <v/>
      </c>
      <c r="V44" s="332">
        <f>V43+(V31-V30)*V37</f>
        <v/>
      </c>
      <c r="W44" s="332">
        <f>W43+(W31-W30)*W37</f>
        <v/>
      </c>
      <c r="X44" s="332">
        <f>X43+(X31-X30)*X37</f>
        <v/>
      </c>
      <c r="Y44" s="332">
        <f>Y43+(Y31-Y30)*Y37</f>
        <v/>
      </c>
      <c r="Z44" s="332">
        <f>Z43+(Z31-Z30)*Z37</f>
        <v/>
      </c>
      <c r="AA44" s="332">
        <f>AA43+(AA31-AA30)*AA37</f>
        <v/>
      </c>
      <c r="AB44" s="332">
        <f>AB43+(AB31-AB30)*AB37</f>
        <v/>
      </c>
      <c r="AC44" s="332">
        <f>AC43+(AC31-AC30)*AC37</f>
        <v/>
      </c>
      <c r="AD44" s="332">
        <f>AD43+(AD31-AD30)*AD37</f>
        <v/>
      </c>
      <c r="AE44" s="332">
        <f>AE43+(AE31-AE30)*AE37</f>
        <v/>
      </c>
      <c r="AF44" s="332">
        <f>AF43+(AF31-AF30)*AF37</f>
        <v/>
      </c>
      <c r="AG44" s="332">
        <f>AG43+(AG31-AG30)*AG37</f>
        <v/>
      </c>
      <c r="AH44" s="332">
        <f>AH43+(AH31-AH30)*AH37</f>
        <v/>
      </c>
      <c r="AI44" s="332">
        <f>AI43+(AI31-AI30)*AI37</f>
        <v/>
      </c>
      <c r="AJ44" s="332">
        <f>AJ43+(AJ31-AJ30)*AJ37</f>
        <v/>
      </c>
      <c r="AK44" s="332">
        <f>AK43+(AK31-AK30)*AK37</f>
        <v/>
      </c>
      <c r="AL44" s="332">
        <f>AL43+(AL31-AL30)*AL37</f>
        <v/>
      </c>
      <c r="AM44" s="332">
        <f>AM43+(AM31-AM30)*AM37</f>
        <v/>
      </c>
      <c r="AN44" s="332">
        <f>AN43+(AN31-AN30)*AN37</f>
        <v/>
      </c>
      <c r="AO44" s="332">
        <f>AO43+(AO31-AO30)*AO37</f>
        <v/>
      </c>
      <c r="AP44" s="332">
        <f>AP43+(AP31-AP30)*AP37</f>
        <v/>
      </c>
      <c r="AQ44" s="332">
        <f>AQ43+(AQ31-AQ30)*AQ37</f>
        <v/>
      </c>
      <c r="AR44" s="332">
        <f>AR43+(AR31-AR30)*AR37</f>
        <v/>
      </c>
      <c r="AS44" s="332">
        <f>AS43+(AS31-AS30)*AS37</f>
        <v/>
      </c>
      <c r="AT44" s="332">
        <f>AT43+(AT31-AT30)*AT37</f>
        <v/>
      </c>
      <c r="AU44" s="332">
        <f>AU43+(AU31-AU30)*AU37</f>
        <v/>
      </c>
      <c r="AV44" s="332">
        <f>AV43+(AV31-AV30)*AV37</f>
        <v/>
      </c>
      <c r="AW44" s="332">
        <f>AW43+(AW31-AW30)*AW37</f>
        <v/>
      </c>
      <c r="AX44" s="332">
        <f>AX43+(AX31-AX30)*AX37</f>
        <v/>
      </c>
      <c r="AY44" s="332">
        <f>AY43+(AY31-AY30)*AY37</f>
        <v/>
      </c>
      <c r="AZ44" s="332">
        <f>AZ43+(AZ31-AZ30)*AZ37</f>
        <v/>
      </c>
      <c r="BA44" s="332">
        <f>BA43+(BA31-BA30)*BA37</f>
        <v/>
      </c>
      <c r="BB44" s="332">
        <f>BB43+(BB31-BB30)*BB37</f>
        <v/>
      </c>
      <c r="BC44" s="332">
        <f>BC43+(BC31-BC30)*BC37</f>
        <v/>
      </c>
      <c r="BD44" s="332">
        <f>BD43+(BD31-BD30)*BD37</f>
        <v/>
      </c>
      <c r="BE44" s="332">
        <f>BE43+(BE31-BE30)*BE37</f>
        <v/>
      </c>
      <c r="BF44" s="332">
        <f>BF43+(BF31-BF30)*BF37</f>
        <v/>
      </c>
      <c r="BG44" s="332">
        <f>BG43+(BG31-BG30)*BG37</f>
        <v/>
      </c>
      <c r="BH44" s="332">
        <f>BH43+(BH31-BH30)*BH37</f>
        <v/>
      </c>
      <c r="BI44" s="332">
        <f>BI43+(BI31-BI30)*BI37</f>
        <v/>
      </c>
      <c r="BJ44" s="332">
        <f>BJ43+(BJ31-BJ30)*BJ37</f>
        <v/>
      </c>
      <c r="BK44" s="332">
        <f>BK43+(BK31-BK30)*BK37</f>
        <v/>
      </c>
      <c r="BL44" s="332">
        <f>BL43+(BL31-BL30)*BL37</f>
        <v/>
      </c>
      <c r="BM44" s="332">
        <f>BM43+(BM31-BM30)*BM37</f>
        <v/>
      </c>
      <c r="BN44" s="332">
        <f>BN43+(BN31-BN30)*BN37</f>
        <v/>
      </c>
      <c r="BO44" s="332">
        <f>BO43+(BO31-BO30)*BO37</f>
        <v/>
      </c>
      <c r="BP44" s="332">
        <f>BP43+(BP31-BP30)*BP37</f>
        <v/>
      </c>
      <c r="BQ44" s="332">
        <f>BQ43+(BQ31-BQ30)*BQ37</f>
        <v/>
      </c>
      <c r="BR44" s="332">
        <f>BR43+(BR31-BR30)*BR37</f>
        <v/>
      </c>
      <c r="BS44" s="332">
        <f>BS43+(BS31-BS30)*BS37</f>
        <v/>
      </c>
      <c r="BT44" s="332">
        <f>BT43+(BT31-BT30)*BT37</f>
        <v/>
      </c>
      <c r="BU44" s="332">
        <f>BU43+(BU31-BU30)*BU37</f>
        <v/>
      </c>
      <c r="BV44" s="332">
        <f>BV43+(BV31-BV30)*BV37</f>
        <v/>
      </c>
    </row>
    <row r="45" customFormat="1" s="172">
      <c r="A45" s="66" t="inlineStr">
        <is>
          <t xml:space="preserve"> Royalty up to fourth threshold </t>
        </is>
      </c>
      <c r="B45" s="17" t="inlineStr">
        <is>
          <t xml:space="preserve"> AUD/t </t>
        </is>
      </c>
      <c r="D45" s="331" t="n"/>
      <c r="E45" s="331" t="n"/>
      <c r="F45" s="331">
        <f>F44+(F32-F31)*F38</f>
        <v/>
      </c>
      <c r="G45" s="331">
        <f>G44+(G32-G31)*G38</f>
        <v/>
      </c>
      <c r="H45" s="331">
        <f>H44+(H32-H31)*H38</f>
        <v/>
      </c>
      <c r="I45" s="331">
        <f>I44+(I32-I31)*I38</f>
        <v/>
      </c>
      <c r="J45" s="332">
        <f>J44+(J32-J31)*J38</f>
        <v/>
      </c>
      <c r="K45" s="332">
        <f>K44+(K32-K31)*K38</f>
        <v/>
      </c>
      <c r="L45" s="332">
        <f>L44+(L32-L31)*L38</f>
        <v/>
      </c>
      <c r="M45" s="332">
        <f>M44+(M32-M31)*M38</f>
        <v/>
      </c>
      <c r="N45" s="332">
        <f>N44+(N32-N31)*N38</f>
        <v/>
      </c>
      <c r="O45" s="332">
        <f>O44+(O32-O31)*O38</f>
        <v/>
      </c>
      <c r="P45" s="332">
        <f>P44+(P32-P31)*P38</f>
        <v/>
      </c>
      <c r="Q45" s="332">
        <f>Q44+(Q32-Q31)*Q38</f>
        <v/>
      </c>
      <c r="R45" s="332">
        <f>R44+(R32-R31)*R38</f>
        <v/>
      </c>
      <c r="S45" s="332">
        <f>S44+(S32-S31)*S38</f>
        <v/>
      </c>
      <c r="T45" s="332">
        <f>T44+(T32-T31)*T38</f>
        <v/>
      </c>
      <c r="U45" s="332">
        <f>U44+(U32-U31)*U38</f>
        <v/>
      </c>
      <c r="V45" s="332">
        <f>V44+(V32-V31)*V38</f>
        <v/>
      </c>
      <c r="W45" s="332">
        <f>W44+(W32-W31)*W38</f>
        <v/>
      </c>
      <c r="X45" s="332">
        <f>X44+(X32-X31)*X38</f>
        <v/>
      </c>
      <c r="Y45" s="332">
        <f>Y44+(Y32-Y31)*Y38</f>
        <v/>
      </c>
      <c r="Z45" s="332">
        <f>Z44+(Z32-Z31)*Z38</f>
        <v/>
      </c>
      <c r="AA45" s="332">
        <f>AA44+(AA32-AA31)*AA38</f>
        <v/>
      </c>
      <c r="AB45" s="332">
        <f>AB44+(AB32-AB31)*AB38</f>
        <v/>
      </c>
      <c r="AC45" s="332">
        <f>AC44+(AC32-AC31)*AC38</f>
        <v/>
      </c>
      <c r="AD45" s="332">
        <f>AD44+(AD32-AD31)*AD38</f>
        <v/>
      </c>
      <c r="AE45" s="332">
        <f>AE44+(AE32-AE31)*AE38</f>
        <v/>
      </c>
      <c r="AF45" s="332">
        <f>AF44+(AF32-AF31)*AF38</f>
        <v/>
      </c>
      <c r="AG45" s="332">
        <f>AG44+(AG32-AG31)*AG38</f>
        <v/>
      </c>
      <c r="AH45" s="332">
        <f>AH44+(AH32-AH31)*AH38</f>
        <v/>
      </c>
      <c r="AI45" s="332">
        <f>AI44+(AI32-AI31)*AI38</f>
        <v/>
      </c>
      <c r="AJ45" s="332">
        <f>AJ44+(AJ32-AJ31)*AJ38</f>
        <v/>
      </c>
      <c r="AK45" s="332">
        <f>AK44+(AK32-AK31)*AK38</f>
        <v/>
      </c>
      <c r="AL45" s="332">
        <f>AL44+(AL32-AL31)*AL38</f>
        <v/>
      </c>
      <c r="AM45" s="332">
        <f>AM44+(AM32-AM31)*AM38</f>
        <v/>
      </c>
      <c r="AN45" s="332">
        <f>AN44+(AN32-AN31)*AN38</f>
        <v/>
      </c>
      <c r="AO45" s="332">
        <f>AO44+(AO32-AO31)*AO38</f>
        <v/>
      </c>
      <c r="AP45" s="332">
        <f>AP44+(AP32-AP31)*AP38</f>
        <v/>
      </c>
      <c r="AQ45" s="332">
        <f>AQ44+(AQ32-AQ31)*AQ38</f>
        <v/>
      </c>
      <c r="AR45" s="332">
        <f>AR44+(AR32-AR31)*AR38</f>
        <v/>
      </c>
      <c r="AS45" s="332">
        <f>AS44+(AS32-AS31)*AS38</f>
        <v/>
      </c>
      <c r="AT45" s="332">
        <f>AT44+(AT32-AT31)*AT38</f>
        <v/>
      </c>
      <c r="AU45" s="332">
        <f>AU44+(AU32-AU31)*AU38</f>
        <v/>
      </c>
      <c r="AV45" s="332">
        <f>AV44+(AV32-AV31)*AV38</f>
        <v/>
      </c>
      <c r="AW45" s="332">
        <f>AW44+(AW32-AW31)*AW38</f>
        <v/>
      </c>
      <c r="AX45" s="332">
        <f>AX44+(AX32-AX31)*AX38</f>
        <v/>
      </c>
      <c r="AY45" s="332">
        <f>AY44+(AY32-AY31)*AY38</f>
        <v/>
      </c>
      <c r="AZ45" s="332">
        <f>AZ44+(AZ32-AZ31)*AZ38</f>
        <v/>
      </c>
      <c r="BA45" s="332">
        <f>BA44+(BA32-BA31)*BA38</f>
        <v/>
      </c>
      <c r="BB45" s="332">
        <f>BB44+(BB32-BB31)*BB38</f>
        <v/>
      </c>
      <c r="BC45" s="332">
        <f>BC44+(BC32-BC31)*BC38</f>
        <v/>
      </c>
      <c r="BD45" s="332">
        <f>BD44+(BD32-BD31)*BD38</f>
        <v/>
      </c>
      <c r="BE45" s="332">
        <f>BE44+(BE32-BE31)*BE38</f>
        <v/>
      </c>
      <c r="BF45" s="332">
        <f>BF44+(BF32-BF31)*BF38</f>
        <v/>
      </c>
      <c r="BG45" s="332">
        <f>BG44+(BG32-BG31)*BG38</f>
        <v/>
      </c>
      <c r="BH45" s="332">
        <f>BH44+(BH32-BH31)*BH38</f>
        <v/>
      </c>
      <c r="BI45" s="332">
        <f>BI44+(BI32-BI31)*BI38</f>
        <v/>
      </c>
      <c r="BJ45" s="332">
        <f>BJ44+(BJ32-BJ31)*BJ38</f>
        <v/>
      </c>
      <c r="BK45" s="332">
        <f>BK44+(BK32-BK31)*BK38</f>
        <v/>
      </c>
      <c r="BL45" s="332">
        <f>BL44+(BL32-BL31)*BL38</f>
        <v/>
      </c>
      <c r="BM45" s="332">
        <f>BM44+(BM32-BM31)*BM38</f>
        <v/>
      </c>
      <c r="BN45" s="332">
        <f>BN44+(BN32-BN31)*BN38</f>
        <v/>
      </c>
      <c r="BO45" s="332">
        <f>BO44+(BO32-BO31)*BO38</f>
        <v/>
      </c>
      <c r="BP45" s="332">
        <f>BP44+(BP32-BP31)*BP38</f>
        <v/>
      </c>
      <c r="BQ45" s="332">
        <f>BQ44+(BQ32-BQ31)*BQ38</f>
        <v/>
      </c>
      <c r="BR45" s="332">
        <f>BR44+(BR32-BR31)*BR38</f>
        <v/>
      </c>
      <c r="BS45" s="332">
        <f>BS44+(BS32-BS31)*BS38</f>
        <v/>
      </c>
      <c r="BT45" s="332">
        <f>BT44+(BT32-BT31)*BT38</f>
        <v/>
      </c>
      <c r="BU45" s="332">
        <f>BU44+(BU32-BU31)*BU38</f>
        <v/>
      </c>
      <c r="BV45" s="332">
        <f>BV44+(BV32-BV31)*BV38</f>
        <v/>
      </c>
    </row>
    <row r="46" customFormat="1" s="172">
      <c r="A46" s="66" t="inlineStr">
        <is>
          <t xml:space="preserve"> Royalty up to fifth threshold </t>
        </is>
      </c>
      <c r="B46" s="17" t="inlineStr">
        <is>
          <t xml:space="preserve"> AUD/t </t>
        </is>
      </c>
      <c r="D46" s="331" t="n"/>
      <c r="E46" s="331" t="n"/>
      <c r="F46" s="331">
        <f>F45+(F33-F32)*F39</f>
        <v/>
      </c>
      <c r="G46" s="331">
        <f>G45+(G33-G32)*G39</f>
        <v/>
      </c>
      <c r="H46" s="331">
        <f>H45+(H33-H32)*H39</f>
        <v/>
      </c>
      <c r="I46" s="331">
        <f>I45+(I33-I32)*I39</f>
        <v/>
      </c>
      <c r="J46" s="332">
        <f>J45+(J33-J32)*J39</f>
        <v/>
      </c>
      <c r="K46" s="332">
        <f>K45+(K33-K32)*K39</f>
        <v/>
      </c>
      <c r="L46" s="332">
        <f>L45+(L33-L32)*L39</f>
        <v/>
      </c>
      <c r="M46" s="332">
        <f>M45+(M33-M32)*M39</f>
        <v/>
      </c>
      <c r="N46" s="332">
        <f>N45+(N33-N32)*N39</f>
        <v/>
      </c>
      <c r="O46" s="332">
        <f>O45+(O33-O32)*O39</f>
        <v/>
      </c>
      <c r="P46" s="332">
        <f>P45+(P33-P32)*P39</f>
        <v/>
      </c>
      <c r="Q46" s="332">
        <f>Q45+(Q33-Q32)*Q39</f>
        <v/>
      </c>
      <c r="R46" s="332">
        <f>R45+(R33-R32)*R39</f>
        <v/>
      </c>
      <c r="S46" s="332">
        <f>S45+(S33-S32)*S39</f>
        <v/>
      </c>
      <c r="T46" s="332">
        <f>T45+(T33-T32)*T39</f>
        <v/>
      </c>
      <c r="U46" s="332">
        <f>U45+(U33-U32)*U39</f>
        <v/>
      </c>
      <c r="V46" s="332">
        <f>V45+(V33-V32)*V39</f>
        <v/>
      </c>
      <c r="W46" s="332">
        <f>W45+(W33-W32)*W39</f>
        <v/>
      </c>
      <c r="X46" s="332">
        <f>X45+(X33-X32)*X39</f>
        <v/>
      </c>
      <c r="Y46" s="332">
        <f>Y45+(Y33-Y32)*Y39</f>
        <v/>
      </c>
      <c r="Z46" s="332">
        <f>Z45+(Z33-Z32)*Z39</f>
        <v/>
      </c>
      <c r="AA46" s="332">
        <f>AA45+(AA33-AA32)*AA39</f>
        <v/>
      </c>
      <c r="AB46" s="332">
        <f>AB45+(AB33-AB32)*AB39</f>
        <v/>
      </c>
      <c r="AC46" s="332">
        <f>AC45+(AC33-AC32)*AC39</f>
        <v/>
      </c>
      <c r="AD46" s="332">
        <f>AD45+(AD33-AD32)*AD39</f>
        <v/>
      </c>
      <c r="AE46" s="332">
        <f>AE45+(AE33-AE32)*AE39</f>
        <v/>
      </c>
      <c r="AF46" s="332">
        <f>AF45+(AF33-AF32)*AF39</f>
        <v/>
      </c>
      <c r="AG46" s="332">
        <f>AG45+(AG33-AG32)*AG39</f>
        <v/>
      </c>
      <c r="AH46" s="332">
        <f>AH45+(AH33-AH32)*AH39</f>
        <v/>
      </c>
      <c r="AI46" s="332">
        <f>AI45+(AI33-AI32)*AI39</f>
        <v/>
      </c>
      <c r="AJ46" s="332">
        <f>AJ45+(AJ33-AJ32)*AJ39</f>
        <v/>
      </c>
      <c r="AK46" s="332">
        <f>AK45+(AK33-AK32)*AK39</f>
        <v/>
      </c>
      <c r="AL46" s="332">
        <f>AL45+(AL33-AL32)*AL39</f>
        <v/>
      </c>
      <c r="AM46" s="332">
        <f>AM45+(AM33-AM32)*AM39</f>
        <v/>
      </c>
      <c r="AN46" s="332">
        <f>AN45+(AN33-AN32)*AN39</f>
        <v/>
      </c>
      <c r="AO46" s="332">
        <f>AO45+(AO33-AO32)*AO39</f>
        <v/>
      </c>
      <c r="AP46" s="332">
        <f>AP45+(AP33-AP32)*AP39</f>
        <v/>
      </c>
      <c r="AQ46" s="332">
        <f>AQ45+(AQ33-AQ32)*AQ39</f>
        <v/>
      </c>
      <c r="AR46" s="332">
        <f>AR45+(AR33-AR32)*AR39</f>
        <v/>
      </c>
      <c r="AS46" s="332">
        <f>AS45+(AS33-AS32)*AS39</f>
        <v/>
      </c>
      <c r="AT46" s="332">
        <f>AT45+(AT33-AT32)*AT39</f>
        <v/>
      </c>
      <c r="AU46" s="332">
        <f>AU45+(AU33-AU32)*AU39</f>
        <v/>
      </c>
      <c r="AV46" s="332">
        <f>AV45+(AV33-AV32)*AV39</f>
        <v/>
      </c>
      <c r="AW46" s="332">
        <f>AW45+(AW33-AW32)*AW39</f>
        <v/>
      </c>
      <c r="AX46" s="332">
        <f>AX45+(AX33-AX32)*AX39</f>
        <v/>
      </c>
      <c r="AY46" s="332">
        <f>AY45+(AY33-AY32)*AY39</f>
        <v/>
      </c>
      <c r="AZ46" s="332">
        <f>AZ45+(AZ33-AZ32)*AZ39</f>
        <v/>
      </c>
      <c r="BA46" s="332">
        <f>BA45+(BA33-BA32)*BA39</f>
        <v/>
      </c>
      <c r="BB46" s="332">
        <f>BB45+(BB33-BB32)*BB39</f>
        <v/>
      </c>
      <c r="BC46" s="332">
        <f>BC45+(BC33-BC32)*BC39</f>
        <v/>
      </c>
      <c r="BD46" s="332">
        <f>BD45+(BD33-BD32)*BD39</f>
        <v/>
      </c>
      <c r="BE46" s="332">
        <f>BE45+(BE33-BE32)*BE39</f>
        <v/>
      </c>
      <c r="BF46" s="332">
        <f>BF45+(BF33-BF32)*BF39</f>
        <v/>
      </c>
      <c r="BG46" s="332">
        <f>BG45+(BG33-BG32)*BG39</f>
        <v/>
      </c>
      <c r="BH46" s="332">
        <f>BH45+(BH33-BH32)*BH39</f>
        <v/>
      </c>
      <c r="BI46" s="332">
        <f>BI45+(BI33-BI32)*BI39</f>
        <v/>
      </c>
      <c r="BJ46" s="332">
        <f>BJ45+(BJ33-BJ32)*BJ39</f>
        <v/>
      </c>
      <c r="BK46" s="332">
        <f>BK45+(BK33-BK32)*BK39</f>
        <v/>
      </c>
      <c r="BL46" s="332">
        <f>BL45+(BL33-BL32)*BL39</f>
        <v/>
      </c>
      <c r="BM46" s="332">
        <f>BM45+(BM33-BM32)*BM39</f>
        <v/>
      </c>
      <c r="BN46" s="332">
        <f>BN45+(BN33-BN32)*BN39</f>
        <v/>
      </c>
      <c r="BO46" s="332">
        <f>BO45+(BO33-BO32)*BO39</f>
        <v/>
      </c>
      <c r="BP46" s="332">
        <f>BP45+(BP33-BP32)*BP39</f>
        <v/>
      </c>
      <c r="BQ46" s="332">
        <f>BQ45+(BQ33-BQ32)*BQ39</f>
        <v/>
      </c>
      <c r="BR46" s="332">
        <f>BR45+(BR33-BR32)*BR39</f>
        <v/>
      </c>
      <c r="BS46" s="332">
        <f>BS45+(BS33-BS32)*BS39</f>
        <v/>
      </c>
      <c r="BT46" s="332">
        <f>BT45+(BT33-BT32)*BT39</f>
        <v/>
      </c>
      <c r="BU46" s="332">
        <f>BU45+(BU33-BU32)*BU39</f>
        <v/>
      </c>
      <c r="BV46" s="332">
        <f>BV45+(BV33-BV32)*BV39</f>
        <v/>
      </c>
    </row>
    <row r="49">
      <c r="A49" t="inlineStr">
        <is>
          <t>AUD CPI</t>
        </is>
      </c>
      <c r="B49" t="inlineStr">
        <is>
          <t>%</t>
        </is>
      </c>
      <c r="D49" s="174" t="n">
        <v>0.01</v>
      </c>
      <c r="E49" s="174" t="n">
        <v>0.01</v>
      </c>
      <c r="F49" s="174" t="n">
        <v>0.01</v>
      </c>
      <c r="G49" s="174" t="n">
        <v>0.01</v>
      </c>
      <c r="H49" s="174" t="n">
        <v>0.01</v>
      </c>
      <c r="I49" s="174" t="n">
        <v>0.01</v>
      </c>
      <c r="J49" s="174" t="n">
        <v>0.0265</v>
      </c>
      <c r="K49" s="174" t="n">
        <v>0.0265</v>
      </c>
      <c r="L49" s="174" t="n">
        <v>0.0265</v>
      </c>
      <c r="M49" s="174" t="n">
        <v>0.0265</v>
      </c>
      <c r="N49" s="174" t="n">
        <v>0.0265</v>
      </c>
      <c r="O49" s="174" t="n">
        <v>0.0265</v>
      </c>
      <c r="P49" s="174" t="n">
        <v>0.0265</v>
      </c>
      <c r="Q49" s="174" t="n">
        <v>0.0265</v>
      </c>
      <c r="R49" s="174" t="n">
        <v>0.0265</v>
      </c>
      <c r="S49" s="174" t="n">
        <v>0.0265</v>
      </c>
      <c r="T49" s="174" t="n">
        <v>0.0265</v>
      </c>
      <c r="U49" s="174" t="n">
        <v>0.0265</v>
      </c>
      <c r="V49" s="174" t="n">
        <v>0.0265</v>
      </c>
      <c r="W49" s="174" t="n">
        <v>0.0265</v>
      </c>
      <c r="X49" s="174" t="n">
        <v>0.0265</v>
      </c>
      <c r="Y49" s="174" t="n">
        <v>0.0265</v>
      </c>
      <c r="Z49" s="174" t="n">
        <v>0.0265</v>
      </c>
      <c r="AA49" s="174" t="n">
        <v>0.0265</v>
      </c>
      <c r="AB49" s="174" t="n">
        <v>0.0265</v>
      </c>
      <c r="AC49" s="174" t="n">
        <v>0.0265</v>
      </c>
      <c r="AD49" s="174" t="n">
        <v>0.0265</v>
      </c>
      <c r="AE49" s="174" t="n">
        <v>0.0265</v>
      </c>
      <c r="AF49" s="174" t="n">
        <v>0.0265</v>
      </c>
      <c r="AG49" s="174" t="n">
        <v>0.0265</v>
      </c>
      <c r="AH49" s="174" t="n">
        <v>0.0265</v>
      </c>
      <c r="AI49" s="174" t="n">
        <v>0.0265</v>
      </c>
      <c r="AJ49" s="174" t="n">
        <v>0.0265</v>
      </c>
      <c r="AK49" s="174" t="n">
        <v>0.0265</v>
      </c>
      <c r="AL49" s="174" t="n">
        <v>0.0265</v>
      </c>
      <c r="AM49" s="174" t="n">
        <v>0.0265</v>
      </c>
      <c r="AN49" s="174" t="n">
        <v>0.0265</v>
      </c>
      <c r="AO49" s="174" t="n">
        <v>0.0265</v>
      </c>
      <c r="AP49" s="174" t="n">
        <v>0.0265</v>
      </c>
      <c r="AQ49" s="174" t="n">
        <v>0.0265</v>
      </c>
      <c r="AR49" s="174" t="n">
        <v>0.0265</v>
      </c>
      <c r="AS49" s="174" t="n">
        <v>0.0265</v>
      </c>
      <c r="AT49" s="174" t="n">
        <v>0.0265</v>
      </c>
      <c r="AU49" s="174" t="n">
        <v>0.0265</v>
      </c>
      <c r="AV49" s="174" t="n">
        <v>0.0265</v>
      </c>
      <c r="AW49" s="174" t="n">
        <v>0.0265</v>
      </c>
      <c r="AX49" s="174" t="n">
        <v>0.0265</v>
      </c>
      <c r="AY49" s="174" t="n">
        <v>0.0265</v>
      </c>
      <c r="AZ49" s="174" t="n">
        <v>0.0265</v>
      </c>
      <c r="BA49" s="174" t="n">
        <v>0.0265</v>
      </c>
      <c r="BB49" s="174" t="n">
        <v>0.0265</v>
      </c>
      <c r="BC49" s="174" t="n">
        <v>0.0265</v>
      </c>
      <c r="BD49" s="174" t="n">
        <v>0.0265</v>
      </c>
      <c r="BE49" s="174" t="n">
        <v>0.0265</v>
      </c>
      <c r="BF49" s="174" t="n">
        <v>0.0265</v>
      </c>
      <c r="BG49" s="174" t="n">
        <v>0.0265</v>
      </c>
      <c r="BH49" s="174" t="n">
        <v>0.0265</v>
      </c>
      <c r="BI49" s="174" t="n">
        <v>0.0265</v>
      </c>
      <c r="BJ49" s="174" t="n">
        <v>0.0265</v>
      </c>
      <c r="BK49" s="174" t="n">
        <v>0.0265</v>
      </c>
      <c r="BL49" s="174" t="n">
        <v>0.0265</v>
      </c>
      <c r="BM49" s="174" t="n">
        <v>0.0265</v>
      </c>
      <c r="BN49" s="174" t="n">
        <v>0.0265</v>
      </c>
      <c r="BO49" s="174" t="n">
        <v>0.0265</v>
      </c>
      <c r="BP49" s="174" t="n">
        <v>0.0265</v>
      </c>
      <c r="BQ49" s="174" t="n">
        <v>0.0265</v>
      </c>
      <c r="BR49" s="174" t="n">
        <v>0.0265</v>
      </c>
      <c r="BS49" s="174" t="n">
        <v>0.0265</v>
      </c>
      <c r="BT49" s="174" t="n">
        <v>0.0265</v>
      </c>
      <c r="BU49" s="174" t="n">
        <v>0.0265</v>
      </c>
      <c r="BV49" s="174" t="n">
        <v>0.0265</v>
      </c>
    </row>
    <row r="52">
      <c r="A52" t="inlineStr">
        <is>
          <t>Flood Rate</t>
        </is>
      </c>
    </row>
    <row r="53">
      <c r="A53" t="n">
        <v>0</v>
      </c>
    </row>
    <row r="54">
      <c r="A54" s="323" t="n">
        <v>100000</v>
      </c>
    </row>
    <row r="55">
      <c r="A55" s="323" t="n">
        <v>250000</v>
      </c>
    </row>
    <row r="56">
      <c r="A56" s="323" t="n">
        <v>500000</v>
      </c>
    </row>
    <row r="57">
      <c r="A57" s="323" t="n">
        <v>750000</v>
      </c>
    </row>
    <row r="58">
      <c r="A58" s="323" t="n">
        <v>10000000</v>
      </c>
    </row>
  </sheetData>
  <mergeCells count="1">
    <mergeCell ref="I11:AI11"/>
  </mergeCells>
  <pageMargins left="0.7" right="0.7" top="0.75" bottom="0.75" header="0.3" footer="0.3"/>
  <pageSetup orientation="landscape" paperSize="8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AK24"/>
  <sheetViews>
    <sheetView zoomScale="66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baseColWidth="10" defaultColWidth="8.83203125" defaultRowHeight="15"/>
  <cols>
    <col width="53.33203125" bestFit="1" customWidth="1" min="1" max="1"/>
    <col width="19" customWidth="1" min="2" max="2"/>
    <col width="14.6640625" customWidth="1" style="323" min="3" max="7"/>
    <col width="10.5" bestFit="1" customWidth="1" min="8" max="8"/>
    <col width="12.5" customWidth="1" min="9" max="34"/>
  </cols>
  <sheetData>
    <row r="1">
      <c r="C1" s="203" t="inlineStr">
        <is>
          <t>2021Act</t>
        </is>
      </c>
      <c r="D1" s="203" t="inlineStr">
        <is>
          <t>2022Act</t>
        </is>
      </c>
      <c r="E1" s="203" t="inlineStr">
        <is>
          <t>2023Act</t>
        </is>
      </c>
      <c r="F1" s="203" t="inlineStr">
        <is>
          <t>2024Act</t>
        </is>
      </c>
      <c r="G1" s="203" t="inlineStr">
        <is>
          <t>2025Act</t>
        </is>
      </c>
      <c r="H1" s="203" t="inlineStr">
        <is>
          <t>2026FYF</t>
        </is>
      </c>
      <c r="I1" s="20" t="n">
        <v>2027</v>
      </c>
      <c r="J1" s="20">
        <f>I1+1</f>
        <v/>
      </c>
      <c r="K1" s="20">
        <f>J1+1</f>
        <v/>
      </c>
      <c r="L1" s="20">
        <f>K1+1</f>
        <v/>
      </c>
      <c r="M1" s="20">
        <f>L1+1</f>
        <v/>
      </c>
      <c r="N1" s="20">
        <f>M1+1</f>
        <v/>
      </c>
      <c r="O1" s="20">
        <f>N1+1</f>
        <v/>
      </c>
      <c r="P1" s="20">
        <f>O1+1</f>
        <v/>
      </c>
      <c r="Q1" s="20">
        <f>P1+1</f>
        <v/>
      </c>
      <c r="R1" s="20">
        <f>Q1+1</f>
        <v/>
      </c>
      <c r="S1" s="20">
        <f>R1+1</f>
        <v/>
      </c>
      <c r="T1" s="20">
        <f>S1+1</f>
        <v/>
      </c>
      <c r="U1" s="20">
        <f>T1+1</f>
        <v/>
      </c>
      <c r="V1" s="20">
        <f>U1+1</f>
        <v/>
      </c>
      <c r="W1" s="20">
        <f>V1+1</f>
        <v/>
      </c>
      <c r="X1" s="20">
        <f>W1+1</f>
        <v/>
      </c>
      <c r="Y1" s="20">
        <f>X1+1</f>
        <v/>
      </c>
      <c r="Z1" s="20">
        <f>Y1+1</f>
        <v/>
      </c>
      <c r="AA1" s="20">
        <f>Z1+1</f>
        <v/>
      </c>
      <c r="AB1" s="20">
        <f>AA1+1</f>
        <v/>
      </c>
      <c r="AC1" s="20">
        <f>AB1+1</f>
        <v/>
      </c>
      <c r="AD1" s="20">
        <f>AC1+1</f>
        <v/>
      </c>
      <c r="AE1" s="20">
        <f>AD1+1</f>
        <v/>
      </c>
      <c r="AF1" s="20">
        <f>AE1+1</f>
        <v/>
      </c>
      <c r="AG1" s="20">
        <f>AF1+1</f>
        <v/>
      </c>
      <c r="AH1" s="20">
        <f>AG1+1</f>
        <v/>
      </c>
      <c r="AI1" s="20" t="n"/>
      <c r="AJ1" s="20" t="n"/>
      <c r="AK1" s="20" t="n"/>
    </row>
    <row r="2">
      <c r="A2" s="1" t="inlineStr">
        <is>
          <t>FOR cash cost/t</t>
        </is>
      </c>
      <c r="B2" s="1" t="n"/>
      <c r="C2" s="333" t="n"/>
      <c r="D2" s="333" t="n"/>
      <c r="E2" s="333" t="n"/>
      <c r="F2" s="333" t="n"/>
      <c r="G2" s="333" t="n"/>
    </row>
    <row r="3">
      <c r="A3" t="inlineStr">
        <is>
          <t>Springbok Coal Complex</t>
        </is>
      </c>
      <c r="B3" s="17" t="inlineStr">
        <is>
          <t>AUD/t</t>
        </is>
      </c>
      <c r="C3" s="334">
        <f>'Historical Performance'!D117</f>
        <v/>
      </c>
      <c r="D3" s="334">
        <f>'Historical Performance'!E117</f>
        <v/>
      </c>
      <c r="E3" s="334">
        <f>'Historical Performance'!F117</f>
        <v/>
      </c>
      <c r="F3" s="334">
        <f>'Historical Performance'!G117</f>
        <v/>
      </c>
      <c r="G3" s="334">
        <f>'Historical Performance'!H117</f>
        <v/>
      </c>
      <c r="H3" s="334">
        <f>'Historical Performance'!I117</f>
        <v/>
      </c>
      <c r="I3" s="322">
        <f>IF(Springbok!D90=0,NA(),Springbok!D90)</f>
        <v/>
      </c>
      <c r="J3" s="322">
        <f>IF(Springbok!E90=0,NA(),Springbok!E90)</f>
        <v/>
      </c>
      <c r="K3" s="322">
        <f>IF(Springbok!F90=0,NA(),Springbok!F90)</f>
        <v/>
      </c>
      <c r="L3" s="322">
        <f>IF(Springbok!G90=0,NA(),Springbok!G90)</f>
        <v/>
      </c>
      <c r="M3" s="322">
        <f>IF(Springbok!H90=0,NA(),Springbok!H90)</f>
        <v/>
      </c>
      <c r="N3" s="322">
        <f>IF(Springbok!I90=0,NA(),Springbok!I90)</f>
        <v/>
      </c>
      <c r="O3" s="322">
        <f>IF(Springbok!J90=0,NA(),Springbok!J90)</f>
        <v/>
      </c>
      <c r="P3" s="322">
        <f>IF(Springbok!K90=0,NA(),Springbok!K90)</f>
        <v/>
      </c>
      <c r="Q3" s="322">
        <f>IF(Springbok!L90=0,NA(),Springbok!L90)</f>
        <v/>
      </c>
      <c r="R3" s="322">
        <f>IF(Springbok!M90=0,NA(),Springbok!M90)</f>
        <v/>
      </c>
      <c r="S3" s="322">
        <f>IF(Springbok!N90=0,NA(),Springbok!N90)</f>
        <v/>
      </c>
      <c r="T3" s="322">
        <f>IF(Springbok!O90=0,NA(),Springbok!O90)</f>
        <v/>
      </c>
      <c r="U3" s="322">
        <f>IF(Springbok!P90=0,NA(),Springbok!P90)</f>
        <v/>
      </c>
      <c r="V3" s="322">
        <f>IF(Springbok!Q90=0,NA(),Springbok!Q90)</f>
        <v/>
      </c>
      <c r="W3" s="322">
        <f>IF(Springbok!R90=0,NA(),Springbok!R90)</f>
        <v/>
      </c>
      <c r="X3" s="322">
        <f>IF(Springbok!S90=0,NA(),Springbok!S90)</f>
        <v/>
      </c>
      <c r="Y3" s="322">
        <f>IF(Springbok!T90=0,NA(),Springbok!T90)</f>
        <v/>
      </c>
      <c r="Z3" s="322">
        <f>IF(Springbok!U90=0,NA(),Springbok!U90)</f>
        <v/>
      </c>
      <c r="AA3" s="322">
        <f>IF(Springbok!V90=0,NA(),Springbok!V90)</f>
        <v/>
      </c>
      <c r="AB3" s="322">
        <f>IF(Springbok!W90=0,NA(),Springbok!W90)</f>
        <v/>
      </c>
      <c r="AC3" s="322">
        <f>IF(Springbok!X90=0,NA(),Springbok!X90)</f>
        <v/>
      </c>
      <c r="AD3" s="322">
        <f>IF(Springbok!Y90=0,NA(),Springbok!Y90)</f>
        <v/>
      </c>
      <c r="AE3" s="322">
        <f>IF(Springbok!Z90=0,NA(),Springbok!Z90)</f>
        <v/>
      </c>
      <c r="AF3" s="322">
        <f>IF(Springbok!AA90=0,NA(),Springbok!AA90)</f>
        <v/>
      </c>
      <c r="AG3" s="322">
        <f>IF(Springbok!AB90=0,NA(),Springbok!AB90)</f>
        <v/>
      </c>
      <c r="AH3" s="322">
        <f>IF(Springbok!AC90=0,NA(),Springbok!AC90)</f>
        <v/>
      </c>
    </row>
    <row r="4">
      <c r="A4" t="inlineStr">
        <is>
          <t>Brave Blossom UG</t>
        </is>
      </c>
      <c r="B4" s="17" t="inlineStr">
        <is>
          <t>AUD/t</t>
        </is>
      </c>
      <c r="C4" s="334" t="n"/>
      <c r="D4" s="334" t="n"/>
      <c r="E4" s="334" t="n"/>
      <c r="F4" s="334" t="n"/>
      <c r="G4" s="334" t="n"/>
      <c r="H4" s="334" t="n"/>
      <c r="I4" s="323">
        <f>IF('Brave Blossom '!D90=0,NA(),'Brave Blossom '!D90)</f>
        <v/>
      </c>
      <c r="J4" s="323">
        <f>IF('Brave Blossom '!E90=0,NA(),'Brave Blossom '!E90)</f>
        <v/>
      </c>
      <c r="K4" s="323">
        <f>IF('Brave Blossom '!F90=0,NA(),'Brave Blossom '!F90)</f>
        <v/>
      </c>
      <c r="L4" s="323">
        <f>IF('Brave Blossom '!G90=0,NA(),'Brave Blossom '!G90)</f>
        <v/>
      </c>
      <c r="M4" s="323">
        <f>IF('Brave Blossom '!H90=0,NA(),'Brave Blossom '!H90)</f>
        <v/>
      </c>
      <c r="N4" s="323">
        <f>IF('Brave Blossom '!I90=0,NA(),'Brave Blossom '!I90)</f>
        <v/>
      </c>
      <c r="O4" s="323">
        <f>IF('Brave Blossom '!J90=0,NA(),'Brave Blossom '!J90)</f>
        <v/>
      </c>
      <c r="P4" s="323">
        <f>IF('Brave Blossom '!K90=0,NA(),'Brave Blossom '!K90)</f>
        <v/>
      </c>
      <c r="Q4" s="323">
        <f>IF('Brave Blossom '!L90=0,NA(),'Brave Blossom '!L90)</f>
        <v/>
      </c>
      <c r="R4" s="323">
        <f>IF('Brave Blossom '!M90=0,NA(),'Brave Blossom '!M90)</f>
        <v/>
      </c>
      <c r="S4" s="323">
        <f>IF('Brave Blossom '!N90=0,NA(),'Brave Blossom '!N90)</f>
        <v/>
      </c>
      <c r="T4" s="323">
        <f>IF('Brave Blossom '!O90=0,NA(),'Brave Blossom '!O90)</f>
        <v/>
      </c>
      <c r="U4" s="323">
        <f>IF('Brave Blossom '!P90=0,NA(),'Brave Blossom '!P90)</f>
        <v/>
      </c>
      <c r="V4" s="323">
        <f>IF('Brave Blossom '!Q90=0,NA(),'Brave Blossom '!Q90)</f>
        <v/>
      </c>
      <c r="W4" s="323">
        <f>IF('Brave Blossom '!R90=0,NA(),'Brave Blossom '!R90)</f>
        <v/>
      </c>
      <c r="X4" s="323">
        <f>IF('Brave Blossom '!S90=0,NA(),'Brave Blossom '!S90)</f>
        <v/>
      </c>
      <c r="Y4" s="323">
        <f>IF('Brave Blossom '!T90=0,NA(),'Brave Blossom '!T90)</f>
        <v/>
      </c>
      <c r="Z4" s="323">
        <f>IF('Brave Blossom '!U90=0,NA(),'Brave Blossom '!U90)</f>
        <v/>
      </c>
      <c r="AA4" s="323">
        <f>IF('Brave Blossom '!V90=0,NA(),'Brave Blossom '!V90)</f>
        <v/>
      </c>
      <c r="AB4" s="323">
        <f>IF('Brave Blossom '!W90=0,NA(),'Brave Blossom '!W90)</f>
        <v/>
      </c>
      <c r="AC4" s="323">
        <f>IF('Brave Blossom '!X90=0,NA(),'Brave Blossom '!X90)</f>
        <v/>
      </c>
      <c r="AD4" s="323">
        <f>IF('Brave Blossom '!Y90=0,NA(),'Brave Blossom '!Y90)</f>
        <v/>
      </c>
      <c r="AE4" s="323">
        <f>IF('Brave Blossom '!Z90=0,NA(),'Brave Blossom '!Z90)</f>
        <v/>
      </c>
      <c r="AF4" s="323">
        <f>IF('Brave Blossom '!AA90=0,NA(),'Brave Blossom '!AA90)</f>
        <v/>
      </c>
      <c r="AG4" s="323">
        <f>IF('Brave Blossom '!AB90=0,NA(),'Brave Blossom '!AB90)</f>
        <v/>
      </c>
      <c r="AH4" s="323">
        <f>IF('Brave Blossom '!AC90=0,NA(),'Brave Blossom '!AC90)</f>
        <v/>
      </c>
    </row>
    <row r="5">
      <c r="H5" s="323" t="n"/>
    </row>
    <row r="6">
      <c r="A6" s="1" t="inlineStr">
        <is>
          <t>Net Cashflow Before Tax</t>
        </is>
      </c>
      <c r="B6" s="1" t="n"/>
      <c r="C6" s="333" t="n"/>
      <c r="D6" s="333" t="n"/>
      <c r="E6" s="333" t="n"/>
      <c r="F6" s="333" t="n"/>
      <c r="G6" s="333" t="n"/>
      <c r="H6" s="333" t="n"/>
    </row>
    <row r="7">
      <c r="A7" t="inlineStr">
        <is>
          <t>Springbok Coal Complex</t>
        </is>
      </c>
      <c r="B7" s="17" t="inlineStr">
        <is>
          <t>AUDk</t>
        </is>
      </c>
      <c r="C7" s="335">
        <f>'Historical Performance'!D143</f>
        <v/>
      </c>
      <c r="D7" s="335">
        <f>'Historical Performance'!E143</f>
        <v/>
      </c>
      <c r="E7" s="335">
        <f>'Historical Performance'!F143</f>
        <v/>
      </c>
      <c r="F7" s="335">
        <f>'Historical Performance'!G143</f>
        <v/>
      </c>
      <c r="G7" s="335">
        <f>'Historical Performance'!H143</f>
        <v/>
      </c>
      <c r="H7" s="335">
        <f>'Historical Performance'!I143</f>
        <v/>
      </c>
      <c r="I7" s="335">
        <f>IF(Springbok!D118=0,NA(),Springbok!D118)</f>
        <v/>
      </c>
      <c r="J7" s="335">
        <f>IF(Springbok!E118=0,NA(),Springbok!E118)</f>
        <v/>
      </c>
      <c r="K7" s="335">
        <f>IF(Springbok!F118=0,NA(),Springbok!F118)</f>
        <v/>
      </c>
      <c r="L7" s="335">
        <f>IF(Springbok!G118=0,NA(),Springbok!G118)</f>
        <v/>
      </c>
      <c r="M7" s="335">
        <f>IF(Springbok!H118=0,NA(),Springbok!H118)</f>
        <v/>
      </c>
      <c r="N7" s="335">
        <f>IF(Springbok!I118=0,NA(),Springbok!I118)</f>
        <v/>
      </c>
      <c r="O7" s="335">
        <f>IF(Springbok!J118=0,NA(),Springbok!J118)</f>
        <v/>
      </c>
      <c r="P7" s="335">
        <f>IF(Springbok!K118=0,NA(),Springbok!K118)</f>
        <v/>
      </c>
      <c r="Q7" s="335">
        <f>IF(Springbok!L118=0,NA(),Springbok!L118)</f>
        <v/>
      </c>
      <c r="R7" s="335">
        <f>IF(Springbok!M118=0,NA(),Springbok!M118)</f>
        <v/>
      </c>
      <c r="S7" s="335">
        <f>IF(Springbok!N118=0,NA(),Springbok!N118)</f>
        <v/>
      </c>
      <c r="T7" s="335">
        <f>IF(Springbok!O118=0,NA(),Springbok!O118)</f>
        <v/>
      </c>
      <c r="U7" s="335">
        <f>IF(Springbok!P118=0,NA(),Springbok!P118)</f>
        <v/>
      </c>
      <c r="V7" s="335">
        <f>IF(Springbok!Q118=0,NA(),Springbok!Q118)</f>
        <v/>
      </c>
      <c r="W7" s="335">
        <f>IF(Springbok!R118=0,NA(),Springbok!R118)</f>
        <v/>
      </c>
      <c r="X7" s="335">
        <f>IF(Springbok!S118=0,NA(),Springbok!S118)</f>
        <v/>
      </c>
      <c r="Y7" s="335">
        <f>IF(Springbok!T118=0,NA(),Springbok!T118)</f>
        <v/>
      </c>
      <c r="Z7" s="335">
        <f>IF(Springbok!U118=0,NA(),Springbok!U118)</f>
        <v/>
      </c>
      <c r="AA7" s="335">
        <f>IF(Springbok!V118=0,NA(),Springbok!V118)</f>
        <v/>
      </c>
      <c r="AB7" s="335">
        <f>IF(Springbok!W118=0,NA(),Springbok!W118)</f>
        <v/>
      </c>
      <c r="AC7" s="335">
        <f>IF(Springbok!X118=0,NA(),Springbok!X118)</f>
        <v/>
      </c>
      <c r="AD7" s="335">
        <f>IF(Springbok!Y118=0,NA(),Springbok!Y118)</f>
        <v/>
      </c>
      <c r="AE7" s="335">
        <f>IF(Springbok!Z118=0,NA(),Springbok!Z118)</f>
        <v/>
      </c>
      <c r="AF7" s="335">
        <f>IF(Springbok!AA118=0,NA(),Springbok!AA118)</f>
        <v/>
      </c>
      <c r="AG7" s="335">
        <f>IF(Springbok!AB118=0,NA(),Springbok!AB118)</f>
        <v/>
      </c>
      <c r="AH7" s="335">
        <f>IF(Springbok!AC118=0,NA(),Springbok!AC118)</f>
        <v/>
      </c>
    </row>
    <row r="8">
      <c r="A8" t="inlineStr">
        <is>
          <t>Brave Blossom UG</t>
        </is>
      </c>
      <c r="B8" s="17" t="inlineStr">
        <is>
          <t>AUDk</t>
        </is>
      </c>
      <c r="C8" s="334" t="n"/>
      <c r="D8" s="334" t="n"/>
      <c r="E8" s="334" t="n"/>
      <c r="F8" s="334" t="n"/>
      <c r="G8" s="334" t="n"/>
      <c r="H8" s="334" t="n"/>
      <c r="I8" s="335">
        <f>IF('Brave Blossom '!D118=0,NA(),'Brave Blossom '!D118)</f>
        <v/>
      </c>
      <c r="J8" s="335">
        <f>IF('Brave Blossom '!E118=0,NA(),'Brave Blossom '!E118)</f>
        <v/>
      </c>
      <c r="K8" s="335">
        <f>IF('Brave Blossom '!F118=0,NA(),'Brave Blossom '!F118)</f>
        <v/>
      </c>
      <c r="L8" s="335">
        <f>IF('Brave Blossom '!G118=0,NA(),'Brave Blossom '!G118)</f>
        <v/>
      </c>
      <c r="M8" s="335">
        <f>IF('Brave Blossom '!H118=0,NA(),'Brave Blossom '!H118)</f>
        <v/>
      </c>
      <c r="N8" s="335">
        <f>IF('Brave Blossom '!I118=0,NA(),'Brave Blossom '!I118)</f>
        <v/>
      </c>
      <c r="O8" s="335">
        <f>IF('Brave Blossom '!J118=0,NA(),'Brave Blossom '!J118)</f>
        <v/>
      </c>
      <c r="P8" s="335">
        <f>IF('Brave Blossom '!K118=0,NA(),'Brave Blossom '!K118)</f>
        <v/>
      </c>
      <c r="Q8" s="335">
        <f>IF('Brave Blossom '!L118=0,NA(),'Brave Blossom '!L118)</f>
        <v/>
      </c>
      <c r="R8" s="335">
        <f>IF('Brave Blossom '!M118=0,NA(),'Brave Blossom '!M118)</f>
        <v/>
      </c>
      <c r="S8" s="335">
        <f>IF('Brave Blossom '!N118=0,NA(),'Brave Blossom '!N118)</f>
        <v/>
      </c>
      <c r="T8" s="335">
        <f>IF('Brave Blossom '!O118=0,NA(),'Brave Blossom '!O118)</f>
        <v/>
      </c>
      <c r="U8" s="335">
        <f>IF('Brave Blossom '!P118=0,NA(),'Brave Blossom '!P118)</f>
        <v/>
      </c>
      <c r="V8" s="335">
        <f>IF('Brave Blossom '!Q118=0,NA(),'Brave Blossom '!Q118)</f>
        <v/>
      </c>
      <c r="W8" s="335">
        <f>IF('Brave Blossom '!R118=0,NA(),'Brave Blossom '!R118)</f>
        <v/>
      </c>
      <c r="X8" s="335">
        <f>IF('Brave Blossom '!S118=0,NA(),'Brave Blossom '!S118)</f>
        <v/>
      </c>
      <c r="Y8" s="335">
        <f>IF('Brave Blossom '!T118=0,NA(),'Brave Blossom '!T118)</f>
        <v/>
      </c>
      <c r="Z8" s="335">
        <f>IF('Brave Blossom '!U118=0,NA(),'Brave Blossom '!U118)</f>
        <v/>
      </c>
      <c r="AA8" s="335">
        <f>IF('Brave Blossom '!V118=0,NA(),'Brave Blossom '!V118)</f>
        <v/>
      </c>
      <c r="AB8" s="335">
        <f>IF('Brave Blossom '!W118=0,NA(),'Brave Blossom '!W118)</f>
        <v/>
      </c>
      <c r="AC8" s="335">
        <f>IF('Brave Blossom '!X118=0,NA(),'Brave Blossom '!X118)</f>
        <v/>
      </c>
      <c r="AD8" s="335">
        <f>IF('Brave Blossom '!Y118=0,NA(),'Brave Blossom '!Y118)</f>
        <v/>
      </c>
      <c r="AE8" s="335">
        <f>IF('Brave Blossom '!Z118=0,NA(),'Brave Blossom '!Z118)</f>
        <v/>
      </c>
      <c r="AF8" s="335">
        <f>IF('Brave Blossom '!AA118=0,NA(),'Brave Blossom '!AA118)</f>
        <v/>
      </c>
      <c r="AG8" s="335">
        <f>IF('Brave Blossom '!AB118=0,NA(),'Brave Blossom '!AB118)</f>
        <v/>
      </c>
      <c r="AH8" s="335">
        <f>IF('Brave Blossom '!AC118=0,NA(),'Brave Blossom '!AC118)</f>
        <v/>
      </c>
    </row>
    <row r="9">
      <c r="H9" s="323" t="n"/>
    </row>
    <row r="10">
      <c r="A10" s="1" t="inlineStr">
        <is>
          <t>Net Cashflow Before Tax Combined</t>
        </is>
      </c>
      <c r="B10" s="1" t="n"/>
      <c r="C10" s="333" t="n"/>
      <c r="D10" s="333" t="n"/>
      <c r="E10" s="333" t="n"/>
      <c r="F10" s="333" t="n"/>
      <c r="G10" s="333" t="n"/>
      <c r="H10" s="333" t="n"/>
    </row>
    <row r="11">
      <c r="A11" t="inlineStr">
        <is>
          <t xml:space="preserve"> Springbok Coal Complex + Brave Blossom UG - Project</t>
        </is>
      </c>
      <c r="B11" s="17" t="inlineStr">
        <is>
          <t>AUDk</t>
        </is>
      </c>
      <c r="C11" s="335">
        <f>C7</f>
        <v/>
      </c>
      <c r="D11" s="335">
        <f>D7</f>
        <v/>
      </c>
      <c r="E11" s="335">
        <f>E7</f>
        <v/>
      </c>
      <c r="F11" s="335">
        <f>F7</f>
        <v/>
      </c>
      <c r="G11" s="335">
        <f>G7</f>
        <v/>
      </c>
      <c r="H11" s="335">
        <f>H7</f>
        <v/>
      </c>
      <c r="I11" s="335">
        <f>'Brave Blossom '!D118+Springbok!D118</f>
        <v/>
      </c>
      <c r="J11" s="335">
        <f>'Brave Blossom '!E118+Springbok!E118</f>
        <v/>
      </c>
      <c r="K11" s="335">
        <f>'Brave Blossom '!F118+Springbok!F118</f>
        <v/>
      </c>
      <c r="L11" s="335">
        <f>'Brave Blossom '!G118+Springbok!G118</f>
        <v/>
      </c>
      <c r="M11" s="335">
        <f>'Brave Blossom '!H118+Springbok!H118</f>
        <v/>
      </c>
      <c r="N11" s="335">
        <f>'Brave Blossom '!I118+Springbok!I118</f>
        <v/>
      </c>
      <c r="O11" s="335">
        <f>'Brave Blossom '!J118+Springbok!J118</f>
        <v/>
      </c>
      <c r="P11" s="335">
        <f>'Brave Blossom '!K118+Springbok!K118</f>
        <v/>
      </c>
      <c r="Q11" s="335">
        <f>'Brave Blossom '!L118+Springbok!L118</f>
        <v/>
      </c>
      <c r="R11" s="335">
        <f>'Brave Blossom '!M118+Springbok!M118</f>
        <v/>
      </c>
      <c r="S11" s="335">
        <f>'Brave Blossom '!N118+Springbok!N118</f>
        <v/>
      </c>
      <c r="T11" s="335">
        <f>'Brave Blossom '!O118+Springbok!O118</f>
        <v/>
      </c>
      <c r="U11" s="335">
        <f>'Brave Blossom '!P118+Springbok!P118</f>
        <v/>
      </c>
      <c r="V11" s="335">
        <f>'Brave Blossom '!Q118+Springbok!Q118</f>
        <v/>
      </c>
      <c r="W11" s="335">
        <f>'Brave Blossom '!R118+Springbok!R118</f>
        <v/>
      </c>
      <c r="X11" s="335">
        <f>'Brave Blossom '!S118+Springbok!S118</f>
        <v/>
      </c>
      <c r="Y11" s="335">
        <f>'Brave Blossom '!T118+Springbok!T118</f>
        <v/>
      </c>
      <c r="Z11" s="335">
        <f>'Brave Blossom '!U118+Springbok!U118</f>
        <v/>
      </c>
      <c r="AA11" s="335">
        <f>'Brave Blossom '!V118+Springbok!V118</f>
        <v/>
      </c>
      <c r="AB11" s="335">
        <f>'Brave Blossom '!W118+Springbok!W118</f>
        <v/>
      </c>
      <c r="AC11" s="335">
        <f>'Brave Blossom '!X118+Springbok!X118</f>
        <v/>
      </c>
      <c r="AD11" s="335">
        <f>'Brave Blossom '!Y118+Springbok!Y118</f>
        <v/>
      </c>
      <c r="AE11" s="335">
        <f>'Brave Blossom '!Z118+Springbok!Z118</f>
        <v/>
      </c>
      <c r="AF11" s="335">
        <f>'Brave Blossom '!AA118+Springbok!AA118</f>
        <v/>
      </c>
      <c r="AG11" s="335">
        <f>'Brave Blossom '!AB118+Springbok!AB118</f>
        <v/>
      </c>
      <c r="AH11" s="335">
        <f>'Brave Blossom '!AC118+Springbok!AC118</f>
        <v/>
      </c>
    </row>
    <row r="12">
      <c r="B12" s="17" t="n"/>
      <c r="C12" s="334" t="n"/>
      <c r="D12" s="334" t="n"/>
      <c r="E12" s="334" t="n"/>
      <c r="F12" s="334" t="n"/>
      <c r="G12" s="334" t="n"/>
      <c r="H12" s="334" t="n"/>
      <c r="I12" s="335" t="n"/>
      <c r="J12" s="335" t="n"/>
      <c r="K12" s="335" t="n"/>
      <c r="L12" s="335" t="n"/>
      <c r="M12" s="335" t="n"/>
      <c r="N12" s="335" t="n"/>
      <c r="O12" s="335" t="n"/>
      <c r="P12" s="335" t="n"/>
      <c r="Q12" s="335" t="n"/>
      <c r="R12" s="335" t="n"/>
      <c r="S12" s="335" t="n"/>
      <c r="T12" s="335" t="n"/>
      <c r="U12" s="335" t="n"/>
      <c r="V12" s="335" t="n"/>
      <c r="W12" s="335" t="n"/>
      <c r="X12" s="335" t="n"/>
      <c r="Y12" s="335" t="n"/>
      <c r="Z12" s="335" t="n"/>
      <c r="AA12" s="335" t="n"/>
      <c r="AB12" s="335" t="n"/>
      <c r="AC12" s="335" t="n"/>
      <c r="AD12" s="335" t="n"/>
      <c r="AE12" s="335" t="n"/>
      <c r="AF12" s="335" t="n"/>
      <c r="AG12" s="335" t="n"/>
      <c r="AH12" s="335" t="n"/>
    </row>
    <row r="13">
      <c r="A13" s="1" t="inlineStr">
        <is>
          <t>Attributable Net Cashflow After Tax Combined</t>
        </is>
      </c>
      <c r="B13" s="1" t="n"/>
      <c r="C13" s="333" t="n"/>
      <c r="D13" s="333" t="n"/>
      <c r="E13" s="333" t="n"/>
      <c r="F13" s="333" t="n"/>
      <c r="G13" s="333" t="n"/>
      <c r="H13" s="333" t="n"/>
    </row>
    <row r="14">
      <c r="A14" t="inlineStr">
        <is>
          <t>Brave Blossom UG - Project + Springbok Coal Complex</t>
        </is>
      </c>
      <c r="B14" s="17" t="inlineStr">
        <is>
          <t>AUDk</t>
        </is>
      </c>
      <c r="C14" s="335">
        <f>'Historical Performance'!D148</f>
        <v/>
      </c>
      <c r="D14" s="335">
        <f>'Historical Performance'!E148</f>
        <v/>
      </c>
      <c r="E14" s="335">
        <f>'Historical Performance'!F148</f>
        <v/>
      </c>
      <c r="F14" s="335">
        <f>'Historical Performance'!G148</f>
        <v/>
      </c>
      <c r="G14" s="335">
        <f>'Historical Performance'!H148</f>
        <v/>
      </c>
      <c r="H14" s="335">
        <f>'Historical Performance'!I148</f>
        <v/>
      </c>
      <c r="I14" s="335">
        <f>'Brave Blossom '!D123+Springbok!D123</f>
        <v/>
      </c>
      <c r="J14" s="335">
        <f>'Brave Blossom '!E123+Springbok!E123</f>
        <v/>
      </c>
      <c r="K14" s="335">
        <f>'Brave Blossom '!F123+Springbok!F123</f>
        <v/>
      </c>
      <c r="L14" s="335">
        <f>'Brave Blossom '!G123+Springbok!G123</f>
        <v/>
      </c>
      <c r="M14" s="335">
        <f>'Brave Blossom '!H123+Springbok!H123</f>
        <v/>
      </c>
      <c r="N14" s="335">
        <f>'Brave Blossom '!I123+Springbok!I123</f>
        <v/>
      </c>
      <c r="O14" s="335">
        <f>'Brave Blossom '!J123+Springbok!J123</f>
        <v/>
      </c>
      <c r="P14" s="335">
        <f>'Brave Blossom '!K123+Springbok!K123</f>
        <v/>
      </c>
      <c r="Q14" s="335">
        <f>'Brave Blossom '!L123+Springbok!L123</f>
        <v/>
      </c>
      <c r="R14" s="335">
        <f>'Brave Blossom '!M123+Springbok!M123</f>
        <v/>
      </c>
      <c r="S14" s="335">
        <f>'Brave Blossom '!N123+Springbok!N123</f>
        <v/>
      </c>
      <c r="T14" s="335">
        <f>'Brave Blossom '!O123+Springbok!O123</f>
        <v/>
      </c>
      <c r="U14" s="335">
        <f>'Brave Blossom '!P123+Springbok!P123</f>
        <v/>
      </c>
      <c r="V14" s="335">
        <f>'Brave Blossom '!Q123+Springbok!Q123</f>
        <v/>
      </c>
      <c r="W14" s="335">
        <f>'Brave Blossom '!R123+Springbok!R123</f>
        <v/>
      </c>
      <c r="X14" s="335">
        <f>'Brave Blossom '!S123+Springbok!S123</f>
        <v/>
      </c>
      <c r="Y14" s="335">
        <f>'Brave Blossom '!T123+Springbok!T123</f>
        <v/>
      </c>
      <c r="Z14" s="335">
        <f>'Brave Blossom '!U123+Springbok!U123</f>
        <v/>
      </c>
      <c r="AA14" s="335">
        <f>'Brave Blossom '!V123+Springbok!V123</f>
        <v/>
      </c>
      <c r="AB14" s="335">
        <f>'Brave Blossom '!W123+Springbok!W123</f>
        <v/>
      </c>
      <c r="AC14" s="335">
        <f>'Brave Blossom '!X123+Springbok!X123</f>
        <v/>
      </c>
      <c r="AD14" s="335">
        <f>'Brave Blossom '!Y123+Springbok!Y123</f>
        <v/>
      </c>
      <c r="AE14" s="335">
        <f>'Brave Blossom '!Z123+Springbok!Z123</f>
        <v/>
      </c>
      <c r="AF14" s="335">
        <f>'Brave Blossom '!AA123+Springbok!AA123</f>
        <v/>
      </c>
      <c r="AG14" s="335">
        <f>'Brave Blossom '!AB123+Springbok!AB123</f>
        <v/>
      </c>
      <c r="AH14" s="335">
        <f>'Brave Blossom '!AC123+Springbok!AC123</f>
        <v/>
      </c>
      <c r="AI14" s="335" t="n"/>
      <c r="AJ14" s="335" t="n"/>
      <c r="AK14" s="335" t="n"/>
    </row>
    <row r="15">
      <c r="A15" t="inlineStr">
        <is>
          <t>All</t>
        </is>
      </c>
      <c r="B15" s="17" t="inlineStr">
        <is>
          <t>AUDk</t>
        </is>
      </c>
      <c r="C15" s="334" t="n"/>
      <c r="D15" s="334" t="n"/>
      <c r="E15" s="334" t="n"/>
      <c r="F15" s="334" t="n"/>
      <c r="G15" s="334" t="n"/>
      <c r="H15" s="334" t="n"/>
      <c r="I15" s="335">
        <f>'Brave Blossom '!D123+Springbok!D123+'OC Clean'!D125</f>
        <v/>
      </c>
      <c r="J15" s="335">
        <f>'Brave Blossom '!E123+Springbok!E123+'OC Clean'!E125</f>
        <v/>
      </c>
      <c r="K15" s="335">
        <f>'Brave Blossom '!F123+Springbok!F123+'OC Clean'!F125</f>
        <v/>
      </c>
      <c r="L15" s="335">
        <f>'Brave Blossom '!G123+Springbok!G123+'OC Clean'!G125</f>
        <v/>
      </c>
      <c r="M15" s="335">
        <f>'Brave Blossom '!H123+Springbok!H123+'OC Clean'!H125</f>
        <v/>
      </c>
      <c r="N15" s="335">
        <f>'Brave Blossom '!I123+Springbok!I123+'OC Clean'!I125</f>
        <v/>
      </c>
      <c r="O15" s="335">
        <f>'Brave Blossom '!J123+Springbok!J123+'OC Clean'!J125</f>
        <v/>
      </c>
      <c r="P15" s="335">
        <f>'Brave Blossom '!K123+Springbok!K123+'OC Clean'!K125</f>
        <v/>
      </c>
      <c r="Q15" s="335">
        <f>'Brave Blossom '!L123+Springbok!L123+'OC Clean'!L125</f>
        <v/>
      </c>
      <c r="R15" s="335">
        <f>'Brave Blossom '!M123+Springbok!M123+'OC Clean'!M125</f>
        <v/>
      </c>
      <c r="S15" s="335">
        <f>'Brave Blossom '!N123+Springbok!N123+'OC Clean'!N125</f>
        <v/>
      </c>
      <c r="T15" s="335">
        <f>'Brave Blossom '!O123+Springbok!O123+'OC Clean'!O125</f>
        <v/>
      </c>
      <c r="U15" s="335">
        <f>'Brave Blossom '!P123+Springbok!P123+'OC Clean'!P125</f>
        <v/>
      </c>
      <c r="V15" s="335">
        <f>'Brave Blossom '!Q123+Springbok!Q123+'OC Clean'!Q125</f>
        <v/>
      </c>
      <c r="W15" s="335">
        <f>'Brave Blossom '!R123+Springbok!R123+'OC Clean'!R125</f>
        <v/>
      </c>
      <c r="X15" s="335">
        <f>'Brave Blossom '!S123+Springbok!S123+'OC Clean'!S125</f>
        <v/>
      </c>
      <c r="Y15" s="335">
        <f>'Brave Blossom '!T123+Springbok!T123+'OC Clean'!T125</f>
        <v/>
      </c>
      <c r="Z15" s="335">
        <f>'Brave Blossom '!U123+Springbok!U123+'OC Clean'!U125</f>
        <v/>
      </c>
      <c r="AA15" s="335">
        <f>'Brave Blossom '!V123+Springbok!V123+'OC Clean'!V125</f>
        <v/>
      </c>
      <c r="AB15" s="335">
        <f>'Brave Blossom '!W123+Springbok!W123+'OC Clean'!W125</f>
        <v/>
      </c>
      <c r="AC15" s="335">
        <f>'Brave Blossom '!X123+Springbok!X123+'OC Clean'!X125</f>
        <v/>
      </c>
      <c r="AD15" s="335">
        <f>'Brave Blossom '!Y123+Springbok!Y123+'OC Clean'!Y125</f>
        <v/>
      </c>
      <c r="AE15" s="335">
        <f>'Brave Blossom '!Z123+Springbok!Z123+'OC Clean'!Z125</f>
        <v/>
      </c>
      <c r="AF15" s="335">
        <f>'Brave Blossom '!AA123+Springbok!AA123+'OC Clean'!AA125</f>
        <v/>
      </c>
      <c r="AG15" s="335">
        <f>'Brave Blossom '!AB123+Springbok!AB123+'OC Clean'!AB125</f>
        <v/>
      </c>
      <c r="AH15" s="335">
        <f>'Brave Blossom '!AC123+Springbok!AC123+'OC Clean'!AC125</f>
        <v/>
      </c>
      <c r="AI15" s="335" t="n"/>
      <c r="AJ15" s="335" t="n"/>
      <c r="AK15" s="335" t="n"/>
    </row>
    <row r="16">
      <c r="B16" s="17" t="n"/>
      <c r="C16" s="334" t="n"/>
      <c r="D16" s="334" t="n"/>
      <c r="E16" s="334" t="n"/>
      <c r="F16" s="334" t="n"/>
      <c r="G16" s="334" t="n"/>
      <c r="H16" s="334" t="n"/>
      <c r="I16" s="335" t="n"/>
      <c r="J16" s="335" t="n"/>
      <c r="K16" s="335" t="n"/>
      <c r="L16" s="335" t="n"/>
      <c r="M16" s="335" t="n"/>
      <c r="N16" s="335" t="n"/>
      <c r="O16" s="335" t="n"/>
      <c r="P16" s="335" t="n"/>
      <c r="Q16" s="335" t="n"/>
      <c r="R16" s="335" t="n"/>
      <c r="S16" s="335" t="n"/>
      <c r="T16" s="335" t="n"/>
      <c r="U16" s="335" t="n"/>
      <c r="V16" s="335" t="n"/>
      <c r="W16" s="335" t="n"/>
      <c r="X16" s="335" t="n"/>
      <c r="Y16" s="335" t="n"/>
      <c r="Z16" s="335" t="n"/>
      <c r="AA16" s="335" t="n"/>
      <c r="AB16" s="335" t="n"/>
      <c r="AC16" s="335" t="n"/>
      <c r="AD16" s="335" t="n"/>
      <c r="AE16" s="335" t="n"/>
      <c r="AF16" s="335" t="n"/>
      <c r="AG16" s="335" t="n"/>
      <c r="AH16" s="335" t="n"/>
      <c r="AI16" s="335" t="n"/>
      <c r="AJ16" s="335" t="n"/>
      <c r="AK16" s="335" t="n"/>
    </row>
    <row r="17">
      <c r="A17" s="1" t="inlineStr">
        <is>
          <t>Discounted Cashflow After Tax Combined</t>
        </is>
      </c>
      <c r="B17" s="1" t="n"/>
      <c r="C17" s="333" t="n"/>
      <c r="D17" s="333" t="n"/>
      <c r="E17" s="333" t="n"/>
      <c r="F17" s="333" t="n"/>
      <c r="G17" s="333" t="n"/>
      <c r="H17" s="333" t="n"/>
    </row>
    <row r="18">
      <c r="A18" t="inlineStr">
        <is>
          <t>Brave Blossom UG - Project + Springbok Coal Complex</t>
        </is>
      </c>
      <c r="B18" s="17" t="inlineStr">
        <is>
          <t>AUDk</t>
        </is>
      </c>
      <c r="C18" s="335">
        <f>C14</f>
        <v/>
      </c>
      <c r="D18" s="335">
        <f>D14</f>
        <v/>
      </c>
      <c r="E18" s="335">
        <f>E14</f>
        <v/>
      </c>
      <c r="F18" s="335">
        <f>F14</f>
        <v/>
      </c>
      <c r="G18" s="335">
        <f>G14</f>
        <v/>
      </c>
      <c r="H18" s="335">
        <f>H14</f>
        <v/>
      </c>
      <c r="I18" s="335">
        <f>'Brave Blossom '!D124+Springbok!D124</f>
        <v/>
      </c>
      <c r="J18" s="335">
        <f>'Brave Blossom '!E124+Springbok!E124</f>
        <v/>
      </c>
      <c r="K18" s="335">
        <f>'Brave Blossom '!F124+Springbok!F124</f>
        <v/>
      </c>
      <c r="L18" s="335">
        <f>'Brave Blossom '!G124+Springbok!G124</f>
        <v/>
      </c>
      <c r="M18" s="335">
        <f>'Brave Blossom '!H124+Springbok!H124</f>
        <v/>
      </c>
      <c r="N18" s="335">
        <f>'Brave Blossom '!I124+Springbok!I124</f>
        <v/>
      </c>
      <c r="O18" s="335">
        <f>'Brave Blossom '!J124+Springbok!J124</f>
        <v/>
      </c>
      <c r="P18" s="335">
        <f>'Brave Blossom '!K124+Springbok!K124</f>
        <v/>
      </c>
      <c r="Q18" s="335">
        <f>'Brave Blossom '!L124+Springbok!L124</f>
        <v/>
      </c>
      <c r="R18" s="335">
        <f>'Brave Blossom '!M124+Springbok!M124</f>
        <v/>
      </c>
      <c r="S18" s="335">
        <f>'Brave Blossom '!N124+Springbok!N124</f>
        <v/>
      </c>
      <c r="T18" s="335">
        <f>'Brave Blossom '!O124+Springbok!O124</f>
        <v/>
      </c>
      <c r="U18" s="335">
        <f>'Brave Blossom '!P124+Springbok!P124</f>
        <v/>
      </c>
      <c r="V18" s="335">
        <f>'Brave Blossom '!Q124+Springbok!Q124</f>
        <v/>
      </c>
      <c r="W18" s="335">
        <f>'Brave Blossom '!R124+Springbok!R124</f>
        <v/>
      </c>
      <c r="X18" s="335">
        <f>'Brave Blossom '!S124+Springbok!S124</f>
        <v/>
      </c>
      <c r="Y18" s="335">
        <f>'Brave Blossom '!T124+Springbok!T124</f>
        <v/>
      </c>
      <c r="Z18" s="335">
        <f>'Brave Blossom '!U124+Springbok!U124</f>
        <v/>
      </c>
      <c r="AA18" s="335">
        <f>'Brave Blossom '!V124+Springbok!V124</f>
        <v/>
      </c>
      <c r="AB18" s="335">
        <f>'Brave Blossom '!W124+Springbok!W124</f>
        <v/>
      </c>
      <c r="AC18" s="335">
        <f>'Brave Blossom '!X124+Springbok!X124</f>
        <v/>
      </c>
      <c r="AD18" s="335">
        <f>'Brave Blossom '!Y124+Springbok!Y124</f>
        <v/>
      </c>
      <c r="AE18" s="335">
        <f>'Brave Blossom '!Z124+Springbok!Z124</f>
        <v/>
      </c>
      <c r="AF18" s="335">
        <f>'Brave Blossom '!AA124+Springbok!AA124</f>
        <v/>
      </c>
      <c r="AG18" s="335">
        <f>'Brave Blossom '!AB124+Springbok!AB124</f>
        <v/>
      </c>
      <c r="AH18" s="335">
        <f>'Brave Blossom '!AC124+Springbok!AC124</f>
        <v/>
      </c>
      <c r="AI18" s="335" t="n"/>
      <c r="AJ18" s="335" t="n"/>
      <c r="AK18" s="335" t="n"/>
    </row>
    <row r="19">
      <c r="A19" t="inlineStr">
        <is>
          <t>Springbok (Base Case)</t>
        </is>
      </c>
      <c r="B19" s="17" t="inlineStr">
        <is>
          <t>AUDk</t>
        </is>
      </c>
      <c r="C19" s="334" t="n"/>
      <c r="D19" s="334" t="n"/>
      <c r="E19" s="334" t="n"/>
      <c r="F19" s="334" t="n"/>
      <c r="G19" s="334" t="n"/>
      <c r="H19" s="334" t="n"/>
      <c r="I19" s="335">
        <f>Springbok!D124</f>
        <v/>
      </c>
      <c r="J19" s="335">
        <f>Springbok!E124</f>
        <v/>
      </c>
      <c r="K19" s="335">
        <f>Springbok!F124</f>
        <v/>
      </c>
      <c r="L19" s="335">
        <f>Springbok!G124</f>
        <v/>
      </c>
      <c r="M19" s="335">
        <f>Springbok!H124</f>
        <v/>
      </c>
      <c r="N19" s="335">
        <f>Springbok!I124</f>
        <v/>
      </c>
      <c r="O19" s="335">
        <f>Springbok!J124</f>
        <v/>
      </c>
      <c r="P19" s="335">
        <f>Springbok!K124</f>
        <v/>
      </c>
      <c r="Q19" s="335">
        <f>Springbok!L124</f>
        <v/>
      </c>
      <c r="R19" s="335">
        <f>Springbok!M124</f>
        <v/>
      </c>
      <c r="S19" s="335">
        <f>Springbok!N124</f>
        <v/>
      </c>
      <c r="T19" s="335">
        <f>Springbok!O124</f>
        <v/>
      </c>
      <c r="U19" s="335">
        <f>Springbok!P124</f>
        <v/>
      </c>
      <c r="V19" s="335">
        <f>Springbok!Q124</f>
        <v/>
      </c>
      <c r="W19" s="335">
        <f>Springbok!R124</f>
        <v/>
      </c>
      <c r="X19" s="335">
        <f>Springbok!S124</f>
        <v/>
      </c>
      <c r="Y19" s="335">
        <f>Springbok!T124</f>
        <v/>
      </c>
      <c r="Z19" s="335">
        <f>Springbok!U124</f>
        <v/>
      </c>
      <c r="AA19" s="335">
        <f>Springbok!V124</f>
        <v/>
      </c>
      <c r="AB19" s="335">
        <f>Springbok!W124</f>
        <v/>
      </c>
      <c r="AC19" s="335">
        <f>Springbok!X124</f>
        <v/>
      </c>
      <c r="AD19" s="335">
        <f>Springbok!Y124</f>
        <v/>
      </c>
      <c r="AE19" s="335">
        <f>Springbok!Z124</f>
        <v/>
      </c>
      <c r="AF19" s="335">
        <f>Springbok!AA124</f>
        <v/>
      </c>
      <c r="AG19" s="335">
        <f>Springbok!AB124</f>
        <v/>
      </c>
      <c r="AH19" s="335">
        <f>Springbok!AC124</f>
        <v/>
      </c>
      <c r="AI19" s="335" t="n"/>
      <c r="AJ19" s="335" t="n"/>
      <c r="AK19" s="335" t="n"/>
    </row>
    <row r="20">
      <c r="B20" s="17" t="n"/>
      <c r="C20" s="334" t="n"/>
      <c r="D20" s="334" t="n"/>
      <c r="E20" s="334" t="n"/>
      <c r="F20" s="334" t="n"/>
      <c r="G20" s="334" t="n"/>
      <c r="H20" s="334" t="n"/>
      <c r="I20" s="335" t="n"/>
      <c r="J20" s="335" t="n"/>
      <c r="K20" s="335" t="n"/>
      <c r="L20" s="335" t="n"/>
      <c r="M20" s="335" t="n"/>
      <c r="N20" s="335" t="n"/>
      <c r="O20" s="335" t="n"/>
      <c r="P20" s="335" t="n"/>
      <c r="Q20" s="335" t="n"/>
      <c r="R20" s="335" t="n"/>
      <c r="S20" s="335" t="n"/>
      <c r="T20" s="335" t="n"/>
      <c r="U20" s="335" t="n"/>
      <c r="V20" s="335" t="n"/>
      <c r="W20" s="335" t="n"/>
      <c r="X20" s="335" t="n"/>
      <c r="Y20" s="335" t="n"/>
      <c r="Z20" s="335" t="n"/>
      <c r="AA20" s="335" t="n"/>
      <c r="AB20" s="335" t="n"/>
      <c r="AC20" s="335" t="n"/>
      <c r="AD20" s="335" t="n"/>
      <c r="AE20" s="335" t="n"/>
      <c r="AF20" s="335" t="n"/>
      <c r="AG20" s="335" t="n"/>
      <c r="AH20" s="335" t="n"/>
      <c r="AI20" s="335" t="n"/>
      <c r="AJ20" s="335" t="n"/>
      <c r="AK20" s="335" t="n"/>
    </row>
    <row r="21">
      <c r="A21" s="1" t="inlineStr">
        <is>
          <t>Cumulative Discounted Cashflow After Tax Combined</t>
        </is>
      </c>
      <c r="B21" s="17" t="n"/>
      <c r="C21" s="334" t="n"/>
      <c r="D21" s="334" t="n"/>
      <c r="E21" s="334" t="n"/>
      <c r="F21" s="334" t="n"/>
      <c r="G21" s="334" t="n"/>
      <c r="H21" s="334" t="n"/>
      <c r="I21" s="335" t="n"/>
      <c r="J21" s="335" t="n"/>
      <c r="K21" s="335" t="n"/>
      <c r="L21" s="335" t="n"/>
      <c r="M21" s="335" t="n"/>
      <c r="N21" s="335" t="n"/>
      <c r="O21" s="335" t="n"/>
      <c r="P21" s="335" t="n"/>
      <c r="Q21" s="335" t="n"/>
      <c r="R21" s="335" t="n"/>
      <c r="S21" s="335" t="n"/>
      <c r="T21" s="335" t="n"/>
      <c r="U21" s="335" t="n"/>
      <c r="V21" s="335" t="n"/>
      <c r="W21" s="335" t="n"/>
      <c r="X21" s="335" t="n"/>
      <c r="Y21" s="335" t="n"/>
      <c r="Z21" s="335" t="n"/>
      <c r="AA21" s="335" t="n"/>
      <c r="AB21" s="335" t="n"/>
      <c r="AC21" s="335" t="n"/>
      <c r="AD21" s="335" t="n"/>
      <c r="AE21" s="335" t="n"/>
      <c r="AF21" s="335" t="n"/>
      <c r="AG21" s="335" t="n"/>
      <c r="AH21" s="335" t="n"/>
      <c r="AI21" s="335" t="n"/>
      <c r="AJ21" s="335" t="n"/>
      <c r="AK21" s="335" t="n"/>
    </row>
    <row r="22">
      <c r="A22" t="inlineStr">
        <is>
          <t>Brave Blossom UG - Project + Springbok Coal Complex</t>
        </is>
      </c>
      <c r="B22" s="17" t="inlineStr">
        <is>
          <t>AUDk</t>
        </is>
      </c>
      <c r="C22" s="334" t="n"/>
      <c r="D22" s="334" t="n"/>
      <c r="E22" s="334" t="n"/>
      <c r="F22" s="334" t="n"/>
      <c r="G22" s="334" t="n"/>
      <c r="H22" s="334" t="n"/>
      <c r="I22" s="335">
        <f>SUM($I18)</f>
        <v/>
      </c>
      <c r="J22" s="335">
        <f>SUM($I18:J18)</f>
        <v/>
      </c>
      <c r="K22" s="335">
        <f>SUM($I18:K18)</f>
        <v/>
      </c>
      <c r="L22" s="335">
        <f>SUM($I18:L18)</f>
        <v/>
      </c>
      <c r="M22" s="335">
        <f>SUM($I18:M18)</f>
        <v/>
      </c>
      <c r="N22" s="335">
        <f>SUM($I18:N18)</f>
        <v/>
      </c>
      <c r="O22" s="335">
        <f>SUM($I18:O18)</f>
        <v/>
      </c>
      <c r="P22" s="335">
        <f>SUM($I18:P18)</f>
        <v/>
      </c>
      <c r="Q22" s="335">
        <f>SUM($I18:Q18)</f>
        <v/>
      </c>
      <c r="R22" s="335">
        <f>SUM($I18:R18)</f>
        <v/>
      </c>
      <c r="S22" s="335">
        <f>SUM($I18:S18)</f>
        <v/>
      </c>
      <c r="T22" s="335">
        <f>SUM($I18:T18)</f>
        <v/>
      </c>
      <c r="U22" s="335">
        <f>SUM($I18:U18)</f>
        <v/>
      </c>
      <c r="V22" s="335">
        <f>SUM($I18:V18)</f>
        <v/>
      </c>
      <c r="W22" s="335">
        <f>SUM($I18:W18)</f>
        <v/>
      </c>
      <c r="X22" s="335">
        <f>SUM($I18:X18)</f>
        <v/>
      </c>
      <c r="Y22" s="335">
        <f>SUM($I18:Y18)</f>
        <v/>
      </c>
      <c r="Z22" s="335">
        <f>SUM($I18:Z18)</f>
        <v/>
      </c>
      <c r="AA22" s="335">
        <f>SUM($I18:AA18)</f>
        <v/>
      </c>
      <c r="AB22" s="335">
        <f>SUM($I18:AB18)</f>
        <v/>
      </c>
      <c r="AC22" s="335">
        <f>SUM($I18:AC18)</f>
        <v/>
      </c>
      <c r="AD22" s="335">
        <f>SUM($I18:AD18)</f>
        <v/>
      </c>
      <c r="AE22" s="335">
        <f>SUM($I18:AE18)</f>
        <v/>
      </c>
      <c r="AF22" s="335">
        <f>SUM($I18:AF18)</f>
        <v/>
      </c>
      <c r="AG22" s="335">
        <f>SUM($I18:AG18)</f>
        <v/>
      </c>
      <c r="AH22" s="335">
        <f>SUM($I18:AH18)</f>
        <v/>
      </c>
      <c r="AI22" s="335" t="n"/>
      <c r="AJ22" s="335" t="n"/>
      <c r="AK22" s="335" t="n"/>
    </row>
    <row r="23">
      <c r="A23" t="inlineStr">
        <is>
          <t>Springbok (Base Case)</t>
        </is>
      </c>
      <c r="B23" s="17" t="inlineStr">
        <is>
          <t>AUDk</t>
        </is>
      </c>
      <c r="C23" s="334" t="n"/>
      <c r="D23" s="334" t="n"/>
      <c r="E23" s="334" t="n"/>
      <c r="F23" s="334" t="n"/>
      <c r="G23" s="334" t="n"/>
      <c r="H23" s="334" t="n"/>
      <c r="I23" s="335">
        <f>SUM($H19:I19)</f>
        <v/>
      </c>
      <c r="J23" s="335">
        <f>SUM($H19:J19)</f>
        <v/>
      </c>
      <c r="K23" s="335">
        <f>SUM($H19:K19)</f>
        <v/>
      </c>
      <c r="L23" s="335">
        <f>SUM($H19:L19)</f>
        <v/>
      </c>
      <c r="M23" s="335">
        <f>SUM($H19:M19)</f>
        <v/>
      </c>
      <c r="N23" s="335">
        <f>SUM($H19:N19)</f>
        <v/>
      </c>
      <c r="O23" s="335">
        <f>SUM($H19:O19)</f>
        <v/>
      </c>
      <c r="P23" s="335">
        <f>SUM($H19:P19)</f>
        <v/>
      </c>
      <c r="Q23" s="335">
        <f>SUM($H19:Q19)</f>
        <v/>
      </c>
      <c r="R23" s="335">
        <f>SUM($H19:R19)</f>
        <v/>
      </c>
      <c r="S23" s="335">
        <f>SUM($H19:S19)</f>
        <v/>
      </c>
      <c r="T23" s="335">
        <f>SUM($H19:T19)</f>
        <v/>
      </c>
      <c r="U23" s="335">
        <f>SUM($H19:U19)</f>
        <v/>
      </c>
      <c r="V23" s="335">
        <f>SUM($H19:V19)</f>
        <v/>
      </c>
      <c r="W23" s="335">
        <f>SUM($H19:W19)</f>
        <v/>
      </c>
      <c r="X23" s="335">
        <f>SUM($H19:X19)</f>
        <v/>
      </c>
      <c r="Y23" s="335">
        <f>SUM($H19:Y19)</f>
        <v/>
      </c>
      <c r="Z23" s="335">
        <f>SUM($H19:Z19)</f>
        <v/>
      </c>
      <c r="AA23" s="335">
        <f>SUM($H19:AA19)</f>
        <v/>
      </c>
      <c r="AB23" s="335">
        <f>SUM($H19:AB19)</f>
        <v/>
      </c>
      <c r="AC23" s="335">
        <f>SUM($H19:AC19)</f>
        <v/>
      </c>
      <c r="AD23" s="335">
        <f>SUM($H19:AD19)</f>
        <v/>
      </c>
      <c r="AE23" s="335">
        <f>SUM($H19:AE19)</f>
        <v/>
      </c>
      <c r="AF23" s="335">
        <f>SUM($H19:AF19)</f>
        <v/>
      </c>
      <c r="AG23" s="335">
        <f>SUM($H19:AG19)</f>
        <v/>
      </c>
      <c r="AH23" s="335">
        <f>SUM($H19:AH19)</f>
        <v/>
      </c>
    </row>
    <row r="24">
      <c r="A24" t="inlineStr">
        <is>
          <t>Brave Blossom UG Project Standalone</t>
        </is>
      </c>
      <c r="B24" s="17" t="inlineStr">
        <is>
          <t>AUDk</t>
        </is>
      </c>
      <c r="C24" s="334" t="n"/>
      <c r="D24" s="334" t="n"/>
      <c r="E24" s="334" t="n"/>
      <c r="F24" s="334" t="n"/>
      <c r="G24" s="334" t="n"/>
      <c r="H24" s="334" t="n"/>
      <c r="I24" s="335">
        <f>SUM('Brave Blossom '!$D$124:'Brave Blossom '!D124)</f>
        <v/>
      </c>
      <c r="J24" s="335">
        <f>SUM('Brave Blossom '!$D$124:'Brave Blossom '!E124)</f>
        <v/>
      </c>
      <c r="K24" s="335">
        <f>SUM('Brave Blossom '!$D$124:'Brave Blossom '!F124)</f>
        <v/>
      </c>
      <c r="L24" s="335">
        <f>SUM('Brave Blossom '!$D$124:'Brave Blossom '!G124)</f>
        <v/>
      </c>
      <c r="M24" s="335">
        <f>SUM('Brave Blossom '!$D$124:'Brave Blossom '!H124)</f>
        <v/>
      </c>
      <c r="N24" s="335">
        <f>SUM('Brave Blossom '!$D$124:'Brave Blossom '!I124)</f>
        <v/>
      </c>
      <c r="O24" s="335">
        <f>SUM('Brave Blossom '!$D$124:'Brave Blossom '!J124)</f>
        <v/>
      </c>
      <c r="P24" s="335">
        <f>SUM('Brave Blossom '!$D$124:'Brave Blossom '!K124)</f>
        <v/>
      </c>
      <c r="Q24" s="335">
        <f>SUM('Brave Blossom '!$D$124:'Brave Blossom '!L124)</f>
        <v/>
      </c>
      <c r="R24" s="335">
        <f>SUM('Brave Blossom '!$D$124:'Brave Blossom '!M124)</f>
        <v/>
      </c>
      <c r="S24" s="335">
        <f>SUM('Brave Blossom '!$D$124:'Brave Blossom '!N124)</f>
        <v/>
      </c>
      <c r="T24" s="335">
        <f>SUM('Brave Blossom '!$D$124:'Brave Blossom '!O124)</f>
        <v/>
      </c>
      <c r="U24" s="335">
        <f>SUM('Brave Blossom '!$D$124:'Brave Blossom '!P124)</f>
        <v/>
      </c>
      <c r="V24" s="335">
        <f>SUM('Brave Blossom '!$D$124:'Brave Blossom '!Q124)</f>
        <v/>
      </c>
      <c r="W24" s="335">
        <f>SUM('Brave Blossom '!$D$124:'Brave Blossom '!R124)</f>
        <v/>
      </c>
      <c r="X24" s="335">
        <f>SUM('Brave Blossom '!$D$124:'Brave Blossom '!S124)</f>
        <v/>
      </c>
      <c r="Y24" s="335">
        <f>SUM('Brave Blossom '!$D$124:'Brave Blossom '!T124)</f>
        <v/>
      </c>
      <c r="Z24" s="335">
        <f>SUM('Brave Blossom '!$D$124:'Brave Blossom '!U124)</f>
        <v/>
      </c>
      <c r="AA24" s="335">
        <f>SUM('Brave Blossom '!$D$124:'Brave Blossom '!V124)</f>
        <v/>
      </c>
      <c r="AB24" s="335">
        <f>SUM('Brave Blossom '!$D$124:'Brave Blossom '!W124)</f>
        <v/>
      </c>
      <c r="AC24" s="335">
        <f>SUM('Brave Blossom '!$D$124:'Brave Blossom '!X124)</f>
        <v/>
      </c>
      <c r="AD24" s="335">
        <f>SUM('Brave Blossom '!$D$124:'Brave Blossom '!Y124)</f>
        <v/>
      </c>
      <c r="AE24" s="335">
        <f>SUM('Brave Blossom '!$D$124:'Brave Blossom '!Z124)</f>
        <v/>
      </c>
      <c r="AF24" s="335">
        <f>SUM('Brave Blossom '!$D$124:'Brave Blossom '!AA124)</f>
        <v/>
      </c>
      <c r="AG24" s="335">
        <f>SUM('Brave Blossom '!$D$124:'Brave Blossom '!AB124)</f>
        <v/>
      </c>
      <c r="AH24" s="335">
        <f>SUM('Brave Blossom '!$D$124:'Brave Blossom '!AC124)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83203125" defaultRowHeight="15"/>
  <cols>
    <col width="15" bestFit="1" customWidth="1" min="1" max="1"/>
  </cols>
  <sheetData>
    <row r="1">
      <c r="A1" t="inlineStr">
        <is>
          <t>Owner/operate</t>
        </is>
      </c>
      <c r="B1" s="154" t="inlineStr">
        <is>
          <t>7on7off</t>
        </is>
      </c>
      <c r="C1" t="n">
        <v>4</v>
      </c>
      <c r="D1" t="inlineStr">
        <is>
          <t>Max Quality</t>
        </is>
      </c>
      <c r="E1" t="inlineStr">
        <is>
          <t>SIS</t>
        </is>
      </c>
      <c r="F1" t="inlineStr">
        <is>
          <t>Yes</t>
        </is>
      </c>
      <c r="G1" t="inlineStr">
        <is>
          <t>Preventative Maintenance</t>
        </is>
      </c>
      <c r="H1" t="inlineStr">
        <is>
          <t>Maintain</t>
        </is>
      </c>
    </row>
    <row r="2">
      <c r="A2" t="inlineStr">
        <is>
          <t>Contract</t>
        </is>
      </c>
      <c r="B2" t="inlineStr">
        <is>
          <t>5on2off</t>
        </is>
      </c>
      <c r="C2" t="n">
        <v>3</v>
      </c>
      <c r="D2" t="inlineStr">
        <is>
          <t>Max Quantity</t>
        </is>
      </c>
      <c r="E2" t="inlineStr">
        <is>
          <t>UIS</t>
        </is>
      </c>
      <c r="F2" t="inlineStr">
        <is>
          <t>No</t>
        </is>
      </c>
      <c r="G2" t="inlineStr">
        <is>
          <t>Corrective Maintenance</t>
        </is>
      </c>
      <c r="H2" t="inlineStr">
        <is>
          <t>Increase 10%</t>
        </is>
      </c>
    </row>
    <row r="3">
      <c r="B3" t="inlineStr">
        <is>
          <t>Other</t>
        </is>
      </c>
      <c r="C3" t="n">
        <v>2</v>
      </c>
      <c r="H3" t="inlineStr">
        <is>
          <t>Decrease 10%</t>
        </is>
      </c>
    </row>
    <row r="4">
      <c r="C4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/>
  </sheetPr>
  <dimension ref="A1:EP57"/>
  <sheetViews>
    <sheetView zoomScale="70" zoomScaleNormal="70" workbookViewId="0">
      <selection activeCell="E49" sqref="E49"/>
    </sheetView>
  </sheetViews>
  <sheetFormatPr baseColWidth="10" defaultColWidth="8.83203125" defaultRowHeight="15" outlineLevelRow="1"/>
  <cols>
    <col width="35.5" bestFit="1" customWidth="1" min="2" max="2"/>
    <col width="11" bestFit="1" customWidth="1" min="4" max="6"/>
    <col width="10.83203125" bestFit="1" customWidth="1" min="7" max="7"/>
    <col width="14.1640625" bestFit="1" customWidth="1" min="8" max="8"/>
    <col width="9.5" bestFit="1" customWidth="1" min="9" max="34"/>
  </cols>
  <sheetData>
    <row r="1" customFormat="1" s="204">
      <c r="A1" s="206" t="inlineStr">
        <is>
          <t>INPUTS FOR REVENUE GRAPH</t>
        </is>
      </c>
      <c r="B1" s="207" t="n"/>
      <c r="C1" s="208" t="n"/>
      <c r="D1" s="208" t="n">
        <v>2022</v>
      </c>
      <c r="E1" s="208" t="n">
        <v>2023</v>
      </c>
      <c r="F1" s="208" t="n">
        <v>2024</v>
      </c>
      <c r="G1" s="208" t="n">
        <v>2025</v>
      </c>
      <c r="H1" s="207" t="n">
        <v>2026</v>
      </c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07" t="n"/>
      <c r="AE1" s="207" t="n"/>
      <c r="AF1" s="207" t="n"/>
      <c r="AG1" s="207" t="n"/>
      <c r="AH1" s="207" t="n"/>
      <c r="AI1" s="209" t="n"/>
      <c r="AJ1" s="209" t="n"/>
      <c r="AK1" s="209" t="n"/>
      <c r="AL1" s="209" t="n"/>
    </row>
    <row r="2" customFormat="1" s="214">
      <c r="A2" s="210" t="n"/>
      <c r="B2" s="211" t="n"/>
      <c r="C2" s="212" t="n"/>
      <c r="D2" s="213" t="inlineStr">
        <is>
          <t>2022 A</t>
        </is>
      </c>
      <c r="E2" s="213" t="inlineStr">
        <is>
          <t>2023 A</t>
        </is>
      </c>
      <c r="F2" s="213" t="inlineStr">
        <is>
          <t>2024 A</t>
        </is>
      </c>
      <c r="G2" s="213" t="inlineStr">
        <is>
          <t>2025 A</t>
        </is>
      </c>
      <c r="H2" s="213" t="inlineStr">
        <is>
          <t>2026 FYF</t>
        </is>
      </c>
      <c r="I2" s="213" t="n">
        <v>2027</v>
      </c>
      <c r="J2" s="213" t="n">
        <v>2028</v>
      </c>
      <c r="K2" s="213" t="n">
        <v>2029</v>
      </c>
      <c r="L2" s="213" t="n">
        <v>2030</v>
      </c>
      <c r="M2" s="213" t="n">
        <v>2031</v>
      </c>
      <c r="N2" s="213" t="n">
        <v>2032</v>
      </c>
      <c r="O2" s="213" t="n">
        <v>2033</v>
      </c>
      <c r="P2" s="213" t="n">
        <v>2034</v>
      </c>
      <c r="Q2" s="213" t="n">
        <v>2035</v>
      </c>
      <c r="R2" s="213" t="n">
        <v>2036</v>
      </c>
      <c r="S2" s="213" t="n">
        <v>2037</v>
      </c>
      <c r="T2" s="213" t="n">
        <v>2038</v>
      </c>
      <c r="U2" s="213" t="n">
        <v>2039</v>
      </c>
      <c r="V2" s="213" t="n">
        <v>2040</v>
      </c>
      <c r="W2" s="213" t="n">
        <v>2041</v>
      </c>
      <c r="X2" s="213" t="n">
        <v>2042</v>
      </c>
      <c r="Y2" s="213" t="n">
        <v>2043</v>
      </c>
      <c r="Z2" s="213" t="n">
        <v>2044</v>
      </c>
      <c r="AA2" s="213" t="n">
        <v>2045</v>
      </c>
      <c r="AB2" s="213" t="n">
        <v>2046</v>
      </c>
      <c r="AC2" s="213" t="n">
        <v>2047</v>
      </c>
      <c r="AD2" s="213" t="n">
        <v>2048</v>
      </c>
      <c r="AE2" s="213" t="n">
        <v>2049</v>
      </c>
      <c r="AF2" s="213" t="n">
        <v>2050</v>
      </c>
      <c r="AG2" s="213" t="n">
        <v>2051</v>
      </c>
      <c r="AH2" s="213" t="n">
        <v>2052</v>
      </c>
      <c r="AI2" s="209" t="n"/>
      <c r="AJ2" s="209" t="n"/>
      <c r="AK2" s="209" t="n"/>
      <c r="AL2" s="209" t="n"/>
    </row>
    <row r="3" customFormat="1" s="218">
      <c r="A3" s="208" t="n"/>
      <c r="B3" s="215" t="inlineStr">
        <is>
          <t>Sales Revenue</t>
        </is>
      </c>
      <c r="C3" s="216" t="inlineStr">
        <is>
          <t>AUD M</t>
        </is>
      </c>
      <c r="D3" s="336">
        <f>'Historical Performance'!E29/1000</f>
        <v/>
      </c>
      <c r="E3" s="336">
        <f>'Historical Performance'!F29/1000</f>
        <v/>
      </c>
      <c r="F3" s="336">
        <f>'Historical Performance'!G29/1000</f>
        <v/>
      </c>
      <c r="G3" s="336">
        <f>'Historical Performance'!H29/1000</f>
        <v/>
      </c>
      <c r="H3" s="336">
        <f>'Historical Performance'!I29/1000</f>
        <v/>
      </c>
      <c r="I3" s="337">
        <f>IF(I14&gt;0,(Springbok!D62)/1000,0)</f>
        <v/>
      </c>
      <c r="J3" s="337">
        <f>IF(J14&gt;0,(Springbok!E62)/1000,0)</f>
        <v/>
      </c>
      <c r="K3" s="337">
        <f>IF(K14&gt;0,(Springbok!F62)/1000,0)</f>
        <v/>
      </c>
      <c r="L3" s="337">
        <f>IF(L14&gt;0,(Springbok!G62)/1000,0)</f>
        <v/>
      </c>
      <c r="M3" s="337">
        <f>IF(M14&gt;0,(Springbok!H62)/1000,0)</f>
        <v/>
      </c>
      <c r="N3" s="337">
        <f>IF(N14&gt;0,(Springbok!I62)/1000,0)</f>
        <v/>
      </c>
      <c r="O3" s="337">
        <f>IF(O14&gt;0,(Springbok!J62)/1000,0)</f>
        <v/>
      </c>
      <c r="P3" s="337">
        <f>IF(P14&gt;0,(Springbok!K62)/1000,0)</f>
        <v/>
      </c>
      <c r="Q3" s="337">
        <f>IF(Q14&gt;0,(Springbok!L62)/1000,0)</f>
        <v/>
      </c>
      <c r="R3" s="337">
        <f>IF(R14&gt;0,(Springbok!M62)/1000,0)</f>
        <v/>
      </c>
      <c r="S3" s="337">
        <f>IF(S14&gt;0,(Springbok!N62)/1000,0)</f>
        <v/>
      </c>
      <c r="T3" s="337">
        <f>IF(T14&gt;0,(Springbok!O62)/1000,0)</f>
        <v/>
      </c>
      <c r="U3" s="337">
        <f>IF(U14&gt;0,(Springbok!P62)/1000,0)</f>
        <v/>
      </c>
      <c r="V3" s="337">
        <f>IF(V14&gt;0,(Springbok!Q62)/1000,0)</f>
        <v/>
      </c>
      <c r="W3" s="337">
        <f>IF(W14&gt;0,(Springbok!R62)/1000,0)</f>
        <v/>
      </c>
      <c r="X3" s="337">
        <f>IF(X14&gt;0,(Springbok!S62)/1000,0)</f>
        <v/>
      </c>
      <c r="Y3" s="337">
        <f>IF(Y14&gt;0,(Springbok!T62)/1000,0)</f>
        <v/>
      </c>
      <c r="Z3" s="337">
        <f>IF(Z14&gt;0,(Springbok!U62)/1000,0)</f>
        <v/>
      </c>
      <c r="AA3" s="337">
        <f>IF(AA14&gt;0,(Springbok!V62)/1000,0)</f>
        <v/>
      </c>
      <c r="AB3" s="337">
        <f>IF(AB14&gt;0,(Springbok!W62)/1000,0)</f>
        <v/>
      </c>
      <c r="AC3" s="337">
        <f>IF(AC14&gt;0,(Springbok!X62)/1000,0)</f>
        <v/>
      </c>
      <c r="AD3" s="337">
        <f>IF(AD14&gt;0,(Springbok!Y62)/1000,0)</f>
        <v/>
      </c>
      <c r="AE3" s="337">
        <f>IF(AE14&gt;0,(Springbok!Z62)/1000,0)</f>
        <v/>
      </c>
      <c r="AF3" s="337">
        <f>IF(AF14&gt;0,(Springbok!AA62)/1000,0)</f>
        <v/>
      </c>
      <c r="AG3" s="337">
        <f>IF(AG14&gt;0,(Springbok!AB62)/1000,0)</f>
        <v/>
      </c>
      <c r="AH3" s="337">
        <f>IF(AH14&gt;0,(Springbok!AC62)/1000,0)</f>
        <v/>
      </c>
      <c r="AI3" s="209" t="n"/>
      <c r="AJ3" s="209" t="n"/>
      <c r="AK3" s="209" t="n"/>
      <c r="AL3" s="209" t="n"/>
    </row>
    <row r="4" customFormat="1" s="218">
      <c r="A4" s="208" t="n"/>
      <c r="B4" s="215" t="inlineStr">
        <is>
          <t>Average Realisation A$ (Ex-Mine)</t>
        </is>
      </c>
      <c r="C4" s="219" t="inlineStr">
        <is>
          <t>AUD/t</t>
        </is>
      </c>
      <c r="D4" s="336">
        <f>'Historical Performance'!E30</f>
        <v/>
      </c>
      <c r="E4" s="336">
        <f>'Historical Performance'!F30</f>
        <v/>
      </c>
      <c r="F4" s="336">
        <f>'Historical Performance'!G30</f>
        <v/>
      </c>
      <c r="G4" s="336">
        <f>'Historical Performance'!H30</f>
        <v/>
      </c>
      <c r="H4" s="336">
        <f>'Historical Performance'!I30</f>
        <v/>
      </c>
      <c r="I4" s="338">
        <f>IF(I14&gt;0,(Springbok!D34*Springbok!D63)/Summary!I14,0)</f>
        <v/>
      </c>
      <c r="J4" s="338">
        <f>IF(J14&gt;0,(Springbok!E34*Springbok!E63)/Summary!J14,0)</f>
        <v/>
      </c>
      <c r="K4" s="338">
        <f>IF(K14&gt;0,(Springbok!F34*Springbok!F63)/Summary!K14,0)</f>
        <v/>
      </c>
      <c r="L4" s="338">
        <f>IF(L14&gt;0,(Springbok!G34*Springbok!G63)/Summary!L14,0)</f>
        <v/>
      </c>
      <c r="M4" s="338">
        <f>IF(M14&gt;0,(Springbok!H34*Springbok!H63)/Summary!M14,0)</f>
        <v/>
      </c>
      <c r="N4" s="338">
        <f>IF(N14&gt;0,(Springbok!I34*Springbok!I63)/Summary!N14,0)</f>
        <v/>
      </c>
      <c r="O4" s="338">
        <f>IF(O14&gt;0,(Springbok!J34*Springbok!J63)/Summary!O14,0)</f>
        <v/>
      </c>
      <c r="P4" s="338">
        <f>IF(P14&gt;0,(Springbok!K34*Springbok!K63)/Summary!P14,0)</f>
        <v/>
      </c>
      <c r="Q4" s="338">
        <f>IF(Q14&gt;0,(Springbok!L34*Springbok!L63)/Summary!Q14,0)</f>
        <v/>
      </c>
      <c r="R4" s="338">
        <f>IF(R14&gt;0,(Springbok!M34*Springbok!M63)/Summary!R14,0)</f>
        <v/>
      </c>
      <c r="S4" s="338">
        <f>IF(S14&gt;0,(Springbok!N34*Springbok!N63)/Summary!S14,0)</f>
        <v/>
      </c>
      <c r="T4" s="338">
        <f>IF(T14&gt;0,(Springbok!O34*Springbok!O63)/Summary!T14,0)</f>
        <v/>
      </c>
      <c r="U4" s="338">
        <f>IF(U14&gt;0,(Springbok!P34*Springbok!P63)/Summary!U14,0)</f>
        <v/>
      </c>
      <c r="V4" s="338">
        <f>IF(V14&gt;0,(Springbok!Q34*Springbok!Q63)/Summary!V14,0)</f>
        <v/>
      </c>
      <c r="W4" s="338">
        <f>IF(W14&gt;0,(Springbok!R34*Springbok!R63)/Summary!W14,0)</f>
        <v/>
      </c>
      <c r="X4" s="338">
        <f>IF(X14&gt;0,(Springbok!S34*Springbok!S63)/Summary!X14,0)</f>
        <v/>
      </c>
      <c r="Y4" s="338">
        <f>IF(Y14&gt;0,(Springbok!T34*Springbok!T63)/Summary!Y14,0)</f>
        <v/>
      </c>
      <c r="Z4" s="338">
        <f>IF(Z14&gt;0,(Springbok!U34*Springbok!U63)/Summary!Z14,0)</f>
        <v/>
      </c>
      <c r="AA4" s="338">
        <f>IF(AA14&gt;0,(Springbok!V34*Springbok!V63)/Summary!AA14,0)</f>
        <v/>
      </c>
      <c r="AB4" s="338">
        <f>IF(AB14&gt;0,(Springbok!W34*Springbok!W63)/Summary!AB14,0)</f>
        <v/>
      </c>
      <c r="AC4" s="338">
        <f>IF(AC14&gt;0,(Springbok!X34*Springbok!X63)/Summary!AC14,0)</f>
        <v/>
      </c>
      <c r="AD4" s="338">
        <f>IF(AD14&gt;0,(Springbok!Y34*Springbok!Y63)/Summary!AD14,0)</f>
        <v/>
      </c>
      <c r="AE4" s="338">
        <f>IF(AE14&gt;0,(Springbok!Z34*Springbok!Z63)/Summary!AE14,0)</f>
        <v/>
      </c>
      <c r="AF4" s="338">
        <f>IF(AF14&gt;0,(Springbok!AA34*Springbok!AA63)/Summary!AF14,0)</f>
        <v/>
      </c>
      <c r="AG4" s="338">
        <f>IF(AG14&gt;0,(Springbok!AB34*Springbok!AB63)/Summary!AG14,0)</f>
        <v/>
      </c>
      <c r="AH4" s="338">
        <f>IF(AH14&gt;0,(Springbok!AC34*Springbok!AC63)/Summary!AH14,0)</f>
        <v/>
      </c>
      <c r="AI4" s="209" t="n"/>
      <c r="AJ4" s="209" t="n"/>
      <c r="AK4" s="209" t="n"/>
      <c r="AL4" s="209" t="n"/>
    </row>
    <row r="5" customFormat="1" s="205">
      <c r="A5" s="208" t="n"/>
      <c r="B5" s="220" t="n"/>
      <c r="C5" s="221" t="n"/>
      <c r="D5" s="222" t="n"/>
      <c r="E5" s="222" t="n"/>
      <c r="F5" s="222" t="n"/>
      <c r="G5" s="222" t="n"/>
      <c r="H5" s="222" t="n"/>
      <c r="I5" s="223" t="n"/>
      <c r="J5" s="223" t="n"/>
      <c r="K5" s="223" t="n"/>
      <c r="L5" s="223" t="n"/>
      <c r="M5" s="223" t="n"/>
      <c r="N5" s="223" t="n"/>
      <c r="O5" s="223" t="n"/>
      <c r="P5" s="223" t="n"/>
      <c r="Q5" s="223" t="n"/>
      <c r="R5" s="223" t="n"/>
      <c r="S5" s="223" t="n"/>
      <c r="T5" s="223" t="n"/>
      <c r="U5" s="223" t="n"/>
      <c r="V5" s="223" t="n"/>
      <c r="W5" s="223" t="n"/>
      <c r="X5" s="223" t="n"/>
      <c r="Y5" s="223" t="n"/>
      <c r="Z5" s="223" t="n"/>
      <c r="AA5" s="223" t="n"/>
      <c r="AB5" s="223" t="n"/>
      <c r="AC5" s="223" t="n"/>
      <c r="AD5" s="223" t="n"/>
      <c r="AE5" s="223" t="n"/>
      <c r="AF5" s="223" t="n"/>
      <c r="AG5" s="223" t="n"/>
      <c r="AH5" s="223" t="n"/>
      <c r="AI5" s="209" t="n"/>
      <c r="AJ5" s="209" t="n"/>
      <c r="AK5" s="209" t="n"/>
      <c r="AL5" s="209" t="n"/>
      <c r="AM5" s="224" t="n"/>
      <c r="AN5" s="224" t="n"/>
    </row>
    <row r="6" customFormat="1" s="205">
      <c r="A6" s="208" t="n"/>
      <c r="B6" s="225" t="inlineStr">
        <is>
          <t>Direct Mining Cost</t>
        </is>
      </c>
      <c r="C6" s="221" t="inlineStr">
        <is>
          <t>AUD/t</t>
        </is>
      </c>
      <c r="D6" s="339">
        <f>'Historical Performance'!E78/'Historical Performance'!E20</f>
        <v/>
      </c>
      <c r="E6" s="339">
        <f>'Historical Performance'!F78/'Historical Performance'!F20</f>
        <v/>
      </c>
      <c r="F6" s="339">
        <f>'Historical Performance'!G78/'Historical Performance'!G20</f>
        <v/>
      </c>
      <c r="G6" s="339">
        <f>'Historical Performance'!H78/'Historical Performance'!H20</f>
        <v/>
      </c>
      <c r="H6" s="339">
        <f>'Historical Performance'!I78/'Historical Performance'!I20</f>
        <v/>
      </c>
      <c r="I6" s="340">
        <f>IF(I14&gt;0,(Springbok!D70+Springbok!D73+Springbok!D75+Springbok!D78)/I14,0)</f>
        <v/>
      </c>
      <c r="J6" s="340">
        <f>IF(J14&gt;0,(Springbok!E70+Springbok!E73+Springbok!E75+Springbok!E78)/J14,0)</f>
        <v/>
      </c>
      <c r="K6" s="340">
        <f>IF(K14&gt;0,(Springbok!F70+Springbok!F73+Springbok!F75+Springbok!F78)/K14,0)</f>
        <v/>
      </c>
      <c r="L6" s="340">
        <f>IF(L14&gt;0,(Springbok!G70+Springbok!G73+Springbok!G75+Springbok!G78)/L14,0)</f>
        <v/>
      </c>
      <c r="M6" s="340">
        <f>IF(M14&gt;0,(Springbok!H70+Springbok!H73+Springbok!H75+Springbok!H78)/M14,0)</f>
        <v/>
      </c>
      <c r="N6" s="340">
        <f>IF(N14&gt;0,(Springbok!I70+Springbok!I73+Springbok!I75+Springbok!I78)/N14,0)</f>
        <v/>
      </c>
      <c r="O6" s="340">
        <f>IF(O14&gt;0,(Springbok!J70+Springbok!J73+Springbok!J75+Springbok!J78)/O14,0)</f>
        <v/>
      </c>
      <c r="P6" s="340">
        <f>IF(P14&gt;0,(Springbok!K70+Springbok!K73+Springbok!K75+Springbok!K78)/P14,0)</f>
        <v/>
      </c>
      <c r="Q6" s="340">
        <f>IF(Q14&gt;0,(Springbok!L70+Springbok!L73+Springbok!L75+Springbok!L78)/Q14,0)</f>
        <v/>
      </c>
      <c r="R6" s="340">
        <f>IF(R14&gt;0,(Springbok!M70+Springbok!M73+Springbok!M75+Springbok!M78)/R14,0)</f>
        <v/>
      </c>
      <c r="S6" s="340">
        <f>IF(S14&gt;0,(Springbok!N70+Springbok!N73+Springbok!N75+Springbok!N78)/S14,0)</f>
        <v/>
      </c>
      <c r="T6" s="340">
        <f>IF(T14&gt;0,(Springbok!O70+Springbok!O73+Springbok!O75+Springbok!O78)/T14,0)</f>
        <v/>
      </c>
      <c r="U6" s="340">
        <f>IF(U14&gt;0,(Springbok!P70+Springbok!P73+Springbok!P75+Springbok!P78)/U14,0)</f>
        <v/>
      </c>
      <c r="V6" s="340">
        <f>IF(V14&gt;0,(Springbok!Q70+Springbok!Q73+Springbok!Q75+Springbok!Q78)/V14,0)</f>
        <v/>
      </c>
      <c r="W6" s="340">
        <f>IF(W14&gt;0,(Springbok!R70+Springbok!R73+Springbok!R75+Springbok!R78)/W14,0)</f>
        <v/>
      </c>
      <c r="X6" s="340">
        <f>IF(X14&gt;0,(Springbok!S70+Springbok!S73+Springbok!S75+Springbok!S78)/X14,0)</f>
        <v/>
      </c>
      <c r="Y6" s="340">
        <f>IF(Y14&gt;0,(Springbok!T70+Springbok!T73+Springbok!T75+Springbok!T78)/Y14,0)</f>
        <v/>
      </c>
      <c r="Z6" s="340">
        <f>IF(Z14&gt;0,(Springbok!U70+Springbok!U73+Springbok!U75+Springbok!U78)/Z14,0)</f>
        <v/>
      </c>
      <c r="AA6" s="340">
        <f>IF(AA14&gt;0,(Springbok!V70+Springbok!V73+Springbok!V75+Springbok!V78)/AA14,0)</f>
        <v/>
      </c>
      <c r="AB6" s="340">
        <f>IF(AB14&gt;0,(Springbok!W70+Springbok!W73+Springbok!W75+Springbok!W78)/AB14,0)</f>
        <v/>
      </c>
      <c r="AC6" s="340">
        <f>IF(AC14&gt;0,(Springbok!X70+Springbok!X73+Springbok!X75+Springbok!X78)/AC14,0)</f>
        <v/>
      </c>
      <c r="AD6" s="340">
        <f>IF(AD14&gt;0,(Springbok!Y70+Springbok!Y73+Springbok!Y75+Springbok!Y78)/AD14,0)</f>
        <v/>
      </c>
      <c r="AE6" s="340">
        <f>IF(AE14&gt;0,(Springbok!Z70+Springbok!Z73+Springbok!Z75+Springbok!Z78)/AE14,0)</f>
        <v/>
      </c>
      <c r="AF6" s="340">
        <f>IF(AF14&gt;0,(Springbok!AA70+Springbok!AA73+Springbok!AA75+Springbok!AA78)/AF14,0)</f>
        <v/>
      </c>
      <c r="AG6" s="340">
        <f>IF(AG14&gt;0,(Springbok!AB70+Springbok!AB73+Springbok!AB75+Springbok!AB78)/AG14,0)</f>
        <v/>
      </c>
      <c r="AH6" s="340">
        <f>IF(AH14&gt;0,(Springbok!AC70+Springbok!AC73+Springbok!AC75+Springbok!AC78)/AH14,0)</f>
        <v/>
      </c>
      <c r="AI6" s="209" t="n"/>
      <c r="AJ6" s="209" t="n"/>
      <c r="AK6" s="209" t="n"/>
      <c r="AL6" s="209" t="n"/>
      <c r="AM6" s="224" t="n"/>
      <c r="AN6" s="341" t="n"/>
      <c r="AO6" s="341" t="n"/>
      <c r="AP6" s="341" t="n"/>
      <c r="AQ6" s="341" t="n"/>
      <c r="AR6" s="341" t="n"/>
      <c r="AS6" s="341" t="n"/>
      <c r="AT6" s="341" t="n"/>
      <c r="AU6" s="341" t="n"/>
      <c r="AV6" s="341" t="n"/>
      <c r="AW6" s="341" t="n"/>
      <c r="AX6" s="341" t="n"/>
      <c r="AY6" s="341" t="n"/>
      <c r="AZ6" s="341" t="n"/>
      <c r="BA6" s="341" t="n"/>
      <c r="BB6" s="341" t="n"/>
      <c r="BC6" s="341" t="n"/>
      <c r="BD6" s="341" t="n"/>
      <c r="BE6" s="341" t="n"/>
      <c r="BF6" s="341" t="n"/>
      <c r="BG6" s="341" t="n"/>
      <c r="BH6" s="224" t="n"/>
    </row>
    <row r="7" customFormat="1" s="205">
      <c r="A7" s="208" t="n"/>
      <c r="B7" s="225" t="inlineStr">
        <is>
          <t>CHPP Cash Cost</t>
        </is>
      </c>
      <c r="C7" s="221" t="inlineStr">
        <is>
          <t>AUD/t</t>
        </is>
      </c>
      <c r="D7" s="339">
        <f>'Historical Performance'!E89/'Historical Performance'!E20</f>
        <v/>
      </c>
      <c r="E7" s="339">
        <f>'Historical Performance'!F89/'Historical Performance'!F20</f>
        <v/>
      </c>
      <c r="F7" s="339">
        <f>'Historical Performance'!G89/'Historical Performance'!G20</f>
        <v/>
      </c>
      <c r="G7" s="339">
        <f>'Historical Performance'!H89/'Historical Performance'!H20</f>
        <v/>
      </c>
      <c r="H7" s="339">
        <f>'Historical Performance'!I89/'Historical Performance'!I20</f>
        <v/>
      </c>
      <c r="I7" s="340">
        <f>IF(I14&gt;0,(Springbok!D82)/Summary!I14,0)</f>
        <v/>
      </c>
      <c r="J7" s="340">
        <f>IF(J14&gt;0,(Springbok!E82)/Summary!J14,0)</f>
        <v/>
      </c>
      <c r="K7" s="340">
        <f>IF(K14&gt;0,(Springbok!F82)/Summary!K14,0)</f>
        <v/>
      </c>
      <c r="L7" s="340">
        <f>IF(L14&gt;0,(Springbok!G82)/Summary!L14,0)</f>
        <v/>
      </c>
      <c r="M7" s="340">
        <f>IF(M14&gt;0,(Springbok!H82)/Summary!M14,0)</f>
        <v/>
      </c>
      <c r="N7" s="340">
        <f>IF(N14&gt;0,(Springbok!I82)/Summary!N14,0)</f>
        <v/>
      </c>
      <c r="O7" s="340">
        <f>IF(O14&gt;0,(Springbok!J82)/Summary!O14,0)</f>
        <v/>
      </c>
      <c r="P7" s="340">
        <f>IF(P14&gt;0,(Springbok!K82)/Summary!P14,0)</f>
        <v/>
      </c>
      <c r="Q7" s="340">
        <f>IF(Q14&gt;0,(Springbok!L82)/Summary!Q14,0)</f>
        <v/>
      </c>
      <c r="R7" s="340">
        <f>IF(R14&gt;0,(Springbok!M82)/Summary!R14,0)</f>
        <v/>
      </c>
      <c r="S7" s="340">
        <f>IF(S14&gt;0,(Springbok!N82)/Summary!S14,0)</f>
        <v/>
      </c>
      <c r="T7" s="340">
        <f>IF(T14&gt;0,(Springbok!O82)/Summary!T14,0)</f>
        <v/>
      </c>
      <c r="U7" s="340">
        <f>IF(U14&gt;0,(Springbok!P82)/Summary!U14,0)</f>
        <v/>
      </c>
      <c r="V7" s="340">
        <f>IF(V14&gt;0,(Springbok!Q82)/Summary!V14,0)</f>
        <v/>
      </c>
      <c r="W7" s="340">
        <f>IF(W14&gt;0,(Springbok!R82)/Summary!W14,0)</f>
        <v/>
      </c>
      <c r="X7" s="340">
        <f>IF(X14&gt;0,(Springbok!S82)/Summary!X14,0)</f>
        <v/>
      </c>
      <c r="Y7" s="340">
        <f>IF(Y14&gt;0,(Springbok!T82)/Summary!Y14,0)</f>
        <v/>
      </c>
      <c r="Z7" s="340">
        <f>IF(Z14&gt;0,(Springbok!U82)/Summary!Z14,0)</f>
        <v/>
      </c>
      <c r="AA7" s="340">
        <f>IF(AA14&gt;0,(Springbok!V82)/Summary!AA14,0)</f>
        <v/>
      </c>
      <c r="AB7" s="340">
        <f>IF(AB14&gt;0,(Springbok!W82)/Summary!AB14,0)</f>
        <v/>
      </c>
      <c r="AC7" s="340">
        <f>IF(AC14&gt;0,(Springbok!X82)/Summary!AC14,0)</f>
        <v/>
      </c>
      <c r="AD7" s="340">
        <f>IF(AD14&gt;0,(Springbok!Y82)/Summary!AD14,0)</f>
        <v/>
      </c>
      <c r="AE7" s="340">
        <f>IF(AE14&gt;0,(Springbok!Z82)/Summary!AE14,0)</f>
        <v/>
      </c>
      <c r="AF7" s="340">
        <f>IF(AF14&gt;0,(Springbok!AA82)/Summary!AF14,0)</f>
        <v/>
      </c>
      <c r="AG7" s="340">
        <f>IF(AG14&gt;0,(Springbok!AB82)/Summary!AG14,0)</f>
        <v/>
      </c>
      <c r="AH7" s="340">
        <f>IF(AH14&gt;0,(Springbok!AC82)/Summary!AH14,0)</f>
        <v/>
      </c>
      <c r="AI7" s="209" t="n"/>
      <c r="AJ7" s="209" t="n"/>
      <c r="AK7" s="209" t="n"/>
      <c r="AL7" s="209" t="n"/>
      <c r="AM7" s="224" t="n"/>
      <c r="AN7" s="224" t="n"/>
    </row>
    <row r="8" customFormat="1" s="205">
      <c r="A8" s="208" t="n"/>
      <c r="B8" s="225" t="inlineStr">
        <is>
          <t>Overhead &amp; Indirect Cash Cost</t>
        </is>
      </c>
      <c r="C8" s="221" t="inlineStr">
        <is>
          <t>AUD/t</t>
        </is>
      </c>
      <c r="D8" s="339">
        <f>'Historical Performance'!E114/'Historical Performance'!E20</f>
        <v/>
      </c>
      <c r="E8" s="339">
        <f>'Historical Performance'!F114/'Historical Performance'!F20</f>
        <v/>
      </c>
      <c r="F8" s="339">
        <f>'Historical Performance'!G114/'Historical Performance'!G20</f>
        <v/>
      </c>
      <c r="G8" s="339">
        <f>'Historical Performance'!H114/'Historical Performance'!H20</f>
        <v/>
      </c>
      <c r="H8" s="339">
        <f>'Historical Performance'!I114/'Historical Performance'!I20</f>
        <v/>
      </c>
      <c r="I8" s="340">
        <f>IF(I14&gt;0,(Springbok!D87)/Summary!I14,0)</f>
        <v/>
      </c>
      <c r="J8" s="340">
        <f>IF(J14&gt;0,(Springbok!E87)/Summary!J14,0)</f>
        <v/>
      </c>
      <c r="K8" s="340">
        <f>IF(K14&gt;0,(Springbok!F87)/Summary!K14,0)</f>
        <v/>
      </c>
      <c r="L8" s="340">
        <f>IF(L14&gt;0,(Springbok!G87)/Summary!L14,0)</f>
        <v/>
      </c>
      <c r="M8" s="340">
        <f>IF(M14&gt;0,(Springbok!H87)/Summary!M14,0)</f>
        <v/>
      </c>
      <c r="N8" s="340">
        <f>IF(N14&gt;0,(Springbok!I87)/Summary!N14,0)</f>
        <v/>
      </c>
      <c r="O8" s="340">
        <f>IF(O14&gt;0,(Springbok!J87)/Summary!O14,0)</f>
        <v/>
      </c>
      <c r="P8" s="340">
        <f>IF(P14&gt;0,(Springbok!K87)/Summary!P14,0)</f>
        <v/>
      </c>
      <c r="Q8" s="340">
        <f>IF(Q14&gt;0,(Springbok!L87)/Summary!Q14,0)</f>
        <v/>
      </c>
      <c r="R8" s="340">
        <f>IF(R14&gt;0,(Springbok!M87)/Summary!R14,0)</f>
        <v/>
      </c>
      <c r="S8" s="340">
        <f>IF(S14&gt;0,(Springbok!N87)/Summary!S14,0)</f>
        <v/>
      </c>
      <c r="T8" s="340">
        <f>IF(T14&gt;0,(Springbok!O87)/Summary!T14,0)</f>
        <v/>
      </c>
      <c r="U8" s="340">
        <f>IF(U14&gt;0,(Springbok!P87)/Summary!U14,0)</f>
        <v/>
      </c>
      <c r="V8" s="340">
        <f>IF(V14&gt;0,(Springbok!Q87)/Summary!V14,0)</f>
        <v/>
      </c>
      <c r="W8" s="340">
        <f>IF(W14&gt;0,(Springbok!R87)/Summary!W14,0)</f>
        <v/>
      </c>
      <c r="X8" s="340">
        <f>IF(X14&gt;0,(Springbok!S87)/Summary!X14,0)</f>
        <v/>
      </c>
      <c r="Y8" s="340">
        <f>IF(Y14&gt;0,(Springbok!T87)/Summary!Y14,0)</f>
        <v/>
      </c>
      <c r="Z8" s="340">
        <f>IF(Z14&gt;0,(Springbok!U87)/Summary!Z14,0)</f>
        <v/>
      </c>
      <c r="AA8" s="340">
        <f>IF(AA14&gt;0,(Springbok!V87)/Summary!AA14,0)</f>
        <v/>
      </c>
      <c r="AB8" s="340">
        <f>IF(AB14&gt;0,(Springbok!W87)/Summary!AB14,0)</f>
        <v/>
      </c>
      <c r="AC8" s="340">
        <f>IF(AC14&gt;0,(Springbok!X87)/Summary!AC14,0)</f>
        <v/>
      </c>
      <c r="AD8" s="340">
        <f>IF(AD14&gt;0,(Springbok!Y87)/Summary!AD14,0)</f>
        <v/>
      </c>
      <c r="AE8" s="340">
        <f>IF(AE14&gt;0,(Springbok!Z87)/Summary!AE14,0)</f>
        <v/>
      </c>
      <c r="AF8" s="340">
        <f>IF(AF14&gt;0,(Springbok!AA87)/Summary!AF14,0)</f>
        <v/>
      </c>
      <c r="AG8" s="340">
        <f>IF(AG14&gt;0,(Springbok!AB87)/Summary!AG14,0)</f>
        <v/>
      </c>
      <c r="AH8" s="340">
        <f>IF(AH14&gt;0,(Springbok!AC87)/Summary!AH14,0)</f>
        <v/>
      </c>
      <c r="AI8" s="209" t="n"/>
      <c r="AJ8" s="209" t="n"/>
      <c r="AK8" s="209" t="n"/>
      <c r="AL8" s="209" t="n"/>
      <c r="AM8" s="224" t="n"/>
      <c r="AN8" s="224" t="n"/>
    </row>
    <row r="9" customFormat="1" s="205">
      <c r="A9" s="208" t="n"/>
      <c r="B9" s="225" t="inlineStr">
        <is>
          <t>Distribution (excluding Royalty)</t>
        </is>
      </c>
      <c r="C9" s="221" t="inlineStr">
        <is>
          <t>AUD/t</t>
        </is>
      </c>
      <c r="D9" s="339">
        <f>'Historical Performance'!E119/'Historical Performance'!E20</f>
        <v/>
      </c>
      <c r="E9" s="339">
        <f>'Historical Performance'!F119/'Historical Performance'!F20</f>
        <v/>
      </c>
      <c r="F9" s="339">
        <f>'Historical Performance'!G119/'Historical Performance'!G20</f>
        <v/>
      </c>
      <c r="G9" s="339">
        <f>'Historical Performance'!H119/'Historical Performance'!H20</f>
        <v/>
      </c>
      <c r="H9" s="339">
        <f>'Historical Performance'!I119/'Historical Performance'!I20</f>
        <v/>
      </c>
      <c r="I9" s="340">
        <f>IF(I14&gt;0,(Springbok!D93+Springbok!D94)/Summary!I14,0)</f>
        <v/>
      </c>
      <c r="J9" s="340">
        <f>IF(J14&gt;0,(Springbok!E93+Springbok!E94)/Summary!J14,0)</f>
        <v/>
      </c>
      <c r="K9" s="340">
        <f>IF(K14&gt;0,(Springbok!F93+Springbok!F94)/Summary!K14,0)</f>
        <v/>
      </c>
      <c r="L9" s="340">
        <f>IF(L14&gt;0,(Springbok!G93+Springbok!G94)/Summary!L14,0)</f>
        <v/>
      </c>
      <c r="M9" s="340">
        <f>IF(M14&gt;0,(Springbok!H93+Springbok!H94)/Summary!M14,0)</f>
        <v/>
      </c>
      <c r="N9" s="340">
        <f>IF(N14&gt;0,(Springbok!I93+Springbok!I94)/Summary!N14,0)</f>
        <v/>
      </c>
      <c r="O9" s="340">
        <f>IF(O14&gt;0,(Springbok!J93+Springbok!J94)/Summary!O14,0)</f>
        <v/>
      </c>
      <c r="P9" s="340">
        <f>IF(P14&gt;0,(Springbok!K93+Springbok!K94)/Summary!P14,0)</f>
        <v/>
      </c>
      <c r="Q9" s="340">
        <f>IF(Q14&gt;0,(Springbok!L93+Springbok!L94)/Summary!Q14,0)</f>
        <v/>
      </c>
      <c r="R9" s="340">
        <f>IF(R14&gt;0,(Springbok!M93+Springbok!M94)/Summary!R14,0)</f>
        <v/>
      </c>
      <c r="S9" s="340">
        <f>IF(S14&gt;0,(Springbok!N93+Springbok!N94)/Summary!S14,0)</f>
        <v/>
      </c>
      <c r="T9" s="340">
        <f>IF(T14&gt;0,(Springbok!O93+Springbok!O94)/Summary!T14,0)</f>
        <v/>
      </c>
      <c r="U9" s="340">
        <f>IF(U14&gt;0,(Springbok!P93+Springbok!P94)/Summary!U14,0)</f>
        <v/>
      </c>
      <c r="V9" s="340">
        <f>IF(V14&gt;0,(Springbok!Q93+Springbok!Q94)/Summary!V14,0)</f>
        <v/>
      </c>
      <c r="W9" s="340">
        <f>IF(W14&gt;0,(Springbok!R93+Springbok!R94)/Summary!W14,0)</f>
        <v/>
      </c>
      <c r="X9" s="340">
        <f>IF(X14&gt;0,(Springbok!S93+Springbok!S94)/Summary!X14,0)</f>
        <v/>
      </c>
      <c r="Y9" s="340">
        <f>IF(Y14&gt;0,(Springbok!T93+Springbok!T94)/Summary!Y14,0)</f>
        <v/>
      </c>
      <c r="Z9" s="340">
        <f>IF(Z14&gt;0,(Springbok!U93+Springbok!U94)/Summary!Z14,0)</f>
        <v/>
      </c>
      <c r="AA9" s="340">
        <f>IF(AA14&gt;0,(Springbok!V93+Springbok!V94)/Summary!AA14,0)</f>
        <v/>
      </c>
      <c r="AB9" s="340">
        <f>IF(AB14&gt;0,(Springbok!W93+Springbok!W94)/Summary!AB14,0)</f>
        <v/>
      </c>
      <c r="AC9" s="340">
        <f>IF(AC14&gt;0,(Springbok!X93+Springbok!X94)/Summary!AC14,0)</f>
        <v/>
      </c>
      <c r="AD9" s="340">
        <f>IF(AD14&gt;0,(Springbok!Y93+Springbok!Y94)/Summary!AD14,0)</f>
        <v/>
      </c>
      <c r="AE9" s="340">
        <f>IF(AE14&gt;0,(Springbok!Z93+Springbok!Z94)/Summary!AE14,0)</f>
        <v/>
      </c>
      <c r="AF9" s="340">
        <f>IF(AF14&gt;0,(Springbok!AA93+Springbok!AA94)/Summary!AF14,0)</f>
        <v/>
      </c>
      <c r="AG9" s="340">
        <f>IF(AG14&gt;0,(Springbok!AB93+Springbok!AB94)/Summary!AG14,0)</f>
        <v/>
      </c>
      <c r="AH9" s="340">
        <f>IF(AH14&gt;0,(Springbok!AC93+Springbok!AC94)/Summary!AH14,0)</f>
        <v/>
      </c>
      <c r="AI9" s="209" t="n"/>
      <c r="AJ9" s="209" t="n"/>
      <c r="AK9" s="209" t="n"/>
      <c r="AL9" s="209" t="n"/>
      <c r="AM9" s="224" t="n"/>
      <c r="AN9" s="224" t="n"/>
    </row>
    <row r="10" customFormat="1" s="205">
      <c r="A10" s="208" t="n"/>
      <c r="B10" s="225" t="inlineStr">
        <is>
          <t>Other Costs (Carbon)</t>
        </is>
      </c>
      <c r="C10" s="221" t="inlineStr">
        <is>
          <t>AUD/t</t>
        </is>
      </c>
      <c r="D10" s="339">
        <f>'Historical Performance'!E131/'Historical Performance'!E20</f>
        <v/>
      </c>
      <c r="E10" s="339">
        <f>'Historical Performance'!F131/'Historical Performance'!F20</f>
        <v/>
      </c>
      <c r="F10" s="339">
        <f>'Historical Performance'!G131/'Historical Performance'!G20</f>
        <v/>
      </c>
      <c r="G10" s="339">
        <f>'Historical Performance'!H131/'Historical Performance'!H20</f>
        <v/>
      </c>
      <c r="H10" s="339">
        <f>'Historical Performance'!I131/'Historical Performance'!I20</f>
        <v/>
      </c>
      <c r="I10" s="340">
        <f>IF(I14&gt;0,(Springbok!D106)/I14,0)</f>
        <v/>
      </c>
      <c r="J10" s="340">
        <f>IF(J14&gt;0,(Springbok!E106)/J14,0)</f>
        <v/>
      </c>
      <c r="K10" s="340">
        <f>IF(K14&gt;0,(Springbok!F106)/K14,0)</f>
        <v/>
      </c>
      <c r="L10" s="340">
        <f>IF(L14&gt;0,(Springbok!G106)/L14,0)</f>
        <v/>
      </c>
      <c r="M10" s="340">
        <f>IF(M14&gt;0,(Springbok!H106)/M14,0)</f>
        <v/>
      </c>
      <c r="N10" s="340">
        <f>IF(N14&gt;0,(Springbok!I106)/N14,0)</f>
        <v/>
      </c>
      <c r="O10" s="340">
        <f>IF(O14&gt;0,(Springbok!J106)/O14,0)</f>
        <v/>
      </c>
      <c r="P10" s="340">
        <f>IF(P14&gt;0,(Springbok!K106)/P14,0)</f>
        <v/>
      </c>
      <c r="Q10" s="340">
        <f>IF(Q14&gt;0,(Springbok!L106)/Q14,0)</f>
        <v/>
      </c>
      <c r="R10" s="340">
        <f>IF(R14&gt;0,(Springbok!M106)/R14,0)</f>
        <v/>
      </c>
      <c r="S10" s="340">
        <f>IF(S14&gt;0,(Springbok!N106)/S14,0)</f>
        <v/>
      </c>
      <c r="T10" s="340">
        <f>IF(T14&gt;0,(Springbok!O106)/T14,0)</f>
        <v/>
      </c>
      <c r="U10" s="340">
        <f>IF(U14&gt;0,(Springbok!P106)/U14,0)</f>
        <v/>
      </c>
      <c r="V10" s="340">
        <f>IF(V14&gt;0,(Springbok!Q106)/V14,0)</f>
        <v/>
      </c>
      <c r="W10" s="340">
        <f>IF(W14&gt;0,(Springbok!R106)/W14,0)</f>
        <v/>
      </c>
      <c r="X10" s="340">
        <f>IF(X14&gt;0,(Springbok!S106)/X14,0)</f>
        <v/>
      </c>
      <c r="Y10" s="340">
        <f>IF(Y14&gt;0,(Springbok!T106)/Y14,0)</f>
        <v/>
      </c>
      <c r="Z10" s="340">
        <f>IF(Z14&gt;0,(Springbok!U106)/Z14,0)</f>
        <v/>
      </c>
      <c r="AA10" s="340">
        <f>IF(AA14&gt;0,(Springbok!V106)/AA14,0)</f>
        <v/>
      </c>
      <c r="AB10" s="340">
        <f>IF(AB14&gt;0,(Springbok!W106)/AB14,0)</f>
        <v/>
      </c>
      <c r="AC10" s="340">
        <f>IF(AC14&gt;0,(Springbok!X106)/AC14,0)</f>
        <v/>
      </c>
      <c r="AD10" s="340">
        <f>IF(AD14&gt;0,(Springbok!Y106)/AD14,0)</f>
        <v/>
      </c>
      <c r="AE10" s="340">
        <f>IF(AE14&gt;0,(Springbok!Z106)/AE14,0)</f>
        <v/>
      </c>
      <c r="AF10" s="340">
        <f>IF(AF14&gt;0,(Springbok!AA106)/AF14,0)</f>
        <v/>
      </c>
      <c r="AG10" s="340">
        <f>IF(AG14&gt;0,(Springbok!AB106)/AG14,0)</f>
        <v/>
      </c>
      <c r="AH10" s="340">
        <f>IF(AH14&gt;0,(Springbok!AC106)/AH14,0)</f>
        <v/>
      </c>
      <c r="AI10" s="209" t="n"/>
      <c r="AJ10" s="209" t="n"/>
      <c r="AK10" s="209" t="n"/>
      <c r="AL10" s="209" t="n"/>
      <c r="AM10" s="224" t="n"/>
      <c r="AN10" s="224" t="n"/>
    </row>
    <row r="11" customFormat="1" s="205">
      <c r="A11" s="208" t="n"/>
      <c r="B11" s="225" t="inlineStr">
        <is>
          <t>Royalty - Government Export</t>
        </is>
      </c>
      <c r="C11" s="221" t="inlineStr">
        <is>
          <t>AUD/t</t>
        </is>
      </c>
      <c r="D11" s="339">
        <f>'Historical Performance'!E120/'Historical Performance'!E20</f>
        <v/>
      </c>
      <c r="E11" s="339">
        <f>'Historical Performance'!F120/'Historical Performance'!F20</f>
        <v/>
      </c>
      <c r="F11" s="339">
        <f>'Historical Performance'!G120/'Historical Performance'!G20</f>
        <v/>
      </c>
      <c r="G11" s="339">
        <f>'Historical Performance'!H120/'Historical Performance'!H20</f>
        <v/>
      </c>
      <c r="H11" s="339">
        <f>'Historical Performance'!I120/'Historical Performance'!I20</f>
        <v/>
      </c>
      <c r="I11" s="340">
        <f>IF(I14&gt;0,(Springbok!D95)/Summary!I14,0)</f>
        <v/>
      </c>
      <c r="J11" s="340">
        <f>IF(J14&gt;0,(Springbok!E95)/Summary!J14,0)</f>
        <v/>
      </c>
      <c r="K11" s="340">
        <f>IF(K14&gt;0,(Springbok!F95)/Summary!K14,0)</f>
        <v/>
      </c>
      <c r="L11" s="340">
        <f>IF(L14&gt;0,(Springbok!G95)/Summary!L14,0)</f>
        <v/>
      </c>
      <c r="M11" s="340">
        <f>IF(M14&gt;0,(Springbok!H95)/Summary!M14,0)</f>
        <v/>
      </c>
      <c r="N11" s="340">
        <f>IF(N14&gt;0,(Springbok!I95)/Summary!N14,0)</f>
        <v/>
      </c>
      <c r="O11" s="340">
        <f>IF(O14&gt;0,(Springbok!J95)/Summary!O14,0)</f>
        <v/>
      </c>
      <c r="P11" s="340">
        <f>IF(P14&gt;0,(Springbok!K95)/Summary!P14,0)</f>
        <v/>
      </c>
      <c r="Q11" s="340">
        <f>IF(Q14&gt;0,(Springbok!L95)/Summary!Q14,0)</f>
        <v/>
      </c>
      <c r="R11" s="340">
        <f>IF(R14&gt;0,(Springbok!M95)/Summary!R14,0)</f>
        <v/>
      </c>
      <c r="S11" s="340">
        <f>IF(S14&gt;0,(Springbok!N95)/Summary!S14,0)</f>
        <v/>
      </c>
      <c r="T11" s="340">
        <f>IF(T14&gt;0,(Springbok!O95)/Summary!T14,0)</f>
        <v/>
      </c>
      <c r="U11" s="340">
        <f>IF(U14&gt;0,(Springbok!P95)/Summary!U14,0)</f>
        <v/>
      </c>
      <c r="V11" s="340">
        <f>IF(V14&gt;0,(Springbok!Q95)/Summary!V14,0)</f>
        <v/>
      </c>
      <c r="W11" s="340">
        <f>IF(W14&gt;0,(Springbok!R95)/Summary!W14,0)</f>
        <v/>
      </c>
      <c r="X11" s="340">
        <f>IF(X14&gt;0,(Springbok!S95)/Summary!X14,0)</f>
        <v/>
      </c>
      <c r="Y11" s="340">
        <f>IF(Y14&gt;0,(Springbok!T95)/Summary!Y14,0)</f>
        <v/>
      </c>
      <c r="Z11" s="340">
        <f>IF(Z14&gt;0,(Springbok!U95)/Summary!Z14,0)</f>
        <v/>
      </c>
      <c r="AA11" s="340">
        <f>IF(AA14&gt;0,(Springbok!V95)/Summary!AA14,0)</f>
        <v/>
      </c>
      <c r="AB11" s="340">
        <f>IF(AB14&gt;0,(Springbok!W95)/Summary!AB14,0)</f>
        <v/>
      </c>
      <c r="AC11" s="340">
        <f>IF(AC14&gt;0,(Springbok!X95)/Summary!AC14,0)</f>
        <v/>
      </c>
      <c r="AD11" s="340">
        <f>IF(AD14&gt;0,(Springbok!Y95)/Summary!AD14,0)</f>
        <v/>
      </c>
      <c r="AE11" s="340">
        <f>IF(AE14&gt;0,(Springbok!Z95)/Summary!AE14,0)</f>
        <v/>
      </c>
      <c r="AF11" s="340">
        <f>IF(AF14&gt;0,(Springbok!AA95)/Summary!AF14,0)</f>
        <v/>
      </c>
      <c r="AG11" s="340">
        <f>IF(AG14&gt;0,(Springbok!AB95)/Summary!AG14,0)</f>
        <v/>
      </c>
      <c r="AH11" s="340">
        <f>IF(AH14&gt;0,(Springbok!AC95)/Summary!AH14,0)</f>
        <v/>
      </c>
      <c r="AI11" s="209" t="n"/>
      <c r="AJ11" s="209" t="n"/>
      <c r="AK11" s="209" t="n"/>
      <c r="AL11" s="209" t="n"/>
      <c r="AM11" s="224" t="n"/>
      <c r="AN11" s="224" t="n"/>
    </row>
    <row r="12" customFormat="1" s="218">
      <c r="A12" s="209" t="n"/>
      <c r="B12" s="227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8" t="n"/>
      <c r="M12" s="228" t="n"/>
      <c r="N12" s="228" t="n"/>
      <c r="O12" s="228" t="n"/>
      <c r="P12" s="228" t="n"/>
      <c r="Q12" s="228" t="n"/>
      <c r="R12" s="228" t="n"/>
      <c r="S12" s="228" t="n"/>
      <c r="T12" s="228" t="n"/>
      <c r="U12" s="228" t="n"/>
      <c r="V12" s="228" t="n"/>
      <c r="W12" s="228" t="n"/>
      <c r="X12" s="228" t="n"/>
      <c r="Y12" s="228" t="n"/>
      <c r="Z12" s="228" t="n"/>
      <c r="AA12" s="228" t="n"/>
      <c r="AB12" s="228" t="n"/>
      <c r="AC12" s="228" t="n"/>
      <c r="AD12" s="228" t="n"/>
      <c r="AE12" s="228" t="n"/>
      <c r="AF12" s="228" t="n"/>
      <c r="AG12" s="228" t="n"/>
      <c r="AH12" s="228" t="n"/>
      <c r="AI12" s="209" t="n"/>
      <c r="AJ12" s="209" t="n"/>
      <c r="AK12" s="209" t="n"/>
      <c r="AL12" s="209" t="n"/>
      <c r="AM12" s="229" t="n"/>
      <c r="AN12" s="229" t="n"/>
    </row>
    <row r="13" outlineLevel="1"/>
    <row r="14" outlineLevel="1" customFormat="1" s="218">
      <c r="A14" s="209" t="n"/>
      <c r="B14" s="227" t="inlineStr">
        <is>
          <t>Total Sales Vol</t>
        </is>
      </c>
      <c r="C14" s="228" t="n"/>
      <c r="D14" s="228" t="n"/>
      <c r="E14" s="228" t="n"/>
      <c r="F14" s="228" t="n"/>
      <c r="G14" s="228" t="n"/>
      <c r="H14" s="342" t="n"/>
      <c r="I14" s="342">
        <f>Springbok!D34</f>
        <v/>
      </c>
      <c r="J14" s="342">
        <f>Springbok!E34</f>
        <v/>
      </c>
      <c r="K14" s="342">
        <f>Springbok!F34</f>
        <v/>
      </c>
      <c r="L14" s="342">
        <f>Springbok!G34</f>
        <v/>
      </c>
      <c r="M14" s="342">
        <f>Springbok!H34</f>
        <v/>
      </c>
      <c r="N14" s="342">
        <f>Springbok!I34</f>
        <v/>
      </c>
      <c r="O14" s="342">
        <f>Springbok!J34</f>
        <v/>
      </c>
      <c r="P14" s="342">
        <f>Springbok!K34</f>
        <v/>
      </c>
      <c r="Q14" s="342">
        <f>Springbok!L34</f>
        <v/>
      </c>
      <c r="R14" s="342">
        <f>Springbok!M34</f>
        <v/>
      </c>
      <c r="S14" s="342">
        <f>Springbok!N34</f>
        <v/>
      </c>
      <c r="T14" s="342">
        <f>Springbok!O34</f>
        <v/>
      </c>
      <c r="U14" s="342">
        <f>Springbok!P34</f>
        <v/>
      </c>
      <c r="V14" s="342">
        <f>Springbok!Q34</f>
        <v/>
      </c>
      <c r="W14" s="342">
        <f>Springbok!R34</f>
        <v/>
      </c>
      <c r="X14" s="342">
        <f>Springbok!S34</f>
        <v/>
      </c>
      <c r="Y14" s="342">
        <f>Springbok!T34</f>
        <v/>
      </c>
      <c r="Z14" s="342">
        <f>Springbok!U34</f>
        <v/>
      </c>
      <c r="AA14" s="342">
        <f>Springbok!V34</f>
        <v/>
      </c>
      <c r="AB14" s="342">
        <f>Springbok!W34</f>
        <v/>
      </c>
      <c r="AC14" s="342">
        <f>Springbok!X34</f>
        <v/>
      </c>
      <c r="AD14" s="342">
        <f>Springbok!Y34</f>
        <v/>
      </c>
      <c r="AE14" s="342">
        <f>Springbok!Z34</f>
        <v/>
      </c>
      <c r="AF14" s="342">
        <f>Springbok!AA34</f>
        <v/>
      </c>
      <c r="AG14" s="342">
        <f>Springbok!AB34</f>
        <v/>
      </c>
      <c r="AH14" s="342">
        <f>Springbok!AC34</f>
        <v/>
      </c>
      <c r="AI14" s="209" t="n"/>
      <c r="AJ14" s="209" t="n"/>
      <c r="AK14" s="209" t="n"/>
      <c r="AL14" s="209" t="n"/>
      <c r="AM14" s="229" t="n"/>
      <c r="AN14" s="229" t="n"/>
    </row>
    <row r="15" outlineLevel="1"/>
    <row r="44">
      <c r="B44" t="inlineStr">
        <is>
          <t>Project Margin Analysis</t>
        </is>
      </c>
    </row>
    <row r="45" customFormat="1" s="214">
      <c r="A45" s="210" t="n"/>
      <c r="B45" s="211" t="n"/>
      <c r="C45" s="212" t="n"/>
      <c r="D45" s="213" t="n">
        <v>2031</v>
      </c>
      <c r="E45" s="213" t="n">
        <v>2032</v>
      </c>
      <c r="F45" s="213" t="n">
        <v>2033</v>
      </c>
      <c r="G45" s="213" t="n">
        <v>2034</v>
      </c>
      <c r="H45" s="213" t="n">
        <v>2035</v>
      </c>
      <c r="I45" s="213" t="n">
        <v>2036</v>
      </c>
      <c r="J45" s="213" t="n">
        <v>2037</v>
      </c>
      <c r="K45" s="213" t="n">
        <v>2038</v>
      </c>
      <c r="L45" s="213" t="n">
        <v>2039</v>
      </c>
      <c r="M45" s="213" t="n">
        <v>2040</v>
      </c>
      <c r="N45" s="213" t="n">
        <v>2041</v>
      </c>
      <c r="O45" s="213" t="n">
        <v>2042</v>
      </c>
      <c r="P45" s="213" t="n">
        <v>2043</v>
      </c>
      <c r="Q45" s="213" t="n">
        <v>2044</v>
      </c>
      <c r="R45" s="213" t="n">
        <v>2045</v>
      </c>
      <c r="S45" s="213" t="n">
        <v>2046</v>
      </c>
      <c r="T45" s="213" t="n">
        <v>2047</v>
      </c>
      <c r="U45" s="213" t="n">
        <v>2048</v>
      </c>
      <c r="V45" s="213" t="n">
        <v>2049</v>
      </c>
      <c r="W45" s="213" t="n">
        <v>2050</v>
      </c>
    </row>
    <row r="46" customFormat="1" s="218">
      <c r="A46" s="208" t="n"/>
      <c r="B46" s="215" t="inlineStr">
        <is>
          <t>Sales Revenue</t>
        </is>
      </c>
      <c r="C46" s="216" t="inlineStr">
        <is>
          <t>AUD M</t>
        </is>
      </c>
      <c r="D46" s="337">
        <f>IF(D57&gt;0,('Brave Blossom '!H62)/1000,0)</f>
        <v/>
      </c>
      <c r="E46" s="337">
        <f>IF(E57&gt;0,('Brave Blossom '!I62)/1000,0)</f>
        <v/>
      </c>
      <c r="F46" s="337">
        <f>IF(F57&gt;0,('Brave Blossom '!J62)/1000,0)</f>
        <v/>
      </c>
      <c r="G46" s="337">
        <f>IF(G57&gt;0,('Brave Blossom '!K62)/1000,0)</f>
        <v/>
      </c>
      <c r="H46" s="337">
        <f>IF(H57&gt;0,('Brave Blossom '!L62)/1000,0)</f>
        <v/>
      </c>
      <c r="I46" s="337">
        <f>IF(I57&gt;0,('Brave Blossom '!M62)/1000,0)</f>
        <v/>
      </c>
      <c r="J46" s="337">
        <f>IF(J57&gt;0,('Brave Blossom '!N62)/1000,0)</f>
        <v/>
      </c>
      <c r="K46" s="337">
        <f>IF(K57&gt;0,('Brave Blossom '!O62)/1000,0)</f>
        <v/>
      </c>
      <c r="L46" s="337">
        <f>IF(L57&gt;0,('Brave Blossom '!P62)/1000,0)</f>
        <v/>
      </c>
      <c r="M46" s="337">
        <f>IF(M57&gt;0,('Brave Blossom '!Q62)/1000,0)</f>
        <v/>
      </c>
      <c r="N46" s="337">
        <f>IF(N57&gt;0,('Brave Blossom '!R62)/1000,0)</f>
        <v/>
      </c>
      <c r="O46" s="337">
        <f>IF(O57&gt;0,('Brave Blossom '!S62)/1000,0)</f>
        <v/>
      </c>
      <c r="P46" s="337">
        <f>IF(P57&gt;0,('Brave Blossom '!T62)/1000,0)</f>
        <v/>
      </c>
      <c r="Q46" s="337">
        <f>IF(Q57&gt;0,('Brave Blossom '!U62)/1000,0)</f>
        <v/>
      </c>
      <c r="R46" s="337">
        <f>IF(R57&gt;0,('Brave Blossom '!V62)/1000,0)</f>
        <v/>
      </c>
      <c r="S46" s="337">
        <f>IF(S57&gt;0,('Brave Blossom '!W62)/1000,0)</f>
        <v/>
      </c>
      <c r="T46" s="337">
        <f>IF(T57&gt;0,('Brave Blossom '!X62)/1000,0)</f>
        <v/>
      </c>
      <c r="U46" s="337">
        <f>IF(U57&gt;0,('Brave Blossom '!Y62)/1000,0)</f>
        <v/>
      </c>
      <c r="V46" s="337">
        <f>IF(V57&gt;0,('Brave Blossom '!Z62)/1000,0)</f>
        <v/>
      </c>
      <c r="W46" s="337">
        <f>IF(W57&gt;0,('Brave Blossom '!AA62)/1000,0)</f>
        <v/>
      </c>
    </row>
    <row r="47" customFormat="1" s="218">
      <c r="A47" s="208" t="n"/>
      <c r="B47" s="215" t="inlineStr">
        <is>
          <t>Average Realisation A$ (Ex-Mine)</t>
        </is>
      </c>
      <c r="C47" s="219" t="inlineStr">
        <is>
          <t>AUD/t</t>
        </is>
      </c>
      <c r="D47" s="338">
        <f>IF(D57&gt;0,('Brave Blossom '!H34*'Brave Blossom '!H63)/D57,0)</f>
        <v/>
      </c>
      <c r="E47" s="338">
        <f>IF(E57&gt;0,('Brave Blossom '!I34*'Brave Blossom '!I63)/E57,0)</f>
        <v/>
      </c>
      <c r="F47" s="338">
        <f>IF(F57&gt;0,('Brave Blossom '!J34*'Brave Blossom '!J63)/F57,0)</f>
        <v/>
      </c>
      <c r="G47" s="338">
        <f>IF(G57&gt;0,('Brave Blossom '!K34*'Brave Blossom '!K63)/G57,0)</f>
        <v/>
      </c>
      <c r="H47" s="338">
        <f>IF(H57&gt;0,('Brave Blossom '!L34*'Brave Blossom '!L63)/H57,0)</f>
        <v/>
      </c>
      <c r="I47" s="338">
        <f>IF(I57&gt;0,('Brave Blossom '!M34*'Brave Blossom '!M63)/I57,0)</f>
        <v/>
      </c>
      <c r="J47" s="338">
        <f>IF(J57&gt;0,('Brave Blossom '!N34*'Brave Blossom '!N63)/J57,0)</f>
        <v/>
      </c>
      <c r="K47" s="338">
        <f>IF(K57&gt;0,('Brave Blossom '!O34*'Brave Blossom '!O63)/K57,0)</f>
        <v/>
      </c>
      <c r="L47" s="338">
        <f>IF(L57&gt;0,('Brave Blossom '!P34*'Brave Blossom '!P63)/L57,0)</f>
        <v/>
      </c>
      <c r="M47" s="338">
        <f>IF(M57&gt;0,('Brave Blossom '!Q34*'Brave Blossom '!Q63)/M57,0)</f>
        <v/>
      </c>
      <c r="N47" s="338">
        <f>IF(N57&gt;0,('Brave Blossom '!R34*'Brave Blossom '!R63)/N57,0)</f>
        <v/>
      </c>
      <c r="O47" s="338">
        <f>IF(O57&gt;0,('Brave Blossom '!S34*'Brave Blossom '!S63)/O57,0)</f>
        <v/>
      </c>
      <c r="P47" s="338">
        <f>IF(P57&gt;0,('Brave Blossom '!T34*'Brave Blossom '!T63)/P57,0)</f>
        <v/>
      </c>
      <c r="Q47" s="338">
        <f>IF(Q57&gt;0,('Brave Blossom '!U34*'Brave Blossom '!U63)/Q57,0)</f>
        <v/>
      </c>
      <c r="R47" s="338">
        <f>IF(R57&gt;0,('Brave Blossom '!V34*'Brave Blossom '!V63)/R57,0)</f>
        <v/>
      </c>
      <c r="S47" s="338">
        <f>IF(S57&gt;0,('Brave Blossom '!W34*'Brave Blossom '!W63)/S57,0)</f>
        <v/>
      </c>
      <c r="T47" s="338">
        <f>IF(T57&gt;0,('Brave Blossom '!X34*'Brave Blossom '!X63)/T57,0)</f>
        <v/>
      </c>
      <c r="U47" s="338">
        <f>IF(U57&gt;0,('Brave Blossom '!Y34*'Brave Blossom '!Y63)/U57,0)</f>
        <v/>
      </c>
      <c r="V47" s="338">
        <f>IF(V57&gt;0,('Brave Blossom '!Z34*'Brave Blossom '!Z63)/V57,0)</f>
        <v/>
      </c>
      <c r="W47" s="338">
        <f>IF(W57&gt;0,('Brave Blossom '!AA34*'Brave Blossom '!AA63)/W57,0)</f>
        <v/>
      </c>
    </row>
    <row r="48" customFormat="1" s="205">
      <c r="A48" s="208" t="n"/>
      <c r="B48" s="220" t="n"/>
      <c r="C48" s="221" t="n"/>
      <c r="D48" s="223" t="n"/>
      <c r="E48" s="223" t="n"/>
      <c r="F48" s="223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</row>
    <row r="49" customFormat="1" s="205">
      <c r="A49" s="208" t="n"/>
      <c r="B49" s="225" t="inlineStr">
        <is>
          <t>Direct Mining Cost</t>
        </is>
      </c>
      <c r="C49" s="221" t="inlineStr">
        <is>
          <t>AUD/t</t>
        </is>
      </c>
      <c r="D49" s="340">
        <f>IF(D57&gt;0,('Brave Blossom '!H70+'Brave Blossom '!H73+'Brave Blossom '!H75+'Brave Blossom '!H78)/D57,0)</f>
        <v/>
      </c>
      <c r="E49" s="340">
        <f>IF(E57&gt;0,('Brave Blossom '!I70+'Brave Blossom '!I73+'Brave Blossom '!I75+'Brave Blossom '!I78)/E57,0)</f>
        <v/>
      </c>
      <c r="F49" s="340">
        <f>IF(F57&gt;0,('Brave Blossom '!J70+'Brave Blossom '!J73+'Brave Blossom '!J75+'Brave Blossom '!J78)/F57,0)</f>
        <v/>
      </c>
      <c r="G49" s="340">
        <f>IF(G57&gt;0,('Brave Blossom '!K70+'Brave Blossom '!K73+'Brave Blossom '!K75+'Brave Blossom '!K78)/G57,0)</f>
        <v/>
      </c>
      <c r="H49" s="340">
        <f>IF(H57&gt;0,('Brave Blossom '!L70+'Brave Blossom '!L73+'Brave Blossom '!L75+'Brave Blossom '!L78)/H57,0)</f>
        <v/>
      </c>
      <c r="I49" s="340">
        <f>IF(I57&gt;0,('Brave Blossom '!M70+'Brave Blossom '!M73+'Brave Blossom '!M75+'Brave Blossom '!M78)/I57,0)</f>
        <v/>
      </c>
      <c r="J49" s="340">
        <f>IF(J57&gt;0,('Brave Blossom '!N70+'Brave Blossom '!N73+'Brave Blossom '!N75+'Brave Blossom '!N78)/J57,0)</f>
        <v/>
      </c>
      <c r="K49" s="340">
        <f>IF(K57&gt;0,('Brave Blossom '!O70+'Brave Blossom '!O73+'Brave Blossom '!O75+'Brave Blossom '!O78)/K57,0)</f>
        <v/>
      </c>
      <c r="L49" s="340">
        <f>IF(L57&gt;0,('Brave Blossom '!P70+'Brave Blossom '!P73+'Brave Blossom '!P75+'Brave Blossom '!P78)/L57,0)</f>
        <v/>
      </c>
      <c r="M49" s="340">
        <f>IF(M57&gt;0,('Brave Blossom '!Q70+'Brave Blossom '!Q73+'Brave Blossom '!Q75+'Brave Blossom '!Q78)/M57,0)</f>
        <v/>
      </c>
      <c r="N49" s="340">
        <f>IF(N57&gt;0,('Brave Blossom '!R70+'Brave Blossom '!R73+'Brave Blossom '!R75+'Brave Blossom '!R78)/N57,0)</f>
        <v/>
      </c>
      <c r="O49" s="340">
        <f>IF(O57&gt;0,('Brave Blossom '!S70+'Brave Blossom '!S73+'Brave Blossom '!S75+'Brave Blossom '!S78)/O57,0)</f>
        <v/>
      </c>
      <c r="P49" s="340">
        <f>IF(P57&gt;0,('Brave Blossom '!T70+'Brave Blossom '!T73+'Brave Blossom '!T75+'Brave Blossom '!T78)/P57,0)</f>
        <v/>
      </c>
      <c r="Q49" s="340">
        <f>IF(Q57&gt;0,('Brave Blossom '!U70+'Brave Blossom '!U73+'Brave Blossom '!U75+'Brave Blossom '!U78)/Q57,0)</f>
        <v/>
      </c>
      <c r="R49" s="340">
        <f>IF(R57&gt;0,('Brave Blossom '!V70+'Brave Blossom '!V73+'Brave Blossom '!V75+'Brave Blossom '!V78)/R57,0)</f>
        <v/>
      </c>
      <c r="S49" s="340">
        <f>IF(S57&gt;0,('Brave Blossom '!W70+'Brave Blossom '!W73+'Brave Blossom '!W75+'Brave Blossom '!W78)/S57,0)</f>
        <v/>
      </c>
      <c r="T49" s="340">
        <f>IF(T57&gt;0,('Brave Blossom '!X70+'Brave Blossom '!X73+'Brave Blossom '!X75+'Brave Blossom '!X78)/T57,0)</f>
        <v/>
      </c>
      <c r="U49" s="340">
        <f>IF(U57&gt;0,('Brave Blossom '!Y70+'Brave Blossom '!Y73+'Brave Blossom '!Y75+'Brave Blossom '!Y78)/U57,0)</f>
        <v/>
      </c>
      <c r="V49" s="340">
        <f>IF(V57&gt;0,('Brave Blossom '!Z70+'Brave Blossom '!Z73+'Brave Blossom '!Z75+'Brave Blossom '!Z78)/V57,0)</f>
        <v/>
      </c>
      <c r="W49" s="340">
        <f>IF(W57&gt;0,('Brave Blossom '!AA70+'Brave Blossom '!AA73+'Brave Blossom '!AA75+'Brave Blossom '!AA78)/W57,0)</f>
        <v/>
      </c>
    </row>
    <row r="50" customFormat="1" s="205">
      <c r="A50" s="208" t="n"/>
      <c r="B50" s="225" t="inlineStr">
        <is>
          <t>CHPP Cash Cost</t>
        </is>
      </c>
      <c r="C50" s="221" t="inlineStr">
        <is>
          <t>AUD/t</t>
        </is>
      </c>
      <c r="D50" s="340">
        <f>IF(D57&gt;0,('Brave Blossom '!H82)/D57,0)</f>
        <v/>
      </c>
      <c r="E50" s="340">
        <f>IF(E57&gt;0,('Brave Blossom '!I82)/E57,0)</f>
        <v/>
      </c>
      <c r="F50" s="340">
        <f>IF(F57&gt;0,('Brave Blossom '!J82)/F57,0)</f>
        <v/>
      </c>
      <c r="G50" s="340">
        <f>IF(G57&gt;0,('Brave Blossom '!K82)/G57,0)</f>
        <v/>
      </c>
      <c r="H50" s="340">
        <f>IF(H57&gt;0,('Brave Blossom '!L82)/H57,0)</f>
        <v/>
      </c>
      <c r="I50" s="340">
        <f>IF(I57&gt;0,('Brave Blossom '!M82)/I57,0)</f>
        <v/>
      </c>
      <c r="J50" s="340">
        <f>IF(J57&gt;0,('Brave Blossom '!N82)/J57,0)</f>
        <v/>
      </c>
      <c r="K50" s="340">
        <f>IF(K57&gt;0,('Brave Blossom '!O82)/K57,0)</f>
        <v/>
      </c>
      <c r="L50" s="340">
        <f>IF(L57&gt;0,('Brave Blossom '!P82)/L57,0)</f>
        <v/>
      </c>
      <c r="M50" s="340">
        <f>IF(M57&gt;0,('Brave Blossom '!Q82)/M57,0)</f>
        <v/>
      </c>
      <c r="N50" s="340">
        <f>IF(N57&gt;0,('Brave Blossom '!R82)/N57,0)</f>
        <v/>
      </c>
      <c r="O50" s="340">
        <f>IF(O57&gt;0,('Brave Blossom '!S82)/O57,0)</f>
        <v/>
      </c>
      <c r="P50" s="340">
        <f>IF(P57&gt;0,('Brave Blossom '!T82)/P57,0)</f>
        <v/>
      </c>
      <c r="Q50" s="340">
        <f>IF(Q57&gt;0,('Brave Blossom '!U82)/Q57,0)</f>
        <v/>
      </c>
      <c r="R50" s="340">
        <f>IF(R57&gt;0,('Brave Blossom '!V82)/R57,0)</f>
        <v/>
      </c>
      <c r="S50" s="340">
        <f>IF(S57&gt;0,('Brave Blossom '!W82)/S57,0)</f>
        <v/>
      </c>
      <c r="T50" s="340">
        <f>IF(T57&gt;0,('Brave Blossom '!X82)/T57,0)</f>
        <v/>
      </c>
      <c r="U50" s="340">
        <f>IF(U57&gt;0,('Brave Blossom '!Y82)/U57,0)</f>
        <v/>
      </c>
      <c r="V50" s="340">
        <f>IF(V57&gt;0,('Brave Blossom '!Z82)/V57,0)</f>
        <v/>
      </c>
      <c r="W50" s="340">
        <f>IF(W57&gt;0,('Brave Blossom '!AA82)/W57,0)</f>
        <v/>
      </c>
    </row>
    <row r="51" customFormat="1" s="205">
      <c r="A51" s="208" t="n"/>
      <c r="B51" s="225" t="inlineStr">
        <is>
          <t>Overhead &amp; Indirect Cash Cost</t>
        </is>
      </c>
      <c r="C51" s="221" t="inlineStr">
        <is>
          <t>AUD/t</t>
        </is>
      </c>
      <c r="D51" s="340">
        <f>IF(D57&gt;0,('Brave Blossom '!H87)/D57,0)</f>
        <v/>
      </c>
      <c r="E51" s="340">
        <f>IF(E57&gt;0,('Brave Blossom '!I87)/E57,0)</f>
        <v/>
      </c>
      <c r="F51" s="340">
        <f>IF(F57&gt;0,('Brave Blossom '!J87)/F57,0)</f>
        <v/>
      </c>
      <c r="G51" s="340">
        <f>IF(G57&gt;0,('Brave Blossom '!K87)/G57,0)</f>
        <v/>
      </c>
      <c r="H51" s="340">
        <f>IF(H57&gt;0,('Brave Blossom '!L87)/H57,0)</f>
        <v/>
      </c>
      <c r="I51" s="340">
        <f>IF(I57&gt;0,('Brave Blossom '!M87)/I57,0)</f>
        <v/>
      </c>
      <c r="J51" s="340">
        <f>IF(J57&gt;0,('Brave Blossom '!N87)/J57,0)</f>
        <v/>
      </c>
      <c r="K51" s="340">
        <f>IF(K57&gt;0,('Brave Blossom '!O87)/K57,0)</f>
        <v/>
      </c>
      <c r="L51" s="340">
        <f>IF(L57&gt;0,('Brave Blossom '!P87)/L57,0)</f>
        <v/>
      </c>
      <c r="M51" s="340">
        <f>IF(M57&gt;0,('Brave Blossom '!Q87)/M57,0)</f>
        <v/>
      </c>
      <c r="N51" s="340">
        <f>IF(N57&gt;0,('Brave Blossom '!R87)/N57,0)</f>
        <v/>
      </c>
      <c r="O51" s="340">
        <f>IF(O57&gt;0,('Brave Blossom '!S87)/O57,0)</f>
        <v/>
      </c>
      <c r="P51" s="340">
        <f>IF(P57&gt;0,('Brave Blossom '!T87)/P57,0)</f>
        <v/>
      </c>
      <c r="Q51" s="340">
        <f>IF(Q57&gt;0,('Brave Blossom '!U87)/Q57,0)</f>
        <v/>
      </c>
      <c r="R51" s="340">
        <f>IF(R57&gt;0,('Brave Blossom '!V87)/R57,0)</f>
        <v/>
      </c>
      <c r="S51" s="340">
        <f>IF(S57&gt;0,('Brave Blossom '!W87)/S57,0)</f>
        <v/>
      </c>
      <c r="T51" s="340">
        <f>IF(T57&gt;0,('Brave Blossom '!X87)/T57,0)</f>
        <v/>
      </c>
      <c r="U51" s="340">
        <f>IF(U57&gt;0,('Brave Blossom '!Y87)/U57,0)</f>
        <v/>
      </c>
      <c r="V51" s="340">
        <f>IF(V57&gt;0,('Brave Blossom '!Z87)/V57,0)</f>
        <v/>
      </c>
      <c r="W51" s="340">
        <f>IF(W57&gt;0,('Brave Blossom '!AA87)/W57,0)</f>
        <v/>
      </c>
    </row>
    <row r="52" customFormat="1" s="205">
      <c r="A52" s="208" t="n"/>
      <c r="B52" s="225" t="inlineStr">
        <is>
          <t>Distribution (excluding Royalty)</t>
        </is>
      </c>
      <c r="C52" s="221" t="inlineStr">
        <is>
          <t>AUD/t</t>
        </is>
      </c>
      <c r="D52" s="340">
        <f>IF(D57&gt;0,('Brave Blossom '!H93+'Brave Blossom '!H94)/D57,0)</f>
        <v/>
      </c>
      <c r="E52" s="340">
        <f>IF(E57&gt;0,('Brave Blossom '!I93+'Brave Blossom '!I94)/E57,0)</f>
        <v/>
      </c>
      <c r="F52" s="340">
        <f>IF(F57&gt;0,('Brave Blossom '!J93+'Brave Blossom '!J94)/F57,0)</f>
        <v/>
      </c>
      <c r="G52" s="340">
        <f>IF(G57&gt;0,('Brave Blossom '!K93+'Brave Blossom '!K94)/G57,0)</f>
        <v/>
      </c>
      <c r="H52" s="340">
        <f>IF(H57&gt;0,('Brave Blossom '!L93+'Brave Blossom '!L94)/H57,0)</f>
        <v/>
      </c>
      <c r="I52" s="340">
        <f>IF(I57&gt;0,('Brave Blossom '!M93+'Brave Blossom '!M94)/I57,0)</f>
        <v/>
      </c>
      <c r="J52" s="340">
        <f>IF(J57&gt;0,('Brave Blossom '!N93+'Brave Blossom '!N94)/J57,0)</f>
        <v/>
      </c>
      <c r="K52" s="340">
        <f>IF(K57&gt;0,('Brave Blossom '!O93+'Brave Blossom '!O94)/K57,0)</f>
        <v/>
      </c>
      <c r="L52" s="340">
        <f>IF(L57&gt;0,('Brave Blossom '!P93+'Brave Blossom '!P94)/L57,0)</f>
        <v/>
      </c>
      <c r="M52" s="340">
        <f>IF(M57&gt;0,('Brave Blossom '!Q93+'Brave Blossom '!Q94)/M57,0)</f>
        <v/>
      </c>
      <c r="N52" s="340">
        <f>IF(N57&gt;0,('Brave Blossom '!R93+'Brave Blossom '!R94)/N57,0)</f>
        <v/>
      </c>
      <c r="O52" s="340">
        <f>IF(O57&gt;0,('Brave Blossom '!S93+'Brave Blossom '!S94)/O57,0)</f>
        <v/>
      </c>
      <c r="P52" s="340">
        <f>IF(P57&gt;0,('Brave Blossom '!T93+'Brave Blossom '!T94)/P57,0)</f>
        <v/>
      </c>
      <c r="Q52" s="340">
        <f>IF(Q57&gt;0,('Brave Blossom '!U93+'Brave Blossom '!U94)/Q57,0)</f>
        <v/>
      </c>
      <c r="R52" s="340">
        <f>IF(R57&gt;0,('Brave Blossom '!V93+'Brave Blossom '!V94)/R57,0)</f>
        <v/>
      </c>
      <c r="S52" s="340">
        <f>IF(S57&gt;0,('Brave Blossom '!W93+'Brave Blossom '!W94)/S57,0)</f>
        <v/>
      </c>
      <c r="T52" s="340">
        <f>IF(T57&gt;0,('Brave Blossom '!X93+'Brave Blossom '!X94)/T57,0)</f>
        <v/>
      </c>
      <c r="U52" s="340">
        <f>IF(U57&gt;0,('Brave Blossom '!Y93+'Brave Blossom '!Y94)/U57,0)</f>
        <v/>
      </c>
      <c r="V52" s="340">
        <f>IF(V57&gt;0,('Brave Blossom '!Z93+'Brave Blossom '!Z94)/V57,0)</f>
        <v/>
      </c>
      <c r="W52" s="340">
        <f>IF(W57&gt;0,('Brave Blossom '!AA93+'Brave Blossom '!AA94)/W57,0)</f>
        <v/>
      </c>
    </row>
    <row r="53" customFormat="1" s="205">
      <c r="A53" s="208" t="n"/>
      <c r="B53" s="225" t="inlineStr">
        <is>
          <t>Other Costs (Carbon)</t>
        </is>
      </c>
      <c r="C53" s="221" t="inlineStr">
        <is>
          <t>AUD/t</t>
        </is>
      </c>
      <c r="D53" s="340">
        <f>IF(D57&gt;0,('Brave Blossom '!H106)/D57,0)</f>
        <v/>
      </c>
      <c r="E53" s="340">
        <f>IF(E57&gt;0,('Brave Blossom '!I106)/E57,0)</f>
        <v/>
      </c>
      <c r="F53" s="340">
        <f>IF(F57&gt;0,('Brave Blossom '!J106)/F57,0)</f>
        <v/>
      </c>
      <c r="G53" s="340">
        <f>IF(G57&gt;0,('Brave Blossom '!K106)/G57,0)</f>
        <v/>
      </c>
      <c r="H53" s="340">
        <f>IF(H57&gt;0,('Brave Blossom '!L106)/H57,0)</f>
        <v/>
      </c>
      <c r="I53" s="340">
        <f>IF(I57&gt;0,('Brave Blossom '!M106)/I57,0)</f>
        <v/>
      </c>
      <c r="J53" s="340">
        <f>IF(J57&gt;0,('Brave Blossom '!N106)/J57,0)</f>
        <v/>
      </c>
      <c r="K53" s="340">
        <f>IF(K57&gt;0,('Brave Blossom '!O106)/K57,0)</f>
        <v/>
      </c>
      <c r="L53" s="340">
        <f>IF(L57&gt;0,('Brave Blossom '!P106)/L57,0)</f>
        <v/>
      </c>
      <c r="M53" s="340">
        <f>IF(M57&gt;0,('Brave Blossom '!Q106)/M57,0)</f>
        <v/>
      </c>
      <c r="N53" s="340">
        <f>IF(N57&gt;0,('Brave Blossom '!R106)/N57,0)</f>
        <v/>
      </c>
      <c r="O53" s="340">
        <f>IF(O57&gt;0,('Brave Blossom '!S106)/O57,0)</f>
        <v/>
      </c>
      <c r="P53" s="340">
        <f>IF(P57&gt;0,('Brave Blossom '!T106)/P57,0)</f>
        <v/>
      </c>
      <c r="Q53" s="340">
        <f>IF(Q57&gt;0,('Brave Blossom '!U106)/Q57,0)</f>
        <v/>
      </c>
      <c r="R53" s="340">
        <f>IF(R57&gt;0,('Brave Blossom '!V106)/R57,0)</f>
        <v/>
      </c>
      <c r="S53" s="340">
        <f>IF(S57&gt;0,('Brave Blossom '!W106)/S57,0)</f>
        <v/>
      </c>
      <c r="T53" s="340">
        <f>IF(T57&gt;0,('Brave Blossom '!X106)/T57,0)</f>
        <v/>
      </c>
      <c r="U53" s="340">
        <f>IF(U57&gt;0,('Brave Blossom '!Y106)/U57,0)</f>
        <v/>
      </c>
      <c r="V53" s="340">
        <f>IF(V57&gt;0,('Brave Blossom '!Z106)/V57,0)</f>
        <v/>
      </c>
      <c r="W53" s="340">
        <f>IF(W57&gt;0,('Brave Blossom '!AA106)/W57,0)</f>
        <v/>
      </c>
    </row>
    <row r="54" customFormat="1" s="205">
      <c r="A54" s="208" t="n"/>
      <c r="B54" s="225" t="inlineStr">
        <is>
          <t>Royalty - Government Export</t>
        </is>
      </c>
      <c r="C54" s="221" t="inlineStr">
        <is>
          <t>AUD/t</t>
        </is>
      </c>
      <c r="D54" s="340">
        <f>IF(D57&gt;0,('Brave Blossom '!H95)/D57,0)</f>
        <v/>
      </c>
      <c r="E54" s="340">
        <f>IF(E57&gt;0,('Brave Blossom '!I95)/E57,0)</f>
        <v/>
      </c>
      <c r="F54" s="340">
        <f>IF(F57&gt;0,('Brave Blossom '!J95)/F57,0)</f>
        <v/>
      </c>
      <c r="G54" s="340">
        <f>IF(G57&gt;0,('Brave Blossom '!K95)/G57,0)</f>
        <v/>
      </c>
      <c r="H54" s="340">
        <f>IF(H57&gt;0,('Brave Blossom '!L95)/H57,0)</f>
        <v/>
      </c>
      <c r="I54" s="340">
        <f>IF(I57&gt;0,('Brave Blossom '!M95)/I57,0)</f>
        <v/>
      </c>
      <c r="J54" s="340">
        <f>IF(J57&gt;0,('Brave Blossom '!N95)/J57,0)</f>
        <v/>
      </c>
      <c r="K54" s="340">
        <f>IF(K57&gt;0,('Brave Blossom '!O95)/K57,0)</f>
        <v/>
      </c>
      <c r="L54" s="340">
        <f>IF(L57&gt;0,('Brave Blossom '!P95)/L57,0)</f>
        <v/>
      </c>
      <c r="M54" s="340">
        <f>IF(M57&gt;0,('Brave Blossom '!Q95)/M57,0)</f>
        <v/>
      </c>
      <c r="N54" s="340">
        <f>IF(N57&gt;0,('Brave Blossom '!R95)/N57,0)</f>
        <v/>
      </c>
      <c r="O54" s="340">
        <f>IF(O57&gt;0,('Brave Blossom '!S95)/O57,0)</f>
        <v/>
      </c>
      <c r="P54" s="340">
        <f>IF(P57&gt;0,('Brave Blossom '!T95)/P57,0)</f>
        <v/>
      </c>
      <c r="Q54" s="340">
        <f>IF(Q57&gt;0,('Brave Blossom '!U95)/Q57,0)</f>
        <v/>
      </c>
      <c r="R54" s="340">
        <f>IF(R57&gt;0,('Brave Blossom '!V95)/R57,0)</f>
        <v/>
      </c>
      <c r="S54" s="340">
        <f>IF(S57&gt;0,('Brave Blossom '!W95)/S57,0)</f>
        <v/>
      </c>
      <c r="T54" s="340">
        <f>IF(T57&gt;0,('Brave Blossom '!X95)/T57,0)</f>
        <v/>
      </c>
      <c r="U54" s="340">
        <f>IF(U57&gt;0,('Brave Blossom '!Y95)/U57,0)</f>
        <v/>
      </c>
      <c r="V54" s="340">
        <f>IF(V57&gt;0,('Brave Blossom '!Z95)/V57,0)</f>
        <v/>
      </c>
      <c r="W54" s="340">
        <f>IF(W57&gt;0,('Brave Blossom '!AA95)/W57,0)</f>
        <v/>
      </c>
    </row>
    <row r="55" customFormat="1" s="218">
      <c r="A55" s="209" t="n"/>
      <c r="B55" s="227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8" t="n"/>
      <c r="M55" s="228" t="n"/>
      <c r="N55" s="228" t="n"/>
      <c r="O55" s="228" t="n"/>
      <c r="P55" s="228" t="n"/>
      <c r="Q55" s="228" t="n"/>
      <c r="R55" s="228" t="n"/>
      <c r="S55" s="228" t="n"/>
      <c r="T55" s="228" t="n"/>
      <c r="U55" s="228" t="n"/>
      <c r="V55" s="228" t="n"/>
      <c r="W55" s="228" t="n"/>
    </row>
    <row r="56" outlineLevel="1"/>
    <row r="57" outlineLevel="1" customFormat="1" s="218">
      <c r="A57" s="209" t="n"/>
      <c r="B57" s="227" t="inlineStr">
        <is>
          <t>Total Sales Vol</t>
        </is>
      </c>
      <c r="C57" s="228" t="n"/>
      <c r="D57" s="342">
        <f>'Brave Blossom '!H34</f>
        <v/>
      </c>
      <c r="E57" s="342">
        <f>'Brave Blossom '!I34</f>
        <v/>
      </c>
      <c r="F57" s="342">
        <f>'Brave Blossom '!J34</f>
        <v/>
      </c>
      <c r="G57" s="342">
        <f>'Brave Blossom '!K34</f>
        <v/>
      </c>
      <c r="H57" s="342">
        <f>'Brave Blossom '!L34</f>
        <v/>
      </c>
      <c r="I57" s="342">
        <f>'Brave Blossom '!M34</f>
        <v/>
      </c>
      <c r="J57" s="342">
        <f>'Brave Blossom '!N34</f>
        <v/>
      </c>
      <c r="K57" s="342">
        <f>'Brave Blossom '!O34</f>
        <v/>
      </c>
      <c r="L57" s="342">
        <f>'Brave Blossom '!P34</f>
        <v/>
      </c>
      <c r="M57" s="342">
        <f>'Brave Blossom '!Q34</f>
        <v/>
      </c>
      <c r="N57" s="342">
        <f>'Brave Blossom '!R34</f>
        <v/>
      </c>
      <c r="O57" s="342">
        <f>'Brave Blossom '!S34</f>
        <v/>
      </c>
      <c r="P57" s="342">
        <f>'Brave Blossom '!T34</f>
        <v/>
      </c>
      <c r="Q57" s="342">
        <f>'Brave Blossom '!U34</f>
        <v/>
      </c>
      <c r="R57" s="342">
        <f>'Brave Blossom '!V34</f>
        <v/>
      </c>
      <c r="S57" s="342">
        <f>'Brave Blossom '!W34</f>
        <v/>
      </c>
      <c r="T57" s="342">
        <f>'Brave Blossom '!X34</f>
        <v/>
      </c>
      <c r="U57" s="342">
        <f>'Brave Blossom '!Y34</f>
        <v/>
      </c>
      <c r="V57" s="342">
        <f>'Brave Blossom '!Z34</f>
        <v/>
      </c>
      <c r="W57" s="342">
        <f>'Brave Blossom '!AA34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CFF"/>
    <outlinePr summaryBelow="1" summaryRight="1"/>
    <pageSetUpPr/>
  </sheetPr>
  <dimension ref="A2:I170"/>
  <sheetViews>
    <sheetView zoomScale="85" zoomScaleNormal="85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B65" sqref="B65"/>
    </sheetView>
  </sheetViews>
  <sheetFormatPr baseColWidth="10" defaultColWidth="8.83203125" defaultRowHeight="15"/>
  <cols>
    <col width="43.33203125" bestFit="1" customWidth="1" min="2" max="2"/>
    <col width="13.5" customWidth="1" min="3" max="3"/>
    <col width="11.6640625" bestFit="1" customWidth="1" min="4" max="4"/>
    <col width="13.33203125" bestFit="1" customWidth="1" min="5" max="5"/>
    <col width="11.5" bestFit="1" customWidth="1" min="6" max="9"/>
  </cols>
  <sheetData>
    <row r="2" ht="16" customHeight="1">
      <c r="B2" s="201" t="n"/>
      <c r="C2" s="1" t="n"/>
    </row>
    <row r="3">
      <c r="B3" s="51" t="inlineStr">
        <is>
          <t>Springbok Historical Performance</t>
        </is>
      </c>
      <c r="C3" s="51" t="n"/>
      <c r="D3" s="51" t="n">
        <v>2021</v>
      </c>
      <c r="E3" s="51" t="n">
        <v>2022</v>
      </c>
      <c r="F3" s="51" t="n">
        <v>2023</v>
      </c>
      <c r="G3" s="51" t="n">
        <v>2024</v>
      </c>
      <c r="H3" s="51" t="n">
        <v>2025</v>
      </c>
      <c r="I3" s="51" t="inlineStr">
        <is>
          <t>FYF 2026</t>
        </is>
      </c>
    </row>
    <row r="4">
      <c r="B4" s="343" t="inlineStr">
        <is>
          <t>PRODUCTION</t>
        </is>
      </c>
      <c r="C4" s="343" t="n"/>
      <c r="D4" s="343" t="n"/>
      <c r="E4" s="343" t="n"/>
      <c r="F4" s="343" t="n"/>
      <c r="G4" s="343" t="n"/>
      <c r="H4" s="343" t="n"/>
      <c r="I4" s="343" t="n"/>
    </row>
    <row r="5" ht="6" customHeight="1">
      <c r="B5" s="343" t="n"/>
      <c r="C5" s="343" t="n"/>
      <c r="D5" s="343" t="n"/>
      <c r="E5" s="344" t="n"/>
      <c r="F5" s="344" t="n"/>
      <c r="G5" s="344" t="n"/>
      <c r="H5" s="344" t="n"/>
      <c r="I5" s="344" t="n"/>
    </row>
    <row r="6">
      <c r="B6" s="343" t="inlineStr">
        <is>
          <t>Development Metres</t>
        </is>
      </c>
      <c r="C6" s="17" t="inlineStr">
        <is>
          <t>m</t>
        </is>
      </c>
      <c r="D6" s="344" t="n">
        <v>18870.2</v>
      </c>
      <c r="E6" s="344" t="n">
        <v>17655.26</v>
      </c>
      <c r="F6" s="344" t="n">
        <v>16276.64</v>
      </c>
      <c r="G6" s="344" t="n">
        <v>18887.5</v>
      </c>
      <c r="H6" s="344" t="n">
        <v>14092.9</v>
      </c>
      <c r="I6" s="344" t="n">
        <v>17185.12704946119</v>
      </c>
    </row>
    <row r="7">
      <c r="B7" s="343" t="inlineStr">
        <is>
          <t>ROM Production (kt)</t>
        </is>
      </c>
      <c r="C7" s="17" t="inlineStr">
        <is>
          <t>kt</t>
        </is>
      </c>
      <c r="D7" s="344" t="n">
        <v>5835.19037501</v>
      </c>
      <c r="E7" s="344" t="n">
        <v>5207.324641</v>
      </c>
      <c r="F7" s="344" t="n">
        <v>6111.22462686</v>
      </c>
      <c r="G7" s="344" t="n">
        <v>6109.05954716</v>
      </c>
      <c r="H7" s="344" t="n">
        <v>5344.08647</v>
      </c>
      <c r="I7" s="344" t="n">
        <v>5943.704963000001</v>
      </c>
    </row>
    <row r="8">
      <c r="B8" s="343" t="inlineStr">
        <is>
          <t>Operations Yield (%)</t>
        </is>
      </c>
      <c r="C8" s="345" t="inlineStr">
        <is>
          <t>%</t>
        </is>
      </c>
      <c r="D8" s="346" t="n">
        <v>0.6500043475950935</v>
      </c>
      <c r="E8" s="346" t="n">
        <v>0.6513040340202312</v>
      </c>
      <c r="F8" s="346" t="n">
        <v>0.6833380897269552</v>
      </c>
      <c r="G8" s="346" t="n">
        <v>0.6787662878096477</v>
      </c>
      <c r="H8" s="346" t="n">
        <v>0.6940689564633928</v>
      </c>
      <c r="I8" s="346" t="n">
        <v>0.7228458657408077</v>
      </c>
    </row>
    <row r="9">
      <c r="B9" s="343" t="inlineStr">
        <is>
          <t>Actual Saleable Production (kt)</t>
        </is>
      </c>
      <c r="C9" s="17" t="inlineStr">
        <is>
          <t>kt</t>
        </is>
      </c>
      <c r="D9" s="344" t="n">
        <v>3809.40197358</v>
      </c>
      <c r="E9" s="344" t="n">
        <v>3336.3819813348</v>
      </c>
      <c r="F9" s="344" t="n">
        <v>4103.804976</v>
      </c>
      <c r="G9" s="344" t="n">
        <v>4220.56</v>
      </c>
      <c r="H9" s="344" t="n">
        <v>3701.08</v>
      </c>
      <c r="I9" s="344" t="n">
        <v>4263.008</v>
      </c>
    </row>
    <row r="10">
      <c r="B10" s="343" t="n"/>
      <c r="C10" s="343" t="n"/>
      <c r="D10" s="344" t="n"/>
      <c r="E10" s="344" t="n"/>
      <c r="F10" s="344" t="n"/>
      <c r="G10" s="344" t="n"/>
      <c r="H10" s="344" t="n"/>
      <c r="I10" s="344" t="n"/>
    </row>
    <row r="11">
      <c r="B11" s="343" t="inlineStr">
        <is>
          <t>CHPP</t>
        </is>
      </c>
      <c r="C11" s="343" t="n"/>
      <c r="D11" s="344" t="n"/>
      <c r="E11" s="344" t="n"/>
      <c r="F11" s="344" t="n"/>
      <c r="G11" s="344" t="n"/>
      <c r="H11" s="344" t="n"/>
      <c r="I11" s="344" t="n"/>
    </row>
    <row r="12">
      <c r="B12" t="inlineStr">
        <is>
          <t>Primary Feed Tonnes</t>
        </is>
      </c>
      <c r="C12" s="17" t="inlineStr">
        <is>
          <t>kt</t>
        </is>
      </c>
      <c r="D12" s="344" t="n">
        <v>5860.5792217762</v>
      </c>
      <c r="E12" s="344" t="n">
        <v>5122.61832732816</v>
      </c>
      <c r="F12" s="344" t="n">
        <v>6005.52645563747</v>
      </c>
      <c r="G12" s="344" t="n">
        <v>6217.98706830238</v>
      </c>
      <c r="H12" s="344" t="n">
        <v>5332.43846383613</v>
      </c>
      <c r="I12" s="344" t="n">
        <v>5897.53390320779</v>
      </c>
    </row>
    <row r="13">
      <c r="B13" t="inlineStr">
        <is>
          <t>Bypass Tonnes</t>
        </is>
      </c>
      <c r="C13" s="17" t="inlineStr">
        <is>
          <t>kt</t>
        </is>
      </c>
      <c r="D13" s="344" t="n">
        <v>0</v>
      </c>
      <c r="E13" s="344" t="n">
        <v>0</v>
      </c>
      <c r="F13" s="344" t="n">
        <v>0</v>
      </c>
      <c r="G13" s="344" t="n">
        <v>0</v>
      </c>
      <c r="H13" s="344" t="n">
        <v>0</v>
      </c>
      <c r="I13" s="344" t="n">
        <v>0</v>
      </c>
    </row>
    <row r="14">
      <c r="B14" t="inlineStr">
        <is>
          <t>Plant Product Tonnes</t>
        </is>
      </c>
      <c r="C14" s="17" t="inlineStr">
        <is>
          <t>kt</t>
        </is>
      </c>
      <c r="D14" s="344" t="n">
        <v>3809.40197358</v>
      </c>
      <c r="E14" s="344" t="n">
        <v>3336.3819813348</v>
      </c>
      <c r="F14" s="344" t="n">
        <v>4103.804976</v>
      </c>
      <c r="G14" s="344" t="n">
        <v>4220.56</v>
      </c>
      <c r="H14" s="344" t="n">
        <v>3701.08</v>
      </c>
      <c r="I14" s="344" t="n">
        <v>4263.008</v>
      </c>
    </row>
    <row r="15">
      <c r="B15" t="inlineStr">
        <is>
          <t>CHPP Yield</t>
        </is>
      </c>
      <c r="C15" s="17" t="inlineStr">
        <is>
          <t>%</t>
        </is>
      </c>
      <c r="D15" s="329">
        <f>D14/(D12+D13)</f>
        <v/>
      </c>
      <c r="E15" s="329">
        <f>E14/(E12+E13)</f>
        <v/>
      </c>
      <c r="F15" s="329">
        <f>F14/(F12+F13)</f>
        <v/>
      </c>
      <c r="G15" s="329">
        <f>G14/(G12+G13)</f>
        <v/>
      </c>
      <c r="H15" s="329">
        <f>H14/(H12+H13)</f>
        <v/>
      </c>
      <c r="I15" s="329">
        <f>I14/(I12+I13)</f>
        <v/>
      </c>
    </row>
    <row r="16">
      <c r="B16" s="343" t="n"/>
      <c r="C16" s="343" t="n"/>
      <c r="D16" s="344" t="n"/>
      <c r="E16" s="344" t="n"/>
      <c r="F16" s="344" t="n"/>
      <c r="G16" s="344" t="n"/>
      <c r="H16" s="344" t="n"/>
      <c r="I16" s="344" t="n"/>
    </row>
    <row r="17">
      <c r="B17" s="343" t="inlineStr">
        <is>
          <t>Marketing</t>
        </is>
      </c>
      <c r="C17" s="343" t="n"/>
      <c r="D17" s="344" t="n"/>
      <c r="E17" s="344" t="n"/>
      <c r="F17" s="344" t="n"/>
      <c r="G17" s="344" t="n"/>
      <c r="H17" s="344" t="n"/>
      <c r="I17" s="344" t="n"/>
    </row>
    <row r="18">
      <c r="B18" s="113" t="inlineStr">
        <is>
          <t>PHCC</t>
        </is>
      </c>
      <c r="C18" s="17" t="inlineStr">
        <is>
          <t>kt</t>
        </is>
      </c>
      <c r="D18" s="344" t="n">
        <v>3780.31087</v>
      </c>
      <c r="E18" s="344" t="n">
        <v>3235.099924</v>
      </c>
      <c r="F18" s="344" t="n">
        <v>3994.19166</v>
      </c>
      <c r="G18" s="344" t="n">
        <v>4189.599741</v>
      </c>
      <c r="H18" s="344" t="n">
        <v>3356.121291</v>
      </c>
      <c r="I18" s="344" t="n">
        <v>4262.42995</v>
      </c>
    </row>
    <row r="19">
      <c r="B19" s="113" t="inlineStr">
        <is>
          <t>88% PHCC</t>
        </is>
      </c>
      <c r="C19" s="17" t="inlineStr">
        <is>
          <t>kt</t>
        </is>
      </c>
      <c r="D19" s="344" t="n"/>
      <c r="E19" s="344" t="n"/>
      <c r="F19" s="344" t="n"/>
      <c r="G19" s="344" t="n"/>
      <c r="H19" s="344" t="n"/>
      <c r="I19" s="344" t="n"/>
    </row>
    <row r="20">
      <c r="B20" t="inlineStr">
        <is>
          <t>Total Sales</t>
        </is>
      </c>
      <c r="C20" s="17" t="inlineStr">
        <is>
          <t>kt</t>
        </is>
      </c>
      <c r="D20" s="347">
        <f>SUM(D18:D19)</f>
        <v/>
      </c>
      <c r="E20" s="347">
        <f>SUM(E18:E19)</f>
        <v/>
      </c>
      <c r="F20" s="347">
        <f>SUM(F18:F19)</f>
        <v/>
      </c>
      <c r="G20" s="347">
        <f>SUM(G18:G19)</f>
        <v/>
      </c>
      <c r="H20" s="347">
        <f>SUM(H18:H19)</f>
        <v/>
      </c>
      <c r="I20" s="347">
        <f>SUM(I18:I19)</f>
        <v/>
      </c>
    </row>
    <row r="21">
      <c r="C21" s="17" t="n"/>
      <c r="D21" s="344" t="n"/>
      <c r="E21" s="344" t="n"/>
      <c r="F21" s="344" t="n"/>
      <c r="G21" s="344" t="n"/>
      <c r="H21" s="344" t="n"/>
      <c r="I21" s="344" t="n"/>
    </row>
    <row r="22">
      <c r="B22" s="1" t="inlineStr">
        <is>
          <t>Realised Price</t>
        </is>
      </c>
      <c r="C22" s="17" t="n"/>
      <c r="D22" s="344" t="n"/>
      <c r="E22" s="344" t="n"/>
      <c r="F22" s="344" t="n"/>
      <c r="G22" s="344" t="n"/>
      <c r="H22" s="344" t="n"/>
      <c r="I22" s="344" t="n"/>
    </row>
    <row r="23">
      <c r="B23" t="inlineStr">
        <is>
          <t>PHCC</t>
        </is>
      </c>
      <c r="C23" s="17" t="inlineStr">
        <is>
          <t>USD/t</t>
        </is>
      </c>
      <c r="D23" s="344" t="n">
        <v>295</v>
      </c>
      <c r="E23" s="344" t="n">
        <v>360</v>
      </c>
      <c r="F23" s="344" t="n">
        <v>345</v>
      </c>
      <c r="G23" s="344" t="n">
        <v>310</v>
      </c>
      <c r="H23" s="344" t="n">
        <v>300</v>
      </c>
      <c r="I23" s="344" t="n">
        <v>315</v>
      </c>
    </row>
    <row r="24">
      <c r="B24" t="inlineStr">
        <is>
          <t>88% PHCC</t>
        </is>
      </c>
      <c r="C24" s="17" t="inlineStr">
        <is>
          <t>USD/t</t>
        </is>
      </c>
      <c r="D24" s="344" t="n"/>
      <c r="E24" s="344" t="n"/>
      <c r="F24" s="344" t="n"/>
      <c r="G24" s="344" t="n"/>
      <c r="H24" s="344" t="n"/>
      <c r="I24" s="344" t="n"/>
    </row>
    <row r="25">
      <c r="B25" t="inlineStr">
        <is>
          <t>Average Export Realised Price</t>
        </is>
      </c>
      <c r="C25" s="17" t="inlineStr">
        <is>
          <t>USD/t</t>
        </is>
      </c>
      <c r="D25" s="344" t="n"/>
      <c r="E25" s="344" t="n"/>
      <c r="F25" s="344" t="n"/>
      <c r="G25" s="344" t="n"/>
      <c r="H25" s="344" t="n"/>
      <c r="I25" s="344" t="n"/>
    </row>
    <row r="26">
      <c r="B26" s="343" t="n"/>
      <c r="C26" s="343" t="n"/>
      <c r="E26" s="324" t="n"/>
      <c r="F26" s="324" t="n"/>
      <c r="G26" s="324" t="n"/>
      <c r="H26" s="324" t="n"/>
      <c r="I26" s="324" t="n"/>
    </row>
    <row r="27">
      <c r="B27" t="inlineStr">
        <is>
          <t>Total Revenue</t>
        </is>
      </c>
      <c r="C27" s="17" t="inlineStr">
        <is>
          <t>USDk</t>
        </is>
      </c>
      <c r="D27" s="323">
        <f>SUMPRODUCT(D18:D19,D23:D24)</f>
        <v/>
      </c>
      <c r="E27" s="323">
        <f>SUMPRODUCT(E18:E19,E23:E24)</f>
        <v/>
      </c>
      <c r="F27" s="323">
        <f>SUMPRODUCT(F18:F19,F23:F24)</f>
        <v/>
      </c>
      <c r="G27" s="323">
        <f>SUMPRODUCT(G18:G19,G23:G24)</f>
        <v/>
      </c>
      <c r="H27" s="323">
        <f>SUMPRODUCT(H18:H19,H23:H24)</f>
        <v/>
      </c>
      <c r="I27" s="323">
        <f>SUMPRODUCT(I18:I19,I23:I24)</f>
        <v/>
      </c>
    </row>
    <row r="28" ht="16" customHeight="1" thickBot="1">
      <c r="B28" t="inlineStr">
        <is>
          <t>FX</t>
        </is>
      </c>
      <c r="C28" s="17" t="inlineStr">
        <is>
          <t>USD:AUD</t>
        </is>
      </c>
      <c r="D28" s="348" t="n">
        <v>0.743</v>
      </c>
      <c r="E28" s="348" t="n">
        <v>0.694</v>
      </c>
      <c r="F28" s="348" t="n">
        <v>0.6646</v>
      </c>
      <c r="G28" s="348" t="n">
        <v>0.6629</v>
      </c>
      <c r="H28" s="348" t="n">
        <v>0.6306</v>
      </c>
      <c r="I28" s="348" t="n">
        <v>0.67</v>
      </c>
    </row>
    <row r="29">
      <c r="B29" t="inlineStr">
        <is>
          <t>Total Revenue</t>
        </is>
      </c>
      <c r="C29" s="17" t="inlineStr">
        <is>
          <t>AUD</t>
        </is>
      </c>
      <c r="D29" s="323">
        <f>D27/D28</f>
        <v/>
      </c>
      <c r="E29" s="323">
        <f>E27/E28</f>
        <v/>
      </c>
      <c r="F29" s="323">
        <f>F27/F28</f>
        <v/>
      </c>
      <c r="G29" s="323">
        <f>G27/G28</f>
        <v/>
      </c>
      <c r="H29" s="323">
        <f>H27/H28</f>
        <v/>
      </c>
      <c r="I29" s="323">
        <f>I27/I28</f>
        <v/>
      </c>
    </row>
    <row r="30" ht="16" customHeight="1" thickBot="1">
      <c r="B30" t="inlineStr">
        <is>
          <t>Average Realisation</t>
        </is>
      </c>
      <c r="C30" s="17" t="inlineStr">
        <is>
          <t>AUD/t</t>
        </is>
      </c>
      <c r="D30" s="348">
        <f>IFERROR(D29/D9,0)</f>
        <v/>
      </c>
      <c r="E30" s="348">
        <f>IFERROR(E29/E9,0)</f>
        <v/>
      </c>
      <c r="F30" s="348">
        <f>IFERROR(F29/F9,0)</f>
        <v/>
      </c>
      <c r="G30" s="348">
        <f>IFERROR(G29/G9,0)</f>
        <v/>
      </c>
      <c r="H30" s="348">
        <f>IFERROR(H29/H9,0)</f>
        <v/>
      </c>
      <c r="I30" s="348">
        <f>IFERROR(I29/I9,0)</f>
        <v/>
      </c>
    </row>
    <row r="31">
      <c r="B31" s="343" t="n"/>
      <c r="C31" s="343" t="n"/>
      <c r="D31" s="324" t="n"/>
      <c r="E31" s="324" t="n"/>
      <c r="F31" s="324" t="n"/>
      <c r="G31" s="324" t="n"/>
      <c r="H31" s="324" t="n"/>
      <c r="I31" s="324" t="n"/>
    </row>
    <row r="32">
      <c r="B32" s="343" t="n"/>
      <c r="C32" s="343" t="n"/>
      <c r="D32" s="344" t="n"/>
      <c r="E32" s="344" t="n"/>
      <c r="F32" s="344" t="n"/>
      <c r="G32" s="344" t="n"/>
      <c r="H32" s="344" t="n"/>
      <c r="I32" s="344" t="n"/>
    </row>
    <row r="33" customFormat="1" s="1">
      <c r="B33" s="349" t="inlineStr">
        <is>
          <t>PIT TOP COSTS</t>
        </is>
      </c>
      <c r="C33" s="349" t="n"/>
      <c r="D33" s="349" t="n"/>
      <c r="E33" s="349" t="n"/>
      <c r="F33" s="349" t="n"/>
      <c r="G33" s="349" t="n"/>
      <c r="H33" s="349" t="n"/>
      <c r="I33" s="349" t="n"/>
    </row>
    <row r="34" customFormat="1" s="1">
      <c r="B34" s="349" t="n"/>
      <c r="C34" s="349" t="n"/>
      <c r="D34" s="349" t="n"/>
      <c r="E34" s="349" t="n"/>
      <c r="F34" s="349" t="n"/>
      <c r="G34" s="349" t="n"/>
      <c r="H34" s="349" t="n"/>
      <c r="I34" s="349" t="n"/>
    </row>
    <row r="35" customFormat="1" s="1">
      <c r="B35" s="349" t="inlineStr">
        <is>
          <t>LABOUR</t>
        </is>
      </c>
      <c r="C35" s="349" t="n"/>
      <c r="D35" s="350" t="n"/>
      <c r="E35" s="350" t="n"/>
      <c r="F35" s="350" t="n"/>
      <c r="G35" s="350" t="n"/>
      <c r="H35" s="350" t="n"/>
      <c r="I35" s="350" t="n"/>
    </row>
    <row r="36">
      <c r="B36" s="343" t="inlineStr">
        <is>
          <t>Roster Labour</t>
        </is>
      </c>
      <c r="C36" t="inlineStr">
        <is>
          <t>AUDk</t>
        </is>
      </c>
      <c r="D36" s="344" t="n">
        <v>47056.114</v>
      </c>
      <c r="E36" s="344" t="n">
        <v>48060.7891</v>
      </c>
      <c r="F36" s="344" t="n">
        <v>69060.91130000001</v>
      </c>
      <c r="G36" s="344" t="n">
        <v>76942.99280000001</v>
      </c>
      <c r="H36" s="344" t="n">
        <v>75336.1906</v>
      </c>
      <c r="I36" s="344" t="n">
        <v>80032.9773</v>
      </c>
    </row>
    <row r="37">
      <c r="B37" s="343" t="inlineStr">
        <is>
          <t>Non Rostered Overtime</t>
        </is>
      </c>
      <c r="C37" t="inlineStr">
        <is>
          <t>AUDk</t>
        </is>
      </c>
      <c r="D37" s="344" t="n">
        <v>1681.8503</v>
      </c>
      <c r="E37" s="344" t="n">
        <v>2500.8709</v>
      </c>
      <c r="F37" s="344" t="n">
        <v>4953.1897</v>
      </c>
      <c r="G37" s="344" t="n">
        <v>5809.7424</v>
      </c>
      <c r="H37" s="344" t="n">
        <v>4013.871</v>
      </c>
      <c r="I37" s="344" t="n">
        <v>3573.1287</v>
      </c>
    </row>
    <row r="38">
      <c r="B38" s="343" t="inlineStr">
        <is>
          <t>Bonus</t>
        </is>
      </c>
      <c r="C38" t="inlineStr">
        <is>
          <t>AUDk</t>
        </is>
      </c>
      <c r="D38" s="344" t="n">
        <v>8535.7186</v>
      </c>
      <c r="E38" s="344" t="n">
        <v>7634.122</v>
      </c>
      <c r="F38" s="344" t="n">
        <v>12511.0447</v>
      </c>
      <c r="G38" s="344" t="n">
        <v>15141.5542</v>
      </c>
      <c r="H38" s="344" t="n">
        <v>14736.5279</v>
      </c>
      <c r="I38" s="344" t="n">
        <v>14811.0719</v>
      </c>
    </row>
    <row r="39">
      <c r="B39" s="343" t="inlineStr">
        <is>
          <t>Oncosts</t>
        </is>
      </c>
      <c r="C39" t="inlineStr">
        <is>
          <t>AUDk</t>
        </is>
      </c>
      <c r="D39" s="344" t="n">
        <v>19564.5208</v>
      </c>
      <c r="E39" s="344" t="n">
        <v>16288.2129</v>
      </c>
      <c r="F39" s="344" t="n">
        <v>33977.4273</v>
      </c>
      <c r="G39" s="344" t="n">
        <v>37669.4827</v>
      </c>
      <c r="H39" s="344" t="n">
        <v>37114.4049</v>
      </c>
      <c r="I39" s="344" t="n">
        <v>31006.6331</v>
      </c>
    </row>
    <row r="40">
      <c r="B40" s="343" t="inlineStr">
        <is>
          <t>Supplementary Labour</t>
        </is>
      </c>
      <c r="C40" t="inlineStr">
        <is>
          <t>AUDk</t>
        </is>
      </c>
      <c r="D40" s="344" t="n">
        <v>41000.0541</v>
      </c>
      <c r="E40" s="344" t="n">
        <v>50376.8804</v>
      </c>
      <c r="F40" s="344" t="n">
        <v>51764.5289</v>
      </c>
      <c r="G40" s="344" t="n">
        <v>56992.7053</v>
      </c>
      <c r="H40" s="344" t="n">
        <v>61400.3653</v>
      </c>
      <c r="I40" s="344" t="n">
        <v>81378.81299999999</v>
      </c>
    </row>
    <row r="41" ht="16" customHeight="1" thickBot="1">
      <c r="B41" s="343" t="inlineStr">
        <is>
          <t>Capitalised Labour</t>
        </is>
      </c>
      <c r="C41" t="inlineStr">
        <is>
          <t>AUDk</t>
        </is>
      </c>
      <c r="D41" s="351" t="n">
        <v>0</v>
      </c>
      <c r="E41" s="351" t="n">
        <v>0</v>
      </c>
      <c r="F41" s="351" t="n">
        <v>0</v>
      </c>
      <c r="G41" s="351" t="n">
        <v>0</v>
      </c>
      <c r="H41" s="351" t="n">
        <v>0</v>
      </c>
      <c r="I41" s="351" t="n">
        <v>0</v>
      </c>
    </row>
    <row r="42" customFormat="1" s="1">
      <c r="B42" s="349" t="inlineStr">
        <is>
          <t>Labour Costs / Eq Saleable</t>
        </is>
      </c>
      <c r="C42" t="inlineStr">
        <is>
          <t>AUDk</t>
        </is>
      </c>
      <c r="D42" s="352">
        <f>SUM(D36:D41)</f>
        <v/>
      </c>
      <c r="E42" s="352">
        <f>SUM(E36:E41)</f>
        <v/>
      </c>
      <c r="F42" s="352">
        <f>SUM(F36:F41)</f>
        <v/>
      </c>
      <c r="G42" s="352">
        <f>SUM(G36:G41)</f>
        <v/>
      </c>
      <c r="H42" s="352">
        <f>SUM(H36:H41)</f>
        <v/>
      </c>
      <c r="I42" s="352">
        <f>SUM(I36:I41)</f>
        <v/>
      </c>
    </row>
    <row r="43">
      <c r="B43" s="343" t="n"/>
      <c r="C43" s="343" t="n"/>
      <c r="D43" s="353" t="n"/>
      <c r="E43" s="353" t="n"/>
      <c r="F43" s="353" t="n"/>
      <c r="G43" s="353" t="n"/>
      <c r="H43" s="353" t="n"/>
      <c r="I43" s="353" t="n"/>
    </row>
    <row r="44" customFormat="1" s="1">
      <c r="B44" s="349" t="inlineStr">
        <is>
          <t>REPAIRS/MAINTENANCE</t>
        </is>
      </c>
      <c r="C44" s="349" t="n"/>
      <c r="D44" s="350" t="n"/>
      <c r="E44" s="350" t="n"/>
      <c r="F44" s="350" t="n"/>
      <c r="G44" s="350" t="n"/>
      <c r="H44" s="350" t="n"/>
      <c r="I44" s="350" t="n"/>
    </row>
    <row r="45">
      <c r="B45" s="343" t="inlineStr">
        <is>
          <t>Electrical Parts</t>
        </is>
      </c>
      <c r="C45" t="inlineStr">
        <is>
          <t>AUDk</t>
        </is>
      </c>
      <c r="D45" s="344" t="n">
        <v>9965.819100000001</v>
      </c>
      <c r="E45" s="344" t="n">
        <v>11877.628</v>
      </c>
      <c r="F45" s="344" t="n">
        <v>14718.8034</v>
      </c>
      <c r="G45" s="344" t="n">
        <v>15671.7953</v>
      </c>
      <c r="H45" s="344" t="n">
        <v>15891.3354</v>
      </c>
      <c r="I45" s="344" t="n">
        <v>13435.9943</v>
      </c>
    </row>
    <row r="46">
      <c r="B46" s="343" t="inlineStr">
        <is>
          <t>Mechanical Parts</t>
        </is>
      </c>
      <c r="C46" t="inlineStr">
        <is>
          <t>AUDk</t>
        </is>
      </c>
      <c r="D46" s="344" t="n">
        <v>28328.8656</v>
      </c>
      <c r="E46" s="344" t="n">
        <v>20948.2039</v>
      </c>
      <c r="F46" s="344" t="n">
        <v>28955.942</v>
      </c>
      <c r="G46" s="344" t="n">
        <v>35206.732</v>
      </c>
      <c r="H46" s="344" t="n">
        <v>31237.7727</v>
      </c>
      <c r="I46" s="344" t="n">
        <v>31457.7802</v>
      </c>
    </row>
    <row r="47">
      <c r="B47" s="343" t="inlineStr">
        <is>
          <t>Major Rebuilds</t>
        </is>
      </c>
      <c r="C47" t="inlineStr">
        <is>
          <t>AUDk</t>
        </is>
      </c>
      <c r="D47" s="344" t="n">
        <v>26852.7385</v>
      </c>
      <c r="E47" s="344" t="n">
        <v>24931.6145</v>
      </c>
      <c r="F47" s="344" t="n">
        <v>25186.1472</v>
      </c>
      <c r="G47" s="344" t="n">
        <v>31547.0397</v>
      </c>
      <c r="H47" s="344" t="n">
        <v>39030.6466</v>
      </c>
      <c r="I47" s="344" t="n">
        <v>34935.9812</v>
      </c>
    </row>
    <row r="48">
      <c r="B48" s="343" t="inlineStr">
        <is>
          <t>Outside Mech/Elect Repairs</t>
        </is>
      </c>
      <c r="C48" t="inlineStr">
        <is>
          <t>AUDk</t>
        </is>
      </c>
      <c r="D48" s="344" t="n">
        <v>17235.525</v>
      </c>
      <c r="E48" s="344" t="n">
        <v>9755.3986</v>
      </c>
      <c r="F48" s="344" t="n">
        <v>15146.939</v>
      </c>
      <c r="G48" s="344" t="n">
        <v>18187.0253</v>
      </c>
      <c r="H48" s="344" t="n">
        <v>15584.9406</v>
      </c>
      <c r="I48" s="344" t="n">
        <v>12582.7575</v>
      </c>
    </row>
    <row r="49" ht="16" customHeight="1" thickBot="1">
      <c r="B49" s="343" t="inlineStr">
        <is>
          <t>Maintenance Agreements</t>
        </is>
      </c>
      <c r="C49" t="inlineStr">
        <is>
          <t>AUDk</t>
        </is>
      </c>
      <c r="D49" s="351" t="n">
        <v>3191.9474</v>
      </c>
      <c r="E49" s="351" t="n">
        <v>3217.5357</v>
      </c>
      <c r="F49" s="351" t="n">
        <v>4460.6962</v>
      </c>
      <c r="G49" s="351" t="n">
        <v>5460.6453</v>
      </c>
      <c r="H49" s="351" t="n">
        <v>4052.5299</v>
      </c>
      <c r="I49" s="351" t="n">
        <v>5494.2062</v>
      </c>
    </row>
    <row r="50" customFormat="1" s="1">
      <c r="B50" s="349" t="inlineStr">
        <is>
          <t>Repairs/Maintenance / Eq Saleable</t>
        </is>
      </c>
      <c r="C50" t="inlineStr">
        <is>
          <t>AUDk</t>
        </is>
      </c>
      <c r="D50" s="352">
        <f>SUM(D45:D49)</f>
        <v/>
      </c>
      <c r="E50" s="352">
        <f>SUM(E45:E49)</f>
        <v/>
      </c>
      <c r="F50" s="352">
        <f>SUM(F45:F49)</f>
        <v/>
      </c>
      <c r="G50" s="352">
        <f>SUM(G45:G49)</f>
        <v/>
      </c>
      <c r="H50" s="352">
        <f>SUM(H45:H49)</f>
        <v/>
      </c>
      <c r="I50" s="352">
        <f>SUM(I45:I49)</f>
        <v/>
      </c>
    </row>
    <row r="51">
      <c r="B51" s="343" t="n"/>
      <c r="C51" s="343" t="n"/>
      <c r="D51" s="344" t="n"/>
      <c r="E51" s="344" t="n"/>
      <c r="F51" s="344" t="n"/>
      <c r="G51" s="344" t="n"/>
      <c r="H51" s="344" t="n"/>
      <c r="I51" s="344" t="n"/>
    </row>
    <row r="52" customFormat="1" s="1">
      <c r="B52" s="349" t="inlineStr">
        <is>
          <t>CONSUMABLES</t>
        </is>
      </c>
      <c r="C52" s="349" t="n"/>
      <c r="D52" s="350" t="n"/>
      <c r="E52" s="350" t="n"/>
      <c r="F52" s="350" t="n"/>
      <c r="G52" s="350" t="n"/>
      <c r="H52" s="350" t="n"/>
      <c r="I52" s="350" t="n"/>
    </row>
    <row r="53">
      <c r="B53" s="343" t="inlineStr">
        <is>
          <t>Explosives</t>
        </is>
      </c>
      <c r="C53" t="inlineStr">
        <is>
          <t>AUDk</t>
        </is>
      </c>
      <c r="D53" s="344" t="n">
        <v>18.7772</v>
      </c>
      <c r="E53" s="344" t="n">
        <v>40.7283</v>
      </c>
      <c r="F53" s="344" t="n">
        <v>45.3799</v>
      </c>
      <c r="G53" s="344" t="n">
        <v>228.4855</v>
      </c>
      <c r="H53" s="344" t="n">
        <v>148.5753</v>
      </c>
      <c r="I53" s="344" t="n">
        <v>337.5152</v>
      </c>
    </row>
    <row r="54">
      <c r="B54" s="343" t="inlineStr">
        <is>
          <t>Tyres</t>
        </is>
      </c>
      <c r="C54" t="inlineStr">
        <is>
          <t>AUDk</t>
        </is>
      </c>
      <c r="D54" s="344" t="n">
        <v>1073.5635</v>
      </c>
      <c r="E54" s="344" t="n">
        <v>1055.4261</v>
      </c>
      <c r="F54" s="344" t="n">
        <v>1457.5299</v>
      </c>
      <c r="G54" s="344" t="n">
        <v>1308.8924</v>
      </c>
      <c r="H54" s="344" t="n">
        <v>1356.0306</v>
      </c>
      <c r="I54" s="344" t="n">
        <v>1171.2334</v>
      </c>
    </row>
    <row r="55">
      <c r="B55" s="343" t="inlineStr">
        <is>
          <t>Ground Engaging Tools</t>
        </is>
      </c>
      <c r="C55" t="inlineStr">
        <is>
          <t>AUDk</t>
        </is>
      </c>
      <c r="D55" s="344" t="n">
        <v>3998.45</v>
      </c>
      <c r="E55" s="344" t="n">
        <v>2315.0953</v>
      </c>
      <c r="F55" s="344" t="n">
        <v>2957.384</v>
      </c>
      <c r="G55" s="344" t="n">
        <v>7107.48</v>
      </c>
      <c r="H55" s="344" t="n">
        <v>8620.632</v>
      </c>
      <c r="I55" s="344" t="n">
        <v>7464.475</v>
      </c>
    </row>
    <row r="56">
      <c r="B56" s="343" t="inlineStr">
        <is>
          <t>Lubricants</t>
        </is>
      </c>
      <c r="C56" t="inlineStr">
        <is>
          <t>AUDk</t>
        </is>
      </c>
      <c r="D56" s="344" t="n">
        <v>2427.3909</v>
      </c>
      <c r="E56" s="344" t="n">
        <v>3532.7408</v>
      </c>
      <c r="F56" s="344" t="n">
        <v>3451.5371</v>
      </c>
      <c r="G56" s="344" t="n">
        <v>3983.1065</v>
      </c>
      <c r="H56" s="344" t="n">
        <v>3839.7272</v>
      </c>
      <c r="I56" s="344" t="n">
        <v>3894.9561</v>
      </c>
    </row>
    <row r="57">
      <c r="B57" s="343" t="inlineStr">
        <is>
          <t>Ropes and Rigging</t>
        </is>
      </c>
      <c r="C57" t="inlineStr">
        <is>
          <t>AUDk</t>
        </is>
      </c>
      <c r="D57" s="344" t="n">
        <v>303.7728</v>
      </c>
      <c r="E57" s="344" t="n">
        <v>273.2385</v>
      </c>
      <c r="F57" s="344" t="n">
        <v>209.8963</v>
      </c>
      <c r="G57" s="344" t="n">
        <v>245.0584</v>
      </c>
      <c r="H57" s="344" t="n">
        <v>244.054</v>
      </c>
      <c r="I57" s="344" t="n">
        <v>264.4876</v>
      </c>
    </row>
    <row r="58">
      <c r="B58" s="343" t="inlineStr">
        <is>
          <t xml:space="preserve">Concrete </t>
        </is>
      </c>
      <c r="C58" t="inlineStr">
        <is>
          <t>AUDk</t>
        </is>
      </c>
      <c r="D58" s="344" t="n">
        <v>405.8607</v>
      </c>
      <c r="E58" s="344" t="n">
        <v>463.511</v>
      </c>
      <c r="F58" s="344" t="n">
        <v>442.6505</v>
      </c>
      <c r="G58" s="344" t="n">
        <v>946.4025</v>
      </c>
      <c r="H58" s="344" t="n">
        <v>448.9826</v>
      </c>
      <c r="I58" s="344" t="n">
        <v>479.0482</v>
      </c>
    </row>
    <row r="59">
      <c r="B59" s="343" t="inlineStr">
        <is>
          <t>Roof Support</t>
        </is>
      </c>
      <c r="C59" t="inlineStr">
        <is>
          <t>AUDk</t>
        </is>
      </c>
      <c r="D59" s="344" t="n">
        <v>12401.0502</v>
      </c>
      <c r="E59" s="344" t="n">
        <v>15708.2207</v>
      </c>
      <c r="F59" s="344" t="n">
        <v>14089.3564</v>
      </c>
      <c r="G59" s="344" t="n">
        <v>18534.2931</v>
      </c>
      <c r="H59" s="344" t="n">
        <v>14905.8303</v>
      </c>
      <c r="I59" s="344" t="n">
        <v>18657.2725</v>
      </c>
    </row>
    <row r="60" ht="16" customHeight="1" thickBot="1">
      <c r="B60" s="343" t="inlineStr">
        <is>
          <t>Other</t>
        </is>
      </c>
      <c r="C60" t="inlineStr">
        <is>
          <t>AUDk</t>
        </is>
      </c>
      <c r="D60" s="351" t="n">
        <v>18728.9356</v>
      </c>
      <c r="E60" s="351" t="n">
        <v>20039.896</v>
      </c>
      <c r="F60" s="351" t="n">
        <v>24574.3455</v>
      </c>
      <c r="G60" s="351" t="n">
        <v>26413.9926</v>
      </c>
      <c r="H60" s="351" t="n">
        <v>26253.0647</v>
      </c>
      <c r="I60" s="351" t="n">
        <v>26028.116</v>
      </c>
    </row>
    <row r="61" customFormat="1" s="1">
      <c r="B61" s="349" t="inlineStr">
        <is>
          <t>Consumables / Eq Saleable</t>
        </is>
      </c>
      <c r="C61" t="inlineStr">
        <is>
          <t>AUDk</t>
        </is>
      </c>
      <c r="D61" s="352">
        <f>SUM(D53:D60)</f>
        <v/>
      </c>
      <c r="E61" s="352">
        <f>SUM(E53:E60)</f>
        <v/>
      </c>
      <c r="F61" s="352">
        <f>SUM(F53:F60)</f>
        <v/>
      </c>
      <c r="G61" s="352">
        <f>SUM(G53:G60)</f>
        <v/>
      </c>
      <c r="H61" s="352">
        <f>SUM(H53:H60)</f>
        <v/>
      </c>
      <c r="I61" s="352">
        <f>SUM(I53:I60)</f>
        <v/>
      </c>
    </row>
    <row r="62">
      <c r="B62" s="343" t="n"/>
      <c r="C62" s="343" t="n"/>
      <c r="D62" s="344" t="n"/>
      <c r="E62" s="344" t="n"/>
      <c r="F62" s="344" t="n"/>
      <c r="G62" s="344" t="n"/>
      <c r="H62" s="344" t="n"/>
      <c r="I62" s="344" t="n"/>
    </row>
    <row r="63" customFormat="1" s="1">
      <c r="B63" s="349" t="inlineStr">
        <is>
          <t>ENERGY COSTS</t>
        </is>
      </c>
      <c r="C63" s="349" t="n"/>
      <c r="D63" s="350" t="n"/>
      <c r="E63" s="350" t="n"/>
      <c r="F63" s="350" t="n"/>
      <c r="G63" s="350" t="n"/>
      <c r="H63" s="350" t="n"/>
      <c r="I63" s="350" t="n"/>
    </row>
    <row r="64">
      <c r="B64" s="343" t="inlineStr">
        <is>
          <t>Diesel</t>
        </is>
      </c>
      <c r="C64" t="inlineStr">
        <is>
          <t>AUDk</t>
        </is>
      </c>
      <c r="D64" s="344" t="n">
        <v>6356.8522</v>
      </c>
      <c r="E64" s="344" t="n">
        <v>9077.3091</v>
      </c>
      <c r="F64" s="344" t="n">
        <v>7331.2206</v>
      </c>
      <c r="G64" s="344" t="n">
        <v>8018.061</v>
      </c>
      <c r="H64" s="344" t="n">
        <v>6085.6392</v>
      </c>
      <c r="I64" s="344" t="n">
        <v>15378.7258</v>
      </c>
    </row>
    <row r="65" ht="16" customHeight="1" thickBot="1">
      <c r="B65" s="343" t="inlineStr">
        <is>
          <t>Electricity</t>
        </is>
      </c>
      <c r="C65" t="inlineStr">
        <is>
          <t>AUDk</t>
        </is>
      </c>
      <c r="D65" s="351" t="n">
        <v>5390.3299</v>
      </c>
      <c r="E65" s="351" t="n">
        <v>10821.9295</v>
      </c>
      <c r="F65" s="351" t="n">
        <v>11654.576</v>
      </c>
      <c r="G65" s="351" t="n">
        <v>8736.0316</v>
      </c>
      <c r="H65" s="351" t="n">
        <v>6013.4243</v>
      </c>
      <c r="I65" s="351" t="n">
        <v>10196.7875</v>
      </c>
    </row>
    <row r="66">
      <c r="B66" s="343" t="inlineStr">
        <is>
          <t>Energy / Eq Saleable</t>
        </is>
      </c>
      <c r="C66" t="inlineStr">
        <is>
          <t>AUDk</t>
        </is>
      </c>
      <c r="D66" s="352">
        <f>SUM(D64:D65)</f>
        <v/>
      </c>
      <c r="E66" s="352">
        <f>SUM(E64:E65)</f>
        <v/>
      </c>
      <c r="F66" s="352">
        <f>SUM(F64:F65)</f>
        <v/>
      </c>
      <c r="G66" s="352">
        <f>SUM(G64:G65)</f>
        <v/>
      </c>
      <c r="H66" s="352">
        <f>SUM(H64:H65)</f>
        <v/>
      </c>
      <c r="I66" s="352">
        <f>SUM(I64:I65)</f>
        <v/>
      </c>
    </row>
    <row r="67">
      <c r="B67" s="343" t="n"/>
      <c r="C67" s="343" t="n"/>
      <c r="D67" s="344" t="n"/>
      <c r="E67" s="344" t="n"/>
      <c r="F67" s="344" t="n"/>
      <c r="G67" s="344" t="n"/>
      <c r="H67" s="344" t="n"/>
      <c r="I67" s="344" t="n"/>
    </row>
    <row r="68" customFormat="1" s="1">
      <c r="B68" s="349" t="inlineStr">
        <is>
          <t>OTHER EXPENSES</t>
        </is>
      </c>
      <c r="C68" s="349" t="n"/>
      <c r="D68" s="350" t="n"/>
      <c r="E68" s="350" t="n"/>
      <c r="F68" s="350" t="n"/>
      <c r="G68" s="350" t="n"/>
      <c r="H68" s="350" t="n"/>
      <c r="I68" s="350" t="n"/>
    </row>
    <row r="69">
      <c r="B69" s="343" t="inlineStr">
        <is>
          <t>Contract Services</t>
        </is>
      </c>
      <c r="C69" t="inlineStr">
        <is>
          <t>AUDk</t>
        </is>
      </c>
      <c r="D69" s="344" t="n">
        <v>82087.1168</v>
      </c>
      <c r="E69" s="344" t="n">
        <v>54550.1922</v>
      </c>
      <c r="F69" s="344" t="n">
        <v>47185.1673</v>
      </c>
      <c r="G69" s="344" t="n">
        <v>61402.3623</v>
      </c>
      <c r="H69" s="344" t="n">
        <v>66959.5621</v>
      </c>
      <c r="I69" s="344" t="n">
        <v>49131.1681</v>
      </c>
    </row>
    <row r="70">
      <c r="B70" s="343" t="inlineStr">
        <is>
          <t>Plant Hire</t>
        </is>
      </c>
      <c r="C70" t="inlineStr">
        <is>
          <t>AUDk</t>
        </is>
      </c>
      <c r="D70" s="344" t="n">
        <v>9726.850700000001</v>
      </c>
      <c r="E70" s="344" t="n">
        <v>12981.2434</v>
      </c>
      <c r="F70" s="344" t="n">
        <v>14096.7013</v>
      </c>
      <c r="G70" s="344" t="n">
        <v>7830.3116</v>
      </c>
      <c r="H70" s="344" t="n">
        <v>7817.7935</v>
      </c>
      <c r="I70" s="344" t="n">
        <v>14870.1386</v>
      </c>
    </row>
    <row r="71">
      <c r="B71" s="343" t="inlineStr">
        <is>
          <t>Safety / Training / Bathhouse</t>
        </is>
      </c>
      <c r="C71" t="inlineStr">
        <is>
          <t>AUDk</t>
        </is>
      </c>
      <c r="D71" s="344" t="n">
        <v>1117.276</v>
      </c>
      <c r="E71" s="344" t="n">
        <v>1283.5057</v>
      </c>
      <c r="F71" s="344" t="n">
        <v>1448.4872</v>
      </c>
      <c r="G71" s="344" t="n">
        <v>1606.9705</v>
      </c>
      <c r="H71" s="344" t="n">
        <v>1944.8257</v>
      </c>
      <c r="I71" s="344" t="n">
        <v>1197.6802</v>
      </c>
    </row>
    <row r="72">
      <c r="B72" s="343" t="inlineStr">
        <is>
          <t>Clothing and Protective Equipment</t>
        </is>
      </c>
      <c r="C72" t="inlineStr">
        <is>
          <t>AUDk</t>
        </is>
      </c>
      <c r="D72" s="344" t="n">
        <v>1900.4094</v>
      </c>
      <c r="E72" s="344" t="n">
        <v>1720.3171</v>
      </c>
      <c r="F72" s="344" t="n">
        <v>2110.8415</v>
      </c>
      <c r="G72" s="344" t="n">
        <v>1482.9968</v>
      </c>
      <c r="H72" s="344" t="n">
        <v>2390.1839</v>
      </c>
      <c r="I72" s="344" t="n">
        <v>1884.1478</v>
      </c>
    </row>
    <row r="73">
      <c r="B73" s="343" t="inlineStr">
        <is>
          <t>Freight</t>
        </is>
      </c>
      <c r="C73" t="inlineStr">
        <is>
          <t>AUDk</t>
        </is>
      </c>
      <c r="D73" s="344" t="n">
        <v>0.09660000000000001</v>
      </c>
      <c r="E73" s="344" t="n">
        <v>48.4548</v>
      </c>
      <c r="F73" s="344" t="n">
        <v>1.9457</v>
      </c>
      <c r="G73" s="344" t="n">
        <v>33.9241</v>
      </c>
      <c r="H73" s="344" t="n">
        <v>522.3591</v>
      </c>
      <c r="I73" s="344" t="n">
        <v>881.8315</v>
      </c>
    </row>
    <row r="74">
      <c r="B74" s="343" t="inlineStr">
        <is>
          <t>General Expenses</t>
        </is>
      </c>
      <c r="C74" t="inlineStr">
        <is>
          <t>AUDk</t>
        </is>
      </c>
      <c r="D74" s="344" t="n">
        <v>8317.967699999999</v>
      </c>
      <c r="E74" s="344" t="n">
        <v>9663.543900000001</v>
      </c>
      <c r="F74" s="344" t="n">
        <v>13449.8937</v>
      </c>
      <c r="G74" s="344" t="n">
        <v>11958.4567</v>
      </c>
      <c r="H74" s="344" t="n">
        <v>13814.7961</v>
      </c>
      <c r="I74" s="344" t="n">
        <v>11972.5745</v>
      </c>
    </row>
    <row r="75" ht="16" customHeight="1" thickBot="1">
      <c r="B75" s="343" t="inlineStr">
        <is>
          <t>Capitalised Operating Costs (excluding Labour)</t>
        </is>
      </c>
      <c r="C75" t="inlineStr">
        <is>
          <t>AUDk</t>
        </is>
      </c>
      <c r="D75" s="354" t="n">
        <v>0</v>
      </c>
      <c r="E75" s="354" t="n">
        <v>0</v>
      </c>
      <c r="F75" s="354" t="n">
        <v>0</v>
      </c>
      <c r="G75" s="354" t="n">
        <v>0</v>
      </c>
      <c r="H75" s="354" t="n">
        <v>0</v>
      </c>
      <c r="I75" s="354" t="n">
        <v>0</v>
      </c>
    </row>
    <row r="76">
      <c r="B76" s="343" t="inlineStr">
        <is>
          <t>Other Expenses / Eq Saleable</t>
        </is>
      </c>
      <c r="C76" t="inlineStr">
        <is>
          <t>AUDk</t>
        </is>
      </c>
      <c r="D76" s="352">
        <f>SUM(D69:D75)</f>
        <v/>
      </c>
      <c r="E76" s="352">
        <f>SUM(E69:E75)</f>
        <v/>
      </c>
      <c r="F76" s="352">
        <f>SUM(F69:F75)</f>
        <v/>
      </c>
      <c r="G76" s="352">
        <f>SUM(G69:G75)</f>
        <v/>
      </c>
      <c r="H76" s="352">
        <f>SUM(H69:H75)</f>
        <v/>
      </c>
      <c r="I76" s="352">
        <f>SUM(I69:I75)</f>
        <v/>
      </c>
    </row>
    <row r="77" ht="16" customHeight="1" thickBot="1">
      <c r="B77" s="343" t="n"/>
      <c r="C77" s="343" t="n"/>
      <c r="D77" s="351" t="n"/>
      <c r="E77" s="351" t="n"/>
      <c r="F77" s="351" t="n"/>
      <c r="G77" s="351" t="n"/>
      <c r="H77" s="351" t="n"/>
      <c r="I77" s="351" t="n"/>
    </row>
    <row r="78" ht="16" customFormat="1" customHeight="1" s="1" thickBot="1">
      <c r="B78" s="1" t="inlineStr">
        <is>
          <t>TOTAL PIT-TOP COSTS</t>
        </is>
      </c>
      <c r="C78" t="inlineStr">
        <is>
          <t>AUDk</t>
        </is>
      </c>
      <c r="D78" s="355">
        <f>D76+D66+D61+D50+D42</f>
        <v/>
      </c>
      <c r="E78" s="355">
        <f>E76+E66+E61+E50+E42</f>
        <v/>
      </c>
      <c r="F78" s="355">
        <f>F76+F66+F61+F50+F42</f>
        <v/>
      </c>
      <c r="G78" s="355">
        <f>G76+G66+G61+G50+G42</f>
        <v/>
      </c>
      <c r="H78" s="355">
        <f>H76+H66+H61+H50+H42</f>
        <v/>
      </c>
      <c r="I78" s="355">
        <f>I76+I66+I61+I50+I42</f>
        <v/>
      </c>
    </row>
    <row r="79">
      <c r="B79" s="343" t="n"/>
      <c r="C79" s="343" t="n"/>
      <c r="D79" s="344" t="n"/>
      <c r="E79" s="344" t="n"/>
      <c r="F79" s="344" t="n"/>
      <c r="G79" s="344" t="n"/>
      <c r="H79" s="344" t="n"/>
      <c r="I79" s="344" t="n"/>
    </row>
    <row r="80" customFormat="1" s="1">
      <c r="B80" s="349" t="inlineStr">
        <is>
          <t>OTHER EXPENSES</t>
        </is>
      </c>
      <c r="C80" s="349" t="n"/>
      <c r="D80" s="350" t="n"/>
      <c r="E80" s="350" t="n"/>
      <c r="F80" s="350" t="n"/>
      <c r="G80" s="350" t="n"/>
      <c r="H80" s="350" t="n"/>
      <c r="I80" s="350" t="n"/>
    </row>
    <row r="81">
      <c r="B81" s="343" t="inlineStr">
        <is>
          <t>Contract Services</t>
        </is>
      </c>
      <c r="C81" s="343" t="n"/>
      <c r="D81" s="344" t="n">
        <v>82087.1168</v>
      </c>
      <c r="E81" s="344" t="n">
        <v>54550.1922</v>
      </c>
      <c r="F81" s="344" t="n">
        <v>47185.1673</v>
      </c>
      <c r="G81" s="344" t="n">
        <v>61402.3623</v>
      </c>
      <c r="H81" s="344" t="n">
        <v>66959.5621</v>
      </c>
      <c r="I81" s="344" t="n">
        <v>49131.1681</v>
      </c>
    </row>
    <row r="82">
      <c r="B82" s="343" t="inlineStr">
        <is>
          <t>Plant Hire</t>
        </is>
      </c>
      <c r="C82" t="inlineStr">
        <is>
          <t>AUDk</t>
        </is>
      </c>
      <c r="D82" s="344" t="n">
        <v>9726.850700000001</v>
      </c>
      <c r="E82" s="344" t="n">
        <v>12981.2434</v>
      </c>
      <c r="F82" s="344" t="n">
        <v>14096.7013</v>
      </c>
      <c r="G82" s="344" t="n">
        <v>7830.3116</v>
      </c>
      <c r="H82" s="344" t="n">
        <v>7817.7935</v>
      </c>
      <c r="I82" s="344" t="n">
        <v>14870.1386</v>
      </c>
    </row>
    <row r="83">
      <c r="B83" s="343" t="inlineStr">
        <is>
          <t>Safety / Training / Bathhouse</t>
        </is>
      </c>
      <c r="C83" s="343" t="n"/>
      <c r="D83" s="344" t="n">
        <v>1117.276</v>
      </c>
      <c r="E83" s="344" t="n">
        <v>1283.5057</v>
      </c>
      <c r="F83" s="344" t="n">
        <v>1448.4872</v>
      </c>
      <c r="G83" s="344" t="n">
        <v>1606.9705</v>
      </c>
      <c r="H83" s="344" t="n">
        <v>1944.8257</v>
      </c>
      <c r="I83" s="344" t="n">
        <v>1197.6802</v>
      </c>
    </row>
    <row r="84">
      <c r="B84" s="343" t="inlineStr">
        <is>
          <t>Clothing and Protective Equipment</t>
        </is>
      </c>
      <c r="C84" s="343" t="n"/>
      <c r="D84" s="344" t="n">
        <v>1900.4094</v>
      </c>
      <c r="E84" s="344" t="n">
        <v>1720.3171</v>
      </c>
      <c r="F84" s="344" t="n">
        <v>2110.8415</v>
      </c>
      <c r="G84" s="344" t="n">
        <v>1482.9968</v>
      </c>
      <c r="H84" s="344" t="n">
        <v>2390.1839</v>
      </c>
      <c r="I84" s="344" t="n">
        <v>1884.1478</v>
      </c>
    </row>
    <row r="85">
      <c r="B85" s="343" t="inlineStr">
        <is>
          <t>Freight</t>
        </is>
      </c>
      <c r="C85" s="343" t="n"/>
      <c r="D85" s="344" t="n">
        <v>0.09660000000000001</v>
      </c>
      <c r="E85" s="344" t="n">
        <v>48.4548</v>
      </c>
      <c r="F85" s="344" t="n">
        <v>1.9457</v>
      </c>
      <c r="G85" s="344" t="n">
        <v>33.9241</v>
      </c>
      <c r="H85" s="344" t="n">
        <v>522.3591</v>
      </c>
      <c r="I85" s="344" t="n">
        <v>881.8315</v>
      </c>
    </row>
    <row r="86">
      <c r="B86" s="343" t="inlineStr">
        <is>
          <t>General Expenses</t>
        </is>
      </c>
      <c r="C86" t="inlineStr">
        <is>
          <t>AUDk</t>
        </is>
      </c>
      <c r="D86" s="344" t="n">
        <v>8317.967699999999</v>
      </c>
      <c r="E86" s="344" t="n">
        <v>9663.543900000001</v>
      </c>
      <c r="F86" s="344" t="n">
        <v>13449.8937</v>
      </c>
      <c r="G86" s="344" t="n">
        <v>11958.4567</v>
      </c>
      <c r="H86" s="344" t="n">
        <v>13814.7961</v>
      </c>
      <c r="I86" s="344" t="n">
        <v>11972.5745</v>
      </c>
    </row>
    <row r="87">
      <c r="B87" s="343" t="inlineStr">
        <is>
          <t>CHPP Toll Wash</t>
        </is>
      </c>
      <c r="C87" t="inlineStr">
        <is>
          <t>AUDk</t>
        </is>
      </c>
      <c r="D87" s="344" t="n">
        <v>0</v>
      </c>
      <c r="E87" s="344" t="n">
        <v>0</v>
      </c>
      <c r="F87" s="344" t="n">
        <v>0</v>
      </c>
      <c r="G87" s="344" t="n">
        <v>0</v>
      </c>
      <c r="H87" s="344" t="n">
        <v>0</v>
      </c>
      <c r="I87" s="344" t="n">
        <v>0</v>
      </c>
    </row>
    <row r="88" ht="16" customHeight="1" thickBot="1">
      <c r="B88" s="343" t="inlineStr">
        <is>
          <t>Capitalised Operating Costs (excluding Labour)</t>
        </is>
      </c>
      <c r="C88" s="343" t="n"/>
      <c r="D88" s="354" t="n">
        <v>0</v>
      </c>
      <c r="E88" s="354" t="n">
        <v>0</v>
      </c>
      <c r="F88" s="354" t="n">
        <v>0</v>
      </c>
      <c r="G88" s="354" t="n">
        <v>0</v>
      </c>
      <c r="H88" s="354" t="n">
        <v>0</v>
      </c>
      <c r="I88" s="354" t="n">
        <v>0</v>
      </c>
    </row>
    <row r="89">
      <c r="B89" s="343" t="inlineStr">
        <is>
          <t>Other Expenses / Actual Saleable</t>
        </is>
      </c>
      <c r="C89" t="inlineStr">
        <is>
          <t>AUDk</t>
        </is>
      </c>
      <c r="D89" s="352">
        <f>SUM(D81:D88)</f>
        <v/>
      </c>
      <c r="E89" s="352">
        <f>SUM(E81:E88)</f>
        <v/>
      </c>
      <c r="F89" s="352">
        <f>SUM(F81:F88)</f>
        <v/>
      </c>
      <c r="G89" s="352">
        <f>SUM(G81:G88)</f>
        <v/>
      </c>
      <c r="H89" s="352">
        <f>SUM(H81:H88)</f>
        <v/>
      </c>
      <c r="I89" s="352">
        <f>SUM(I81:I88)</f>
        <v/>
      </c>
    </row>
    <row r="90" ht="16" customHeight="1" thickBot="1">
      <c r="B90" s="343" t="n"/>
      <c r="C90" s="343" t="n"/>
      <c r="D90" s="351" t="n"/>
      <c r="E90" s="351" t="n"/>
      <c r="F90" s="351" t="n"/>
      <c r="G90" s="351" t="n"/>
      <c r="H90" s="351" t="n"/>
      <c r="I90" s="351" t="n"/>
    </row>
    <row r="91" ht="16" customFormat="1" customHeight="1" s="1" thickBot="1">
      <c r="B91" s="1" t="inlineStr">
        <is>
          <t>TOTAL CHPP COSTS</t>
        </is>
      </c>
      <c r="C91" t="inlineStr">
        <is>
          <t>AUDk</t>
        </is>
      </c>
      <c r="D91" s="356">
        <f>D89</f>
        <v/>
      </c>
      <c r="E91" s="356">
        <f>E89</f>
        <v/>
      </c>
      <c r="F91" s="356">
        <f>F89</f>
        <v/>
      </c>
      <c r="G91" s="356">
        <f>G89</f>
        <v/>
      </c>
      <c r="H91" s="356">
        <f>H89</f>
        <v/>
      </c>
      <c r="I91" s="356">
        <f>I89</f>
        <v/>
      </c>
    </row>
    <row r="92" customFormat="1" s="1">
      <c r="D92" s="350" t="n"/>
      <c r="E92" s="350" t="n"/>
      <c r="F92" s="350" t="n"/>
      <c r="G92" s="350" t="n"/>
      <c r="H92" s="350" t="n"/>
      <c r="I92" s="350" t="n"/>
    </row>
    <row r="93" customFormat="1" s="1">
      <c r="B93" s="349" t="inlineStr">
        <is>
          <t>OVERHEADS</t>
        </is>
      </c>
      <c r="C93" s="349" t="n"/>
      <c r="D93" s="349" t="n"/>
      <c r="E93" s="349" t="n"/>
      <c r="F93" s="349" t="n"/>
      <c r="G93" s="349" t="n"/>
      <c r="H93" s="349" t="n"/>
      <c r="I93" s="349" t="n"/>
    </row>
    <row r="94" customFormat="1" s="1">
      <c r="B94" s="349" t="inlineStr">
        <is>
          <t>OVERHEAD</t>
        </is>
      </c>
      <c r="C94" s="349" t="n"/>
      <c r="D94" s="350" t="n"/>
      <c r="E94" s="350" t="n"/>
      <c r="F94" s="350" t="n"/>
      <c r="G94" s="350" t="n"/>
      <c r="H94" s="350" t="n"/>
      <c r="I94" s="350" t="n"/>
    </row>
    <row r="95">
      <c r="B95" s="343" t="inlineStr">
        <is>
          <t>Labour</t>
        </is>
      </c>
      <c r="C95" t="inlineStr">
        <is>
          <t>AUDk</t>
        </is>
      </c>
      <c r="D95" s="344" t="n">
        <v>7082.8198</v>
      </c>
      <c r="E95" s="344" t="n">
        <v>7355.6551</v>
      </c>
      <c r="F95" s="344" t="n">
        <v>9207.0417</v>
      </c>
      <c r="G95" s="344" t="n">
        <v>10566.8739</v>
      </c>
      <c r="H95" s="344" t="n">
        <v>11333.4521</v>
      </c>
      <c r="I95" s="344" t="n">
        <v>11878.3971</v>
      </c>
    </row>
    <row r="96">
      <c r="B96" s="343" t="inlineStr">
        <is>
          <t>Supplementary Labour</t>
        </is>
      </c>
      <c r="C96" t="inlineStr">
        <is>
          <t>AUDk</t>
        </is>
      </c>
      <c r="D96" s="344" t="n">
        <v>489.1809</v>
      </c>
      <c r="E96" s="344" t="n">
        <v>2257.4125</v>
      </c>
      <c r="F96" s="344" t="n">
        <v>2515.7053</v>
      </c>
      <c r="G96" s="344" t="n">
        <v>2126.2489</v>
      </c>
      <c r="H96" s="344" t="n">
        <v>1412.1474</v>
      </c>
      <c r="I96" s="344" t="n">
        <v>2230.508</v>
      </c>
    </row>
    <row r="97">
      <c r="B97" s="343" t="inlineStr">
        <is>
          <t>Contract Services</t>
        </is>
      </c>
      <c r="C97" t="inlineStr">
        <is>
          <t>AUDk</t>
        </is>
      </c>
      <c r="D97" s="344" t="n">
        <v>5320.2802</v>
      </c>
      <c r="E97" s="344" t="n">
        <v>4641.6007</v>
      </c>
      <c r="F97" s="344" t="n">
        <v>4209.7739</v>
      </c>
      <c r="G97" s="344" t="n">
        <v>728.3162</v>
      </c>
      <c r="H97" s="344" t="n">
        <v>132.882</v>
      </c>
      <c r="I97" s="344" t="n">
        <v>899.9729</v>
      </c>
    </row>
    <row r="98">
      <c r="B98" s="343" t="inlineStr">
        <is>
          <t>Group Coal Australia/Asia Technical Consulting Recharge</t>
        </is>
      </c>
      <c r="C98" t="inlineStr">
        <is>
          <t>AUDk</t>
        </is>
      </c>
      <c r="D98" s="344" t="n">
        <v>3450.9867</v>
      </c>
      <c r="E98" s="344" t="n">
        <v>4519.3981</v>
      </c>
      <c r="F98" s="344" t="n">
        <v>5487.1504</v>
      </c>
      <c r="G98" s="344" t="n">
        <v>6023.319</v>
      </c>
      <c r="H98" s="344" t="n">
        <v>6142.2062</v>
      </c>
      <c r="I98" s="344" t="n">
        <v>6097.719</v>
      </c>
    </row>
    <row r="99">
      <c r="B99" s="343" t="inlineStr">
        <is>
          <t>Group Coal Australia/Asia Management Fee</t>
        </is>
      </c>
      <c r="C99" t="inlineStr">
        <is>
          <t>AUDk</t>
        </is>
      </c>
      <c r="D99" s="344" t="n">
        <v>3148.2438</v>
      </c>
      <c r="E99" s="344" t="n">
        <v>3035.2759</v>
      </c>
      <c r="F99" s="344" t="n">
        <v>3287.9131</v>
      </c>
      <c r="G99" s="344" t="n">
        <v>3787.3747</v>
      </c>
      <c r="H99" s="344" t="n">
        <v>4427.2001</v>
      </c>
      <c r="I99" s="344" t="n">
        <v>4221.133</v>
      </c>
    </row>
    <row r="100">
      <c r="B100" s="343" t="inlineStr">
        <is>
          <t>Technical Consulting</t>
        </is>
      </c>
      <c r="C100" t="inlineStr">
        <is>
          <t>AUDk</t>
        </is>
      </c>
      <c r="D100" s="344" t="n">
        <v>313.6614</v>
      </c>
      <c r="E100" s="344" t="n">
        <v>511.1603</v>
      </c>
      <c r="F100" s="344" t="n">
        <v>1089.9891</v>
      </c>
      <c r="G100" s="344" t="n">
        <v>962.7523</v>
      </c>
      <c r="H100" s="344" t="n">
        <v>1082.5169</v>
      </c>
      <c r="I100" s="344" t="n">
        <v>947.7357</v>
      </c>
    </row>
    <row r="101">
      <c r="B101" s="343" t="inlineStr">
        <is>
          <t>Administration</t>
        </is>
      </c>
      <c r="C101" t="inlineStr">
        <is>
          <t>AUDk</t>
        </is>
      </c>
      <c r="D101" s="344" t="n">
        <v>2652.7202</v>
      </c>
      <c r="E101" s="344" t="n">
        <v>3849.5345</v>
      </c>
      <c r="F101" s="344" t="n">
        <v>4895.9762</v>
      </c>
      <c r="G101" s="344" t="n">
        <v>6074.1569</v>
      </c>
      <c r="H101" s="344" t="n">
        <v>5755.0063</v>
      </c>
      <c r="I101" s="344" t="n">
        <v>5923.1795</v>
      </c>
    </row>
    <row r="102">
      <c r="B102" s="343" t="inlineStr">
        <is>
          <t>Govt/Statutory Fees &amp; Charges</t>
        </is>
      </c>
      <c r="C102" t="inlineStr">
        <is>
          <t>AUDk</t>
        </is>
      </c>
      <c r="D102" s="344" t="n">
        <v>6909.8637</v>
      </c>
      <c r="E102" s="344" t="n">
        <v>6192.9181</v>
      </c>
      <c r="F102" s="344" t="n">
        <v>6678.3966</v>
      </c>
      <c r="G102" s="344" t="n">
        <v>8204.0056</v>
      </c>
      <c r="H102" s="344" t="n">
        <v>8567.6016</v>
      </c>
      <c r="I102" s="344" t="n">
        <v>8698.856299999999</v>
      </c>
    </row>
    <row r="103">
      <c r="B103" s="343" t="inlineStr">
        <is>
          <t>Insurance</t>
        </is>
      </c>
      <c r="C103" t="inlineStr">
        <is>
          <t>AUDk</t>
        </is>
      </c>
      <c r="D103" s="344" t="n">
        <v>11158.417</v>
      </c>
      <c r="E103" s="344" t="n">
        <v>14335.4332</v>
      </c>
      <c r="F103" s="344" t="n">
        <v>16616.5872</v>
      </c>
      <c r="G103" s="344" t="n">
        <v>15182.8847</v>
      </c>
      <c r="H103" s="344" t="n">
        <v>15537.3195</v>
      </c>
      <c r="I103" s="344" t="n">
        <v>16239.9069</v>
      </c>
    </row>
    <row r="104">
      <c r="B104" s="343" t="inlineStr">
        <is>
          <t>Legal Expenses</t>
        </is>
      </c>
      <c r="C104" t="inlineStr">
        <is>
          <t>AUDk</t>
        </is>
      </c>
      <c r="D104" s="357" t="n">
        <v>408.9728</v>
      </c>
      <c r="E104" s="357" t="n">
        <v>463.8655</v>
      </c>
      <c r="F104" s="357" t="n">
        <v>214.056</v>
      </c>
      <c r="G104" s="357" t="n">
        <v>474.7845</v>
      </c>
      <c r="H104" s="357" t="n">
        <v>1236.7454</v>
      </c>
      <c r="I104" s="357" t="n">
        <v>1191.1047</v>
      </c>
    </row>
    <row r="105">
      <c r="B105" s="343" t="inlineStr">
        <is>
          <t>Management &amp; Advisory Fees &amp; Recharges</t>
        </is>
      </c>
      <c r="C105" t="inlineStr">
        <is>
          <t>AUDk</t>
        </is>
      </c>
      <c r="D105" s="344" t="n">
        <v>200.8685</v>
      </c>
      <c r="E105" s="344" t="n">
        <v>281.7557</v>
      </c>
      <c r="F105" s="344" t="n">
        <v>270.0001</v>
      </c>
      <c r="G105" s="344" t="n">
        <v>299.9531</v>
      </c>
      <c r="H105" s="344" t="n">
        <v>309.3426</v>
      </c>
      <c r="I105" s="344" t="n">
        <v>300.0001</v>
      </c>
    </row>
    <row r="106">
      <c r="B106" s="343" t="inlineStr">
        <is>
          <t>Other Income / Complex Recharges</t>
        </is>
      </c>
      <c r="C106" t="inlineStr">
        <is>
          <t>AUDk</t>
        </is>
      </c>
      <c r="D106" s="357" t="n">
        <v>-37.5424</v>
      </c>
      <c r="E106" s="357" t="n">
        <v>-54.2189</v>
      </c>
      <c r="F106" s="357" t="n">
        <v>-539.1893</v>
      </c>
      <c r="G106" s="357" t="n">
        <v>-152.6743</v>
      </c>
      <c r="H106" s="357" t="n">
        <v>-2321.9998</v>
      </c>
      <c r="I106" s="357" t="n">
        <v>-126.2453</v>
      </c>
    </row>
    <row r="107">
      <c r="B107" s="343" t="inlineStr">
        <is>
          <t>Other Expenses</t>
        </is>
      </c>
      <c r="C107" t="inlineStr">
        <is>
          <t>AUDk</t>
        </is>
      </c>
      <c r="D107" s="344" t="n">
        <v>4679.7433</v>
      </c>
      <c r="E107" s="344" t="n">
        <v>7960.5747</v>
      </c>
      <c r="F107" s="344" t="n">
        <v>12095.8405</v>
      </c>
      <c r="G107" s="344" t="n">
        <v>8534.104499999999</v>
      </c>
      <c r="H107" s="344" t="n">
        <v>6979.5375</v>
      </c>
      <c r="I107" s="344" t="n">
        <v>7620.5226</v>
      </c>
    </row>
    <row r="108" ht="16" customHeight="1" thickBot="1">
      <c r="B108" s="343" t="inlineStr">
        <is>
          <t>Capitalised Overhead Costs</t>
        </is>
      </c>
      <c r="C108" t="inlineStr">
        <is>
          <t>AUDk</t>
        </is>
      </c>
      <c r="D108" s="354" t="n">
        <v>0</v>
      </c>
      <c r="E108" s="354" t="n">
        <v>0</v>
      </c>
      <c r="F108" s="354" t="n">
        <v>0</v>
      </c>
      <c r="G108" s="354" t="n">
        <v>0</v>
      </c>
      <c r="H108" s="354" t="n">
        <v>0</v>
      </c>
      <c r="I108" s="354" t="n">
        <v>0</v>
      </c>
    </row>
    <row r="109" customFormat="1" s="1">
      <c r="B109" s="349" t="inlineStr">
        <is>
          <t>Overhead / Eq Saleable</t>
        </is>
      </c>
      <c r="C109" t="inlineStr">
        <is>
          <t>AUDk</t>
        </is>
      </c>
      <c r="D109" s="352">
        <f>SUM(D95:D108)</f>
        <v/>
      </c>
      <c r="E109" s="352">
        <f>SUM(E95:E108)</f>
        <v/>
      </c>
      <c r="F109" s="352">
        <f>SUM(F95:F108)</f>
        <v/>
      </c>
      <c r="G109" s="352">
        <f>SUM(G95:G108)</f>
        <v/>
      </c>
      <c r="H109" s="352">
        <f>SUM(H95:H108)</f>
        <v/>
      </c>
      <c r="I109" s="352">
        <f>SUM(I95:I108)</f>
        <v/>
      </c>
    </row>
    <row r="110">
      <c r="B110" s="343" t="n"/>
      <c r="C110" s="343" t="n"/>
    </row>
    <row r="111" ht="16" customFormat="1" customHeight="1" s="1" thickBot="1">
      <c r="B111" s="349" t="inlineStr">
        <is>
          <t>TOWNSHIP AND SPA</t>
        </is>
      </c>
      <c r="C111" s="349" t="n"/>
      <c r="D111" s="356" t="n"/>
      <c r="E111" s="356" t="n"/>
      <c r="F111" s="356" t="n"/>
      <c r="G111" s="356" t="n"/>
      <c r="H111" s="356" t="n"/>
      <c r="I111" s="356" t="n"/>
    </row>
    <row r="112" ht="16" customFormat="1" customHeight="1" s="1" thickBot="1">
      <c r="B112" s="349" t="inlineStr">
        <is>
          <t xml:space="preserve">Township and Spa </t>
        </is>
      </c>
      <c r="C112" t="inlineStr">
        <is>
          <t>AUDk</t>
        </is>
      </c>
      <c r="D112" s="358" t="n">
        <v>7589</v>
      </c>
      <c r="E112" s="358" t="n">
        <v>8852</v>
      </c>
      <c r="F112" s="358" t="n">
        <v>8893</v>
      </c>
      <c r="G112" s="358" t="n">
        <v>9128</v>
      </c>
      <c r="H112" s="358" t="n">
        <v>9673</v>
      </c>
      <c r="I112" s="358" t="n">
        <v>9674</v>
      </c>
    </row>
    <row r="113" ht="16" customHeight="1" thickBot="1">
      <c r="B113" s="343" t="n"/>
      <c r="C113" s="343" t="n"/>
      <c r="D113" s="359" t="n"/>
      <c r="E113" s="359" t="n"/>
      <c r="F113" s="359" t="n"/>
      <c r="G113" s="359" t="n"/>
      <c r="H113" s="359" t="n"/>
      <c r="I113" s="359" t="n"/>
    </row>
    <row r="114" ht="16" customFormat="1" customHeight="1" s="1" thickBot="1">
      <c r="B114" s="1" t="inlineStr">
        <is>
          <t>TOTAL OVERHEAD COSTS</t>
        </is>
      </c>
      <c r="C114" t="inlineStr">
        <is>
          <t>AUDk</t>
        </is>
      </c>
      <c r="D114" s="355">
        <f>D109+D112</f>
        <v/>
      </c>
      <c r="E114" s="355">
        <f>E109+E112</f>
        <v/>
      </c>
      <c r="F114" s="355">
        <f>F109+F112</f>
        <v/>
      </c>
      <c r="G114" s="355">
        <f>G109+G112</f>
        <v/>
      </c>
      <c r="H114" s="355">
        <f>H109+H112</f>
        <v/>
      </c>
      <c r="I114" s="355">
        <f>I109+I112</f>
        <v/>
      </c>
    </row>
    <row r="115" ht="16" customFormat="1" customHeight="1" s="1" thickBot="1">
      <c r="B115" s="349" t="inlineStr">
        <is>
          <t>FOR CASH COST (After Cap)</t>
        </is>
      </c>
      <c r="C115" t="inlineStr">
        <is>
          <t>AUDk</t>
        </is>
      </c>
      <c r="D115" s="360">
        <f>D112+D109+D91+D78-D108-D88-D75</f>
        <v/>
      </c>
      <c r="E115" s="360">
        <f>E112+E109+E91+E78</f>
        <v/>
      </c>
      <c r="F115" s="360">
        <f>F112+F109+F91+F78</f>
        <v/>
      </c>
      <c r="G115" s="360">
        <f>G112+G109+G91+G78</f>
        <v/>
      </c>
      <c r="H115" s="360">
        <f>H112+H109+H91+H78</f>
        <v/>
      </c>
      <c r="I115" s="360">
        <f>I112+I109+I91+I78</f>
        <v/>
      </c>
    </row>
    <row r="116" ht="17" customFormat="1" customHeight="1" s="1" thickBot="1" thickTop="1">
      <c r="B116" s="349" t="inlineStr">
        <is>
          <t>FOR CASH COST (Before Cap)</t>
        </is>
      </c>
      <c r="C116" t="inlineStr">
        <is>
          <t>AUDk</t>
        </is>
      </c>
      <c r="D116" s="361">
        <f>D112+D109+D91+D78</f>
        <v/>
      </c>
      <c r="E116" s="361">
        <f>E112+E109+E91+E78</f>
        <v/>
      </c>
      <c r="F116" s="361">
        <f>F112+F109+F91+F78</f>
        <v/>
      </c>
      <c r="G116" s="361">
        <f>G112+G109+G91+G78</f>
        <v/>
      </c>
      <c r="H116" s="361">
        <f>H112+H109+H91+H78</f>
        <v/>
      </c>
      <c r="I116" s="361">
        <f>I112+I109+I91+I78</f>
        <v/>
      </c>
    </row>
    <row r="117" ht="16" customFormat="1" customHeight="1" s="1" thickTop="1">
      <c r="B117" s="28" t="inlineStr">
        <is>
          <t>FOR Cost/t</t>
        </is>
      </c>
      <c r="C117" s="199" t="inlineStr">
        <is>
          <t>AUD/t</t>
        </is>
      </c>
      <c r="D117" s="362">
        <f>D116/D9</f>
        <v/>
      </c>
      <c r="E117" s="362">
        <f>E116/E9</f>
        <v/>
      </c>
      <c r="F117" s="362">
        <f>F116/F9</f>
        <v/>
      </c>
      <c r="G117" s="362">
        <f>G116/G9</f>
        <v/>
      </c>
      <c r="H117" s="362">
        <f>H116/H9</f>
        <v/>
      </c>
      <c r="I117" s="362">
        <f>I116/I9</f>
        <v/>
      </c>
    </row>
    <row r="118">
      <c r="A118" s="1" t="n"/>
    </row>
    <row r="119">
      <c r="B119" t="inlineStr">
        <is>
          <t>Total Port, Rail and Selling Costs</t>
        </is>
      </c>
      <c r="C119" t="inlineStr">
        <is>
          <t>AUDk</t>
        </is>
      </c>
      <c r="D119" s="363" t="n">
        <v>226776.3335</v>
      </c>
      <c r="E119" s="363" t="n">
        <v>353258.4679</v>
      </c>
      <c r="F119" s="363" t="n">
        <v>513003.7266000001</v>
      </c>
      <c r="G119" s="363" t="n">
        <v>405286.9806</v>
      </c>
      <c r="H119" s="363" t="n">
        <v>242227.2358</v>
      </c>
      <c r="I119" s="363" t="n">
        <v>357444.1781</v>
      </c>
    </row>
    <row r="120" ht="16" customHeight="1" thickBot="1">
      <c r="B120" t="inlineStr">
        <is>
          <t>Government Royalty</t>
        </is>
      </c>
      <c r="C120" t="inlineStr">
        <is>
          <t>AUDk</t>
        </is>
      </c>
      <c r="D120" s="364">
        <f>D159*D20</f>
        <v/>
      </c>
      <c r="E120" s="364">
        <f>E159*E20</f>
        <v/>
      </c>
      <c r="F120" s="364">
        <f>F159*F20</f>
        <v/>
      </c>
      <c r="G120" s="364">
        <f>G159*G20</f>
        <v/>
      </c>
      <c r="H120" s="364">
        <f>H159*H20</f>
        <v/>
      </c>
      <c r="I120" s="364">
        <f>I159*I20</f>
        <v/>
      </c>
    </row>
    <row r="121" ht="16" customHeight="1" thickBot="1">
      <c r="B121" t="inlineStr">
        <is>
          <t>Total Direct Selling Expenses</t>
        </is>
      </c>
      <c r="C121" t="inlineStr">
        <is>
          <t>AUDk</t>
        </is>
      </c>
      <c r="D121" s="365">
        <f>D119+D120</f>
        <v/>
      </c>
      <c r="E121" s="365">
        <f>E119+E120</f>
        <v/>
      </c>
      <c r="F121" s="365">
        <f>F119+F120</f>
        <v/>
      </c>
      <c r="G121" s="365">
        <f>G119+G120</f>
        <v/>
      </c>
      <c r="H121" s="365">
        <f>H119+H120</f>
        <v/>
      </c>
      <c r="I121" s="365">
        <f>I119+I120</f>
        <v/>
      </c>
    </row>
    <row r="122" ht="16" customHeight="1" thickBot="1"/>
    <row r="123" ht="17" customHeight="1" thickBot="1" thickTop="1">
      <c r="B123" s="1" t="inlineStr">
        <is>
          <t>Total FOB Costs</t>
        </is>
      </c>
      <c r="C123" t="inlineStr">
        <is>
          <t>AUDk</t>
        </is>
      </c>
      <c r="D123" s="361">
        <f>D115+D121</f>
        <v/>
      </c>
      <c r="E123" s="361">
        <f>E115+E121</f>
        <v/>
      </c>
      <c r="F123" s="361">
        <f>F115+F121</f>
        <v/>
      </c>
      <c r="G123" s="361">
        <f>G115+G121</f>
        <v/>
      </c>
      <c r="H123" s="361">
        <f>H115+H121</f>
        <v/>
      </c>
      <c r="I123" s="361">
        <f>I115+I121</f>
        <v/>
      </c>
    </row>
    <row r="124" ht="16" customHeight="1" thickTop="1">
      <c r="B124" s="1" t="inlineStr">
        <is>
          <t>FOB Cost/t</t>
        </is>
      </c>
      <c r="C124" s="56" t="inlineStr">
        <is>
          <t>AUD/t</t>
        </is>
      </c>
      <c r="D124" s="324">
        <f>D123/D20</f>
        <v/>
      </c>
      <c r="E124" s="324">
        <f>E123/E20</f>
        <v/>
      </c>
      <c r="F124" s="324">
        <f>F123/F20</f>
        <v/>
      </c>
      <c r="G124" s="324">
        <f>G123/G20</f>
        <v/>
      </c>
      <c r="H124" s="324">
        <f>H123/H20</f>
        <v/>
      </c>
      <c r="I124" s="324">
        <f>I123/I20</f>
        <v/>
      </c>
    </row>
    <row r="126">
      <c r="B126" t="inlineStr">
        <is>
          <t>Mine Earnings before Other Costs and Taxes</t>
        </is>
      </c>
      <c r="C126" t="inlineStr">
        <is>
          <t>AUDk</t>
        </is>
      </c>
      <c r="D126" s="363">
        <f>D29-D123</f>
        <v/>
      </c>
      <c r="E126" s="363">
        <f>E29-E123</f>
        <v/>
      </c>
      <c r="F126" s="363">
        <f>F29-F123</f>
        <v/>
      </c>
      <c r="G126" s="363">
        <f>G29-G123</f>
        <v/>
      </c>
      <c r="H126" s="363">
        <f>H29-H123</f>
        <v/>
      </c>
      <c r="I126" s="363">
        <f>I29-I123</f>
        <v/>
      </c>
    </row>
    <row r="128" customFormat="1" s="1">
      <c r="B128" s="1" t="inlineStr">
        <is>
          <t>Other Costs</t>
        </is>
      </c>
      <c r="D128" s="333" t="n"/>
      <c r="E128" s="333" t="n"/>
      <c r="F128" s="333" t="n"/>
      <c r="G128" s="333" t="n"/>
      <c r="H128" s="333" t="n"/>
      <c r="I128" s="333" t="n"/>
    </row>
    <row r="129">
      <c r="B129" t="inlineStr">
        <is>
          <t>Progressive Rehabilitation Costs</t>
        </is>
      </c>
      <c r="C129" t="inlineStr">
        <is>
          <t>AUDk</t>
        </is>
      </c>
      <c r="D129" s="323" t="n">
        <v>10985.8166</v>
      </c>
      <c r="E129" s="323" t="n">
        <v>13727.5778</v>
      </c>
      <c r="F129" s="323" t="n">
        <v>18948.9298</v>
      </c>
      <c r="G129" s="323" t="n">
        <v>22287.9199</v>
      </c>
      <c r="H129" s="323" t="n">
        <v>16781.4824</v>
      </c>
      <c r="I129" s="323" t="n">
        <v>29511.3339</v>
      </c>
    </row>
    <row r="130">
      <c r="B130" t="inlineStr">
        <is>
          <t>Mine Closure Costs</t>
        </is>
      </c>
      <c r="C130" t="inlineStr">
        <is>
          <t>AUDk</t>
        </is>
      </c>
      <c r="D130" s="323" t="n"/>
      <c r="E130" s="323" t="n"/>
      <c r="F130" s="323" t="n"/>
      <c r="G130" s="323" t="n"/>
      <c r="H130" s="323" t="n"/>
      <c r="I130" s="323" t="n"/>
    </row>
    <row r="131">
      <c r="B131" t="inlineStr">
        <is>
          <t>Carbon Costs</t>
        </is>
      </c>
      <c r="C131" t="inlineStr">
        <is>
          <t>AUDk</t>
        </is>
      </c>
      <c r="D131" s="366" t="n">
        <v>0</v>
      </c>
      <c r="E131" s="366" t="n">
        <v>0</v>
      </c>
      <c r="F131" s="323" t="n">
        <v>0</v>
      </c>
      <c r="G131" s="323" t="n">
        <v>9575.9895</v>
      </c>
      <c r="H131" s="323" t="n">
        <v>8131.0476</v>
      </c>
      <c r="I131" s="323" t="n">
        <v>26598.2958</v>
      </c>
    </row>
    <row r="132" ht="16" customHeight="1" thickBot="1">
      <c r="B132" t="inlineStr">
        <is>
          <t>Other Revenue</t>
        </is>
      </c>
      <c r="C132" t="inlineStr">
        <is>
          <t>AUDk</t>
        </is>
      </c>
      <c r="D132" s="367" t="n"/>
      <c r="E132" s="367" t="n"/>
      <c r="F132" s="367" t="n"/>
      <c r="G132" s="367" t="n"/>
      <c r="H132" s="367" t="n"/>
      <c r="I132" s="367" t="n"/>
    </row>
    <row r="133" customFormat="1" s="1">
      <c r="B133" s="1" t="inlineStr">
        <is>
          <t>Total Other Costs</t>
        </is>
      </c>
      <c r="C133" s="1" t="inlineStr">
        <is>
          <t>AUDk</t>
        </is>
      </c>
      <c r="D133" s="333">
        <f>SUM(D129:D132)</f>
        <v/>
      </c>
      <c r="E133" s="333">
        <f>SUM(E129:E132)</f>
        <v/>
      </c>
      <c r="F133" s="333">
        <f>SUM(F129:F132)</f>
        <v/>
      </c>
      <c r="G133" s="333">
        <f>SUM(G129:G132)</f>
        <v/>
      </c>
      <c r="H133" s="333">
        <f>SUM(H129:H132)</f>
        <v/>
      </c>
      <c r="I133" s="333">
        <f>SUM(I129:I132)</f>
        <v/>
      </c>
    </row>
    <row r="134">
      <c r="B134" t="inlineStr">
        <is>
          <t>Total other - closure credits</t>
        </is>
      </c>
      <c r="D134" s="323" t="n"/>
      <c r="E134" s="323" t="n"/>
      <c r="F134" s="323" t="n"/>
      <c r="G134" s="323" t="n"/>
      <c r="H134" s="323" t="n"/>
      <c r="I134" s="323" t="n"/>
    </row>
    <row r="135">
      <c r="D135" s="323" t="n"/>
      <c r="E135" s="323" t="n"/>
      <c r="F135" s="323" t="n"/>
      <c r="G135" s="323" t="n"/>
      <c r="H135" s="323" t="n"/>
      <c r="I135" s="323" t="n"/>
    </row>
    <row r="136" customFormat="1" s="1">
      <c r="B136" s="1" t="inlineStr">
        <is>
          <t>Capital Costs</t>
        </is>
      </c>
      <c r="D136" s="333" t="n"/>
      <c r="E136" s="333" t="n"/>
      <c r="F136" s="333" t="n"/>
      <c r="G136" s="333" t="n"/>
      <c r="H136" s="333" t="n"/>
      <c r="I136" s="333" t="n"/>
    </row>
    <row r="137">
      <c r="B137" t="inlineStr">
        <is>
          <t>Project Capital</t>
        </is>
      </c>
      <c r="C137" t="inlineStr">
        <is>
          <t>AUDk</t>
        </is>
      </c>
      <c r="D137" s="323" t="n"/>
      <c r="E137" s="323" t="n"/>
      <c r="F137" s="323" t="n"/>
      <c r="G137" s="323" t="n"/>
      <c r="H137" s="323" t="n"/>
      <c r="I137" s="323" t="n"/>
    </row>
    <row r="138">
      <c r="B138" t="inlineStr">
        <is>
          <t>Mining Equipment/Major Capital</t>
        </is>
      </c>
      <c r="C138" t="inlineStr">
        <is>
          <t>AUDk</t>
        </is>
      </c>
      <c r="D138" s="323" t="n"/>
      <c r="E138" s="323" t="n"/>
      <c r="F138" s="323" t="n"/>
      <c r="G138" s="323" t="n"/>
      <c r="H138" s="323" t="n"/>
      <c r="I138" s="323" t="n"/>
    </row>
    <row r="139" ht="16" customHeight="1" thickBot="1">
      <c r="B139" t="inlineStr">
        <is>
          <t>Sustaining Capital</t>
        </is>
      </c>
      <c r="C139" t="inlineStr">
        <is>
          <t>AUD/ROMt</t>
        </is>
      </c>
      <c r="D139" s="367" t="n">
        <v>66748.62783</v>
      </c>
      <c r="E139" s="367" t="n">
        <v>114062.24223</v>
      </c>
      <c r="F139" s="367" t="n">
        <v>108262.84918</v>
      </c>
      <c r="G139" s="367" t="n">
        <v>86541.43934</v>
      </c>
      <c r="H139" s="367" t="n">
        <v>69736.49447999999</v>
      </c>
      <c r="I139" s="367" t="n">
        <v>89084.88893</v>
      </c>
    </row>
    <row r="140" ht="16" customFormat="1" customHeight="1" s="1" thickBot="1">
      <c r="B140" s="1" t="inlineStr">
        <is>
          <t>Total Capital</t>
        </is>
      </c>
      <c r="C140" s="1" t="inlineStr">
        <is>
          <t>AUDk</t>
        </is>
      </c>
      <c r="D140" s="368">
        <f>SUM(D137:D139)</f>
        <v/>
      </c>
      <c r="E140" s="368">
        <f>SUM(E137:E139)</f>
        <v/>
      </c>
      <c r="F140" s="368">
        <f>SUM(F137:F139)</f>
        <v/>
      </c>
      <c r="G140" s="368">
        <f>SUM(G137:G139)</f>
        <v/>
      </c>
      <c r="H140" s="368">
        <f>SUM(H137:H139)</f>
        <v/>
      </c>
      <c r="I140" s="368">
        <f>SUM(I137:I139)</f>
        <v/>
      </c>
    </row>
    <row r="141">
      <c r="B141" t="inlineStr">
        <is>
          <t>Depreciation</t>
        </is>
      </c>
      <c r="C141" t="inlineStr">
        <is>
          <t>AUDk</t>
        </is>
      </c>
      <c r="D141" s="323" t="n">
        <v>15869.7</v>
      </c>
      <c r="E141" s="323" t="n">
        <v>8864.588888888889</v>
      </c>
      <c r="F141" s="323" t="n">
        <v>10083.30138888889</v>
      </c>
      <c r="G141" s="323" t="n">
        <v>7154.242658730159</v>
      </c>
      <c r="H141" s="323" t="n">
        <v>6717.959556878307</v>
      </c>
      <c r="I141" s="323" t="n">
        <v>6718.95955687831</v>
      </c>
    </row>
    <row r="142">
      <c r="D142" s="323" t="n"/>
      <c r="E142" s="323" t="n"/>
      <c r="F142" s="323" t="n"/>
      <c r="G142" s="323" t="n"/>
      <c r="H142" s="323" t="n"/>
      <c r="I142" s="323" t="n"/>
    </row>
    <row r="143" customFormat="1" s="1">
      <c r="B143" s="1" t="inlineStr">
        <is>
          <t>Net Cashflow Before Tax</t>
        </is>
      </c>
      <c r="C143" s="1" t="inlineStr">
        <is>
          <t>AUDk</t>
        </is>
      </c>
      <c r="D143" s="333">
        <f>D126-(D133+D140)</f>
        <v/>
      </c>
      <c r="E143" s="333">
        <f>E126-(E133+E140)</f>
        <v/>
      </c>
      <c r="F143" s="333">
        <f>F126-(F133+F140)</f>
        <v/>
      </c>
      <c r="G143" s="333">
        <f>G126-(G133+G140)</f>
        <v/>
      </c>
      <c r="H143" s="333">
        <f>H126-(H133+H140)</f>
        <v/>
      </c>
      <c r="I143" s="333">
        <f>I126-(I133+I140)</f>
        <v/>
      </c>
    </row>
    <row r="144">
      <c r="A144" s="171" t="n">
        <v>0.3</v>
      </c>
      <c r="B144" t="inlineStr">
        <is>
          <t>Tax Paid</t>
        </is>
      </c>
      <c r="C144" t="inlineStr">
        <is>
          <t>AUDk</t>
        </is>
      </c>
      <c r="D144" s="323">
        <f>IF((D126-D133-D141)*$A$144&gt;0,(D126-D133-D141)*$A$144,0)</f>
        <v/>
      </c>
      <c r="E144" s="323">
        <f>IF((E126-E133-E141)*$A$144&gt;0,(E126-E133-E141)*$A$144,0)</f>
        <v/>
      </c>
      <c r="F144" s="323">
        <f>IF((F126-F133-F141)*$A$144&gt;0,(F126-F133-F141)*$A$144,0)</f>
        <v/>
      </c>
      <c r="G144" s="323">
        <f>IF((G126-G133-G141)*$A$144&gt;0,(G126-G133-G141)*$A$144,0)</f>
        <v/>
      </c>
      <c r="H144" s="323">
        <f>IF((H126-H133-H141)*$A$144&gt;0,(H126-H133-H141)*$A$144,0)</f>
        <v/>
      </c>
      <c r="I144" s="323">
        <f>IF((I126-I133-I141)*$A$144&gt;0,(I126-I133-I141)*$A$144,0)</f>
        <v/>
      </c>
    </row>
    <row r="145">
      <c r="C145" s="363" t="n"/>
      <c r="D145" s="323" t="n"/>
      <c r="E145" s="323" t="n"/>
      <c r="F145" s="323" t="n"/>
      <c r="G145" s="323" t="n"/>
      <c r="H145" s="323" t="n"/>
      <c r="I145" s="323" t="n"/>
    </row>
    <row r="146">
      <c r="C146" s="363" t="n"/>
      <c r="D146" s="323" t="n"/>
      <c r="E146" s="323" t="n"/>
      <c r="F146" s="323" t="n"/>
      <c r="G146" s="323" t="n"/>
      <c r="H146" s="323" t="n"/>
      <c r="I146" s="323" t="n"/>
    </row>
    <row r="147" customFormat="1" s="1">
      <c r="B147" s="1" t="inlineStr">
        <is>
          <t>Cashflows After Tax</t>
        </is>
      </c>
      <c r="C147" s="1" t="inlineStr">
        <is>
          <t>AUDk</t>
        </is>
      </c>
      <c r="D147" s="333">
        <f>D143-D144</f>
        <v/>
      </c>
      <c r="E147" s="333">
        <f>E143-E144</f>
        <v/>
      </c>
      <c r="F147" s="333">
        <f>F143-F144</f>
        <v/>
      </c>
      <c r="G147" s="333">
        <f>G143-G144</f>
        <v/>
      </c>
      <c r="H147" s="333">
        <f>H143-H144</f>
        <v/>
      </c>
      <c r="I147" s="333">
        <f>I143-I144</f>
        <v/>
      </c>
    </row>
    <row r="148">
      <c r="A148" s="34" t="n">
        <v>0.6</v>
      </c>
      <c r="B148" t="inlineStr">
        <is>
          <t>Attributable Cashflow After Tax (60%)</t>
        </is>
      </c>
      <c r="C148" t="inlineStr">
        <is>
          <t>AUDk</t>
        </is>
      </c>
      <c r="D148" s="333">
        <f>D147*$A$148</f>
        <v/>
      </c>
      <c r="E148" s="333">
        <f>E147*$A$148</f>
        <v/>
      </c>
      <c r="F148" s="333">
        <f>F147*$A$148</f>
        <v/>
      </c>
      <c r="G148" s="333">
        <f>G147*$A$148</f>
        <v/>
      </c>
      <c r="H148" s="333">
        <f>H147*$A$148</f>
        <v/>
      </c>
      <c r="I148" s="333">
        <f>I147*$A$148</f>
        <v/>
      </c>
    </row>
    <row r="151">
      <c r="B151" s="235" t="inlineStr">
        <is>
          <t>QLD Royalty Calculation</t>
        </is>
      </c>
      <c r="C151" s="202" t="n"/>
      <c r="D151" s="202" t="n"/>
      <c r="E151" s="202" t="n"/>
      <c r="F151" s="202" t="n"/>
      <c r="G151" s="202" t="n"/>
      <c r="H151" s="202" t="n"/>
      <c r="I151" s="202" t="n"/>
    </row>
    <row r="153">
      <c r="B153" t="inlineStr">
        <is>
          <t>AUD CPI inflator</t>
        </is>
      </c>
      <c r="D153" s="324" t="n">
        <v>1</v>
      </c>
      <c r="E153" s="324" t="n">
        <v>1</v>
      </c>
      <c r="F153" s="324" t="n">
        <v>1</v>
      </c>
      <c r="G153" s="324" t="n">
        <v>1</v>
      </c>
      <c r="H153" s="324" t="n">
        <v>1</v>
      </c>
      <c r="I153" s="324" t="n">
        <v>1</v>
      </c>
    </row>
    <row r="154">
      <c r="B154" t="inlineStr">
        <is>
          <t>Export sales</t>
        </is>
      </c>
    </row>
    <row r="155">
      <c r="B155" t="inlineStr">
        <is>
          <t>Nominal realised price</t>
        </is>
      </c>
      <c r="C155" t="inlineStr">
        <is>
          <t xml:space="preserve">A$/t  </t>
        </is>
      </c>
      <c r="D155" s="369">
        <f>D153*D30</f>
        <v/>
      </c>
      <c r="E155" s="369">
        <f>E153*E30</f>
        <v/>
      </c>
      <c r="F155" s="369">
        <f>F153*F30</f>
        <v/>
      </c>
      <c r="G155" s="369">
        <f>G153*G30</f>
        <v/>
      </c>
      <c r="H155" s="369">
        <f>H153*H30</f>
        <v/>
      </c>
      <c r="I155" s="369">
        <f>I153*I30</f>
        <v/>
      </c>
    </row>
    <row r="156">
      <c r="B156" t="inlineStr">
        <is>
          <t>Royalty rate</t>
        </is>
      </c>
      <c r="C156" t="inlineStr">
        <is>
          <t>%</t>
        </is>
      </c>
      <c r="D156" s="296">
        <f>IF(D155&lt;Assumptions!D$29,Assumptions!D$35,IF(D155&lt;Assumptions!D$30,(Assumptions!D$42+(D155-Assumptions!D$29)*Assumptions!D$36)/D155,(Assumptions!D$43+(D155-Assumptions!D$30)*Assumptions!D$37)/D155))</f>
        <v/>
      </c>
      <c r="E156" s="296">
        <f>IF(E155&lt;Assumptions!E$29,Assumptions!E$35,IF(E155&lt;Assumptions!E$30,(Assumptions!E$42+(E155-Assumptions!E$29)*Assumptions!E$36)/E155,(Assumptions!E$43+(E155-Assumptions!E$30)*Assumptions!E$37)/E155))</f>
        <v/>
      </c>
      <c r="F156" s="296">
        <f>IF(F155&lt;Assumptions!F$29,Assumptions!F$35,IF(F155&lt;Assumptions!F$30,(Assumptions!F$42+(F155-Assumptions!F$29)*Assumptions!F$36)/F155,IF(F155&lt;Assumptions!F$31,(Assumptions!F$43+(F155-Assumptions!F$30)*Assumptions!F$37)/F155,IF(F155&lt;Assumptions!F$32,(Assumptions!F$44+(F155-Assumptions!F$31)*Assumptions!F$38)/F155,IF(F155&lt;Assumptions!F$33,(Assumptions!F$45+(F155-Assumptions!F$32)*Assumptions!F$39)/F155,(Assumptions!F$46+(F155-Assumptions!F$33)*Assumptions!F$40)/F155)))))</f>
        <v/>
      </c>
      <c r="G156" s="296">
        <f>IF(G155&lt;Assumptions!G$29,Assumptions!G$35,IF(G155&lt;Assumptions!G$30,(Assumptions!G$42+(G155-Assumptions!G$29)*Assumptions!G$36)/G155,IF(G155&lt;Assumptions!G$31,(Assumptions!G$43+(G155-Assumptions!G$30)*Assumptions!G$37)/G155,IF(G155&lt;Assumptions!G$32,(Assumptions!G$44+(G155-Assumptions!G$31)*Assumptions!G$38)/G155,IF(G155&lt;Assumptions!G$33,(Assumptions!G$45+(G155-Assumptions!G$32)*Assumptions!G$39)/G155,(Assumptions!G$46+(G155-Assumptions!G$33)*Assumptions!G$40)/G155)))))</f>
        <v/>
      </c>
      <c r="H156" s="296">
        <f>IF(H155&lt;Assumptions!H$29,Assumptions!H$35,IF(H155&lt;Assumptions!H$30,(Assumptions!H$42+(H155-Assumptions!H$29)*Assumptions!H$36)/H155,IF(H155&lt;Assumptions!H$31,(Assumptions!H$43+(H155-Assumptions!H$30)*Assumptions!H$37)/H155,IF(H155&lt;Assumptions!H$32,(Assumptions!H$44+(H155-Assumptions!H$31)*Assumptions!H$38)/H155,IF(H155&lt;Assumptions!H$33,(Assumptions!H$45+(H155-Assumptions!H$32)*Assumptions!H$39)/H155,(Assumptions!H$46+(H155-Assumptions!H$33)*Assumptions!H$40)/H155)))))</f>
        <v/>
      </c>
      <c r="I156" s="296">
        <f>IF(I155&lt;Assumptions!I$29,Assumptions!I$35,IF(I155&lt;Assumptions!I$30,(Assumptions!I$42+(I155-Assumptions!I$29)*Assumptions!I$36)/I155,IF(I155&lt;Assumptions!I$31,(Assumptions!I$43+(I155-Assumptions!I$30)*Assumptions!I$37)/I155,IF(I155&lt;Assumptions!I$32,(Assumptions!I$44+(I155-Assumptions!I$31)*Assumptions!I$38)/I155,IF(I155&lt;Assumptions!I$33,(Assumptions!I$45+(I155-Assumptions!I$32)*Assumptions!I$39)/I155,(Assumptions!I$46+(I155-Assumptions!I$33)*Assumptions!I$40)/I155)))))</f>
        <v/>
      </c>
    </row>
    <row r="157">
      <c r="B157" t="inlineStr">
        <is>
          <t>Nominal deduction</t>
        </is>
      </c>
      <c r="C157" t="inlineStr">
        <is>
          <t xml:space="preserve">A$/t  </t>
        </is>
      </c>
      <c r="D157" s="324">
        <f>IFERROR((D119)/D20,0)</f>
        <v/>
      </c>
      <c r="E157" s="324">
        <f>IFERROR((E119)/E20,0)</f>
        <v/>
      </c>
      <c r="F157" s="324">
        <f>IFERROR((F119)/F20,0)</f>
        <v/>
      </c>
      <c r="G157" s="324">
        <f>IFERROR((G119)/G20,0)</f>
        <v/>
      </c>
      <c r="H157" s="324">
        <f>IFERROR((H119)/H20,0)</f>
        <v/>
      </c>
      <c r="I157" s="324">
        <f>IFERROR((I119)/I20,0)</f>
        <v/>
      </c>
    </row>
    <row r="158">
      <c r="B158" t="inlineStr">
        <is>
          <t>Nominal royalty payable</t>
        </is>
      </c>
      <c r="C158" t="inlineStr">
        <is>
          <t xml:space="preserve">A$/t  </t>
        </is>
      </c>
      <c r="D158" s="363">
        <f>(D155-D157)*D156</f>
        <v/>
      </c>
      <c r="E158" s="363">
        <f>(E155-E157)*E156</f>
        <v/>
      </c>
      <c r="F158" s="363">
        <f>(F155-F157)*F156</f>
        <v/>
      </c>
      <c r="G158" s="363">
        <f>(G155-G157)*G156</f>
        <v/>
      </c>
      <c r="H158" s="363">
        <f>(H155-H157)*H156</f>
        <v/>
      </c>
      <c r="I158" s="363">
        <f>(I155-I157)*I156</f>
        <v/>
      </c>
    </row>
    <row r="159">
      <c r="B159" t="inlineStr">
        <is>
          <t>Real royalty payable</t>
        </is>
      </c>
      <c r="C159" t="inlineStr">
        <is>
          <t xml:space="preserve">A$/t  </t>
        </is>
      </c>
      <c r="D159" s="363">
        <f>D158/D153</f>
        <v/>
      </c>
      <c r="E159" s="363">
        <f>E158/E153</f>
        <v/>
      </c>
      <c r="F159" s="363">
        <f>F158/F153</f>
        <v/>
      </c>
      <c r="G159" s="363">
        <f>G158/G153</f>
        <v/>
      </c>
      <c r="H159" s="363">
        <f>H158/H153</f>
        <v/>
      </c>
      <c r="I159" s="363">
        <f>I158/I153</f>
        <v/>
      </c>
    </row>
    <row r="161">
      <c r="B161" t="inlineStr">
        <is>
          <t>Royalty - Government Export (FOB) excl Nominal Deduction</t>
        </is>
      </c>
      <c r="D161" s="363">
        <f>D155*D156</f>
        <v/>
      </c>
      <c r="E161" s="363">
        <f>E155*E156</f>
        <v/>
      </c>
      <c r="F161" s="363">
        <f>F155*F156</f>
        <v/>
      </c>
      <c r="G161" s="363">
        <f>G155*G156</f>
        <v/>
      </c>
      <c r="H161" s="363">
        <f>H155*H156</f>
        <v/>
      </c>
      <c r="I161" s="363">
        <f>I155*I156</f>
        <v/>
      </c>
    </row>
    <row r="164">
      <c r="H164" s="176" t="n"/>
      <c r="I164" s="176" t="n"/>
    </row>
    <row r="166">
      <c r="H166" s="176" t="n"/>
      <c r="I166" s="176" t="n"/>
    </row>
    <row r="167">
      <c r="H167" s="176" t="n"/>
      <c r="I167" s="176" t="n"/>
    </row>
    <row r="168">
      <c r="H168" s="176" t="n"/>
      <c r="I168" s="176" t="n"/>
    </row>
    <row r="170">
      <c r="D170" s="17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 fitToPage="1"/>
  </sheetPr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baseColWidth="10" defaultColWidth="8.83203125" defaultRowHeight="15"/>
  <cols>
    <col width="24.33203125" customWidth="1" min="1" max="1"/>
    <col width="25.5" bestFit="1" customWidth="1" min="2" max="3"/>
  </cols>
  <sheetData>
    <row r="1">
      <c r="A1" s="15" t="n"/>
      <c r="B1" s="19" t="inlineStr">
        <is>
          <t>Current</t>
        </is>
      </c>
      <c r="C1" s="19" t="inlineStr">
        <is>
          <t>Proposed</t>
        </is>
      </c>
    </row>
    <row r="3">
      <c r="A3" s="1" t="inlineStr">
        <is>
          <t>Roster - Longwall</t>
        </is>
      </c>
      <c r="B3" s="156" t="inlineStr">
        <is>
          <t>7on7off</t>
        </is>
      </c>
      <c r="C3" s="155" t="inlineStr">
        <is>
          <t>7on7off</t>
        </is>
      </c>
    </row>
    <row r="4">
      <c r="A4" s="1" t="inlineStr">
        <is>
          <t>Roster - Development</t>
        </is>
      </c>
      <c r="B4" s="156" t="inlineStr">
        <is>
          <t>7on7off</t>
        </is>
      </c>
      <c r="C4" s="155" t="inlineStr">
        <is>
          <t>5on2off</t>
        </is>
      </c>
    </row>
    <row r="5">
      <c r="A5" s="1" t="inlineStr">
        <is>
          <t>Roster - Outbye</t>
        </is>
      </c>
      <c r="B5" s="156" t="inlineStr">
        <is>
          <t>7on7off</t>
        </is>
      </c>
      <c r="C5" s="155" t="inlineStr">
        <is>
          <t>7on7off</t>
        </is>
      </c>
    </row>
    <row r="6">
      <c r="A6" s="1" t="inlineStr">
        <is>
          <t>Development Miners</t>
        </is>
      </c>
      <c r="B6" s="156" t="n">
        <v>3</v>
      </c>
      <c r="C6" s="155" t="n">
        <v>4</v>
      </c>
    </row>
    <row r="7">
      <c r="A7" s="1" t="inlineStr">
        <is>
          <t>Gas Drainage Strategy</t>
        </is>
      </c>
      <c r="B7" s="156" t="inlineStr">
        <is>
          <t>SIS</t>
        </is>
      </c>
      <c r="C7" s="155" t="inlineStr">
        <is>
          <t>UIS</t>
        </is>
      </c>
    </row>
    <row r="8">
      <c r="A8" s="1" t="inlineStr">
        <is>
          <t>Wash Strategy</t>
        </is>
      </c>
      <c r="B8" s="156" t="inlineStr">
        <is>
          <t>Max Quality</t>
        </is>
      </c>
      <c r="C8" s="155" t="inlineStr">
        <is>
          <t>Max Quality</t>
        </is>
      </c>
    </row>
    <row r="9">
      <c r="A9" s="1" t="inlineStr">
        <is>
          <t>Progressive Rehabilitation</t>
        </is>
      </c>
      <c r="B9" s="156" t="inlineStr">
        <is>
          <t>Yes</t>
        </is>
      </c>
      <c r="C9" s="155" t="inlineStr">
        <is>
          <t>No</t>
        </is>
      </c>
    </row>
    <row r="10">
      <c r="A10" s="1" t="inlineStr">
        <is>
          <t xml:space="preserve">Maintenance Strategy </t>
        </is>
      </c>
      <c r="B10" s="156" t="inlineStr">
        <is>
          <t>Preventative Maintenance</t>
        </is>
      </c>
      <c r="C10" s="155" t="inlineStr">
        <is>
          <t>Corrective Maintenance</t>
        </is>
      </c>
    </row>
  </sheetData>
  <pageMargins left="0.7" right="0.7" top="0.75" bottom="0.75" header="0.3" footer="0.3"/>
  <pageSetup orientation="landscape" paperSize="8" scale="69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AI161"/>
  <sheetViews>
    <sheetView topLeftCell="A2" zoomScale="76" zoomScaleNormal="70" workbookViewId="0">
      <pane xSplit="3" ySplit="1" topLeftCell="H75" activePane="bottomRight" state="frozen"/>
      <selection pane="topRight" activeCell="D2" sqref="D2"/>
      <selection pane="bottomLeft" activeCell="A3" sqref="A3"/>
      <selection pane="bottomRight" activeCell="C92" sqref="C92"/>
    </sheetView>
  </sheetViews>
  <sheetFormatPr baseColWidth="10" defaultColWidth="8.83203125" defaultRowHeight="15" outlineLevelRow="1"/>
  <cols>
    <col width="40.5" bestFit="1" customWidth="1" min="1" max="1"/>
    <col width="13.6640625" customWidth="1" min="2" max="2"/>
    <col width="17.6640625" bestFit="1" customWidth="1" min="3" max="3"/>
    <col width="15" bestFit="1" customWidth="1" min="4" max="4"/>
    <col width="15.33203125" customWidth="1" min="5" max="9"/>
    <col width="13.6640625" customWidth="1" min="10" max="10"/>
    <col width="10.83203125" customWidth="1" min="11" max="30"/>
    <col width="1.5" customWidth="1" min="31" max="31"/>
    <col width="17.1640625" bestFit="1" customWidth="1" min="32" max="32"/>
    <col width="33.83203125" bestFit="1" customWidth="1" min="34" max="34"/>
    <col width="15.83203125" bestFit="1" customWidth="1" min="35" max="35"/>
  </cols>
  <sheetData>
    <row r="1" hidden="1">
      <c r="A1" s="10" t="n"/>
      <c r="B1" s="36" t="n"/>
      <c r="C1" s="36" t="n"/>
      <c r="D1" s="29" t="n">
        <v>2</v>
      </c>
      <c r="E1" s="29">
        <f>+D1+1</f>
        <v/>
      </c>
      <c r="F1" s="29">
        <f>+E1+1</f>
        <v/>
      </c>
      <c r="G1" s="29">
        <f>+F1+1</f>
        <v/>
      </c>
      <c r="H1" s="29">
        <f>+G1+1</f>
        <v/>
      </c>
      <c r="I1" s="29">
        <f>+H1+1</f>
        <v/>
      </c>
      <c r="J1" s="29">
        <f>+I1+1</f>
        <v/>
      </c>
      <c r="K1" s="29">
        <f>+J1+1</f>
        <v/>
      </c>
      <c r="L1" s="29">
        <f>+K1+1</f>
        <v/>
      </c>
      <c r="M1" s="29">
        <f>+L1+1</f>
        <v/>
      </c>
      <c r="N1" s="29">
        <f>+M1+1</f>
        <v/>
      </c>
      <c r="O1" s="29">
        <f>+N1+1</f>
        <v/>
      </c>
      <c r="P1" s="29">
        <f>+O1+1</f>
        <v/>
      </c>
      <c r="Q1" s="29">
        <f>+P1+1</f>
        <v/>
      </c>
      <c r="R1" s="29">
        <f>+Q1+1</f>
        <v/>
      </c>
      <c r="S1" s="29">
        <f>+R1+1</f>
        <v/>
      </c>
      <c r="T1" s="29">
        <f>+S1+1</f>
        <v/>
      </c>
      <c r="U1" s="29">
        <f>+T1+1</f>
        <v/>
      </c>
      <c r="V1" s="29">
        <f>+U1+1</f>
        <v/>
      </c>
      <c r="W1" s="29">
        <f>+V1+1</f>
        <v/>
      </c>
      <c r="X1" s="29">
        <f>+W1+1</f>
        <v/>
      </c>
      <c r="Y1" s="29">
        <f>+X1+1</f>
        <v/>
      </c>
      <c r="Z1" s="29">
        <f>+Y1+1</f>
        <v/>
      </c>
      <c r="AA1" s="29">
        <f>+Z1+1</f>
        <v/>
      </c>
      <c r="AB1" s="29">
        <f>+AA1+1</f>
        <v/>
      </c>
      <c r="AC1" s="29">
        <f>+AB1+1</f>
        <v/>
      </c>
      <c r="AD1" s="29">
        <f>+AC1+1</f>
        <v/>
      </c>
      <c r="AE1" s="50" t="n"/>
      <c r="AF1" s="3" t="n"/>
    </row>
    <row r="2" ht="16" customHeight="1">
      <c r="A2" s="52" t="inlineStr">
        <is>
          <t>Springbok Complex</t>
        </is>
      </c>
      <c r="B2" s="51" t="n"/>
      <c r="C2" s="52" t="n"/>
      <c r="D2" s="306">
        <f>Assumptions!J1</f>
        <v/>
      </c>
      <c r="E2" s="306">
        <f>D2+1</f>
        <v/>
      </c>
      <c r="F2" s="306">
        <f>E2+1</f>
        <v/>
      </c>
      <c r="G2" s="306">
        <f>F2+1</f>
        <v/>
      </c>
      <c r="H2" s="306">
        <f>G2+1</f>
        <v/>
      </c>
      <c r="I2" s="306">
        <f>H2+1</f>
        <v/>
      </c>
      <c r="J2" s="306">
        <f>I2+1</f>
        <v/>
      </c>
      <c r="K2" s="306">
        <f>J2+1</f>
        <v/>
      </c>
      <c r="L2" s="306">
        <f>K2+1</f>
        <v/>
      </c>
      <c r="M2" s="306">
        <f>L2+1</f>
        <v/>
      </c>
      <c r="N2" s="306">
        <f>M2+1</f>
        <v/>
      </c>
      <c r="O2" s="306">
        <f>N2+1</f>
        <v/>
      </c>
      <c r="P2" s="306">
        <f>O2+1</f>
        <v/>
      </c>
      <c r="Q2" s="306">
        <f>P2+1</f>
        <v/>
      </c>
      <c r="R2" s="306">
        <f>Q2+1</f>
        <v/>
      </c>
      <c r="S2" s="306">
        <f>R2+1</f>
        <v/>
      </c>
      <c r="T2" s="306">
        <f>S2+1</f>
        <v/>
      </c>
      <c r="U2" s="306">
        <f>T2+1</f>
        <v/>
      </c>
      <c r="V2" s="306">
        <f>U2+1</f>
        <v/>
      </c>
      <c r="W2" s="306">
        <f>V2+1</f>
        <v/>
      </c>
      <c r="X2" s="306">
        <f>W2+1</f>
        <v/>
      </c>
      <c r="Y2" s="306">
        <f>X2+1</f>
        <v/>
      </c>
      <c r="Z2" s="306">
        <f>Y2+1</f>
        <v/>
      </c>
      <c r="AA2" s="306">
        <f>Z2+1</f>
        <v/>
      </c>
      <c r="AB2" s="306">
        <f>AA2+1</f>
        <v/>
      </c>
      <c r="AC2" s="306">
        <f>AB2+1</f>
        <v/>
      </c>
      <c r="AD2" s="306">
        <f>AC2+1</f>
        <v/>
      </c>
      <c r="AE2" s="306" t="n"/>
      <c r="AF2" s="54" t="inlineStr">
        <is>
          <t>Total</t>
        </is>
      </c>
      <c r="AH2" s="15" t="inlineStr">
        <is>
          <t>Valuation Summary</t>
        </is>
      </c>
      <c r="AI2" s="16" t="n"/>
    </row>
    <row r="3">
      <c r="A3" s="2" t="inlineStr">
        <is>
          <t>Physicals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" t="n"/>
      <c r="AH3" s="4" t="inlineStr">
        <is>
          <t>Net Present Value (AUDM)</t>
        </is>
      </c>
      <c r="AI3" s="370">
        <f>AF124/1000</f>
        <v/>
      </c>
    </row>
    <row r="4" hidden="1">
      <c r="A4" s="28" t="n"/>
      <c r="D4" s="371" t="n"/>
      <c r="E4" s="371" t="n"/>
      <c r="F4" s="371" t="n"/>
      <c r="G4" s="371" t="n"/>
      <c r="H4" s="371" t="n"/>
      <c r="I4" s="371" t="n"/>
      <c r="J4" s="371" t="n"/>
      <c r="K4" s="371" t="n"/>
      <c r="L4" s="371" t="n"/>
      <c r="M4" s="371" t="n"/>
      <c r="N4" s="371" t="n"/>
      <c r="O4" s="371" t="n"/>
      <c r="P4" s="371" t="n"/>
      <c r="Q4" s="371" t="n"/>
      <c r="R4" s="371" t="n"/>
      <c r="S4" s="371" t="n"/>
      <c r="T4" s="371" t="n"/>
      <c r="U4" s="371" t="n"/>
      <c r="V4" s="372">
        <f>V6*5.5*3.55*1.45</f>
        <v/>
      </c>
      <c r="W4" s="372">
        <f>W6*5.5*3.55*1.45</f>
        <v/>
      </c>
      <c r="X4" s="371" t="n"/>
      <c r="Y4" s="371" t="n"/>
      <c r="Z4" s="372">
        <f>Z6*5.5*3.55*1.45</f>
        <v/>
      </c>
      <c r="AA4" s="372">
        <f>AA6*5.5*3.55*1.45</f>
        <v/>
      </c>
      <c r="AB4" s="371" t="n"/>
      <c r="AC4" s="372">
        <f>AC6*5.5*3.55*1.45</f>
        <v/>
      </c>
      <c r="AD4" s="372">
        <f>AD6*5.5*3.55*1.45</f>
        <v/>
      </c>
      <c r="AF4" s="25" t="n"/>
      <c r="AH4" s="8" t="n"/>
      <c r="AI4" s="73" t="n"/>
    </row>
    <row r="5">
      <c r="A5" s="28" t="inlineStr">
        <is>
          <t>Mining</t>
        </is>
      </c>
      <c r="B5" s="84" t="n"/>
      <c r="D5" s="373" t="n"/>
      <c r="E5" s="374" t="n"/>
      <c r="F5" s="374" t="n"/>
      <c r="G5" s="374" t="n"/>
      <c r="H5" s="37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3" t="n"/>
      <c r="W5" s="83" t="n"/>
      <c r="X5" s="84" t="n"/>
      <c r="Y5" s="84" t="n"/>
      <c r="Z5" s="83" t="n"/>
      <c r="AA5" s="83" t="n"/>
      <c r="AB5" s="84" t="n"/>
      <c r="AC5" s="83" t="n"/>
      <c r="AD5" s="83" t="n"/>
      <c r="AF5" s="25" t="n"/>
    </row>
    <row r="6">
      <c r="A6" s="4" t="inlineStr">
        <is>
          <t>Development Metres</t>
        </is>
      </c>
      <c r="B6" s="17" t="inlineStr">
        <is>
          <t>m</t>
        </is>
      </c>
      <c r="C6" s="323" t="n"/>
      <c r="D6" s="323" t="n">
        <v>9000</v>
      </c>
      <c r="E6" s="323" t="n">
        <v>15000</v>
      </c>
      <c r="F6" s="323" t="n">
        <v>15000</v>
      </c>
      <c r="G6" s="323" t="n">
        <v>8000</v>
      </c>
      <c r="H6" s="323" t="n">
        <v>2000</v>
      </c>
      <c r="I6" s="323" t="n">
        <v>0</v>
      </c>
      <c r="J6" s="323" t="n">
        <v>0</v>
      </c>
      <c r="K6" s="323" t="n">
        <v>0</v>
      </c>
      <c r="L6" s="323" t="n">
        <v>0</v>
      </c>
      <c r="M6" s="323" t="n">
        <v>0</v>
      </c>
      <c r="N6" s="323" t="n">
        <v>0</v>
      </c>
      <c r="O6" s="323" t="n">
        <v>0</v>
      </c>
      <c r="P6" s="323" t="n">
        <v>0</v>
      </c>
      <c r="Q6" s="323" t="n">
        <v>0</v>
      </c>
      <c r="R6" s="323" t="n">
        <v>0</v>
      </c>
      <c r="S6" s="323" t="n">
        <v>0</v>
      </c>
      <c r="T6" s="323" t="n">
        <v>0</v>
      </c>
      <c r="U6" s="323" t="n">
        <v>0</v>
      </c>
      <c r="V6" s="323" t="n">
        <v>0</v>
      </c>
      <c r="W6" s="323" t="n">
        <v>0</v>
      </c>
      <c r="X6" s="323" t="n">
        <v>0</v>
      </c>
      <c r="Y6" s="323" t="n">
        <v>0</v>
      </c>
      <c r="Z6" s="323" t="n">
        <v>0</v>
      </c>
      <c r="AA6" s="323" t="n">
        <v>0</v>
      </c>
      <c r="AB6" s="323" t="n">
        <v>0</v>
      </c>
      <c r="AC6" s="323" t="n">
        <v>0</v>
      </c>
      <c r="AD6" s="323" t="n">
        <v>0</v>
      </c>
      <c r="AE6" s="323" t="n"/>
      <c r="AF6" s="370">
        <f>SUM(D6:AD6)</f>
        <v/>
      </c>
      <c r="AH6" s="15" t="inlineStr">
        <is>
          <t>Sensitivities Table</t>
        </is>
      </c>
      <c r="AI6" s="16" t="n"/>
    </row>
    <row r="7">
      <c r="A7" s="4" t="inlineStr">
        <is>
          <t>Development Tonnes</t>
        </is>
      </c>
      <c r="B7" s="17" t="inlineStr">
        <is>
          <t>kt</t>
        </is>
      </c>
      <c r="C7" s="375" t="n"/>
      <c r="D7" s="323">
        <f>(3*5.2*1.45*D6)/1000</f>
        <v/>
      </c>
      <c r="E7" s="323">
        <f>(3*5.2*1.45*E6)/1000</f>
        <v/>
      </c>
      <c r="F7" s="323">
        <f>(3*5.2*1.45*F6)/1000</f>
        <v/>
      </c>
      <c r="G7" s="323">
        <f>(3*5.2*1.45*G6)/1000</f>
        <v/>
      </c>
      <c r="H7" s="323">
        <f>(3*5.2*1.45*H6)/1000</f>
        <v/>
      </c>
      <c r="I7" s="323">
        <f>(3*5.2*1.45*I6)/1000</f>
        <v/>
      </c>
      <c r="J7" s="323">
        <f>(3*5.2*1.45*J6)/1000</f>
        <v/>
      </c>
      <c r="K7" s="323">
        <f>(3*5.2*1.45*K6)/1000</f>
        <v/>
      </c>
      <c r="L7" s="323">
        <f>(3*5.2*1.45*L6)/1000</f>
        <v/>
      </c>
      <c r="M7" s="323">
        <f>(3*5.2*1.45*M6)/1000</f>
        <v/>
      </c>
      <c r="N7" s="323">
        <f>(3*5.2*1.45*N6)/1000</f>
        <v/>
      </c>
      <c r="O7" s="323">
        <f>(3*5.2*1.45*O6)/1000</f>
        <v/>
      </c>
      <c r="P7" s="323">
        <f>(3*5.2*1.45*P6)/1000</f>
        <v/>
      </c>
      <c r="Q7" s="323">
        <f>(3*5.2*1.45*Q6)/1000</f>
        <v/>
      </c>
      <c r="R7" s="323">
        <f>(3*5.2*1.45*R6)/1000</f>
        <v/>
      </c>
      <c r="S7" s="323">
        <f>(3*5.2*1.45*S6)/1000</f>
        <v/>
      </c>
      <c r="T7" s="323">
        <f>(3*5.2*1.45*T6)/1000</f>
        <v/>
      </c>
      <c r="U7" s="323">
        <f>(3*5.2*1.45*U6)/1000</f>
        <v/>
      </c>
      <c r="V7" s="323">
        <f>(3*5.2*1.45*V6)/1000</f>
        <v/>
      </c>
      <c r="W7" s="323">
        <f>(3*5.2*1.45*W6)/1000</f>
        <v/>
      </c>
      <c r="X7" s="323">
        <f>(3*5.2*1.45*X6)/1000</f>
        <v/>
      </c>
      <c r="Y7" s="323">
        <f>(3*5.2*1.45*Y6)/1000</f>
        <v/>
      </c>
      <c r="Z7" s="323">
        <f>(3*5.2*1.45*Z6)/1000</f>
        <v/>
      </c>
      <c r="AA7" s="323">
        <f>(3*5.2*1.45*AA6)/1000</f>
        <v/>
      </c>
      <c r="AB7" s="323">
        <f>(3*5.2*1.45*AB6)/1000</f>
        <v/>
      </c>
      <c r="AC7" s="323">
        <f>(3*5.2*1.45*AC6)/1000</f>
        <v/>
      </c>
      <c r="AD7" s="323">
        <f>(3*5.2*1.45*AD6)/1000</f>
        <v/>
      </c>
      <c r="AE7" s="323" t="n"/>
      <c r="AF7" s="370">
        <f>SUM(D7:AD7)</f>
        <v/>
      </c>
      <c r="AH7" s="4" t="inlineStr">
        <is>
          <t>Sales Price</t>
        </is>
      </c>
      <c r="AI7" s="39" t="n">
        <v>0</v>
      </c>
    </row>
    <row r="8">
      <c r="A8" s="4" t="inlineStr">
        <is>
          <t>Longwall Tonnes</t>
        </is>
      </c>
      <c r="B8" s="17" t="inlineStr">
        <is>
          <t>kt</t>
        </is>
      </c>
      <c r="C8" s="323" t="n"/>
      <c r="D8" s="323" t="n">
        <v>4987.78972</v>
      </c>
      <c r="E8" s="323" t="n">
        <v>5323.83863</v>
      </c>
      <c r="F8" s="323" t="n">
        <v>5648.744</v>
      </c>
      <c r="G8" s="323" t="n">
        <v>5587.80804</v>
      </c>
      <c r="H8" s="323" t="n">
        <v>5200.69224190142</v>
      </c>
      <c r="I8" s="323" t="n"/>
      <c r="J8" s="323" t="n"/>
      <c r="K8" s="323" t="n">
        <v>0</v>
      </c>
      <c r="L8" s="323" t="n">
        <v>0</v>
      </c>
      <c r="M8" s="323" t="n">
        <v>0</v>
      </c>
      <c r="N8" s="323" t="n">
        <v>0</v>
      </c>
      <c r="O8" s="323" t="n">
        <v>0</v>
      </c>
      <c r="P8" s="323" t="n">
        <v>0</v>
      </c>
      <c r="Q8" s="323" t="n">
        <v>0</v>
      </c>
      <c r="R8" s="323" t="n">
        <v>0</v>
      </c>
      <c r="S8" s="323" t="n">
        <v>0</v>
      </c>
      <c r="T8" s="323" t="n">
        <v>0</v>
      </c>
      <c r="U8" s="323" t="n">
        <v>0</v>
      </c>
      <c r="V8" s="323" t="n">
        <v>0</v>
      </c>
      <c r="W8" s="323" t="n">
        <v>0</v>
      </c>
      <c r="X8" s="323" t="n">
        <v>0</v>
      </c>
      <c r="Y8" s="323" t="n">
        <v>0</v>
      </c>
      <c r="Z8" s="323" t="n">
        <v>0</v>
      </c>
      <c r="AA8" s="323" t="n">
        <v>0</v>
      </c>
      <c r="AB8" s="323" t="n">
        <v>0</v>
      </c>
      <c r="AC8" s="323" t="n">
        <v>0</v>
      </c>
      <c r="AD8" s="323" t="n">
        <v>0</v>
      </c>
      <c r="AE8" s="323" t="n"/>
      <c r="AF8" s="370">
        <f>SUM(D8:AD8)</f>
        <v/>
      </c>
      <c r="AH8" s="4" t="inlineStr">
        <is>
          <t>Development Costs</t>
        </is>
      </c>
      <c r="AI8" s="39" t="n">
        <v>0</v>
      </c>
    </row>
    <row r="9">
      <c r="A9" s="4" t="inlineStr">
        <is>
          <t>Total ROM production</t>
        </is>
      </c>
      <c r="B9" s="17" t="inlineStr">
        <is>
          <t>kt</t>
        </is>
      </c>
      <c r="C9" s="323" t="n"/>
      <c r="D9" s="323">
        <f>D7+D8</f>
        <v/>
      </c>
      <c r="E9" s="323">
        <f>E7+E8</f>
        <v/>
      </c>
      <c r="F9" s="323">
        <f>F7+F8</f>
        <v/>
      </c>
      <c r="G9" s="323">
        <f>G7+G8</f>
        <v/>
      </c>
      <c r="H9" s="323">
        <f>H7+H8</f>
        <v/>
      </c>
      <c r="I9" s="323" t="n"/>
      <c r="J9" s="323" t="n"/>
      <c r="K9" s="323">
        <f>K7+K8</f>
        <v/>
      </c>
      <c r="L9" s="323">
        <f>L7+L8</f>
        <v/>
      </c>
      <c r="M9" s="323">
        <f>M7+M8</f>
        <v/>
      </c>
      <c r="N9" s="323">
        <f>N7+N8</f>
        <v/>
      </c>
      <c r="O9" s="323">
        <f>O7+O8</f>
        <v/>
      </c>
      <c r="P9" s="323">
        <f>P7+P8</f>
        <v/>
      </c>
      <c r="Q9" s="323">
        <f>Q7+Q8</f>
        <v/>
      </c>
      <c r="R9" s="323">
        <f>R7+R8</f>
        <v/>
      </c>
      <c r="S9" s="323">
        <f>S7+S8</f>
        <v/>
      </c>
      <c r="T9" s="323">
        <f>T7+T8</f>
        <v/>
      </c>
      <c r="U9" s="323">
        <f>U7+U8</f>
        <v/>
      </c>
      <c r="V9" s="323">
        <f>V7+V8</f>
        <v/>
      </c>
      <c r="W9" s="323">
        <f>W7+W8</f>
        <v/>
      </c>
      <c r="X9" s="323">
        <f>X7+X8</f>
        <v/>
      </c>
      <c r="Y9" s="323">
        <f>Y7+Y8</f>
        <v/>
      </c>
      <c r="Z9" s="323">
        <f>Z7+Z8</f>
        <v/>
      </c>
      <c r="AA9" s="323">
        <f>AA7+AA8</f>
        <v/>
      </c>
      <c r="AB9" s="323">
        <f>AB7+AB8</f>
        <v/>
      </c>
      <c r="AC9" s="323">
        <f>AC7+AC8</f>
        <v/>
      </c>
      <c r="AD9" s="323">
        <f>AD7+AD8</f>
        <v/>
      </c>
      <c r="AE9" s="323" t="n"/>
      <c r="AF9" s="370">
        <f>SUM(C9:AD9)</f>
        <v/>
      </c>
      <c r="AH9" s="4" t="inlineStr">
        <is>
          <t>Longwall Costs</t>
        </is>
      </c>
      <c r="AI9" s="39" t="n">
        <v>0</v>
      </c>
    </row>
    <row r="10">
      <c r="A10" s="4" t="n"/>
      <c r="B10" s="87" t="n"/>
      <c r="C10" s="376" t="n"/>
      <c r="D10" s="322">
        <f>D6/D8</f>
        <v/>
      </c>
      <c r="E10" s="322">
        <f>E6/E8</f>
        <v/>
      </c>
      <c r="F10" s="322">
        <f>F6/F8</f>
        <v/>
      </c>
      <c r="G10" s="322">
        <f>G6/G8</f>
        <v/>
      </c>
      <c r="H10" s="322">
        <f>H6/H8</f>
        <v/>
      </c>
      <c r="I10" s="323" t="n"/>
      <c r="J10" s="323" t="n"/>
      <c r="K10" s="323" t="n"/>
      <c r="L10" s="323" t="n"/>
      <c r="M10" s="323" t="n"/>
      <c r="N10" s="323" t="n"/>
      <c r="O10" s="323" t="n"/>
      <c r="P10" s="323" t="n"/>
      <c r="Q10" s="323" t="n"/>
      <c r="R10" s="323" t="n"/>
      <c r="S10" s="323" t="n"/>
      <c r="T10" s="323" t="n"/>
      <c r="U10" s="323" t="n"/>
      <c r="V10" s="323" t="n"/>
      <c r="W10" s="323" t="n"/>
      <c r="X10" s="323" t="n"/>
      <c r="Y10" s="323" t="n"/>
      <c r="Z10" s="323" t="n"/>
      <c r="AA10" s="323" t="n"/>
      <c r="AB10" s="323" t="n"/>
      <c r="AC10" s="323" t="n"/>
      <c r="AD10" s="323" t="n"/>
      <c r="AE10" s="323" t="n"/>
      <c r="AF10" s="370" t="n"/>
      <c r="AH10" s="4" t="inlineStr">
        <is>
          <t>Outbye Costs</t>
        </is>
      </c>
      <c r="AI10" s="39" t="n">
        <v>0</v>
      </c>
    </row>
    <row r="11">
      <c r="A11" s="28" t="inlineStr">
        <is>
          <t>CHPP</t>
        </is>
      </c>
      <c r="B11" s="87" t="n"/>
      <c r="C11" s="323" t="n"/>
      <c r="D11" s="377" t="n"/>
      <c r="E11" s="378" t="n"/>
      <c r="F11" s="378" t="n"/>
      <c r="G11" s="378" t="n"/>
      <c r="H11" s="378" t="n"/>
      <c r="I11" s="378" t="n"/>
      <c r="J11" s="378" t="n"/>
      <c r="K11" s="378" t="n"/>
      <c r="L11" s="378" t="n"/>
      <c r="M11" s="378" t="n"/>
      <c r="N11" s="378" t="n"/>
      <c r="O11" s="378" t="n"/>
      <c r="P11" s="378" t="n"/>
      <c r="Q11" s="378" t="n"/>
      <c r="R11" s="378" t="n"/>
      <c r="S11" s="378" t="n"/>
      <c r="T11" s="378" t="n"/>
      <c r="U11" s="378" t="n"/>
      <c r="V11" s="378" t="n"/>
      <c r="W11" s="323" t="n"/>
      <c r="X11" s="378" t="n"/>
      <c r="Y11" s="378" t="n"/>
      <c r="Z11" s="378" t="n"/>
      <c r="AA11" s="323" t="n"/>
      <c r="AB11" s="378" t="n"/>
      <c r="AC11" s="378" t="n"/>
      <c r="AD11" s="323" t="n"/>
      <c r="AE11" s="323" t="n"/>
      <c r="AF11" s="370" t="n"/>
      <c r="AH11" s="4" t="inlineStr">
        <is>
          <t>Gas Drainage Costs</t>
        </is>
      </c>
      <c r="AI11" s="39" t="n">
        <v>0</v>
      </c>
    </row>
    <row r="12">
      <c r="A12" s="4" t="inlineStr">
        <is>
          <t>Primary Feed Tonnes</t>
        </is>
      </c>
      <c r="B12" s="17" t="inlineStr">
        <is>
          <t>kt</t>
        </is>
      </c>
      <c r="C12" s="323" t="n"/>
      <c r="D12" s="323">
        <f>D9</f>
        <v/>
      </c>
      <c r="E12" s="323">
        <f>E9</f>
        <v/>
      </c>
      <c r="F12" s="323">
        <f>F9</f>
        <v/>
      </c>
      <c r="G12" s="323">
        <f>G9</f>
        <v/>
      </c>
      <c r="H12" s="323">
        <f>H9</f>
        <v/>
      </c>
      <c r="I12" s="323">
        <f>I9</f>
        <v/>
      </c>
      <c r="J12" s="323">
        <f>J9</f>
        <v/>
      </c>
      <c r="K12" s="323">
        <f>K9</f>
        <v/>
      </c>
      <c r="L12" s="323">
        <f>L9</f>
        <v/>
      </c>
      <c r="M12" s="323">
        <f>M9</f>
        <v/>
      </c>
      <c r="N12" s="323">
        <f>N9</f>
        <v/>
      </c>
      <c r="O12" s="323">
        <f>O9</f>
        <v/>
      </c>
      <c r="P12" s="323">
        <f>P9</f>
        <v/>
      </c>
      <c r="Q12" s="323">
        <f>Q9</f>
        <v/>
      </c>
      <c r="R12" s="323">
        <f>R9</f>
        <v/>
      </c>
      <c r="S12" s="323">
        <f>S9</f>
        <v/>
      </c>
      <c r="T12" s="323">
        <f>T9</f>
        <v/>
      </c>
      <c r="U12" s="323">
        <f>U9</f>
        <v/>
      </c>
      <c r="V12" s="323">
        <f>V9</f>
        <v/>
      </c>
      <c r="W12" s="323">
        <f>W9</f>
        <v/>
      </c>
      <c r="X12" s="323">
        <f>X9</f>
        <v/>
      </c>
      <c r="Y12" s="323">
        <f>Y9</f>
        <v/>
      </c>
      <c r="Z12" s="323">
        <f>Z9</f>
        <v/>
      </c>
      <c r="AA12" s="323">
        <f>AA9</f>
        <v/>
      </c>
      <c r="AB12" s="323">
        <f>AB9</f>
        <v/>
      </c>
      <c r="AC12" s="323">
        <f>AC9</f>
        <v/>
      </c>
      <c r="AD12" s="323">
        <f>AD9</f>
        <v/>
      </c>
      <c r="AE12" s="323" t="n"/>
      <c r="AF12" s="370">
        <f>SUM(C12:AD12)</f>
        <v/>
      </c>
      <c r="AH12" s="4" t="inlineStr">
        <is>
          <t>CHPP Costs</t>
        </is>
      </c>
      <c r="AI12" s="39" t="n">
        <v>0</v>
      </c>
    </row>
    <row r="13">
      <c r="A13" s="4" t="inlineStr">
        <is>
          <t>Bypass Tonnes</t>
        </is>
      </c>
      <c r="B13" s="17" t="inlineStr">
        <is>
          <t>kt</t>
        </is>
      </c>
      <c r="C13" s="323" t="n"/>
      <c r="D13" s="323" t="n">
        <v>0</v>
      </c>
      <c r="E13" s="323" t="n">
        <v>0</v>
      </c>
      <c r="F13" s="323" t="n">
        <v>0</v>
      </c>
      <c r="G13" s="323" t="n">
        <v>0</v>
      </c>
      <c r="H13" s="323" t="n">
        <v>0</v>
      </c>
      <c r="I13" s="323" t="n">
        <v>0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3" t="n">
        <v>0</v>
      </c>
      <c r="P13" s="323" t="n">
        <v>0</v>
      </c>
      <c r="Q13" s="323" t="n">
        <v>0</v>
      </c>
      <c r="R13" s="323" t="n">
        <v>0</v>
      </c>
      <c r="S13" s="323" t="n">
        <v>0</v>
      </c>
      <c r="T13" s="323" t="n">
        <v>0</v>
      </c>
      <c r="U13" s="323" t="n">
        <v>0</v>
      </c>
      <c r="V13" s="323" t="n">
        <v>0</v>
      </c>
      <c r="W13" s="323" t="n">
        <v>0</v>
      </c>
      <c r="X13" s="323" t="n">
        <v>0</v>
      </c>
      <c r="Y13" s="323" t="n">
        <v>0</v>
      </c>
      <c r="Z13" s="323" t="n">
        <v>0</v>
      </c>
      <c r="AA13" s="323" t="n">
        <v>0</v>
      </c>
      <c r="AB13" s="323" t="n">
        <v>0</v>
      </c>
      <c r="AC13" s="323" t="n">
        <v>0</v>
      </c>
      <c r="AD13" s="323" t="n">
        <v>0</v>
      </c>
      <c r="AE13" s="323" t="n"/>
      <c r="AF13" s="370">
        <f>SUM(C13:AD13)</f>
        <v/>
      </c>
      <c r="AH13" s="4" t="inlineStr">
        <is>
          <t>Total Overhead Costs</t>
        </is>
      </c>
      <c r="AI13" s="39" t="n">
        <v>0</v>
      </c>
    </row>
    <row r="14">
      <c r="A14" s="4" t="inlineStr">
        <is>
          <t>Plant Product Tonnes</t>
        </is>
      </c>
      <c r="B14" s="17" t="inlineStr">
        <is>
          <t>kt</t>
        </is>
      </c>
      <c r="C14" s="323" t="n"/>
      <c r="D14" s="323">
        <f>D12*$C$15</f>
        <v/>
      </c>
      <c r="E14" s="323">
        <f>E12*$C$15</f>
        <v/>
      </c>
      <c r="F14" s="323">
        <f>F12*$C$15</f>
        <v/>
      </c>
      <c r="G14" s="323">
        <f>G12*$C$15</f>
        <v/>
      </c>
      <c r="H14" s="323">
        <f>H12*$C$15</f>
        <v/>
      </c>
      <c r="I14" s="323">
        <f>I12*$C$15</f>
        <v/>
      </c>
      <c r="J14" s="323">
        <f>J12*$C$15</f>
        <v/>
      </c>
      <c r="K14" s="323">
        <f>K12*$C$15</f>
        <v/>
      </c>
      <c r="L14" s="323">
        <f>L12*$C$15</f>
        <v/>
      </c>
      <c r="M14" s="323">
        <f>M12*$C$15</f>
        <v/>
      </c>
      <c r="N14" s="323">
        <f>N12*$C$15</f>
        <v/>
      </c>
      <c r="O14" s="323">
        <f>O12*$C$15</f>
        <v/>
      </c>
      <c r="P14" s="323">
        <f>P12*$C$15</f>
        <v/>
      </c>
      <c r="Q14" s="323">
        <f>Q12*$C$15</f>
        <v/>
      </c>
      <c r="R14" s="323">
        <f>R12*$C$15</f>
        <v/>
      </c>
      <c r="S14" s="323">
        <f>S12*$C$15</f>
        <v/>
      </c>
      <c r="T14" s="323">
        <f>T12*$C$15</f>
        <v/>
      </c>
      <c r="U14" s="323">
        <f>U12*$C$15</f>
        <v/>
      </c>
      <c r="V14" s="323">
        <f>V12*$C$15</f>
        <v/>
      </c>
      <c r="W14" s="323">
        <f>W12*$C$15</f>
        <v/>
      </c>
      <c r="X14" s="323">
        <f>X12*$C$15</f>
        <v/>
      </c>
      <c r="Y14" s="323">
        <f>Y12*$C$15</f>
        <v/>
      </c>
      <c r="Z14" s="323">
        <f>Z12*$C$15</f>
        <v/>
      </c>
      <c r="AA14" s="323">
        <f>AA12*$C$15</f>
        <v/>
      </c>
      <c r="AB14" s="323">
        <f>AB12*$C$15</f>
        <v/>
      </c>
      <c r="AC14" s="323">
        <f>AC12*$C$15</f>
        <v/>
      </c>
      <c r="AD14" s="323">
        <f>AD12*$C$15</f>
        <v/>
      </c>
      <c r="AE14" s="323" t="n"/>
      <c r="AF14" s="370">
        <f>SUM(C14:AD14)</f>
        <v/>
      </c>
      <c r="AH14" s="8" t="inlineStr">
        <is>
          <t>Total Capital Costs</t>
        </is>
      </c>
      <c r="AI14" s="40" t="n">
        <v>0</v>
      </c>
    </row>
    <row r="15">
      <c r="A15" s="4" t="inlineStr">
        <is>
          <t>CHPP Yield</t>
        </is>
      </c>
      <c r="B15" s="17" t="inlineStr">
        <is>
          <t>%</t>
        </is>
      </c>
      <c r="C15" s="135" t="n">
        <v>0.67</v>
      </c>
      <c r="D15" s="379">
        <f>IFERROR(D14/D12,0)</f>
        <v/>
      </c>
      <c r="E15" s="329">
        <f>IFERROR(E14/E12,0)</f>
        <v/>
      </c>
      <c r="F15" s="329">
        <f>IFERROR(F14/F12,0)</f>
        <v/>
      </c>
      <c r="G15" s="329">
        <f>IFERROR(G14/G12,0)</f>
        <v/>
      </c>
      <c r="H15" s="329">
        <f>IFERROR(H14/H12,0)</f>
        <v/>
      </c>
      <c r="I15" s="329">
        <f>IFERROR(I14/I12,0)</f>
        <v/>
      </c>
      <c r="J15" s="329">
        <f>IFERROR(J14/J12,0)</f>
        <v/>
      </c>
      <c r="K15" s="329">
        <f>IFERROR(K14/K12,0)</f>
        <v/>
      </c>
      <c r="L15" s="329">
        <f>IFERROR(L14/L12,0)</f>
        <v/>
      </c>
      <c r="M15" s="329">
        <f>IFERROR(M14/M12,0)</f>
        <v/>
      </c>
      <c r="N15" s="329">
        <f>IFERROR(N14/N12,0)</f>
        <v/>
      </c>
      <c r="O15" s="329">
        <f>IFERROR(O14/O12,0)</f>
        <v/>
      </c>
      <c r="P15" s="329">
        <f>IFERROR(P14/P12,0)</f>
        <v/>
      </c>
      <c r="Q15" s="329">
        <f>IFERROR(Q14/Q12,0)</f>
        <v/>
      </c>
      <c r="R15" s="329">
        <f>IFERROR(R14/R12,0)</f>
        <v/>
      </c>
      <c r="S15" s="329">
        <f>IFERROR(S14/S12,0)</f>
        <v/>
      </c>
      <c r="T15" s="329">
        <f>IFERROR(T14/T12,0)</f>
        <v/>
      </c>
      <c r="U15" s="329">
        <f>IFERROR(U14/U12,0)</f>
        <v/>
      </c>
      <c r="V15" s="329">
        <f>IFERROR(V14/V12,0)</f>
        <v/>
      </c>
      <c r="W15" s="329">
        <f>IFERROR(W14/W12,0)</f>
        <v/>
      </c>
      <c r="X15" s="329">
        <f>IFERROR(X14/X12,0)</f>
        <v/>
      </c>
      <c r="Y15" s="329">
        <f>IFERROR(Y14/Y12,0)</f>
        <v/>
      </c>
      <c r="Z15" s="329">
        <f>IFERROR(Z14/Z12,0)</f>
        <v/>
      </c>
      <c r="AA15" s="329">
        <f>IFERROR(AA14/AA12,0)</f>
        <v/>
      </c>
      <c r="AB15" s="329">
        <f>IFERROR(AB14/AB12,0)</f>
        <v/>
      </c>
      <c r="AC15" s="329">
        <f>IFERROR(AC14/AC12,0)</f>
        <v/>
      </c>
      <c r="AD15" s="329">
        <f>IFERROR(AD14/AD12,0)</f>
        <v/>
      </c>
      <c r="AE15" s="323" t="n"/>
      <c r="AF15" s="380">
        <f>IFERROR(AF14/AF12,0)</f>
        <v/>
      </c>
    </row>
    <row r="16">
      <c r="A16" s="4" t="n"/>
      <c r="B16" s="17" t="n"/>
      <c r="C16" s="323" t="n"/>
      <c r="D16" s="323" t="n"/>
      <c r="E16" s="323" t="n"/>
      <c r="F16" s="323" t="n"/>
      <c r="G16" s="323" t="n"/>
      <c r="H16" s="323" t="n"/>
      <c r="I16" s="323" t="n"/>
      <c r="J16" s="323" t="n"/>
      <c r="K16" s="323" t="n"/>
      <c r="L16" s="323" t="n"/>
      <c r="M16" s="323" t="n"/>
      <c r="N16" s="323" t="n"/>
      <c r="O16" s="323" t="n"/>
      <c r="P16" s="323" t="n"/>
      <c r="Q16" s="323" t="n"/>
      <c r="R16" s="323" t="n"/>
      <c r="S16" s="323" t="n"/>
      <c r="T16" s="323" t="n"/>
      <c r="U16" s="323" t="n"/>
      <c r="V16" s="323" t="n"/>
      <c r="W16" s="323" t="n"/>
      <c r="X16" s="323" t="n"/>
      <c r="Y16" s="323" t="n"/>
      <c r="Z16" s="323" t="n"/>
      <c r="AA16" s="323" t="n"/>
      <c r="AB16" s="323" t="n"/>
      <c r="AC16" s="323" t="n"/>
      <c r="AD16" s="323" t="n"/>
      <c r="AE16" s="323" t="n"/>
      <c r="AF16" s="370" t="n"/>
      <c r="AH16" s="15" t="inlineStr">
        <is>
          <t>LOM volumes</t>
        </is>
      </c>
      <c r="AI16" s="16" t="n"/>
    </row>
    <row r="17">
      <c r="A17" s="4" t="inlineStr">
        <is>
          <t>Operations Yield</t>
        </is>
      </c>
      <c r="B17" s="17" t="n"/>
      <c r="C17" s="171" t="n"/>
      <c r="D17" s="329">
        <f>IFERROR(D19/D9,0)</f>
        <v/>
      </c>
      <c r="E17" s="329">
        <f>IFERROR(E19/E9,0)</f>
        <v/>
      </c>
      <c r="F17" s="329">
        <f>IFERROR(F19/F9,0)</f>
        <v/>
      </c>
      <c r="G17" s="329">
        <f>IFERROR(G19/G9,0)</f>
        <v/>
      </c>
      <c r="H17" s="329">
        <f>IFERROR(H19/H9,0)</f>
        <v/>
      </c>
      <c r="I17" s="329">
        <f>IFERROR(I19/(I9+H9),0)</f>
        <v/>
      </c>
      <c r="J17" s="329">
        <f>IFERROR(J19/(J9+I9),0)</f>
        <v/>
      </c>
      <c r="K17" s="329">
        <f>IFERROR(K19/K9,0)</f>
        <v/>
      </c>
      <c r="L17" s="329">
        <f>IFERROR(L19/L9,0)</f>
        <v/>
      </c>
      <c r="M17" s="329">
        <f>IFERROR(M19/M9,0)</f>
        <v/>
      </c>
      <c r="N17" s="329">
        <f>IFERROR(N19/N9,0)</f>
        <v/>
      </c>
      <c r="O17" s="329">
        <f>IFERROR(O19/O9,0)</f>
        <v/>
      </c>
      <c r="P17" s="329">
        <f>IFERROR(P19/P9,0)</f>
        <v/>
      </c>
      <c r="Q17" s="329">
        <f>IFERROR(Q19/Q9,0)</f>
        <v/>
      </c>
      <c r="R17" s="329">
        <f>IFERROR(R19/R9,0)</f>
        <v/>
      </c>
      <c r="S17" s="329">
        <f>IFERROR(S19/S9,0)</f>
        <v/>
      </c>
      <c r="T17" s="329">
        <f>IFERROR(T19/T9,0)</f>
        <v/>
      </c>
      <c r="U17" s="329">
        <f>IFERROR(U19/U9,0)</f>
        <v/>
      </c>
      <c r="V17" s="329">
        <f>IFERROR(V19/V9,0)</f>
        <v/>
      </c>
      <c r="W17" s="329">
        <f>IFERROR(W19/W9,0)</f>
        <v/>
      </c>
      <c r="X17" s="329">
        <f>IFERROR(X19/X9,0)</f>
        <v/>
      </c>
      <c r="Y17" s="329">
        <f>IFERROR(Y19/Y9,0)</f>
        <v/>
      </c>
      <c r="Z17" s="329">
        <f>IFERROR(Z19/Z9,0)</f>
        <v/>
      </c>
      <c r="AA17" s="329">
        <f>IFERROR(AA19/AA9,0)</f>
        <v/>
      </c>
      <c r="AB17" s="329">
        <f>IFERROR(AB19/AB9,0)</f>
        <v/>
      </c>
      <c r="AC17" s="329">
        <f>IFERROR(AC19/AC9,0)</f>
        <v/>
      </c>
      <c r="AD17" s="329">
        <f>IFERROR(AD19/AD9,0)</f>
        <v/>
      </c>
      <c r="AE17" s="329" t="n"/>
      <c r="AF17" s="380">
        <f>IFERROR(AF19/AF9,0)</f>
        <v/>
      </c>
      <c r="AH17" s="4" t="inlineStr">
        <is>
          <t>Development metres (km)</t>
        </is>
      </c>
      <c r="AI17" s="370">
        <f>AF6/1000</f>
        <v/>
      </c>
    </row>
    <row r="18">
      <c r="A18" s="4" t="n"/>
      <c r="B18" s="17" t="n"/>
      <c r="C18" s="323" t="n"/>
      <c r="D18" s="323" t="n"/>
      <c r="E18" s="323" t="n"/>
      <c r="F18" s="323" t="n"/>
      <c r="G18" s="323" t="n"/>
      <c r="H18" s="323" t="n"/>
      <c r="I18" s="323" t="n"/>
      <c r="J18" s="323" t="n"/>
      <c r="K18" s="323" t="n"/>
      <c r="L18" s="323" t="n"/>
      <c r="M18" s="323" t="n"/>
      <c r="N18" s="323" t="n"/>
      <c r="O18" s="323" t="n"/>
      <c r="P18" s="323" t="n"/>
      <c r="Q18" s="323" t="n"/>
      <c r="R18" s="323" t="n"/>
      <c r="S18" s="323" t="n"/>
      <c r="T18" s="323" t="n"/>
      <c r="U18" s="323" t="n"/>
      <c r="V18" s="323" t="n"/>
      <c r="W18" s="323" t="n"/>
      <c r="X18" s="323" t="n"/>
      <c r="Y18" s="323" t="n"/>
      <c r="Z18" s="323" t="n"/>
      <c r="AA18" s="323" t="n"/>
      <c r="AB18" s="323" t="n"/>
      <c r="AC18" s="323" t="n"/>
      <c r="AD18" s="323" t="n"/>
      <c r="AE18" s="323" t="n"/>
      <c r="AF18" s="370" t="n"/>
      <c r="AH18" s="4" t="inlineStr">
        <is>
          <t>Longwall ROM tonnes / Dev Metres</t>
        </is>
      </c>
      <c r="AI18" s="381">
        <f>(AI17*1000)/AI20</f>
        <v/>
      </c>
    </row>
    <row r="19">
      <c r="A19" s="4" t="inlineStr">
        <is>
          <t>Saleable Production</t>
        </is>
      </c>
      <c r="B19" s="17" t="inlineStr">
        <is>
          <t>kt</t>
        </is>
      </c>
      <c r="C19" s="323" t="n"/>
      <c r="D19" s="323">
        <f>D13+D14</f>
        <v/>
      </c>
      <c r="E19" s="323">
        <f>E13+E14</f>
        <v/>
      </c>
      <c r="F19" s="323">
        <f>F13+F14</f>
        <v/>
      </c>
      <c r="G19" s="323">
        <f>G13+G14</f>
        <v/>
      </c>
      <c r="H19" s="323">
        <f>H13+H14</f>
        <v/>
      </c>
      <c r="I19" s="323">
        <f>I13+I14</f>
        <v/>
      </c>
      <c r="J19" s="323">
        <f>J13+J14</f>
        <v/>
      </c>
      <c r="K19" s="323">
        <f>K13+K14</f>
        <v/>
      </c>
      <c r="L19" s="323">
        <f>L13+L14</f>
        <v/>
      </c>
      <c r="M19" s="323">
        <f>M13+M14</f>
        <v/>
      </c>
      <c r="N19" s="323">
        <f>N13+N14</f>
        <v/>
      </c>
      <c r="O19" s="323">
        <f>O13+O14</f>
        <v/>
      </c>
      <c r="P19" s="323">
        <f>P13+P14</f>
        <v/>
      </c>
      <c r="Q19" s="323">
        <f>Q13+Q14</f>
        <v/>
      </c>
      <c r="R19" s="323">
        <f>R13+R14</f>
        <v/>
      </c>
      <c r="S19" s="323">
        <f>S13+S14</f>
        <v/>
      </c>
      <c r="T19" s="323">
        <f>T13+T14</f>
        <v/>
      </c>
      <c r="U19" s="323">
        <f>U13+U14</f>
        <v/>
      </c>
      <c r="V19" s="323">
        <f>V13+V14</f>
        <v/>
      </c>
      <c r="W19" s="323">
        <f>W13+W14</f>
        <v/>
      </c>
      <c r="X19" s="323">
        <f>X13+X14</f>
        <v/>
      </c>
      <c r="Y19" s="323">
        <f>Y13+Y14</f>
        <v/>
      </c>
      <c r="Z19" s="323">
        <f>Z13+Z14</f>
        <v/>
      </c>
      <c r="AA19" s="323">
        <f>AA13+AA14</f>
        <v/>
      </c>
      <c r="AB19" s="323">
        <f>AB13+AB14</f>
        <v/>
      </c>
      <c r="AC19" s="323">
        <f>AC13+AC14</f>
        <v/>
      </c>
      <c r="AD19" s="323">
        <f>AD13+AD14</f>
        <v/>
      </c>
      <c r="AE19" s="323" t="n"/>
      <c r="AF19" s="370">
        <f>SUM(C19:AD19)</f>
        <v/>
      </c>
      <c r="AH19" s="4" t="inlineStr">
        <is>
          <t>Development ROM (kt)</t>
        </is>
      </c>
      <c r="AI19" s="370">
        <f>AF7</f>
        <v/>
      </c>
    </row>
    <row r="20">
      <c r="A20" s="8" t="n"/>
      <c r="B20" s="21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7" t="n"/>
      <c r="AH20" s="4" t="inlineStr">
        <is>
          <t>Longwall ROM (kt)</t>
        </is>
      </c>
      <c r="AI20" s="370">
        <f>AF8</f>
        <v/>
      </c>
    </row>
    <row r="21">
      <c r="A21" s="1" t="inlineStr">
        <is>
          <t>Carbon</t>
        </is>
      </c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  <c r="AA21" s="143" t="n"/>
      <c r="AB21" s="143" t="n"/>
      <c r="AC21" s="143" t="n"/>
      <c r="AD21" s="143" t="n"/>
      <c r="AH21" s="4" t="inlineStr">
        <is>
          <t>Total ROM (kt)</t>
        </is>
      </c>
      <c r="AI21" s="370">
        <f>AI19+AI20</f>
        <v/>
      </c>
    </row>
    <row r="22">
      <c r="A22" s="4" t="inlineStr">
        <is>
          <t>Coal Mine Waste Gass</t>
        </is>
      </c>
      <c r="B22" s="17" t="inlineStr">
        <is>
          <t>t CO2e</t>
        </is>
      </c>
      <c r="C22" s="91" t="n">
        <v>0.12</v>
      </c>
      <c r="D22" s="382">
        <f>IF(D9&gt;0,D9*1000*$C$22+20000,0)</f>
        <v/>
      </c>
      <c r="E22" s="382">
        <f>IF(E9&gt;0,E9*1000*$C$22+20000,0)</f>
        <v/>
      </c>
      <c r="F22" s="382">
        <f>IF(F9&gt;0,F9*1000*$C$22+20000,0)</f>
        <v/>
      </c>
      <c r="G22" s="382">
        <f>IF(G9&gt;0,G9*1000*$C$22+20000,0)</f>
        <v/>
      </c>
      <c r="H22" s="382">
        <f>IF(H9&gt;0,H9*1000*$C$22+20000,0)</f>
        <v/>
      </c>
      <c r="I22" s="382">
        <f>IF(I9&gt;0,I9*1000*$C$22+20000,0)</f>
        <v/>
      </c>
      <c r="J22" s="382">
        <f>IF(J9&gt;0,J9*1000*$C$22+20000,0)</f>
        <v/>
      </c>
      <c r="K22" s="382">
        <f>IF(K9&gt;0,K9*1000*$C$22+20000,0)</f>
        <v/>
      </c>
      <c r="L22" s="382">
        <f>IF(L9&gt;0,L9*1000*$C$22+20000,0)</f>
        <v/>
      </c>
      <c r="M22" s="382">
        <f>IF(M9&gt;0,M9*1000*$C$22+20000,0)</f>
        <v/>
      </c>
      <c r="N22" s="382">
        <f>IF(N9&gt;0,N9*1000*$C$22+20000,0)</f>
        <v/>
      </c>
      <c r="O22" s="382">
        <f>IF(O9&gt;0,O9*1000*$C$22+20000,0)</f>
        <v/>
      </c>
      <c r="P22" s="382">
        <f>IF(P9&gt;0,P9*1000*$C$22+20000,0)</f>
        <v/>
      </c>
      <c r="Q22" s="382">
        <f>IF(Q9&gt;0,Q9*1000*$C$22+20000,0)</f>
        <v/>
      </c>
      <c r="R22" s="382">
        <f>IF(R9&gt;0,R9*1000*$C$22+20000,0)</f>
        <v/>
      </c>
      <c r="S22" s="382">
        <f>IF(S9&gt;0,S9*1000*$C$22+20000,0)</f>
        <v/>
      </c>
      <c r="T22" s="382">
        <f>IF(T9&gt;0,T9*1000*$C$22+20000,0)</f>
        <v/>
      </c>
      <c r="U22" s="382">
        <f>IF(U9&gt;0,U9*1000*$C$22+20000,0)</f>
        <v/>
      </c>
      <c r="V22" s="382">
        <f>IF(V9&gt;0,V9*1000*$C$22+20000,0)</f>
        <v/>
      </c>
      <c r="W22" s="382">
        <f>IF(W9&gt;0,W9*1000*$C$22+20000,0)</f>
        <v/>
      </c>
      <c r="X22" s="382">
        <f>IF(X9&gt;0,X9*1000*$C$22+20000,0)</f>
        <v/>
      </c>
      <c r="Y22" s="382">
        <f>IF(Y9&gt;0,Y9*1000*$C$22+20000,0)</f>
        <v/>
      </c>
      <c r="Z22" s="382">
        <f>IF(Z9&gt;0,Z9*1000*$C$22+20000,0)</f>
        <v/>
      </c>
      <c r="AA22" s="382">
        <f>IF(AA9&gt;0,AA9*1000*$C$22+20000,0)</f>
        <v/>
      </c>
      <c r="AB22" s="382">
        <f>IF(AB9&gt;0,AB9*1000*$C$22+20000,0)</f>
        <v/>
      </c>
      <c r="AC22" s="382">
        <f>IF(AC9&gt;0,AC9*1000*$C$22+20000,0)</f>
        <v/>
      </c>
      <c r="AD22" s="382">
        <f>IF(AD9&gt;0,AD9*1000*$C$22+20000,0)</f>
        <v/>
      </c>
      <c r="AF22" s="333">
        <f>SUM(D22:AD22)</f>
        <v/>
      </c>
      <c r="AH22" s="4" t="n"/>
      <c r="AI22" s="370" t="n"/>
    </row>
    <row r="23">
      <c r="A23" s="4" t="inlineStr">
        <is>
          <t>Decomission Mines Emissions</t>
        </is>
      </c>
      <c r="B23" s="17" t="inlineStr">
        <is>
          <t>t CO2e</t>
        </is>
      </c>
      <c r="C23" s="278" t="inlineStr">
        <is>
          <t>Look @ Decom Mines Tab</t>
        </is>
      </c>
      <c r="D23" s="382">
        <f>IF('Decommissioned Mine'!$B$5="Springbok",'Decommissioned Mine'!E2,IF('Decommissioned Mine'!$B$5="Springbok + Brave Blossom",0,IF('Decommissioned Mine'!$B$5="Springbok Delayed 12 Months",'Decommissioned Mine'!E2,0)))</f>
        <v/>
      </c>
      <c r="E23" s="382">
        <f>IF('Decommissioned Mine'!$B$5="Springbok",'Decommissioned Mine'!F2,IF('Decommissioned Mine'!$B$5="Springbok + Brave Blossom",0,IF('Decommissioned Mine'!$B$5="Springbok Delayed 12 Months",'Decommissioned Mine'!F2,0)))</f>
        <v/>
      </c>
      <c r="F23" s="382">
        <f>IF('Decommissioned Mine'!$B$5="Springbok",'Decommissioned Mine'!G2,IF('Decommissioned Mine'!$B$5="Springbok + Brave Blossom",0,IF('Decommissioned Mine'!$B$5="Springbok Delayed 12 Months",'Decommissioned Mine'!G2,0)))</f>
        <v/>
      </c>
      <c r="G23" s="382">
        <f>IF('Decommissioned Mine'!$B$5="Springbok",'Decommissioned Mine'!H2,IF('Decommissioned Mine'!$B$5="Springbok + Brave Blossom",0,IF('Decommissioned Mine'!$B$5="Springbok Delayed 12 Months",'Decommissioned Mine'!H2,0)))</f>
        <v/>
      </c>
      <c r="H23" s="382">
        <f>IF('Decommissioned Mine'!$B$5="Springbok",'Decommissioned Mine'!I2,IF('Decommissioned Mine'!$B$5="Springbok + Brave Blossom",0,IF('Decommissioned Mine'!$B$5="Springbok Delayed 12 Months",'Decommissioned Mine'!I2,0)))</f>
        <v/>
      </c>
      <c r="I23" s="382">
        <f>IF('Decommissioned Mine'!$B$5="Springbok",'Decommissioned Mine'!J2,IF('Decommissioned Mine'!$B$5="Springbok + Brave Blossom",0,IF('Decommissioned Mine'!$B$5="Springbok Delayed 12 Months",'Decommissioned Mine'!J2,0)))</f>
        <v/>
      </c>
      <c r="J23" s="382">
        <f>IF('Decommissioned Mine'!$B$5="Springbok",'Decommissioned Mine'!K2,IF('Decommissioned Mine'!$B$5="Springbok + Brave Blossom",0,IF('Decommissioned Mine'!$B$5="Springbok Delayed 12 Months",'Decommissioned Mine'!K2,0)))</f>
        <v/>
      </c>
      <c r="K23" s="382">
        <f>IF('Decommissioned Mine'!$B$5="Springbok",'Decommissioned Mine'!L2,IF('Decommissioned Mine'!$B$5="Springbok + Brave Blossom",0,IF('Decommissioned Mine'!$B$5="Springbok Delayed 12 Months",'Decommissioned Mine'!L2,0)))</f>
        <v/>
      </c>
      <c r="L23" s="382">
        <f>IF('Decommissioned Mine'!$B$5="Springbok",'Decommissioned Mine'!M2,IF('Decommissioned Mine'!$B$5="Springbok + Brave Blossom",0,IF('Decommissioned Mine'!$B$5="Springbok Delayed 12 Months",'Decommissioned Mine'!M2,0)))</f>
        <v/>
      </c>
      <c r="M23" s="382">
        <f>IF('Decommissioned Mine'!$B$5="Springbok",'Decommissioned Mine'!N2,IF('Decommissioned Mine'!$B$5="Springbok + Brave Blossom",0,IF('Decommissioned Mine'!$B$5="Springbok Delayed 12 Months",'Decommissioned Mine'!N2,0)))</f>
        <v/>
      </c>
      <c r="N23" s="382">
        <f>IF('Decommissioned Mine'!$B$5="Springbok",'Decommissioned Mine'!O2,IF('Decommissioned Mine'!$B$5="Springbok + Brave Blossom",0,IF('Decommissioned Mine'!$B$5="Springbok Delayed 12 Months",'Decommissioned Mine'!O2,0)))</f>
        <v/>
      </c>
      <c r="O23" s="382">
        <f>IF('Decommissioned Mine'!$B$5="Springbok",'Decommissioned Mine'!P2,IF('Decommissioned Mine'!$B$5="Springbok + Brave Blossom",0,IF('Decommissioned Mine'!$B$5="Springbok Delayed 12 Months",'Decommissioned Mine'!P2,0)))</f>
        <v/>
      </c>
      <c r="P23" s="382">
        <f>IF('Decommissioned Mine'!$B$5="Springbok",'Decommissioned Mine'!Q2,IF('Decommissioned Mine'!$B$5="Springbok + Brave Blossom",0,IF('Decommissioned Mine'!$B$5="Springbok Delayed 12 Months",'Decommissioned Mine'!Q2,0)))</f>
        <v/>
      </c>
      <c r="Q23" s="382">
        <f>IF('Decommissioned Mine'!$B$5="Springbok",'Decommissioned Mine'!R2,IF('Decommissioned Mine'!$B$5="Springbok + Brave Blossom",0,IF('Decommissioned Mine'!$B$5="Springbok Delayed 12 Months",'Decommissioned Mine'!R2,0)))</f>
        <v/>
      </c>
      <c r="R23" s="382">
        <f>IF('Decommissioned Mine'!$B$5="Springbok",'Decommissioned Mine'!S2,IF('Decommissioned Mine'!$B$5="Springbok + Brave Blossom",0,IF('Decommissioned Mine'!$B$5="Springbok Delayed 12 Months",'Decommissioned Mine'!S2,0)))</f>
        <v/>
      </c>
      <c r="S23" s="382">
        <f>IF('Decommissioned Mine'!$B$5="Springbok",'Decommissioned Mine'!T2,IF('Decommissioned Mine'!$B$5="Springbok + Brave Blossom",0,IF('Decommissioned Mine'!$B$5="Springbok Delayed 12 Months",'Decommissioned Mine'!T2,0)))</f>
        <v/>
      </c>
      <c r="T23" s="382">
        <f>IF('Decommissioned Mine'!$B$5="Springbok",'Decommissioned Mine'!U2,IF('Decommissioned Mine'!$B$5="Springbok + Brave Blossom",0,IF('Decommissioned Mine'!$B$5="Springbok Delayed 12 Months",'Decommissioned Mine'!U2,0)))</f>
        <v/>
      </c>
      <c r="U23" s="382">
        <f>IF('Decommissioned Mine'!$B$5="Springbok",'Decommissioned Mine'!V2,IF('Decommissioned Mine'!$B$5="Springbok + Brave Blossom",0,IF('Decommissioned Mine'!$B$5="Springbok Delayed 12 Months",'Decommissioned Mine'!V2,0)))</f>
        <v/>
      </c>
      <c r="V23" s="382">
        <f>IF('Decommissioned Mine'!$B$5="Springbok",'Decommissioned Mine'!W2,IF('Decommissioned Mine'!$B$5="Springbok + Brave Blossom",0,IF('Decommissioned Mine'!$B$5="Springbok Delayed 12 Months",'Decommissioned Mine'!W2,0)))</f>
        <v/>
      </c>
      <c r="W23" s="382">
        <f>IF('Decommissioned Mine'!$B$5="Springbok",'Decommissioned Mine'!X2,IF('Decommissioned Mine'!$B$5="Springbok + Brave Blossom",0,IF('Decommissioned Mine'!$B$5="Springbok Delayed 12 Months",'Decommissioned Mine'!X2,0)))</f>
        <v/>
      </c>
      <c r="X23" s="382">
        <f>IF('Decommissioned Mine'!$B$5="Springbok",'Decommissioned Mine'!Y2,IF('Decommissioned Mine'!$B$5="Springbok + Brave Blossom",0,IF('Decommissioned Mine'!$B$5="Springbok Delayed 12 Months",'Decommissioned Mine'!Y2,0)))</f>
        <v/>
      </c>
      <c r="Y23" s="382">
        <f>IF('Decommissioned Mine'!$B$5="Springbok",'Decommissioned Mine'!Z2,IF('Decommissioned Mine'!$B$5="Springbok + Brave Blossom",0,IF('Decommissioned Mine'!$B$5="Springbok Delayed 12 Months",'Decommissioned Mine'!Z2,0)))</f>
        <v/>
      </c>
      <c r="Z23" s="382">
        <f>IF('Decommissioned Mine'!$B$5="Springbok",'Decommissioned Mine'!AA2,IF('Decommissioned Mine'!$B$5="Springbok + Brave Blossom",0,IF('Decommissioned Mine'!$B$5="Springbok Delayed 12 Months",'Decommissioned Mine'!AA2,0)))</f>
        <v/>
      </c>
      <c r="AA23" s="382">
        <f>IF('Decommissioned Mine'!$B$5="Springbok",'Decommissioned Mine'!AB2,IF('Decommissioned Mine'!$B$5="Springbok + Brave Blossom",0,IF('Decommissioned Mine'!$B$5="Springbok Delayed 12 Months",'Decommissioned Mine'!AB2,0)))</f>
        <v/>
      </c>
      <c r="AB23" s="382">
        <f>IF('Decommissioned Mine'!$B$5="Springbok",'Decommissioned Mine'!AC2,IF('Decommissioned Mine'!$B$5="Springbok + Brave Blossom",0,IF('Decommissioned Mine'!$B$5="Springbok Delayed 12 Months",'Decommissioned Mine'!AC2,0)))</f>
        <v/>
      </c>
      <c r="AC23" s="382">
        <f>IF('Decommissioned Mine'!$B$5="Springbok",'Decommissioned Mine'!AD2,IF('Decommissioned Mine'!$B$5="Springbok + Brave Blossom",0,IF('Decommissioned Mine'!$B$5="Springbok Delayed 12 Months",'Decommissioned Mine'!AD2,0)))</f>
        <v/>
      </c>
      <c r="AD23" s="382">
        <f>IF('Decommissioned Mine'!$B$5="Springbok",'Decommissioned Mine'!AE2,IF('Decommissioned Mine'!$B$5="Springbok + Brave Blossom",0,IF('Decommissioned Mine'!$B$5="Springbok Delayed 12 Months",'Decommissioned Mine'!AE2,0)))</f>
        <v/>
      </c>
      <c r="AF23" s="333">
        <f>SUM(D23:AD23)</f>
        <v/>
      </c>
      <c r="AH23" s="8" t="inlineStr">
        <is>
          <t>Remaining Mine Life</t>
        </is>
      </c>
      <c r="AI23" s="383" t="n">
        <v>5</v>
      </c>
    </row>
    <row r="24">
      <c r="A24" t="inlineStr">
        <is>
          <t xml:space="preserve">Total Scope 1 Emissions </t>
        </is>
      </c>
      <c r="B24" s="17" t="inlineStr">
        <is>
          <t>t CO2e</t>
        </is>
      </c>
      <c r="C24" s="91" t="n"/>
      <c r="D24" s="382">
        <f>D23+D22</f>
        <v/>
      </c>
      <c r="E24" s="382">
        <f>E23+E22</f>
        <v/>
      </c>
      <c r="F24" s="382">
        <f>F23+F22</f>
        <v/>
      </c>
      <c r="G24" s="382">
        <f>G23+G22</f>
        <v/>
      </c>
      <c r="H24" s="382">
        <f>H23+H22</f>
        <v/>
      </c>
      <c r="I24" s="382">
        <f>I23+I22</f>
        <v/>
      </c>
      <c r="J24" s="382">
        <f>J23+J22</f>
        <v/>
      </c>
      <c r="K24" s="382">
        <f>K23+K22</f>
        <v/>
      </c>
      <c r="L24" s="382">
        <f>L23+L22</f>
        <v/>
      </c>
      <c r="M24" s="382">
        <f>M23+M22</f>
        <v/>
      </c>
      <c r="N24" s="382">
        <f>N23+N22</f>
        <v/>
      </c>
      <c r="O24" s="382">
        <f>O23+O22</f>
        <v/>
      </c>
      <c r="P24" s="382">
        <f>P23+P22</f>
        <v/>
      </c>
      <c r="Q24" s="382">
        <f>Q23+Q22</f>
        <v/>
      </c>
      <c r="R24" s="382">
        <f>R23+R22</f>
        <v/>
      </c>
      <c r="S24" s="382">
        <f>S23+S22</f>
        <v/>
      </c>
      <c r="T24" s="382">
        <f>T23+T22</f>
        <v/>
      </c>
      <c r="U24" s="382">
        <f>U23+U22</f>
        <v/>
      </c>
      <c r="V24" s="382">
        <f>V23+V22</f>
        <v/>
      </c>
      <c r="W24" s="382">
        <f>W23+W22</f>
        <v/>
      </c>
      <c r="X24" s="382">
        <f>X23+X22</f>
        <v/>
      </c>
      <c r="Y24" s="382">
        <f>Y23+Y22</f>
        <v/>
      </c>
      <c r="Z24" s="382">
        <f>Z23+Z22</f>
        <v/>
      </c>
      <c r="AA24" s="382">
        <f>AA23+AA22</f>
        <v/>
      </c>
      <c r="AB24" s="382">
        <f>AB23+AB22</f>
        <v/>
      </c>
      <c r="AC24" s="382">
        <f>AC23+AC22</f>
        <v/>
      </c>
      <c r="AD24" s="382">
        <f>AD23+AD22</f>
        <v/>
      </c>
      <c r="AF24" s="333">
        <f>SUM(D24:AD24)</f>
        <v/>
      </c>
      <c r="AI24" s="323" t="n"/>
    </row>
    <row r="25">
      <c r="A25" t="inlineStr">
        <is>
          <t>Safeguard - Hybrid Declining Baseline</t>
        </is>
      </c>
      <c r="B25" s="17" t="inlineStr">
        <is>
          <t>t CO2e</t>
        </is>
      </c>
      <c r="C25" s="138" t="n"/>
      <c r="D25" s="382">
        <f>(D9*1000*'Decommissioned Mine'!E22)+'Decommissioned Mine'!E21*D23</f>
        <v/>
      </c>
      <c r="E25" s="382">
        <f>(E9*1000*'Decommissioned Mine'!F22)+'Decommissioned Mine'!F21*E23</f>
        <v/>
      </c>
      <c r="F25" s="382">
        <f>(F9*1000*'Decommissioned Mine'!G22)+'Decommissioned Mine'!G21*F23</f>
        <v/>
      </c>
      <c r="G25" s="382">
        <f>(G9*1000*'Decommissioned Mine'!H22)+'Decommissioned Mine'!H21*G23</f>
        <v/>
      </c>
      <c r="H25" s="382">
        <f>(H9*1000*'Decommissioned Mine'!I22)+'Decommissioned Mine'!I21*H23</f>
        <v/>
      </c>
      <c r="I25" s="382">
        <f>(I9*1000*'Decommissioned Mine'!J22)+'Decommissioned Mine'!J21*I23</f>
        <v/>
      </c>
      <c r="J25" s="382">
        <f>(J9*1000*'Decommissioned Mine'!K22)+'Decommissioned Mine'!K21*J23</f>
        <v/>
      </c>
      <c r="K25" s="382">
        <f>(K9*1000*'Decommissioned Mine'!L22)+'Decommissioned Mine'!L21*K23</f>
        <v/>
      </c>
      <c r="L25" s="382">
        <f>(L9*1000*'Decommissioned Mine'!M22)+'Decommissioned Mine'!M21*L23</f>
        <v/>
      </c>
      <c r="M25" s="382">
        <f>(M9*1000*'Decommissioned Mine'!N22)+'Decommissioned Mine'!N21*M23</f>
        <v/>
      </c>
      <c r="N25" s="382">
        <f>(N9*1000*'Decommissioned Mine'!O22)+'Decommissioned Mine'!O21*N23</f>
        <v/>
      </c>
      <c r="O25" s="382">
        <f>(O9*1000*'Decommissioned Mine'!P22)+'Decommissioned Mine'!P21*O23</f>
        <v/>
      </c>
      <c r="P25" s="382">
        <f>(P9*1000*'Decommissioned Mine'!Q22)+'Decommissioned Mine'!Q21*P23</f>
        <v/>
      </c>
      <c r="Q25" s="382">
        <f>(Q9*1000*'Decommissioned Mine'!R22)+'Decommissioned Mine'!R21*Q23</f>
        <v/>
      </c>
      <c r="R25" s="382">
        <f>(R9*1000*'Decommissioned Mine'!S22)+'Decommissioned Mine'!S21*R23</f>
        <v/>
      </c>
      <c r="S25" s="382">
        <f>(S9*1000*'Decommissioned Mine'!T22)+'Decommissioned Mine'!T21*S23</f>
        <v/>
      </c>
      <c r="T25" s="382">
        <f>(T9*1000*'Decommissioned Mine'!U22)+'Decommissioned Mine'!U21*T23</f>
        <v/>
      </c>
      <c r="U25" s="382">
        <f>(U9*1000*'Decommissioned Mine'!V22)+'Decommissioned Mine'!V21*U23</f>
        <v/>
      </c>
      <c r="V25" s="382">
        <f>(V9*1000*'Decommissioned Mine'!W22)+'Decommissioned Mine'!W21*V23</f>
        <v/>
      </c>
      <c r="W25" s="382">
        <f>(W9*1000*'Decommissioned Mine'!X22)+'Decommissioned Mine'!X21*W23</f>
        <v/>
      </c>
      <c r="X25" s="382">
        <f>(X9*1000*'Decommissioned Mine'!Y22)+'Decommissioned Mine'!Y21*X23</f>
        <v/>
      </c>
      <c r="Y25" s="382">
        <f>(Y9*1000*'Decommissioned Mine'!Z22)+'Decommissioned Mine'!Z21*Y23</f>
        <v/>
      </c>
      <c r="Z25" s="382">
        <f>(Z9*1000*'Decommissioned Mine'!AA22)+'Decommissioned Mine'!AA21*Z23</f>
        <v/>
      </c>
      <c r="AA25" s="382">
        <f>(AA9*1000*'Decommissioned Mine'!AB22)+'Decommissioned Mine'!AB21*AA23</f>
        <v/>
      </c>
      <c r="AB25" s="382">
        <f>(AB9*1000*'Decommissioned Mine'!AC22)+'Decommissioned Mine'!AC21*AB23</f>
        <v/>
      </c>
      <c r="AC25" s="382">
        <f>(AC9*1000*'Decommissioned Mine'!AD22)+'Decommissioned Mine'!AD21*AC23</f>
        <v/>
      </c>
      <c r="AD25" s="382">
        <f>(AD9*1000*'Decommissioned Mine'!AE22)+'Decommissioned Mine'!AE21*AD23</f>
        <v/>
      </c>
      <c r="AF25" s="333" t="n"/>
      <c r="AI25" s="323" t="n"/>
    </row>
    <row r="26">
      <c r="A26" t="inlineStr">
        <is>
          <t>Emissions above (or below) baseline</t>
        </is>
      </c>
      <c r="B26" s="17" t="inlineStr">
        <is>
          <t>t CO2e</t>
        </is>
      </c>
      <c r="D26" s="382">
        <f>D24-D25</f>
        <v/>
      </c>
      <c r="E26" s="382">
        <f>E24-E25</f>
        <v/>
      </c>
      <c r="F26" s="382">
        <f>F24-F25</f>
        <v/>
      </c>
      <c r="G26" s="382">
        <f>G24-G25</f>
        <v/>
      </c>
      <c r="H26" s="382">
        <f>H24-H25</f>
        <v/>
      </c>
      <c r="I26" s="382">
        <f>I24-I25</f>
        <v/>
      </c>
      <c r="J26" s="382">
        <f>J24-J25</f>
        <v/>
      </c>
      <c r="K26" s="382">
        <f>K24-K25</f>
        <v/>
      </c>
      <c r="L26" s="382">
        <f>L24-L25</f>
        <v/>
      </c>
      <c r="M26" s="382">
        <f>M24-M25</f>
        <v/>
      </c>
      <c r="N26" s="382">
        <f>N24-N25</f>
        <v/>
      </c>
      <c r="O26" s="382">
        <f>O24-O25</f>
        <v/>
      </c>
      <c r="P26" s="382">
        <f>P24-P25</f>
        <v/>
      </c>
      <c r="Q26" s="382">
        <f>Q24-Q25</f>
        <v/>
      </c>
      <c r="R26" s="382">
        <f>R24-R25</f>
        <v/>
      </c>
      <c r="S26" s="382">
        <f>S24-S25</f>
        <v/>
      </c>
      <c r="T26" s="382">
        <f>T24-T25</f>
        <v/>
      </c>
      <c r="U26" s="382">
        <f>U24-U25</f>
        <v/>
      </c>
      <c r="V26" s="382">
        <f>V24-V25</f>
        <v/>
      </c>
      <c r="W26" s="382">
        <f>W24-W25</f>
        <v/>
      </c>
      <c r="X26" s="382">
        <f>X24-X25</f>
        <v/>
      </c>
      <c r="Y26" s="382">
        <f>Y24-Y25</f>
        <v/>
      </c>
      <c r="Z26" s="382">
        <f>Z24-Z25</f>
        <v/>
      </c>
      <c r="AA26" s="382">
        <f>AA24-AA25</f>
        <v/>
      </c>
      <c r="AB26" s="382">
        <f>AB24-AB25</f>
        <v/>
      </c>
      <c r="AC26" s="382">
        <f>AC24-AC25</f>
        <v/>
      </c>
      <c r="AD26" s="382">
        <f>AD24-AD25</f>
        <v/>
      </c>
      <c r="AF26" s="333" t="n"/>
      <c r="AI26" s="323" t="n"/>
    </row>
    <row r="27">
      <c r="D27" s="363" t="n"/>
      <c r="E27" s="363" t="n"/>
      <c r="F27" s="363" t="n"/>
      <c r="G27" s="363" t="n"/>
      <c r="H27" s="363" t="n"/>
      <c r="I27" s="363" t="n"/>
      <c r="J27" s="363" t="n"/>
      <c r="K27" s="363" t="n"/>
      <c r="L27" s="363" t="n"/>
      <c r="M27" s="363" t="n"/>
      <c r="N27" s="363" t="n"/>
      <c r="O27" s="363" t="n"/>
      <c r="P27" s="363" t="n"/>
      <c r="Q27" s="363" t="n"/>
      <c r="R27" s="363" t="n"/>
      <c r="S27" s="363" t="n"/>
      <c r="T27" s="363" t="n"/>
      <c r="U27" s="363" t="n"/>
      <c r="V27" s="363" t="n"/>
      <c r="W27" s="363" t="n"/>
      <c r="X27" s="363" t="n"/>
      <c r="Y27" s="363" t="n"/>
      <c r="Z27" s="363" t="n"/>
      <c r="AA27" s="363" t="n"/>
      <c r="AB27" s="363" t="n"/>
      <c r="AC27" s="363" t="n"/>
      <c r="AD27" s="363" t="n"/>
      <c r="AE27" s="363">
        <f>AE23/1000</f>
        <v/>
      </c>
    </row>
    <row r="28">
      <c r="A28" s="2" t="inlineStr">
        <is>
          <t>Marketing</t>
        </is>
      </c>
      <c r="B28" s="29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95" t="n"/>
      <c r="V28" s="36" t="n"/>
      <c r="W28" s="36" t="n"/>
      <c r="X28" s="36" t="n"/>
      <c r="Y28" s="95" t="n"/>
      <c r="Z28" s="36" t="n"/>
      <c r="AA28" s="36" t="n"/>
      <c r="AB28" s="95" t="n"/>
      <c r="AC28" s="36" t="n"/>
      <c r="AD28" s="36" t="n"/>
      <c r="AE28" s="36" t="n"/>
      <c r="AF28" s="3" t="n"/>
    </row>
    <row r="29">
      <c r="A29" s="28" t="n"/>
      <c r="B29" s="17" t="n"/>
      <c r="AF29" s="25" t="n"/>
    </row>
    <row r="30">
      <c r="A30" s="28" t="inlineStr">
        <is>
          <t>Sales</t>
        </is>
      </c>
      <c r="B30" s="17" t="n"/>
      <c r="AF30" s="25" t="n"/>
    </row>
    <row r="31">
      <c r="A31" s="236" t="inlineStr">
        <is>
          <t>PHCC</t>
        </is>
      </c>
      <c r="B31" s="17" t="inlineStr">
        <is>
          <t>kt</t>
        </is>
      </c>
      <c r="D31" s="344">
        <f>D19</f>
        <v/>
      </c>
      <c r="E31" s="344">
        <f>E19</f>
        <v/>
      </c>
      <c r="F31" s="344">
        <f>F19</f>
        <v/>
      </c>
      <c r="G31" s="344">
        <f>G19</f>
        <v/>
      </c>
      <c r="H31" s="344">
        <f>H19</f>
        <v/>
      </c>
      <c r="I31" s="344">
        <f>I19</f>
        <v/>
      </c>
      <c r="J31" s="344">
        <f>J19</f>
        <v/>
      </c>
      <c r="K31" s="344">
        <f>K19</f>
        <v/>
      </c>
      <c r="L31" s="344">
        <f>L19</f>
        <v/>
      </c>
      <c r="M31" s="344">
        <f>M19</f>
        <v/>
      </c>
      <c r="N31" s="344">
        <f>N19</f>
        <v/>
      </c>
      <c r="O31" s="344">
        <f>O19</f>
        <v/>
      </c>
      <c r="P31" s="344">
        <f>P19</f>
        <v/>
      </c>
      <c r="Q31" s="344">
        <f>Q19</f>
        <v/>
      </c>
      <c r="R31" s="344">
        <f>R19</f>
        <v/>
      </c>
      <c r="S31" s="344">
        <f>S19</f>
        <v/>
      </c>
      <c r="T31" s="344">
        <f>T19</f>
        <v/>
      </c>
      <c r="U31" s="344">
        <f>U19</f>
        <v/>
      </c>
      <c r="V31" s="344">
        <f>V19</f>
        <v/>
      </c>
      <c r="W31" s="344">
        <f>W19</f>
        <v/>
      </c>
      <c r="X31" s="344">
        <f>X19</f>
        <v/>
      </c>
      <c r="Y31" s="344">
        <f>Y19</f>
        <v/>
      </c>
      <c r="Z31" s="344">
        <f>Z19</f>
        <v/>
      </c>
      <c r="AA31" s="344">
        <f>AA19</f>
        <v/>
      </c>
      <c r="AB31" s="344">
        <f>AB19</f>
        <v/>
      </c>
      <c r="AC31" s="344">
        <f>AC19</f>
        <v/>
      </c>
      <c r="AD31" s="344">
        <f>AD19</f>
        <v/>
      </c>
      <c r="AE31" s="344" t="n"/>
      <c r="AF31" s="370">
        <f>SUM(C31:AD31)</f>
        <v/>
      </c>
    </row>
    <row r="32">
      <c r="A32" s="94" t="inlineStr">
        <is>
          <t>88% PHCC</t>
        </is>
      </c>
      <c r="B32" s="17" t="inlineStr">
        <is>
          <t>kt</t>
        </is>
      </c>
      <c r="D32" s="344" t="n">
        <v>0</v>
      </c>
      <c r="E32" s="344" t="n">
        <v>0</v>
      </c>
      <c r="F32" s="344" t="n">
        <v>0</v>
      </c>
      <c r="G32" s="344" t="n">
        <v>0</v>
      </c>
      <c r="H32" s="344" t="n">
        <v>0</v>
      </c>
      <c r="I32" s="344" t="n">
        <v>0</v>
      </c>
      <c r="J32" s="344" t="n">
        <v>0</v>
      </c>
      <c r="K32" s="344" t="n">
        <v>0</v>
      </c>
      <c r="L32" s="344" t="n">
        <v>0</v>
      </c>
      <c r="M32" s="344" t="n">
        <v>0</v>
      </c>
      <c r="N32" s="344" t="n">
        <v>0</v>
      </c>
      <c r="O32" s="344" t="n">
        <v>0</v>
      </c>
      <c r="P32" s="344" t="n">
        <v>0</v>
      </c>
      <c r="Q32" s="344" t="n">
        <v>0</v>
      </c>
      <c r="R32" s="344" t="n">
        <v>0</v>
      </c>
      <c r="S32" s="344" t="n">
        <v>0</v>
      </c>
      <c r="T32" s="344" t="n">
        <v>0</v>
      </c>
      <c r="U32" s="344" t="n">
        <v>0</v>
      </c>
      <c r="V32" s="344" t="n">
        <v>0</v>
      </c>
      <c r="W32" s="344" t="n">
        <v>0</v>
      </c>
      <c r="X32" s="344" t="n">
        <v>0</v>
      </c>
      <c r="Y32" s="344" t="n">
        <v>0</v>
      </c>
      <c r="Z32" s="344" t="n">
        <v>0</v>
      </c>
      <c r="AA32" s="344" t="n">
        <v>0</v>
      </c>
      <c r="AB32" s="344" t="n">
        <v>0</v>
      </c>
      <c r="AC32" s="344" t="n">
        <v>0</v>
      </c>
      <c r="AD32" s="344" t="n">
        <v>0</v>
      </c>
      <c r="AE32" s="344" t="n"/>
      <c r="AF32" s="370">
        <f>SUM(C32:AD32)</f>
        <v/>
      </c>
    </row>
    <row r="33">
      <c r="A33" s="94" t="inlineStr">
        <is>
          <t>Thermal GCN</t>
        </is>
      </c>
      <c r="B33" s="17" t="inlineStr">
        <is>
          <t>kt</t>
        </is>
      </c>
      <c r="D33" s="344" t="n">
        <v>0</v>
      </c>
      <c r="E33" s="344" t="n">
        <v>0</v>
      </c>
      <c r="F33" s="344" t="n">
        <v>0</v>
      </c>
      <c r="G33" s="344" t="n">
        <v>0</v>
      </c>
      <c r="H33" s="344" t="n">
        <v>0</v>
      </c>
      <c r="I33" s="344" t="n">
        <v>0</v>
      </c>
      <c r="J33" s="344" t="n">
        <v>0</v>
      </c>
      <c r="K33" s="344" t="n">
        <v>0</v>
      </c>
      <c r="L33" s="344" t="n">
        <v>0</v>
      </c>
      <c r="M33" s="344" t="n">
        <v>0</v>
      </c>
      <c r="N33" s="344" t="n">
        <v>0</v>
      </c>
      <c r="O33" s="344" t="n">
        <v>0</v>
      </c>
      <c r="P33" s="344" t="n">
        <v>0</v>
      </c>
      <c r="Q33" s="344" t="n">
        <v>0</v>
      </c>
      <c r="R33" s="344" t="n">
        <v>0</v>
      </c>
      <c r="S33" s="344" t="n">
        <v>0</v>
      </c>
      <c r="T33" s="344" t="n">
        <v>0</v>
      </c>
      <c r="U33" s="344" t="n">
        <v>0</v>
      </c>
      <c r="V33" s="344" t="n">
        <v>0</v>
      </c>
      <c r="W33" s="344" t="n">
        <v>0</v>
      </c>
      <c r="X33" s="344" t="n">
        <v>0</v>
      </c>
      <c r="Y33" s="344" t="n">
        <v>0</v>
      </c>
      <c r="Z33" s="344" t="n">
        <v>0</v>
      </c>
      <c r="AA33" s="344" t="n">
        <v>0</v>
      </c>
      <c r="AB33" s="344" t="n">
        <v>0</v>
      </c>
      <c r="AC33" s="344" t="n">
        <v>0</v>
      </c>
      <c r="AD33" s="344" t="n">
        <v>0</v>
      </c>
      <c r="AE33" s="344" t="n"/>
      <c r="AF33" s="370">
        <f>SUM(C33:AD33)</f>
        <v/>
      </c>
    </row>
    <row r="34">
      <c r="A34" s="4" t="inlineStr">
        <is>
          <t>Total Sales</t>
        </is>
      </c>
      <c r="B34" s="17" t="inlineStr">
        <is>
          <t>kt</t>
        </is>
      </c>
      <c r="D34" s="347">
        <f>SUM(D31:D33)</f>
        <v/>
      </c>
      <c r="E34" s="347">
        <f>SUM(E31:E33)</f>
        <v/>
      </c>
      <c r="F34" s="347">
        <f>SUM(F31:F33)</f>
        <v/>
      </c>
      <c r="G34" s="347">
        <f>SUM(G31:G33)</f>
        <v/>
      </c>
      <c r="H34" s="347">
        <f>SUM(H31:H33)</f>
        <v/>
      </c>
      <c r="I34" s="347">
        <f>SUM(I31:I33)</f>
        <v/>
      </c>
      <c r="J34" s="347">
        <f>SUM(J31:J33)</f>
        <v/>
      </c>
      <c r="K34" s="347">
        <f>SUM(K31:K33)</f>
        <v/>
      </c>
      <c r="L34" s="347">
        <f>SUM(L31:L33)</f>
        <v/>
      </c>
      <c r="M34" s="347">
        <f>SUM(M31:M33)</f>
        <v/>
      </c>
      <c r="N34" s="347">
        <f>SUM(N31:N33)</f>
        <v/>
      </c>
      <c r="O34" s="347">
        <f>SUM(O31:O33)</f>
        <v/>
      </c>
      <c r="P34" s="347">
        <f>SUM(P31:P33)</f>
        <v/>
      </c>
      <c r="Q34" s="347">
        <f>SUM(Q31:Q33)</f>
        <v/>
      </c>
      <c r="R34" s="347">
        <f>SUM(R31:R33)</f>
        <v/>
      </c>
      <c r="S34" s="347">
        <f>SUM(S31:S33)</f>
        <v/>
      </c>
      <c r="T34" s="347">
        <f>SUM(T31:T33)</f>
        <v/>
      </c>
      <c r="U34" s="347">
        <f>SUM(U31:U33)</f>
        <v/>
      </c>
      <c r="V34" s="347">
        <f>SUM(V31:V33)</f>
        <v/>
      </c>
      <c r="W34" s="347">
        <f>SUM(W31:W33)</f>
        <v/>
      </c>
      <c r="X34" s="347">
        <f>SUM(X31:X33)</f>
        <v/>
      </c>
      <c r="Y34" s="347">
        <f>SUM(Y31:Y33)</f>
        <v/>
      </c>
      <c r="Z34" s="347">
        <f>SUM(Z31:Z33)</f>
        <v/>
      </c>
      <c r="AA34" s="347">
        <f>SUM(AA31:AA33)</f>
        <v/>
      </c>
      <c r="AB34" s="347">
        <f>SUM(AB31:AB33)</f>
        <v/>
      </c>
      <c r="AC34" s="347">
        <f>SUM(AC31:AC33)</f>
        <v/>
      </c>
      <c r="AD34" s="347">
        <f>SUM(AD31:AD33)</f>
        <v/>
      </c>
      <c r="AE34" s="347">
        <f>SUM(AE31:AE32)</f>
        <v/>
      </c>
      <c r="AF34" s="347">
        <f>SUM(AF31:AF32)</f>
        <v/>
      </c>
    </row>
    <row r="35">
      <c r="A35" s="4" t="n"/>
      <c r="B35" s="17" t="n"/>
      <c r="AF35" s="25" t="n"/>
    </row>
    <row r="36">
      <c r="A36" s="28" t="inlineStr">
        <is>
          <t>Product Ash (as received)</t>
        </is>
      </c>
      <c r="B36" s="17" t="n"/>
      <c r="AF36" s="25" t="n"/>
    </row>
    <row r="37">
      <c r="A37" s="4">
        <f>$A$31</f>
        <v/>
      </c>
      <c r="B37" s="17" t="inlineStr">
        <is>
          <t>%</t>
        </is>
      </c>
      <c r="D37" s="329" t="n">
        <v>0.095</v>
      </c>
      <c r="E37" s="329" t="n">
        <v>0.095</v>
      </c>
      <c r="F37" s="329" t="n">
        <v>0.095</v>
      </c>
      <c r="G37" s="329" t="n">
        <v>0.095</v>
      </c>
      <c r="H37" s="329" t="n">
        <v>0.095</v>
      </c>
      <c r="I37" s="329" t="n">
        <v>0.095</v>
      </c>
      <c r="J37" s="329" t="n">
        <v>0.095</v>
      </c>
      <c r="K37" s="329" t="n">
        <v>0.095</v>
      </c>
      <c r="L37" s="329" t="n">
        <v>0.095</v>
      </c>
      <c r="M37" s="329" t="n">
        <v>0.095</v>
      </c>
      <c r="N37" s="329" t="n">
        <v>0.095</v>
      </c>
      <c r="O37" s="329" t="n">
        <v>0.095</v>
      </c>
      <c r="P37" s="329" t="n">
        <v>0.095</v>
      </c>
      <c r="Q37" s="329" t="n">
        <v>0.095</v>
      </c>
      <c r="R37" s="329" t="n">
        <v>0.095</v>
      </c>
      <c r="S37" s="329" t="n">
        <v>0.095</v>
      </c>
      <c r="T37" s="329" t="n">
        <v>0.095</v>
      </c>
      <c r="U37" s="329" t="n">
        <v>0.095</v>
      </c>
      <c r="V37" s="329" t="n">
        <v>0.095</v>
      </c>
      <c r="W37" s="329" t="n">
        <v>0.095</v>
      </c>
      <c r="X37" s="329" t="n">
        <v>0.095</v>
      </c>
      <c r="Y37" s="329" t="n">
        <v>0.095</v>
      </c>
      <c r="Z37" s="329" t="n">
        <v>0.095</v>
      </c>
      <c r="AA37" s="329" t="n">
        <v>0.095</v>
      </c>
      <c r="AB37" s="329" t="n">
        <v>0.095</v>
      </c>
      <c r="AC37" s="329" t="n">
        <v>0.095</v>
      </c>
      <c r="AD37" s="329" t="n">
        <v>0.095</v>
      </c>
      <c r="AE37" s="329" t="n"/>
      <c r="AF37" s="370" t="n"/>
    </row>
    <row r="38">
      <c r="A38" s="4">
        <f>$A$32</f>
        <v/>
      </c>
      <c r="B38" s="17" t="inlineStr">
        <is>
          <t>%</t>
        </is>
      </c>
      <c r="D38" s="329" t="n">
        <v>0</v>
      </c>
      <c r="E38" s="329" t="n">
        <v>0</v>
      </c>
      <c r="F38" s="329" t="n">
        <v>0</v>
      </c>
      <c r="G38" s="329" t="n">
        <v>0</v>
      </c>
      <c r="H38" s="329" t="n">
        <v>0</v>
      </c>
      <c r="I38" s="329" t="n">
        <v>0</v>
      </c>
      <c r="J38" s="329" t="n">
        <v>0</v>
      </c>
      <c r="K38" s="329" t="n">
        <v>0</v>
      </c>
      <c r="L38" s="329" t="n">
        <v>0</v>
      </c>
      <c r="M38" s="329" t="n">
        <v>0</v>
      </c>
      <c r="N38" s="329" t="n">
        <v>0</v>
      </c>
      <c r="O38" s="329" t="n">
        <v>0</v>
      </c>
      <c r="P38" s="329" t="n">
        <v>0</v>
      </c>
      <c r="Q38" s="329" t="n">
        <v>0</v>
      </c>
      <c r="R38" s="329" t="n">
        <v>0</v>
      </c>
      <c r="S38" s="329" t="n">
        <v>0</v>
      </c>
      <c r="T38" s="329" t="n">
        <v>0</v>
      </c>
      <c r="U38" s="329" t="n">
        <v>0</v>
      </c>
      <c r="V38" s="329" t="n">
        <v>0</v>
      </c>
      <c r="W38" s="329" t="n">
        <v>0</v>
      </c>
      <c r="X38" s="329" t="n">
        <v>0</v>
      </c>
      <c r="Y38" s="329" t="n">
        <v>0</v>
      </c>
      <c r="Z38" s="329" t="n">
        <v>0</v>
      </c>
      <c r="AA38" s="329" t="n">
        <v>0</v>
      </c>
      <c r="AB38" s="329" t="n">
        <v>0</v>
      </c>
      <c r="AC38" s="329" t="n">
        <v>0</v>
      </c>
      <c r="AD38" s="329" t="n">
        <v>0</v>
      </c>
      <c r="AE38" s="329" t="n"/>
      <c r="AF38" s="370" t="n"/>
    </row>
    <row r="39">
      <c r="A39" s="4" t="inlineStr">
        <is>
          <t>Thermal GCN</t>
        </is>
      </c>
      <c r="B39" s="17" t="inlineStr">
        <is>
          <t>%</t>
        </is>
      </c>
      <c r="D39" s="329" t="n">
        <v>0</v>
      </c>
      <c r="E39" s="329" t="n">
        <v>0</v>
      </c>
      <c r="F39" s="329" t="n">
        <v>0</v>
      </c>
      <c r="G39" s="329" t="n">
        <v>0</v>
      </c>
      <c r="H39" s="329" t="n">
        <v>0</v>
      </c>
      <c r="I39" s="329" t="n">
        <v>0</v>
      </c>
      <c r="J39" s="329" t="n">
        <v>0</v>
      </c>
      <c r="K39" s="329" t="n">
        <v>0</v>
      </c>
      <c r="L39" s="329" t="n">
        <v>0</v>
      </c>
      <c r="M39" s="329" t="n">
        <v>0</v>
      </c>
      <c r="N39" s="329" t="n">
        <v>0</v>
      </c>
      <c r="O39" s="329" t="n">
        <v>0</v>
      </c>
      <c r="P39" s="329" t="n">
        <v>0</v>
      </c>
      <c r="Q39" s="329" t="n">
        <v>0</v>
      </c>
      <c r="R39" s="329" t="n">
        <v>0</v>
      </c>
      <c r="S39" s="329" t="n">
        <v>0</v>
      </c>
      <c r="T39" s="329" t="n">
        <v>0</v>
      </c>
      <c r="U39" s="329" t="n">
        <v>0</v>
      </c>
      <c r="V39" s="329" t="n">
        <v>0</v>
      </c>
      <c r="W39" s="329" t="n">
        <v>0</v>
      </c>
      <c r="X39" s="329" t="n">
        <v>0</v>
      </c>
      <c r="Y39" s="329" t="n">
        <v>0</v>
      </c>
      <c r="Z39" s="329" t="n">
        <v>0</v>
      </c>
      <c r="AA39" s="329" t="n">
        <v>0</v>
      </c>
      <c r="AB39" s="329" t="n">
        <v>0</v>
      </c>
      <c r="AC39" s="329" t="n">
        <v>0</v>
      </c>
      <c r="AD39" s="329" t="n">
        <v>0</v>
      </c>
      <c r="AE39" s="329" t="n"/>
      <c r="AF39" s="370" t="n"/>
    </row>
    <row r="40">
      <c r="A40" s="4" t="n"/>
      <c r="B40" s="17" t="n"/>
      <c r="AF40" s="25" t="n"/>
    </row>
    <row r="41">
      <c r="A41" s="28" t="inlineStr">
        <is>
          <t>Product Energy (gar)</t>
        </is>
      </c>
      <c r="B41" s="17" t="n"/>
      <c r="AF41" s="25" t="n"/>
    </row>
    <row r="42">
      <c r="A42" s="4">
        <f>$A$31</f>
        <v/>
      </c>
      <c r="B42" s="17" t="inlineStr">
        <is>
          <t>kcal/kg(gar)</t>
        </is>
      </c>
      <c r="D42" s="384" t="n">
        <v>6314.04559737297</v>
      </c>
      <c r="E42" s="384" t="n">
        <v>6296.32286314153</v>
      </c>
      <c r="F42" s="384" t="n">
        <v>6328.707701859837</v>
      </c>
      <c r="G42" s="384" t="n">
        <v>6280.356565205053</v>
      </c>
      <c r="H42" s="384" t="n">
        <v>6305.426739913158</v>
      </c>
      <c r="I42" s="384" t="n"/>
      <c r="J42" s="384" t="n"/>
      <c r="K42" s="323" t="n"/>
      <c r="L42" s="323" t="n"/>
      <c r="M42" s="323" t="n"/>
      <c r="N42" s="323" t="n"/>
      <c r="O42" s="323" t="n"/>
      <c r="P42" s="323" t="n"/>
      <c r="Q42" s="323" t="n"/>
      <c r="R42" s="323" t="n"/>
      <c r="S42" s="323" t="n"/>
      <c r="T42" s="323" t="n"/>
      <c r="U42" s="323" t="n"/>
      <c r="V42" s="323" t="n"/>
      <c r="W42" s="323" t="n"/>
      <c r="X42" s="323" t="n"/>
      <c r="Y42" s="323" t="n"/>
      <c r="Z42" s="323" t="n"/>
      <c r="AA42" s="323" t="n"/>
      <c r="AB42" s="323" t="n"/>
      <c r="AC42" s="323" t="n"/>
      <c r="AD42" s="323" t="n"/>
      <c r="AE42" s="323" t="n"/>
      <c r="AF42" s="370" t="n"/>
    </row>
    <row r="43">
      <c r="A43" s="4">
        <f>$A$32</f>
        <v/>
      </c>
      <c r="B43" s="17" t="inlineStr">
        <is>
          <t>kcal/kg(gar)</t>
        </is>
      </c>
      <c r="D43" s="323" t="n">
        <v>0</v>
      </c>
      <c r="E43" s="323" t="n">
        <v>0</v>
      </c>
      <c r="F43" s="323" t="n">
        <v>0</v>
      </c>
      <c r="G43" s="323" t="n">
        <v>0</v>
      </c>
      <c r="H43" s="323" t="n">
        <v>0</v>
      </c>
      <c r="I43" s="323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3" t="n">
        <v>0</v>
      </c>
      <c r="P43" s="323" t="n">
        <v>0</v>
      </c>
      <c r="Q43" s="323" t="n">
        <v>0</v>
      </c>
      <c r="R43" s="323" t="n">
        <v>0</v>
      </c>
      <c r="S43" s="323" t="n">
        <v>0</v>
      </c>
      <c r="T43" s="323" t="n">
        <v>0</v>
      </c>
      <c r="U43" s="323" t="n">
        <v>0</v>
      </c>
      <c r="V43" s="323" t="n">
        <v>0</v>
      </c>
      <c r="W43" s="323" t="n">
        <v>0</v>
      </c>
      <c r="X43" s="323" t="n">
        <v>0</v>
      </c>
      <c r="Y43" s="323" t="n">
        <v>0</v>
      </c>
      <c r="Z43" s="323" t="n">
        <v>0</v>
      </c>
      <c r="AA43" s="323" t="n">
        <v>0</v>
      </c>
      <c r="AB43" s="323" t="n">
        <v>0</v>
      </c>
      <c r="AC43" s="323" t="n">
        <v>0</v>
      </c>
      <c r="AD43" s="323" t="n">
        <v>0</v>
      </c>
      <c r="AE43" s="323" t="n"/>
      <c r="AF43" s="370" t="n"/>
    </row>
    <row r="44">
      <c r="A44" s="4" t="inlineStr">
        <is>
          <t>Thermal GCN</t>
        </is>
      </c>
      <c r="B44" s="17" t="inlineStr">
        <is>
          <t>kcal/kg(gar)</t>
        </is>
      </c>
      <c r="D44" s="323" t="n">
        <v>0</v>
      </c>
      <c r="E44" s="323" t="n">
        <v>0</v>
      </c>
      <c r="F44" s="323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3" t="n">
        <v>0</v>
      </c>
      <c r="P44" s="323" t="n">
        <v>0</v>
      </c>
      <c r="Q44" s="323" t="n">
        <v>0</v>
      </c>
      <c r="R44" s="323" t="n">
        <v>0</v>
      </c>
      <c r="S44" s="323" t="n">
        <v>0</v>
      </c>
      <c r="T44" s="323" t="n">
        <v>0</v>
      </c>
      <c r="U44" s="323" t="n">
        <v>0</v>
      </c>
      <c r="V44" s="323" t="n">
        <v>0</v>
      </c>
      <c r="W44" s="323" t="n">
        <v>0</v>
      </c>
      <c r="X44" s="323" t="n">
        <v>0</v>
      </c>
      <c r="Y44" s="323" t="n">
        <v>0</v>
      </c>
      <c r="Z44" s="323" t="n">
        <v>0</v>
      </c>
      <c r="AA44" s="323" t="n">
        <v>0</v>
      </c>
      <c r="AB44" s="323" t="n">
        <v>0</v>
      </c>
      <c r="AC44" s="323" t="n">
        <v>0</v>
      </c>
      <c r="AD44" s="323" t="n">
        <v>0</v>
      </c>
      <c r="AE44" s="323" t="n"/>
      <c r="AF44" s="370" t="n"/>
    </row>
    <row r="45">
      <c r="A45" s="4" t="n"/>
      <c r="B45" s="17" t="n"/>
      <c r="D45" s="323" t="n"/>
      <c r="E45" s="323" t="n"/>
      <c r="F45" s="323" t="n"/>
      <c r="G45" s="323" t="n"/>
      <c r="H45" s="323" t="n"/>
      <c r="I45" s="323" t="n"/>
      <c r="J45" s="323" t="n"/>
      <c r="K45" s="323" t="n"/>
      <c r="L45" s="323" t="n"/>
      <c r="M45" s="323" t="n"/>
      <c r="N45" s="323" t="n"/>
      <c r="O45" s="323" t="n"/>
      <c r="P45" s="323" t="n"/>
      <c r="Q45" s="323" t="n"/>
      <c r="R45" s="323" t="n"/>
      <c r="S45" s="323" t="n"/>
      <c r="T45" s="323" t="n"/>
      <c r="U45" s="323" t="n"/>
      <c r="V45" s="323" t="n"/>
      <c r="W45" s="323" t="n"/>
      <c r="X45" s="323" t="n"/>
      <c r="Y45" s="323" t="n"/>
      <c r="Z45" s="323" t="n"/>
      <c r="AA45" s="323" t="n"/>
      <c r="AB45" s="323" t="n"/>
      <c r="AC45" s="323" t="n"/>
      <c r="AD45" s="323" t="n"/>
      <c r="AE45" s="323" t="n"/>
      <c r="AF45" s="370" t="n"/>
    </row>
    <row r="46">
      <c r="A46" s="4" t="inlineStr">
        <is>
          <t>GAR-&gt; NAR adjustment</t>
        </is>
      </c>
      <c r="B46" s="17" t="n"/>
      <c r="D46" s="323">
        <f>Assumptions!$B$16</f>
        <v/>
      </c>
      <c r="E46" s="323">
        <f>Assumptions!$B$16</f>
        <v/>
      </c>
      <c r="F46" s="323">
        <f>Assumptions!$B$16</f>
        <v/>
      </c>
      <c r="G46" s="323">
        <f>Assumptions!$B$16</f>
        <v/>
      </c>
      <c r="H46" s="323">
        <f>Assumptions!$B$16</f>
        <v/>
      </c>
      <c r="I46" s="323">
        <f>Assumptions!$B$16</f>
        <v/>
      </c>
      <c r="J46" s="323">
        <f>Assumptions!$B$16</f>
        <v/>
      </c>
      <c r="K46" s="323">
        <f>Assumptions!$B$16</f>
        <v/>
      </c>
      <c r="L46" s="323">
        <f>Assumptions!$B$16</f>
        <v/>
      </c>
      <c r="M46" s="323">
        <f>Assumptions!$B$16</f>
        <v/>
      </c>
      <c r="N46" s="323">
        <f>Assumptions!$B$16</f>
        <v/>
      </c>
      <c r="O46" s="323">
        <f>Assumptions!$B$16</f>
        <v/>
      </c>
      <c r="P46" s="323">
        <f>Assumptions!$B$16</f>
        <v/>
      </c>
      <c r="Q46" s="323">
        <f>Assumptions!$B$16</f>
        <v/>
      </c>
      <c r="R46" s="323">
        <f>Assumptions!$B$16</f>
        <v/>
      </c>
      <c r="S46" s="323">
        <f>Assumptions!$B$16</f>
        <v/>
      </c>
      <c r="T46" s="323">
        <f>Assumptions!$B$16</f>
        <v/>
      </c>
      <c r="U46" s="323">
        <f>Assumptions!$B$16</f>
        <v/>
      </c>
      <c r="V46" s="323">
        <f>Assumptions!$B$16</f>
        <v/>
      </c>
      <c r="W46" s="323">
        <f>Assumptions!$B$16</f>
        <v/>
      </c>
      <c r="X46" s="323">
        <f>Assumptions!$B$16</f>
        <v/>
      </c>
      <c r="Y46" s="323">
        <f>Assumptions!$B$16</f>
        <v/>
      </c>
      <c r="Z46" s="323">
        <f>Assumptions!$B$16</f>
        <v/>
      </c>
      <c r="AA46" s="323">
        <f>Assumptions!$B$16</f>
        <v/>
      </c>
      <c r="AB46" s="323">
        <f>Assumptions!$B$16</f>
        <v/>
      </c>
      <c r="AC46" s="323">
        <f>Assumptions!$B$16</f>
        <v/>
      </c>
      <c r="AD46" s="323">
        <f>Assumptions!$B$16</f>
        <v/>
      </c>
      <c r="AE46" s="323" t="n"/>
      <c r="AF46" s="370" t="n"/>
    </row>
    <row r="47">
      <c r="A47" t="inlineStr">
        <is>
          <t>Basis of coal prices</t>
        </is>
      </c>
      <c r="B47" s="17" t="n"/>
      <c r="D47" s="323">
        <f>Assumptions!$B$17</f>
        <v/>
      </c>
      <c r="E47" s="323">
        <f>Assumptions!$B$17</f>
        <v/>
      </c>
      <c r="F47" s="323">
        <f>Assumptions!$B$17</f>
        <v/>
      </c>
      <c r="G47" s="323">
        <f>Assumptions!$B$17</f>
        <v/>
      </c>
      <c r="H47" s="323">
        <f>Assumptions!$B$17</f>
        <v/>
      </c>
      <c r="I47" s="323">
        <f>Assumptions!$B$17</f>
        <v/>
      </c>
      <c r="J47" s="323">
        <f>Assumptions!$B$17</f>
        <v/>
      </c>
      <c r="K47" s="323">
        <f>Assumptions!$B$17</f>
        <v/>
      </c>
      <c r="L47" s="323">
        <f>Assumptions!$B$17</f>
        <v/>
      </c>
      <c r="M47" s="323">
        <f>Assumptions!$B$17</f>
        <v/>
      </c>
      <c r="N47" s="323">
        <f>Assumptions!$B$17</f>
        <v/>
      </c>
      <c r="O47" s="323">
        <f>Assumptions!$B$17</f>
        <v/>
      </c>
      <c r="P47" s="323">
        <f>Assumptions!$B$17</f>
        <v/>
      </c>
      <c r="Q47" s="323">
        <f>Assumptions!$B$17</f>
        <v/>
      </c>
      <c r="R47" s="323">
        <f>Assumptions!$B$17</f>
        <v/>
      </c>
      <c r="S47" s="323">
        <f>Assumptions!$B$17</f>
        <v/>
      </c>
      <c r="T47" s="323">
        <f>Assumptions!$B$17</f>
        <v/>
      </c>
      <c r="U47" s="323">
        <f>Assumptions!$B$17</f>
        <v/>
      </c>
      <c r="V47" s="323">
        <f>Assumptions!$B$17</f>
        <v/>
      </c>
      <c r="W47" s="323">
        <f>Assumptions!$B$17</f>
        <v/>
      </c>
      <c r="X47" s="323">
        <f>Assumptions!$B$17</f>
        <v/>
      </c>
      <c r="Y47" s="323">
        <f>Assumptions!$B$17</f>
        <v/>
      </c>
      <c r="Z47" s="323">
        <f>Assumptions!$B$17</f>
        <v/>
      </c>
      <c r="AA47" s="323">
        <f>Assumptions!$B$17</f>
        <v/>
      </c>
      <c r="AB47" s="323">
        <f>Assumptions!$B$17</f>
        <v/>
      </c>
      <c r="AC47" s="323">
        <f>Assumptions!$B$17</f>
        <v/>
      </c>
      <c r="AD47" s="323">
        <f>Assumptions!$B$17</f>
        <v/>
      </c>
      <c r="AE47" s="323" t="n"/>
      <c r="AF47" s="370" t="n"/>
    </row>
    <row r="48">
      <c r="B48" s="17" t="n"/>
      <c r="D48" s="323" t="n"/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23" t="n"/>
      <c r="N48" s="323" t="n"/>
      <c r="O48" s="323" t="n"/>
      <c r="P48" s="323" t="n"/>
      <c r="Q48" s="323" t="n"/>
      <c r="R48" s="323" t="n"/>
      <c r="S48" s="323" t="n"/>
      <c r="T48" s="323" t="n"/>
      <c r="U48" s="323" t="n"/>
      <c r="V48" s="323" t="n"/>
      <c r="W48" s="323" t="n"/>
      <c r="X48" s="323" t="n"/>
      <c r="Y48" s="323" t="n"/>
      <c r="Z48" s="323" t="n"/>
      <c r="AA48" s="323" t="n"/>
      <c r="AB48" s="323" t="n"/>
      <c r="AC48" s="323" t="n"/>
      <c r="AD48" s="323" t="n"/>
      <c r="AE48" s="323" t="n"/>
      <c r="AF48" s="370" t="n"/>
    </row>
    <row r="49">
      <c r="A49" s="28" t="inlineStr">
        <is>
          <t>Product Energy (nar)</t>
        </is>
      </c>
      <c r="B49" s="17" t="n"/>
      <c r="D49" s="323" t="n"/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23" t="n"/>
      <c r="N49" s="323" t="n"/>
      <c r="O49" s="323" t="n"/>
      <c r="P49" s="323" t="n"/>
      <c r="Q49" s="323" t="n"/>
      <c r="R49" s="323" t="n"/>
      <c r="S49" s="323" t="n"/>
      <c r="T49" s="323" t="n"/>
      <c r="U49" s="323" t="n"/>
      <c r="V49" s="323" t="n"/>
      <c r="W49" s="323" t="n"/>
      <c r="X49" s="323" t="n"/>
      <c r="Y49" s="323" t="n"/>
      <c r="Z49" s="323" t="n"/>
      <c r="AA49" s="323" t="n"/>
      <c r="AB49" s="323" t="n"/>
      <c r="AC49" s="323" t="n"/>
      <c r="AD49" s="323" t="n"/>
      <c r="AE49" s="323" t="n"/>
      <c r="AF49" s="370" t="n"/>
    </row>
    <row r="50">
      <c r="A50" s="4">
        <f>$A$31</f>
        <v/>
      </c>
      <c r="B50" s="17" t="inlineStr">
        <is>
          <t>kcal/kg(nar)</t>
        </is>
      </c>
      <c r="D50" s="323">
        <f>IF(D31&gt;0,D42-D$46,0)</f>
        <v/>
      </c>
      <c r="E50" s="323">
        <f>IF(E31&gt;0,E42-E$46,0)</f>
        <v/>
      </c>
      <c r="F50" s="323">
        <f>IF(F31&gt;0,F42-F$46,0)</f>
        <v/>
      </c>
      <c r="G50" s="323">
        <f>IF(G31&gt;0,G42-G$46,0)</f>
        <v/>
      </c>
      <c r="H50" s="323">
        <f>IF(H31&gt;0,H42-H$46,0)</f>
        <v/>
      </c>
      <c r="I50" s="323">
        <f>IF(I31&gt;0,I42-I$46,0)</f>
        <v/>
      </c>
      <c r="J50" s="323">
        <f>IF(J31&gt;0,J42-J$46,0)</f>
        <v/>
      </c>
      <c r="K50" s="323">
        <f>IF(K31&gt;0,K42-K$46,0)</f>
        <v/>
      </c>
      <c r="L50" s="323">
        <f>IF(L31&gt;0,L42-L$46,0)</f>
        <v/>
      </c>
      <c r="M50" s="323">
        <f>IF(M31&gt;0,M42-M$46,0)</f>
        <v/>
      </c>
      <c r="N50" s="323">
        <f>IF(N31&gt;0,N42-N$46,0)</f>
        <v/>
      </c>
      <c r="O50" s="323">
        <f>IF(O31&gt;0,O42-O$46,0)</f>
        <v/>
      </c>
      <c r="P50" s="323">
        <f>IF(P31&gt;0,P42-P$46,0)</f>
        <v/>
      </c>
      <c r="Q50" s="323">
        <f>IF(Q31&gt;0,Q42-Q$46,0)</f>
        <v/>
      </c>
      <c r="R50" s="323">
        <f>IF(R31&gt;0,R42-R$46,0)</f>
        <v/>
      </c>
      <c r="S50" s="323">
        <f>IF(S31&gt;0,S42-S$46,0)</f>
        <v/>
      </c>
      <c r="T50" s="323">
        <f>IF(T31&gt;0,T42-T$46,0)</f>
        <v/>
      </c>
      <c r="U50" s="323">
        <f>IF(U31&gt;0,U42-U$46,0)</f>
        <v/>
      </c>
      <c r="V50" s="323">
        <f>IF(V31&gt;0,V42-V$46,0)</f>
        <v/>
      </c>
      <c r="W50" s="323">
        <f>IF(W31&gt;0,W42-W$46,0)</f>
        <v/>
      </c>
      <c r="X50" s="323">
        <f>IF(X31&gt;0,X42-X$46,0)</f>
        <v/>
      </c>
      <c r="Y50" s="323">
        <f>IF(Y31&gt;0,Y42-Y$46,0)</f>
        <v/>
      </c>
      <c r="Z50" s="323">
        <f>IF(Z31&gt;0,Z42-Z$46,0)</f>
        <v/>
      </c>
      <c r="AA50" s="323">
        <f>IF(AA31&gt;0,AA42-AA$46,0)</f>
        <v/>
      </c>
      <c r="AB50" s="323">
        <f>IF(AB31&gt;0,AB42-AB$46,0)</f>
        <v/>
      </c>
      <c r="AC50" s="323">
        <f>IF(AC31&gt;0,AC42-AC$46,0)</f>
        <v/>
      </c>
      <c r="AD50" s="323">
        <f>IF(AD31&gt;0,AD42-AD$46,0)</f>
        <v/>
      </c>
      <c r="AE50" s="323" t="n"/>
      <c r="AF50" s="370" t="n"/>
    </row>
    <row r="51">
      <c r="A51" s="4">
        <f>$A$32</f>
        <v/>
      </c>
      <c r="B51" s="17" t="inlineStr">
        <is>
          <t>kcal/kg(nar)</t>
        </is>
      </c>
      <c r="D51" s="323">
        <f>IF(D32&gt;0,D43-D$46,0)</f>
        <v/>
      </c>
      <c r="E51" s="323">
        <f>IF(E32&gt;0,E43-E$46,0)</f>
        <v/>
      </c>
      <c r="F51" s="323">
        <f>IF(F32&gt;0,F43-F$46,0)</f>
        <v/>
      </c>
      <c r="G51" s="323">
        <f>IF(G32&gt;0,G43-G$46,0)</f>
        <v/>
      </c>
      <c r="H51" s="323">
        <f>IF(H32&gt;0,H43-H$46,0)</f>
        <v/>
      </c>
      <c r="I51" s="323">
        <f>IF(I32&gt;0,I43-I$46,0)</f>
        <v/>
      </c>
      <c r="J51" s="323">
        <f>IF(J32&gt;0,J43-J$46,0)</f>
        <v/>
      </c>
      <c r="K51" s="323">
        <f>IF(K32&gt;0,K43-K$46,0)</f>
        <v/>
      </c>
      <c r="L51" s="323">
        <f>IF(L32&gt;0,L43-L$46,0)</f>
        <v/>
      </c>
      <c r="M51" s="323">
        <f>IF(M32&gt;0,M43-M$46,0)</f>
        <v/>
      </c>
      <c r="N51" s="323">
        <f>IF(N32&gt;0,N43-N$46,0)</f>
        <v/>
      </c>
      <c r="O51" s="323">
        <f>IF(O32&gt;0,O43-O$46,0)</f>
        <v/>
      </c>
      <c r="P51" s="323">
        <f>IF(P32&gt;0,P43-P$46,0)</f>
        <v/>
      </c>
      <c r="Q51" s="323">
        <f>IF(Q32&gt;0,Q43-Q$46,0)</f>
        <v/>
      </c>
      <c r="R51" s="323">
        <f>IF(R32&gt;0,R43-R$46,0)</f>
        <v/>
      </c>
      <c r="S51" s="323">
        <f>IF(S32&gt;0,S43-S$46,0)</f>
        <v/>
      </c>
      <c r="T51" s="323">
        <f>IF(T32&gt;0,T43-T$46,0)</f>
        <v/>
      </c>
      <c r="U51" s="323">
        <f>IF(U32&gt;0,U43-U$46,0)</f>
        <v/>
      </c>
      <c r="V51" s="323">
        <f>IF(V32&gt;0,V43-V$46,0)</f>
        <v/>
      </c>
      <c r="W51" s="323">
        <f>IF(W32&gt;0,W43-W$46,0)</f>
        <v/>
      </c>
      <c r="X51" s="323">
        <f>IF(X32&gt;0,X43-X$46,0)</f>
        <v/>
      </c>
      <c r="Y51" s="323">
        <f>IF(Y32&gt;0,Y43-Y$46,0)</f>
        <v/>
      </c>
      <c r="Z51" s="323">
        <f>IF(Z32&gt;0,Z43-Z$46,0)</f>
        <v/>
      </c>
      <c r="AA51" s="323">
        <f>IF(AA32&gt;0,AA43-AA$46,0)</f>
        <v/>
      </c>
      <c r="AB51" s="323">
        <f>IF(AB32&gt;0,AB43-AB$46,0)</f>
        <v/>
      </c>
      <c r="AC51" s="323">
        <f>IF(AC32&gt;0,AC43-AC$46,0)</f>
        <v/>
      </c>
      <c r="AD51" s="323">
        <f>IF(AD32&gt;0,AD43-AD$46,0)</f>
        <v/>
      </c>
      <c r="AE51" s="323" t="n"/>
      <c r="AF51" s="370" t="n"/>
    </row>
    <row r="52">
      <c r="A52" s="4" t="inlineStr">
        <is>
          <t>Thermal GCN</t>
        </is>
      </c>
      <c r="B52" s="17" t="inlineStr">
        <is>
          <t>kcal/kg(nar)</t>
        </is>
      </c>
      <c r="D52" s="323">
        <f>IF(D33&gt;0,D44-D$46,0)</f>
        <v/>
      </c>
      <c r="E52" s="323">
        <f>IF(E33&gt;0,E44-E$46,0)</f>
        <v/>
      </c>
      <c r="F52" s="323">
        <f>IF(F33&gt;0,F44-F$46,0)</f>
        <v/>
      </c>
      <c r="G52" s="323">
        <f>IF(G33&gt;0,G44-G$46,0)</f>
        <v/>
      </c>
      <c r="H52" s="323">
        <f>IF(H33&gt;0,H44-H$46,0)</f>
        <v/>
      </c>
      <c r="I52" s="323">
        <f>IF(I33&gt;0,I44-I$46,0)</f>
        <v/>
      </c>
      <c r="J52" s="323">
        <f>IF(J33&gt;0,J44-J$46,0)</f>
        <v/>
      </c>
      <c r="K52" s="323">
        <f>IF(K33&gt;0,K44-K$46,0)</f>
        <v/>
      </c>
      <c r="L52" s="323">
        <f>IF(L33&gt;0,L44-L$46,0)</f>
        <v/>
      </c>
      <c r="M52" s="323">
        <f>IF(M33&gt;0,M44-M$46,0)</f>
        <v/>
      </c>
      <c r="N52" s="323">
        <f>IF(N33&gt;0,N44-N$46,0)</f>
        <v/>
      </c>
      <c r="O52" s="323">
        <f>IF(O33&gt;0,O44-O$46,0)</f>
        <v/>
      </c>
      <c r="P52" s="323">
        <f>IF(P33&gt;0,P44-P$46,0)</f>
        <v/>
      </c>
      <c r="Q52" s="323">
        <f>IF(Q33&gt;0,Q44-Q$46,0)</f>
        <v/>
      </c>
      <c r="R52" s="323">
        <f>IF(R33&gt;0,R44-R$46,0)</f>
        <v/>
      </c>
      <c r="S52" s="323">
        <f>IF(S33&gt;0,S44-S$46,0)</f>
        <v/>
      </c>
      <c r="T52" s="323">
        <f>IF(T33&gt;0,T44-T$46,0)</f>
        <v/>
      </c>
      <c r="U52" s="323">
        <f>IF(U33&gt;0,U44-U$46,0)</f>
        <v/>
      </c>
      <c r="V52" s="323">
        <f>IF(V33&gt;0,V44-V$46,0)</f>
        <v/>
      </c>
      <c r="W52" s="323">
        <f>IF(W33&gt;0,W44-W$46,0)</f>
        <v/>
      </c>
      <c r="X52" s="323">
        <f>IF(X33&gt;0,X44-X$46,0)</f>
        <v/>
      </c>
      <c r="Y52" s="323">
        <f>IF(Y33&gt;0,Y44-Y$46,0)</f>
        <v/>
      </c>
      <c r="Z52" s="323">
        <f>IF(Z33&gt;0,Z44-Z$46,0)</f>
        <v/>
      </c>
      <c r="AA52" s="323">
        <f>IF(AA33&gt;0,AA44-AA$46,0)</f>
        <v/>
      </c>
      <c r="AB52" s="323">
        <f>IF(AB33&gt;0,AB44-AB$46,0)</f>
        <v/>
      </c>
      <c r="AC52" s="323">
        <f>IF(AC33&gt;0,AC44-AC$46,0)</f>
        <v/>
      </c>
      <c r="AD52" s="323">
        <f>IF(AD33&gt;0,AD44-AD$46,0)</f>
        <v/>
      </c>
      <c r="AE52" s="323" t="n"/>
      <c r="AF52" s="370" t="n"/>
    </row>
    <row r="53">
      <c r="A53" s="4" t="n"/>
      <c r="B53" s="17" t="n"/>
      <c r="D53" s="323" t="n"/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23" t="n"/>
      <c r="N53" s="323" t="n"/>
      <c r="O53" s="323" t="n"/>
      <c r="P53" s="323" t="n"/>
      <c r="Q53" s="323" t="n"/>
      <c r="R53" s="323" t="n"/>
      <c r="S53" s="323" t="n"/>
      <c r="T53" s="323" t="n"/>
      <c r="U53" s="323" t="n"/>
      <c r="V53" s="323" t="n"/>
      <c r="W53" s="323" t="n"/>
      <c r="X53" s="323" t="n"/>
      <c r="Y53" s="323" t="n"/>
      <c r="Z53" s="323" t="n"/>
      <c r="AA53" s="323" t="n"/>
      <c r="AB53" s="323" t="n"/>
      <c r="AC53" s="323" t="n"/>
      <c r="AD53" s="323" t="n"/>
      <c r="AE53" s="323" t="n"/>
      <c r="AF53" s="370" t="n"/>
    </row>
    <row r="54">
      <c r="A54" s="28" t="inlineStr">
        <is>
          <t>Realised Price</t>
        </is>
      </c>
      <c r="B54" s="17" t="n"/>
      <c r="D54" s="323" t="n"/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23" t="n"/>
      <c r="N54" s="323" t="n"/>
      <c r="O54" s="323" t="n"/>
      <c r="P54" s="323" t="n"/>
      <c r="Q54" s="323" t="n"/>
      <c r="R54" s="323" t="n"/>
      <c r="S54" s="323" t="n"/>
      <c r="T54" s="323" t="n"/>
      <c r="U54" s="323" t="n"/>
      <c r="V54" s="323" t="n"/>
      <c r="W54" s="323" t="n"/>
      <c r="X54" s="323" t="n"/>
      <c r="Y54" s="323" t="n"/>
      <c r="Z54" s="323" t="n"/>
      <c r="AA54" s="323" t="n"/>
      <c r="AB54" s="323" t="n"/>
      <c r="AC54" s="323" t="n"/>
      <c r="AD54" s="323" t="n"/>
      <c r="AE54" s="323" t="n"/>
      <c r="AF54" s="370" t="n"/>
    </row>
    <row r="55">
      <c r="A55" s="4">
        <f>$A$31</f>
        <v/>
      </c>
      <c r="B55" s="17" t="inlineStr">
        <is>
          <t>USD/t</t>
        </is>
      </c>
      <c r="D55" s="323">
        <f>IF(D31&gt;0,Assumptions!J6,0)</f>
        <v/>
      </c>
      <c r="E55" s="323">
        <f>IF(E31&gt;0,Assumptions!K6,0)</f>
        <v/>
      </c>
      <c r="F55" s="323">
        <f>IF(F31&gt;0,Assumptions!L6,0)</f>
        <v/>
      </c>
      <c r="G55" s="323">
        <f>IF(G31&gt;0,Assumptions!M6,0)</f>
        <v/>
      </c>
      <c r="H55" s="323">
        <f>IF(H31&gt;0,Assumptions!N6,0)</f>
        <v/>
      </c>
      <c r="I55" s="323">
        <f>IF(I31&gt;0,Assumptions!O6,0)</f>
        <v/>
      </c>
      <c r="J55" s="323">
        <f>IF(J31&gt;0,Assumptions!P6,0)</f>
        <v/>
      </c>
      <c r="K55" s="323">
        <f>IF(K31&gt;0,Assumptions!Q6,0)</f>
        <v/>
      </c>
      <c r="L55" s="323">
        <f>IF(L31&gt;0,Assumptions!R6,0)</f>
        <v/>
      </c>
      <c r="M55" s="323">
        <f>IF(M31&gt;0,Assumptions!S6,0)</f>
        <v/>
      </c>
      <c r="N55" s="323">
        <f>IF(N31&gt;0,Assumptions!T6,0)</f>
        <v/>
      </c>
      <c r="O55" s="323">
        <f>IF(O31&gt;0,Assumptions!U6,0)</f>
        <v/>
      </c>
      <c r="P55" s="323">
        <f>IF(P31&gt;0,Assumptions!V6,0)</f>
        <v/>
      </c>
      <c r="Q55" s="323">
        <f>IF(Q31&gt;0,Assumptions!W6,0)</f>
        <v/>
      </c>
      <c r="R55" s="323">
        <f>IF(R31&gt;0,Assumptions!X6,0)</f>
        <v/>
      </c>
      <c r="S55" s="323">
        <f>IF(S31&gt;0,Assumptions!Y6,0)</f>
        <v/>
      </c>
      <c r="T55" s="323">
        <f>IF(T31&gt;0,Assumptions!Z6,0)</f>
        <v/>
      </c>
      <c r="U55" s="323">
        <f>IF(U31&gt;0,Assumptions!AA6,0)</f>
        <v/>
      </c>
      <c r="V55" s="323">
        <f>IF(V31&gt;0,Assumptions!AB6,0)</f>
        <v/>
      </c>
      <c r="W55" s="323">
        <f>IF(W31&gt;0,Assumptions!AC6,0)</f>
        <v/>
      </c>
      <c r="X55" s="323">
        <f>IF(X31&gt;0,Assumptions!AD6,0)</f>
        <v/>
      </c>
      <c r="Y55" s="323">
        <f>IF(Y31&gt;0,Assumptions!AE6,0)</f>
        <v/>
      </c>
      <c r="Z55" s="323">
        <f>IF(Z31&gt;0,Assumptions!AF6,0)</f>
        <v/>
      </c>
      <c r="AA55" s="323">
        <f>IF(AA31&gt;0,Assumptions!AG6,0)</f>
        <v/>
      </c>
      <c r="AB55" s="323">
        <f>IF(AB31&gt;0,Assumptions!AH6,0)</f>
        <v/>
      </c>
      <c r="AC55" s="323">
        <f>IF(AC31&gt;0,Assumptions!AI6,0)</f>
        <v/>
      </c>
      <c r="AD55" s="323">
        <f>IF(AD31&gt;0,Assumptions!AJ6,0)</f>
        <v/>
      </c>
      <c r="AE55" s="322" t="n"/>
      <c r="AF55" s="25" t="n"/>
    </row>
    <row r="56">
      <c r="A56" s="4">
        <f>$A$32</f>
        <v/>
      </c>
      <c r="B56" s="17" t="inlineStr">
        <is>
          <t>USD/t</t>
        </is>
      </c>
      <c r="D56" s="323">
        <f>IF(D32&gt;0,Assumptions!J$7,0)</f>
        <v/>
      </c>
      <c r="E56" s="323">
        <f>IF(E32&gt;0,Assumptions!K$7,0)</f>
        <v/>
      </c>
      <c r="F56" s="323">
        <f>IF(F32&gt;0,Assumptions!L$7,0)</f>
        <v/>
      </c>
      <c r="G56" s="323">
        <f>IF(G32&gt;0,Assumptions!M$7,0)</f>
        <v/>
      </c>
      <c r="H56" s="323">
        <f>IF(H32&gt;0,Assumptions!N$7,0)</f>
        <v/>
      </c>
      <c r="I56" s="323">
        <f>IF(I32&gt;0,Assumptions!O$7,0)</f>
        <v/>
      </c>
      <c r="J56" s="323">
        <f>IF(J32&gt;0,Assumptions!P$7,0)</f>
        <v/>
      </c>
      <c r="K56" s="323">
        <f>IF(K32&gt;0,Assumptions!Q$7,0)</f>
        <v/>
      </c>
      <c r="L56" s="323">
        <f>IF(L32&gt;0,Assumptions!R$7,0)</f>
        <v/>
      </c>
      <c r="M56" s="323">
        <f>IF(M32&gt;0,Assumptions!S$7,0)</f>
        <v/>
      </c>
      <c r="N56" s="323">
        <f>IF(N32&gt;0,Assumptions!T$7,0)</f>
        <v/>
      </c>
      <c r="O56" s="323">
        <f>IF(O32&gt;0,Assumptions!U$7,0)</f>
        <v/>
      </c>
      <c r="P56" s="323">
        <f>IF(P32&gt;0,Assumptions!V$7,0)</f>
        <v/>
      </c>
      <c r="Q56" s="323">
        <f>IF(Q32&gt;0,Assumptions!W$7,0)</f>
        <v/>
      </c>
      <c r="R56" s="323">
        <f>IF(R32&gt;0,Assumptions!X$7,0)</f>
        <v/>
      </c>
      <c r="S56" s="323">
        <f>IF(S32&gt;0,Assumptions!Y$7,0)</f>
        <v/>
      </c>
      <c r="T56" s="323">
        <f>IF(T32&gt;0,Assumptions!Z$7,0)</f>
        <v/>
      </c>
      <c r="U56" s="323">
        <f>IF(U32&gt;0,Assumptions!AA$7,0)</f>
        <v/>
      </c>
      <c r="V56" s="323">
        <f>IF(V32&gt;0,Assumptions!AB$7,0)</f>
        <v/>
      </c>
      <c r="W56" s="323">
        <f>IF(W32&gt;0,Assumptions!AC$7,0)</f>
        <v/>
      </c>
      <c r="X56" s="323">
        <f>IF(X32&gt;0,Assumptions!AD$7,0)</f>
        <v/>
      </c>
      <c r="Y56" s="323">
        <f>IF(Y32&gt;0,Assumptions!AE$7,0)</f>
        <v/>
      </c>
      <c r="Z56" s="323">
        <f>IF(Z32&gt;0,Assumptions!AF$7,0)</f>
        <v/>
      </c>
      <c r="AA56" s="323">
        <f>IF(AA32&gt;0,Assumptions!AG$7,0)</f>
        <v/>
      </c>
      <c r="AB56" s="323">
        <f>IF(AB32&gt;0,Assumptions!AH$7,0)</f>
        <v/>
      </c>
      <c r="AC56" s="323">
        <f>IF(AC32&gt;0,Assumptions!AI$7,0)</f>
        <v/>
      </c>
      <c r="AD56" s="323">
        <f>IF(AD32&gt;0,Assumptions!AJ$7,0)</f>
        <v/>
      </c>
      <c r="AE56" s="322" t="n"/>
      <c r="AF56" s="25" t="n"/>
    </row>
    <row r="57">
      <c r="A57" s="4" t="inlineStr">
        <is>
          <t>Thermal GCN</t>
        </is>
      </c>
      <c r="B57" s="17" t="inlineStr">
        <is>
          <t>USD/t</t>
        </is>
      </c>
      <c r="D57" s="323">
        <f>IF(D33&gt;0,IF(D52&gt;Assumptions!J$12,Assumptions!J$8,IF(D52&gt;Assumptions!J$13,Assumptions!J$8,Assumptions!J$9))*(D52/D$47),0)</f>
        <v/>
      </c>
      <c r="E57" s="323">
        <f>IF(E33&gt;0,IF(E52&gt;Assumptions!K$12,Assumptions!K$8,IF(E52&gt;Assumptions!K$13,Assumptions!K$8,Assumptions!K$9))*(E52/E$47),0)</f>
        <v/>
      </c>
      <c r="F57" s="323">
        <f>IF(F33&gt;0,IF(F52&gt;Assumptions!L$12,Assumptions!L$8,IF(F52&gt;Assumptions!L$13,Assumptions!L$8,Assumptions!L$9))*(F52/F$47),0)</f>
        <v/>
      </c>
      <c r="G57" s="323">
        <f>IF(G33&gt;0,IF(G52&gt;Assumptions!M$12,Assumptions!M$8,IF(G52&gt;Assumptions!M$13,Assumptions!M$8,Assumptions!M$9))*(G52/G$47),0)</f>
        <v/>
      </c>
      <c r="H57" s="323">
        <f>IF(H33&gt;0,IF(H52&gt;Assumptions!N$12,Assumptions!N$8,IF(H52&gt;Assumptions!N$13,Assumptions!N$8,Assumptions!N$9))*(H52/H$47),0)</f>
        <v/>
      </c>
      <c r="I57" s="323">
        <f>IF(I33&gt;0,IF(I52&gt;Assumptions!O$12,Assumptions!O$8,IF(I52&gt;Assumptions!O$13,Assumptions!O$8,Assumptions!O$9))*(I52/I$47),0)</f>
        <v/>
      </c>
      <c r="J57" s="323">
        <f>IF(J33&gt;0,IF(J52&gt;Assumptions!P$12,Assumptions!P$8,IF(J52&gt;Assumptions!P$13,Assumptions!P$8,Assumptions!P$9))*(J52/J$47),0)</f>
        <v/>
      </c>
      <c r="K57" s="323">
        <f>IF(K33&gt;0,IF(K52&gt;Assumptions!Q$12,Assumptions!Q$8,IF(K52&gt;Assumptions!Q$13,Assumptions!Q$8,Assumptions!Q$9))*(K52/K$47),0)</f>
        <v/>
      </c>
      <c r="L57" s="323">
        <f>IF(L33&gt;0,IF(L52&gt;Assumptions!R$12,Assumptions!R$8,IF(L52&gt;Assumptions!R$13,Assumptions!R$8,Assumptions!R$9))*(L52/L$47),0)</f>
        <v/>
      </c>
      <c r="M57" s="323">
        <f>IF(M33&gt;0,IF(M52&gt;Assumptions!S$12,Assumptions!S$8,IF(M52&gt;Assumptions!S$13,Assumptions!S$8,Assumptions!S$9))*(M52/M$47),0)</f>
        <v/>
      </c>
      <c r="N57" s="323">
        <f>IF(N33&gt;0,IF(N52&gt;Assumptions!T$12,Assumptions!T$8,IF(N52&gt;Assumptions!T$13,Assumptions!T$8,Assumptions!T$9))*(N52/N$47),0)</f>
        <v/>
      </c>
      <c r="O57" s="323">
        <f>IF(O33&gt;0,IF(O52&gt;Assumptions!U$12,Assumptions!U$8,IF(O52&gt;Assumptions!U$13,Assumptions!U$8,Assumptions!U$9))*(O52/O$47),0)</f>
        <v/>
      </c>
      <c r="P57" s="323">
        <f>IF(P33&gt;0,IF(P52&gt;Assumptions!V$12,Assumptions!V$8,IF(P52&gt;Assumptions!V$13,Assumptions!V$8,Assumptions!V$9))*(P52/P$47),0)</f>
        <v/>
      </c>
      <c r="Q57" s="323">
        <f>IF(Q33&gt;0,IF(Q52&gt;Assumptions!W$12,Assumptions!W$8,IF(Q52&gt;Assumptions!W$13,Assumptions!W$8,Assumptions!W$9))*(Q52/Q$47),0)</f>
        <v/>
      </c>
      <c r="R57" s="323">
        <f>IF(R33&gt;0,IF(R52&gt;Assumptions!X$12,Assumptions!X$8,IF(R52&gt;Assumptions!X$13,Assumptions!X$8,Assumptions!X$9))*(R52/R$47),0)</f>
        <v/>
      </c>
      <c r="S57" s="323">
        <f>IF(S33&gt;0,IF(S52&gt;Assumptions!Y$12,Assumptions!Y$8,IF(S52&gt;Assumptions!Y$13,Assumptions!Y$8,Assumptions!Y$9))*(S52/S$47),0)</f>
        <v/>
      </c>
      <c r="T57" s="323">
        <f>IF(T33&gt;0,IF(T52&gt;Assumptions!Z$12,Assumptions!Z$8,IF(T52&gt;Assumptions!Z$13,Assumptions!Z$8,Assumptions!Z$9))*(T52/T$47),0)</f>
        <v/>
      </c>
      <c r="U57" s="323">
        <f>IF(U33&gt;0,IF(U52&gt;Assumptions!AA$12,Assumptions!AA$8,IF(U52&gt;Assumptions!AA$13,Assumptions!AA$8,Assumptions!AA$9))*(U52/U$47),0)</f>
        <v/>
      </c>
      <c r="V57" s="323">
        <f>IF(V33&gt;0,IF(V52&gt;Assumptions!AB$12,Assumptions!AB$8,IF(V52&gt;Assumptions!AB$13,Assumptions!AB$8,Assumptions!AB$9))*(V52/V$47),0)</f>
        <v/>
      </c>
      <c r="W57" s="323">
        <f>IF(W33&gt;0,IF(W52&gt;Assumptions!AC$12,Assumptions!AC$8,IF(W52&gt;Assumptions!AC$13,Assumptions!AC$8,Assumptions!AC$9))*(W52/W$47),0)</f>
        <v/>
      </c>
      <c r="X57" s="323">
        <f>IF(X33&gt;0,IF(X52&gt;Assumptions!AD$12,Assumptions!AD$8,IF(X52&gt;Assumptions!AD$13,Assumptions!AD$8,Assumptions!AD$9))*(X52/X$47),0)</f>
        <v/>
      </c>
      <c r="Y57" s="323">
        <f>IF(Y33&gt;0,IF(Y52&gt;Assumptions!AE$12,Assumptions!AE$8,IF(Y52&gt;Assumptions!AE$13,Assumptions!AE$8,Assumptions!AE$9))*(Y52/Y$47),0)</f>
        <v/>
      </c>
      <c r="Z57" s="323">
        <f>IF(Z33&gt;0,IF(Z52&gt;Assumptions!AF$12,Assumptions!AF$8,IF(Z52&gt;Assumptions!AF$13,Assumptions!AF$8,Assumptions!AF$9))*(Z52/Z$47),0)</f>
        <v/>
      </c>
      <c r="AA57" s="323">
        <f>IF(AA33&gt;0,IF(AA52&gt;Assumptions!AG$12,Assumptions!AG$8,IF(AA52&gt;Assumptions!AG$13,Assumptions!AG$8,Assumptions!AG$9))*(AA52/AA$47),0)</f>
        <v/>
      </c>
      <c r="AB57" s="323">
        <f>IF(AB33&gt;0,IF(AB52&gt;Assumptions!AH$12,Assumptions!AH$8,IF(AB52&gt;Assumptions!AH$13,Assumptions!AH$8,Assumptions!AH$9))*(AB52/AB$47),0)</f>
        <v/>
      </c>
      <c r="AC57" s="323">
        <f>IF(AC33&gt;0,IF(AC52&gt;Assumptions!AI$12,Assumptions!AI$8,IF(AC52&gt;Assumptions!AI$13,Assumptions!AI$8,Assumptions!AI$9))*(AC52/AC$47),0)</f>
        <v/>
      </c>
      <c r="AD57" s="323">
        <f>IF(AD33&gt;0,IF(AD52&gt;Assumptions!AJ$12,Assumptions!AJ$8,IF(AD52&gt;Assumptions!AJ$13,Assumptions!AJ$8,Assumptions!AJ$9))*(AD52/AD$47),0)</f>
        <v/>
      </c>
      <c r="AE57" s="322" t="n"/>
      <c r="AF57" s="25" t="n"/>
    </row>
    <row r="58">
      <c r="A58" s="4" t="inlineStr">
        <is>
          <t>Average Export Realised Price</t>
        </is>
      </c>
      <c r="B58" s="17" t="inlineStr">
        <is>
          <t>USD/t</t>
        </is>
      </c>
      <c r="D58" s="385">
        <f>IFERROR(SUMPRODUCT(D31:D33,D55:D57)/D34,0)</f>
        <v/>
      </c>
      <c r="E58" s="385">
        <f>IFERROR(SUMPRODUCT(E31:E33,E55:E57)/E34,0)</f>
        <v/>
      </c>
      <c r="F58" s="385">
        <f>IFERROR(SUMPRODUCT(F31:F33,F55:F57)/F34,0)</f>
        <v/>
      </c>
      <c r="G58" s="385">
        <f>IFERROR(SUMPRODUCT(G31:G33,G55:G57)/G34,0)</f>
        <v/>
      </c>
      <c r="H58" s="385">
        <f>IFERROR(SUMPRODUCT(H31:H33,H55:H57)/H34,0)</f>
        <v/>
      </c>
      <c r="I58" s="385">
        <f>IFERROR(SUMPRODUCT(I31:I33,I55:I57)/I34,0)</f>
        <v/>
      </c>
      <c r="J58" s="385">
        <f>IFERROR(SUMPRODUCT(J31:J33,J55:J57)/J34,0)</f>
        <v/>
      </c>
      <c r="K58" s="385">
        <f>IFERROR(SUMPRODUCT(K31:K33,K55:K57)/K34,0)</f>
        <v/>
      </c>
      <c r="L58" s="385">
        <f>IFERROR(SUMPRODUCT(L31:L33,L55:L57)/L34,0)</f>
        <v/>
      </c>
      <c r="M58" s="385">
        <f>IFERROR(SUMPRODUCT(M31:M33,M55:M57)/M34,0)</f>
        <v/>
      </c>
      <c r="N58" s="385">
        <f>IFERROR(SUMPRODUCT(N31:N33,N55:N57)/N34,0)</f>
        <v/>
      </c>
      <c r="O58" s="385">
        <f>IFERROR(SUMPRODUCT(O31:O33,O55:O57)/O34,0)</f>
        <v/>
      </c>
      <c r="P58" s="385">
        <f>IFERROR(SUMPRODUCT(P31:P33,P55:P57)/P34,0)</f>
        <v/>
      </c>
      <c r="Q58" s="385">
        <f>IFERROR(SUMPRODUCT(Q31:Q33,Q55:Q57)/Q34,0)</f>
        <v/>
      </c>
      <c r="R58" s="385">
        <f>IFERROR(SUMPRODUCT(R31:R33,R55:R57)/R34,0)</f>
        <v/>
      </c>
      <c r="S58" s="385">
        <f>IFERROR(SUMPRODUCT(S31:S33,S55:S57)/S34,0)</f>
        <v/>
      </c>
      <c r="T58" s="385">
        <f>IFERROR(SUMPRODUCT(T31:T33,T55:T57)/T34,0)</f>
        <v/>
      </c>
      <c r="U58" s="385">
        <f>IFERROR(SUMPRODUCT(U31:U33,U55:U57)/U34,0)</f>
        <v/>
      </c>
      <c r="V58" s="385">
        <f>IFERROR(SUMPRODUCT(V31:V33,V55:V57)/V34,0)</f>
        <v/>
      </c>
      <c r="W58" s="385">
        <f>IFERROR(SUMPRODUCT(W31:W33,W55:W57)/W34,0)</f>
        <v/>
      </c>
      <c r="X58" s="385">
        <f>IFERROR(SUMPRODUCT(X31:X33,X55:X57)/X34,0)</f>
        <v/>
      </c>
      <c r="Y58" s="385">
        <f>IFERROR(SUMPRODUCT(Y31:Y33,Y55:Y57)/Y34,0)</f>
        <v/>
      </c>
      <c r="Z58" s="385">
        <f>IFERROR(SUMPRODUCT(Z31:Z33,Z55:Z57)/Z34,0)</f>
        <v/>
      </c>
      <c r="AA58" s="385">
        <f>IFERROR(SUMPRODUCT(AA31:AA33,AA55:AA57)/AA34,0)</f>
        <v/>
      </c>
      <c r="AB58" s="385">
        <f>IFERROR(SUMPRODUCT(AB31:AB33,AB55:AB57)/AB34,0)</f>
        <v/>
      </c>
      <c r="AC58" s="385">
        <f>IFERROR(SUMPRODUCT(AC31:AC33,AC55:AC57)/AC34,0)</f>
        <v/>
      </c>
      <c r="AD58" s="385">
        <f>IFERROR(SUMPRODUCT(AD31:AD33,AD55:AD57)/AD34,0)</f>
        <v/>
      </c>
      <c r="AE58" s="322" t="n"/>
      <c r="AF58" s="25" t="n"/>
    </row>
    <row r="59">
      <c r="A59" s="4" t="n"/>
      <c r="B59" s="17" t="n"/>
      <c r="D59" s="322" t="n"/>
      <c r="E59" s="322" t="n"/>
      <c r="F59" s="322" t="n"/>
      <c r="G59" s="322" t="n"/>
      <c r="H59" s="322" t="n"/>
      <c r="I59" s="322" t="n"/>
      <c r="J59" s="322" t="n"/>
      <c r="K59" s="322" t="n"/>
      <c r="L59" s="322" t="n"/>
      <c r="M59" s="322" t="n"/>
      <c r="N59" s="322" t="n"/>
      <c r="O59" s="322" t="n"/>
      <c r="P59" s="322" t="n"/>
      <c r="Q59" s="322" t="n"/>
      <c r="R59" s="322" t="n"/>
      <c r="S59" s="322" t="n"/>
      <c r="T59" s="322" t="n"/>
      <c r="U59" s="322" t="n"/>
      <c r="V59" s="322" t="n"/>
      <c r="W59" s="322" t="n"/>
      <c r="X59" s="322" t="n"/>
      <c r="Y59" s="322" t="n"/>
      <c r="Z59" s="322" t="n"/>
      <c r="AA59" s="322" t="n"/>
      <c r="AB59" s="322" t="n"/>
      <c r="AC59" s="322" t="n"/>
      <c r="AD59" s="322" t="n"/>
      <c r="AE59" s="322" t="n"/>
      <c r="AF59" s="25" t="n"/>
    </row>
    <row r="60">
      <c r="A60" s="4" t="inlineStr">
        <is>
          <t>Total Revenue</t>
        </is>
      </c>
      <c r="B60" s="17" t="inlineStr">
        <is>
          <t>USDk</t>
        </is>
      </c>
      <c r="D60" s="323">
        <f>SUMPRODUCT(D31:D32,D55:D56)</f>
        <v/>
      </c>
      <c r="E60" s="323">
        <f>SUMPRODUCT(E31:E32,E55:E56)</f>
        <v/>
      </c>
      <c r="F60" s="323">
        <f>SUMPRODUCT(F31:F32,F55:F56)</f>
        <v/>
      </c>
      <c r="G60" s="323">
        <f>SUMPRODUCT(G31:G32,G55:G56)</f>
        <v/>
      </c>
      <c r="H60" s="323">
        <f>SUMPRODUCT(H31:H32,H55:H56)</f>
        <v/>
      </c>
      <c r="I60" s="323">
        <f>SUMPRODUCT(I31:I32,I55:I56)</f>
        <v/>
      </c>
      <c r="J60" s="323">
        <f>SUMPRODUCT(J31:J32,J55:J56)</f>
        <v/>
      </c>
      <c r="K60" s="323">
        <f>SUMPRODUCT(K31:K32,K55:K56)</f>
        <v/>
      </c>
      <c r="L60" s="323">
        <f>SUMPRODUCT(L31:L32,L55:L56)</f>
        <v/>
      </c>
      <c r="M60" s="323">
        <f>SUMPRODUCT(M31:M32,M55:M56)</f>
        <v/>
      </c>
      <c r="N60" s="323">
        <f>SUMPRODUCT(N31:N32,N55:N56)</f>
        <v/>
      </c>
      <c r="O60" s="323">
        <f>SUMPRODUCT(O31:O32,O55:O56)</f>
        <v/>
      </c>
      <c r="P60" s="323">
        <f>SUMPRODUCT(P31:P32,P55:P56)</f>
        <v/>
      </c>
      <c r="Q60" s="323">
        <f>SUMPRODUCT(Q31:Q32,Q55:Q56)</f>
        <v/>
      </c>
      <c r="R60" s="323">
        <f>SUMPRODUCT(R31:R32,R55:R56)</f>
        <v/>
      </c>
      <c r="S60" s="323">
        <f>SUMPRODUCT(S31:S32,S55:S56)</f>
        <v/>
      </c>
      <c r="T60" s="323">
        <f>SUMPRODUCT(T31:T32,T55:T56)</f>
        <v/>
      </c>
      <c r="U60" s="323">
        <f>SUMPRODUCT(U31:U32,U55:U56)</f>
        <v/>
      </c>
      <c r="V60" s="323">
        <f>SUMPRODUCT(V31:V32,V55:V56)</f>
        <v/>
      </c>
      <c r="W60" s="323">
        <f>SUMPRODUCT(W31:W32,W55:W56)</f>
        <v/>
      </c>
      <c r="X60" s="323">
        <f>SUMPRODUCT(X31:X32,X55:X56)</f>
        <v/>
      </c>
      <c r="Y60" s="323">
        <f>SUMPRODUCT(Y31:Y32,Y55:Y56)</f>
        <v/>
      </c>
      <c r="Z60" s="323">
        <f>SUMPRODUCT(Z31:Z32,Z55:Z56)</f>
        <v/>
      </c>
      <c r="AA60" s="323">
        <f>SUMPRODUCT(AA31:AA32,AA55:AA56)</f>
        <v/>
      </c>
      <c r="AB60" s="323">
        <f>SUMPRODUCT(AB31:AB32,AB55:AB56)</f>
        <v/>
      </c>
      <c r="AC60" s="323">
        <f>SUMPRODUCT(AC31:AC32,AC55:AC56)</f>
        <v/>
      </c>
      <c r="AD60" s="323">
        <f>SUMPRODUCT(AD31:AD32,AD55:AD56)</f>
        <v/>
      </c>
      <c r="AE60" s="323">
        <f>SUMPRODUCT(AE31:AE32,AE55:AE56)</f>
        <v/>
      </c>
      <c r="AF60" s="323">
        <f>SUMPRODUCT(AF31:AF32,AF55:AF56)</f>
        <v/>
      </c>
    </row>
    <row r="61">
      <c r="A61" s="4" t="inlineStr">
        <is>
          <t>FX</t>
        </is>
      </c>
      <c r="B61" s="17" t="inlineStr">
        <is>
          <t>USD:AUD</t>
        </is>
      </c>
      <c r="D61" s="324">
        <f>Assumptions!I4</f>
        <v/>
      </c>
      <c r="E61" s="324">
        <f>Assumptions!J4</f>
        <v/>
      </c>
      <c r="F61" s="324">
        <f>Assumptions!K4</f>
        <v/>
      </c>
      <c r="G61" s="324">
        <f>Assumptions!L4</f>
        <v/>
      </c>
      <c r="H61" s="324">
        <f>Assumptions!M4</f>
        <v/>
      </c>
      <c r="I61" s="324">
        <f>Assumptions!N4</f>
        <v/>
      </c>
      <c r="J61" s="324">
        <f>Assumptions!O4</f>
        <v/>
      </c>
      <c r="K61" s="324">
        <f>Assumptions!P4</f>
        <v/>
      </c>
      <c r="L61" s="324">
        <f>Assumptions!Q4</f>
        <v/>
      </c>
      <c r="M61" s="324">
        <f>Assumptions!R4</f>
        <v/>
      </c>
      <c r="N61" s="324">
        <f>Assumptions!S4</f>
        <v/>
      </c>
      <c r="O61" s="324">
        <f>Assumptions!T4</f>
        <v/>
      </c>
      <c r="P61" s="324">
        <f>Assumptions!U4</f>
        <v/>
      </c>
      <c r="Q61" s="324">
        <f>Assumptions!V4</f>
        <v/>
      </c>
      <c r="R61" s="324">
        <f>Assumptions!W4</f>
        <v/>
      </c>
      <c r="S61" s="324">
        <f>Assumptions!X4</f>
        <v/>
      </c>
      <c r="T61" s="324">
        <f>Assumptions!Y4</f>
        <v/>
      </c>
      <c r="U61" s="324">
        <f>Assumptions!Z4</f>
        <v/>
      </c>
      <c r="V61" s="324">
        <f>Assumptions!AA4</f>
        <v/>
      </c>
      <c r="W61" s="324">
        <f>Assumptions!AB4</f>
        <v/>
      </c>
      <c r="X61" s="324">
        <f>Assumptions!AC4</f>
        <v/>
      </c>
      <c r="Y61" s="324">
        <f>Assumptions!AD4</f>
        <v/>
      </c>
      <c r="Z61" s="324">
        <f>Assumptions!AE4</f>
        <v/>
      </c>
      <c r="AA61" s="324">
        <f>Assumptions!AF4</f>
        <v/>
      </c>
      <c r="AB61" s="324">
        <f>Assumptions!AG4</f>
        <v/>
      </c>
      <c r="AC61" s="324">
        <f>Assumptions!AH4</f>
        <v/>
      </c>
      <c r="AD61" s="324">
        <f>Assumptions!AI4</f>
        <v/>
      </c>
      <c r="AE61" s="322" t="n"/>
      <c r="AF61" s="25" t="n"/>
    </row>
    <row r="62">
      <c r="A62" s="4" t="inlineStr">
        <is>
          <t>Total Revenue</t>
        </is>
      </c>
      <c r="B62" s="17" t="inlineStr">
        <is>
          <t>AUD</t>
        </is>
      </c>
      <c r="D62" s="333">
        <f>(D60/D61)*(1+$AI$7)</f>
        <v/>
      </c>
      <c r="E62" s="333">
        <f>(E60/E61)*(1+$AI$7)</f>
        <v/>
      </c>
      <c r="F62" s="333">
        <f>(F60/F61)*(1+$AI$7)</f>
        <v/>
      </c>
      <c r="G62" s="333">
        <f>(G60/G61)*(1+$AI$7)</f>
        <v/>
      </c>
      <c r="H62" s="333">
        <f>(H60/H61)*(1+$AI$7)</f>
        <v/>
      </c>
      <c r="I62" s="333">
        <f>(I60/I61)*(1+$AI$7)</f>
        <v/>
      </c>
      <c r="J62" s="333">
        <f>(J60/J61)*(1+$AI$7)</f>
        <v/>
      </c>
      <c r="K62" s="333">
        <f>(K60/K61)*(1+$AI$7)</f>
        <v/>
      </c>
      <c r="L62" s="333">
        <f>(L60/L61)*(1+$AI$7)</f>
        <v/>
      </c>
      <c r="M62" s="333">
        <f>(M60/M61)*(1+$AI$7)</f>
        <v/>
      </c>
      <c r="N62" s="333">
        <f>(N60/N61)*(1+$AI$7)</f>
        <v/>
      </c>
      <c r="O62" s="333">
        <f>(O60/O61)*(1+$AI$7)</f>
        <v/>
      </c>
      <c r="P62" s="333">
        <f>(P60/P61)*(1+$AI$7)</f>
        <v/>
      </c>
      <c r="Q62" s="333">
        <f>(Q60/Q61)*(1+$AI$7)</f>
        <v/>
      </c>
      <c r="R62" s="333">
        <f>(R60/R61)*(1+$AI$7)</f>
        <v/>
      </c>
      <c r="S62" s="333">
        <f>(S60/S61)*(1+$AI$7)</f>
        <v/>
      </c>
      <c r="T62" s="333">
        <f>(T60/T61)*(1+$AI$7)</f>
        <v/>
      </c>
      <c r="U62" s="333">
        <f>(U60/U61)*(1+$AI$7)</f>
        <v/>
      </c>
      <c r="V62" s="333">
        <f>(V60/V61)*(1+$AI$7)</f>
        <v/>
      </c>
      <c r="W62" s="333">
        <f>(W60/W61)*(1+$AI$7)</f>
        <v/>
      </c>
      <c r="X62" s="333">
        <f>(X60/X61)*(1+$AI$7)</f>
        <v/>
      </c>
      <c r="Y62" s="333">
        <f>(Y60/Y61)*(1+$AI$7)</f>
        <v/>
      </c>
      <c r="Z62" s="333">
        <f>(Z60/Z61)*(1+$AI$7)</f>
        <v/>
      </c>
      <c r="AA62" s="333">
        <f>(AA60/AA61)*(1+$AI$7)</f>
        <v/>
      </c>
      <c r="AB62" s="333">
        <f>(AB60/AB61)*(1+$AI$7)</f>
        <v/>
      </c>
      <c r="AC62" s="333">
        <f>(AC60/AC61)*(1+$AI$7)</f>
        <v/>
      </c>
      <c r="AD62" s="333">
        <f>(AD60/AD61)*(1+$AI$7)</f>
        <v/>
      </c>
      <c r="AE62" s="386" t="n"/>
      <c r="AF62" s="387">
        <f>SUM(C62:AD62)</f>
        <v/>
      </c>
    </row>
    <row r="63">
      <c r="A63" s="4" t="inlineStr">
        <is>
          <t>Average Realisation</t>
        </is>
      </c>
      <c r="B63" s="17" t="inlineStr">
        <is>
          <t>AUD/t</t>
        </is>
      </c>
      <c r="D63" s="388">
        <f>IFERROR(D62/D19,0)</f>
        <v/>
      </c>
      <c r="E63" s="388">
        <f>IFERROR(E62/E19,0)</f>
        <v/>
      </c>
      <c r="F63" s="388">
        <f>IFERROR(F62/F19,0)</f>
        <v/>
      </c>
      <c r="G63" s="388">
        <f>IFERROR(G62/G19,0)</f>
        <v/>
      </c>
      <c r="H63" s="388">
        <f>IFERROR(H62/H19,0)</f>
        <v/>
      </c>
      <c r="I63" s="388">
        <f>IFERROR(I62/I19,0)</f>
        <v/>
      </c>
      <c r="J63" s="388">
        <f>IFERROR(J62/J19,0)</f>
        <v/>
      </c>
      <c r="K63" s="388">
        <f>IFERROR(K62/K19,0)</f>
        <v/>
      </c>
      <c r="L63" s="388">
        <f>IFERROR(L62/L19,0)</f>
        <v/>
      </c>
      <c r="M63" s="388">
        <f>IFERROR(M62/M19,0)</f>
        <v/>
      </c>
      <c r="N63" s="388">
        <f>IFERROR(N62/N19,0)</f>
        <v/>
      </c>
      <c r="O63" s="388">
        <f>IFERROR(O62/O19,0)</f>
        <v/>
      </c>
      <c r="P63" s="388">
        <f>IFERROR(P62/P19,0)</f>
        <v/>
      </c>
      <c r="Q63" s="388">
        <f>IFERROR(Q62/Q19,0)</f>
        <v/>
      </c>
      <c r="R63" s="388">
        <f>IFERROR(R62/R19,0)</f>
        <v/>
      </c>
      <c r="S63" s="388">
        <f>IFERROR(S62/S19,0)</f>
        <v/>
      </c>
      <c r="T63" s="388">
        <f>IFERROR(T62/T19,0)</f>
        <v/>
      </c>
      <c r="U63" s="388">
        <f>IFERROR(U62/U19,0)</f>
        <v/>
      </c>
      <c r="V63" s="388">
        <f>IFERROR(V62/V19,0)</f>
        <v/>
      </c>
      <c r="W63" s="388">
        <f>IFERROR(W62/W19,0)</f>
        <v/>
      </c>
      <c r="X63" s="388">
        <f>IFERROR(X62/X19,0)</f>
        <v/>
      </c>
      <c r="Y63" s="388">
        <f>IFERROR(Y62/Y19,0)</f>
        <v/>
      </c>
      <c r="Z63" s="388">
        <f>IFERROR(Z62/Z19,0)</f>
        <v/>
      </c>
      <c r="AA63" s="388">
        <f>IFERROR(AA62/AA19,0)</f>
        <v/>
      </c>
      <c r="AB63" s="388">
        <f>IFERROR(AB62/AB19,0)</f>
        <v/>
      </c>
      <c r="AC63" s="388">
        <f>IFERROR(AC62/AC19,0)</f>
        <v/>
      </c>
      <c r="AD63" s="388">
        <f>IFERROR(AD62/AD19,0)</f>
        <v/>
      </c>
      <c r="AE63" s="386" t="n"/>
      <c r="AF63" s="389">
        <f>IFERROR(AF62/AF19,0)</f>
        <v/>
      </c>
    </row>
    <row r="64">
      <c r="A64" s="8" t="n"/>
      <c r="B64" s="21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7" t="n"/>
    </row>
    <row r="65">
      <c r="A65" s="2" t="inlineStr">
        <is>
          <t>Costs</t>
        </is>
      </c>
      <c r="B65" s="29" t="n"/>
      <c r="C65" s="36" t="n"/>
      <c r="D65" s="390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" t="n"/>
    </row>
    <row r="66">
      <c r="A66" s="28" t="n"/>
      <c r="B66" s="17" t="n"/>
      <c r="D66" s="322" t="n"/>
      <c r="AF66" s="25" t="n"/>
    </row>
    <row r="67">
      <c r="A67" s="28" t="inlineStr">
        <is>
          <t>Direct Mining Costs</t>
        </is>
      </c>
      <c r="B67" s="17" t="n"/>
      <c r="D67" s="322" t="n"/>
      <c r="AF67" s="25" t="n"/>
    </row>
    <row r="68">
      <c r="A68" s="28" t="n"/>
      <c r="B68" s="17" t="n"/>
      <c r="D68" s="322" t="n"/>
      <c r="AF68" s="25" t="n"/>
    </row>
    <row r="69">
      <c r="A69" s="4" t="inlineStr">
        <is>
          <t>Development Costs</t>
        </is>
      </c>
      <c r="B69" s="17" t="inlineStr">
        <is>
          <t>AUD/m</t>
        </is>
      </c>
      <c r="C69" s="391" t="n">
        <v>5500</v>
      </c>
      <c r="D69" s="392">
        <f>IF(D6&gt;0,$C$69*(1+$AI$8),0)</f>
        <v/>
      </c>
      <c r="E69" s="392">
        <f>IF(E6&gt;0,$C$69*(1+$AI$8),0)</f>
        <v/>
      </c>
      <c r="F69" s="392">
        <f>IF(F6&gt;0,$C$69*(1+$AI$8),0)</f>
        <v/>
      </c>
      <c r="G69" s="392">
        <f>IF(G6&gt;0,$C$69*(1+$AI$8),0)</f>
        <v/>
      </c>
      <c r="H69" s="392">
        <f>IF(H6&gt;0,$C$69*(1+$AI$8),0)</f>
        <v/>
      </c>
      <c r="I69" s="392">
        <f>IF(I6&gt;0,$C$69*(1+$AI$8),0)</f>
        <v/>
      </c>
      <c r="J69" s="392">
        <f>IF(J6&gt;0,$C$69*(1+$AI$8),0)</f>
        <v/>
      </c>
      <c r="K69" s="392">
        <f>IF(K6&gt;0,$C$69*(1+$AI$8),0)</f>
        <v/>
      </c>
      <c r="L69" s="392">
        <f>IF(L6&gt;0,$C$69*(1+$AI$8),0)</f>
        <v/>
      </c>
      <c r="M69" s="392">
        <f>IF(M6&gt;0,$C$69*(1+$AI$8),0)</f>
        <v/>
      </c>
      <c r="N69" s="392">
        <f>IF(N6&gt;0,$C$69*(1+$AI$8),0)</f>
        <v/>
      </c>
      <c r="O69" s="392">
        <f>IF(O6&gt;0,$C$69*(1+$AI$8),0)</f>
        <v/>
      </c>
      <c r="P69" s="392">
        <f>IF(P6&gt;0,$C$69*(1+$AI$8),0)</f>
        <v/>
      </c>
      <c r="Q69" s="392">
        <f>IF(Q6&gt;0,$C$69*(1+$AI$8),0)</f>
        <v/>
      </c>
      <c r="R69" s="392">
        <f>IF(R6&gt;0,$C$69*(1+$AI$8),0)</f>
        <v/>
      </c>
      <c r="S69" s="392">
        <f>IF(S6&gt;0,$C$69*(1+$AI$8),0)</f>
        <v/>
      </c>
      <c r="T69" s="392">
        <f>IF(T6&gt;0,$C$69*(1+$AI$8),0)</f>
        <v/>
      </c>
      <c r="U69" s="392">
        <f>IF(U6&gt;0,$C$69*(1+$AI$8),0)</f>
        <v/>
      </c>
      <c r="V69" s="392">
        <f>IF(V6&gt;0,$C$69*(1+$AI$8),0)</f>
        <v/>
      </c>
      <c r="W69" s="392">
        <f>IF(W6&gt;0,$C$69*(1+$AI$8),0)</f>
        <v/>
      </c>
      <c r="X69" s="392">
        <f>IF(X6&gt;0,$C$69*(1+$AI$8),0)</f>
        <v/>
      </c>
      <c r="Y69" s="392">
        <f>IF(Y6&gt;0,$C$69*(1+$AI$8),0)</f>
        <v/>
      </c>
      <c r="Z69" s="392">
        <f>IF(Z6&gt;0,$C$69*(1+$AI$8),0)</f>
        <v/>
      </c>
      <c r="AA69" s="392">
        <f>IF(AA6&gt;0,$C$69*(1+$AI$8),0)</f>
        <v/>
      </c>
      <c r="AB69" s="392">
        <f>IF(AB6&gt;0,$C$69*(1+$AI$8),0)</f>
        <v/>
      </c>
      <c r="AC69" s="392">
        <f>IF(AC6&gt;0,$C$69*(1+$AI$8),0)</f>
        <v/>
      </c>
      <c r="AD69" s="392">
        <f>IF(AD6&gt;0,$C$69*(1+$AI$8),0)</f>
        <v/>
      </c>
      <c r="AE69" s="26" t="n"/>
      <c r="AF69" s="27" t="n"/>
    </row>
    <row r="70">
      <c r="A70" s="4" t="inlineStr">
        <is>
          <t>Total Development Costs</t>
        </is>
      </c>
      <c r="B70" s="17" t="inlineStr">
        <is>
          <t>AUDk</t>
        </is>
      </c>
      <c r="D70" s="323">
        <f>D6*D69/1000</f>
        <v/>
      </c>
      <c r="E70" s="323">
        <f>E6*E69/1000</f>
        <v/>
      </c>
      <c r="F70" s="323">
        <f>F6*F69/1000</f>
        <v/>
      </c>
      <c r="G70" s="323">
        <f>G6*G69/1000</f>
        <v/>
      </c>
      <c r="H70" s="323">
        <f>H6*H69/1000</f>
        <v/>
      </c>
      <c r="I70" s="323">
        <f>I6*I69/1000</f>
        <v/>
      </c>
      <c r="J70" s="323">
        <f>J6*J69/1000</f>
        <v/>
      </c>
      <c r="K70" s="323">
        <f>K6*K69/1000</f>
        <v/>
      </c>
      <c r="L70" s="323">
        <f>L6*L69/1000</f>
        <v/>
      </c>
      <c r="M70" s="323">
        <f>M6*M69/1000</f>
        <v/>
      </c>
      <c r="N70" s="323">
        <f>N6*N69/1000</f>
        <v/>
      </c>
      <c r="O70" s="323">
        <f>O6*O69/1000</f>
        <v/>
      </c>
      <c r="P70" s="323">
        <f>P6*P69/1000</f>
        <v/>
      </c>
      <c r="Q70" s="323">
        <f>Q6*Q69/1000</f>
        <v/>
      </c>
      <c r="R70" s="323">
        <f>R6*R69/1000</f>
        <v/>
      </c>
      <c r="S70" s="323">
        <f>S6*S69/1000</f>
        <v/>
      </c>
      <c r="T70" s="323">
        <f>T6*T69/1000</f>
        <v/>
      </c>
      <c r="U70" s="323">
        <f>U6*U69/1000</f>
        <v/>
      </c>
      <c r="V70" s="323">
        <f>V6*V69/1000</f>
        <v/>
      </c>
      <c r="W70" s="323">
        <f>W6*W69/1000</f>
        <v/>
      </c>
      <c r="X70" s="323">
        <f>X6*X69/1000</f>
        <v/>
      </c>
      <c r="Y70" s="323">
        <f>Y6*Y69/1000</f>
        <v/>
      </c>
      <c r="Z70" s="323">
        <f>Z6*Z69/1000</f>
        <v/>
      </c>
      <c r="AA70" s="323">
        <f>AA6*AA69/1000</f>
        <v/>
      </c>
      <c r="AB70" s="323">
        <f>AB6*AB69/1000</f>
        <v/>
      </c>
      <c r="AC70" s="323">
        <f>AC6*AC69/1000</f>
        <v/>
      </c>
      <c r="AD70" s="323">
        <f>AD6*AD69/1000</f>
        <v/>
      </c>
      <c r="AF70" s="370">
        <f>SUM(C70:AD70)</f>
        <v/>
      </c>
    </row>
    <row r="71">
      <c r="A71" s="4" t="n"/>
      <c r="B71" s="17" t="n"/>
      <c r="AF71" s="25" t="n"/>
    </row>
    <row r="72">
      <c r="A72" s="4" t="inlineStr">
        <is>
          <t>Longwall Costs</t>
        </is>
      </c>
      <c r="B72" s="17" t="inlineStr">
        <is>
          <t>AUD/LWt</t>
        </is>
      </c>
      <c r="C72" s="393" t="n">
        <v>14.5</v>
      </c>
      <c r="D72" s="392">
        <f>IF(D8&gt;0,$C$72*(1+$AI$9),0)</f>
        <v/>
      </c>
      <c r="E72" s="392">
        <f>IF(E8&gt;0,$C$72*(1+$AI$9),0)</f>
        <v/>
      </c>
      <c r="F72" s="392">
        <f>IF(F8&gt;0,$C$72*(1+$AI$9),0)</f>
        <v/>
      </c>
      <c r="G72" s="392">
        <f>IF(G8&gt;0,$C$72*(1+$AI$9),0)</f>
        <v/>
      </c>
      <c r="H72" s="392">
        <f>IF(H8&gt;0,$C$72*(1+$AI$9),0)</f>
        <v/>
      </c>
      <c r="I72" s="392">
        <f>IF(I8&gt;0,$C$72*(1+$AI$9),0)</f>
        <v/>
      </c>
      <c r="J72" s="392">
        <f>IF(J8&gt;0,$C$72*(1+$AI$9),0)</f>
        <v/>
      </c>
      <c r="K72" s="392">
        <f>IF(K8&gt;0,$C$72*(1+$AI$9),0)</f>
        <v/>
      </c>
      <c r="L72" s="392">
        <f>IF(L8&gt;0,$C$72*(1+$AI$9),0)</f>
        <v/>
      </c>
      <c r="M72" s="392">
        <f>IF(M8&gt;0,$C$72*(1+$AI$9),0)</f>
        <v/>
      </c>
      <c r="N72" s="392">
        <f>IF(N8&gt;0,$C$72*(1+$AI$9),0)</f>
        <v/>
      </c>
      <c r="O72" s="392">
        <f>IF(O8&gt;0,$C$72*(1+$AI$9),0)</f>
        <v/>
      </c>
      <c r="P72" s="392">
        <f>IF(P8&gt;0,$C$72*(1+$AI$9),0)</f>
        <v/>
      </c>
      <c r="Q72" s="392">
        <f>IF(Q8&gt;0,$C$72*(1+$AI$9),0)</f>
        <v/>
      </c>
      <c r="R72" s="392">
        <f>IF(R8&gt;0,$C$72*(1+$AI$9),0)</f>
        <v/>
      </c>
      <c r="S72" s="392">
        <f>IF(S8&gt;0,$C$72*(1+$AI$9),0)</f>
        <v/>
      </c>
      <c r="T72" s="392">
        <f>IF(T8&gt;0,$C$72*(1+$AI$9),0)</f>
        <v/>
      </c>
      <c r="U72" s="392">
        <f>IF(U8&gt;0,$C$72*(1+$AI$9),0)</f>
        <v/>
      </c>
      <c r="V72" s="392">
        <f>IF(V8&gt;0,$C$72*(1+$AI$9),0)</f>
        <v/>
      </c>
      <c r="W72" s="392">
        <f>IF(W8&gt;0,$C$72*(1+$AI$9),0)</f>
        <v/>
      </c>
      <c r="X72" s="392">
        <f>IF(X8&gt;0,$C$72*(1+$AI$9),0)</f>
        <v/>
      </c>
      <c r="Y72" s="392">
        <f>IF(Y8&gt;0,$C$72*(1+$AI$9),0)</f>
        <v/>
      </c>
      <c r="Z72" s="392">
        <f>IF(Z8&gt;0,$C$72*(1+$AI$9),0)</f>
        <v/>
      </c>
      <c r="AA72" s="392">
        <f>IF(AA8&gt;0,$C$72*(1+$AI$9),0)</f>
        <v/>
      </c>
      <c r="AB72" s="392">
        <f>IF(AB8&gt;0,$C$72*(1+$AI$9),0)</f>
        <v/>
      </c>
      <c r="AC72" s="392">
        <f>IF(AC8&gt;0,$C$72*(1+$AI$9),0)</f>
        <v/>
      </c>
      <c r="AD72" s="392">
        <f>IF(AD8&gt;0,$C$72*(1+$AI$9),0)</f>
        <v/>
      </c>
      <c r="AE72" s="26" t="n"/>
      <c r="AF72" s="27" t="n"/>
    </row>
    <row r="73">
      <c r="A73" s="4" t="inlineStr">
        <is>
          <t>Total Longwall Costs</t>
        </is>
      </c>
      <c r="B73" s="17" t="inlineStr">
        <is>
          <t>AUDk</t>
        </is>
      </c>
      <c r="D73" s="323">
        <f>D8*D72</f>
        <v/>
      </c>
      <c r="E73" s="323">
        <f>E8*E72</f>
        <v/>
      </c>
      <c r="F73" s="323">
        <f>F8*F72</f>
        <v/>
      </c>
      <c r="G73" s="323">
        <f>G8*G72</f>
        <v/>
      </c>
      <c r="H73" s="323">
        <f>H8*H72</f>
        <v/>
      </c>
      <c r="I73" s="323">
        <f>I8*I72</f>
        <v/>
      </c>
      <c r="J73" s="323">
        <f>J8*J72</f>
        <v/>
      </c>
      <c r="K73" s="323">
        <f>K8*K72</f>
        <v/>
      </c>
      <c r="L73" s="323">
        <f>L8*L72</f>
        <v/>
      </c>
      <c r="M73" s="323">
        <f>M8*M72</f>
        <v/>
      </c>
      <c r="N73" s="323">
        <f>N8*N72</f>
        <v/>
      </c>
      <c r="O73" s="323">
        <f>O8*O72</f>
        <v/>
      </c>
      <c r="P73" s="323">
        <f>P8*P72</f>
        <v/>
      </c>
      <c r="Q73" s="323">
        <f>Q8*Q72</f>
        <v/>
      </c>
      <c r="R73" s="323">
        <f>R8*R72</f>
        <v/>
      </c>
      <c r="S73" s="323">
        <f>S8*S72</f>
        <v/>
      </c>
      <c r="T73" s="323">
        <f>T8*T72</f>
        <v/>
      </c>
      <c r="U73" s="323">
        <f>U8*U72</f>
        <v/>
      </c>
      <c r="V73" s="323">
        <f>V8*V72</f>
        <v/>
      </c>
      <c r="W73" s="323">
        <f>W8*W72</f>
        <v/>
      </c>
      <c r="X73" s="323">
        <f>X8*X72</f>
        <v/>
      </c>
      <c r="Y73" s="323">
        <f>Y8*Y72</f>
        <v/>
      </c>
      <c r="Z73" s="323">
        <f>Z8*Z72</f>
        <v/>
      </c>
      <c r="AA73" s="323">
        <f>AA8*AA72</f>
        <v/>
      </c>
      <c r="AB73" s="323">
        <f>AB8*AB72</f>
        <v/>
      </c>
      <c r="AC73" s="323">
        <f>AC8*AC72</f>
        <v/>
      </c>
      <c r="AD73" s="323">
        <f>AD8*AD72</f>
        <v/>
      </c>
      <c r="AF73" s="370">
        <f>SUM(C73:AD73)</f>
        <v/>
      </c>
    </row>
    <row r="74">
      <c r="A74" s="4" t="n"/>
      <c r="B74" s="17" t="n"/>
      <c r="AF74" s="25" t="n"/>
    </row>
    <row r="75">
      <c r="A75" s="4" t="inlineStr">
        <is>
          <t>Total Outbye Costs</t>
        </is>
      </c>
      <c r="B75" s="17" t="inlineStr">
        <is>
          <t>AUDk</t>
        </is>
      </c>
      <c r="C75" s="391" t="n">
        <v>240000</v>
      </c>
      <c r="D75" s="323">
        <f>IF(D9&gt;0,$C$75)*(1+$AI$10)</f>
        <v/>
      </c>
      <c r="E75" s="323">
        <f>IF(E9&gt;0,$C$75)*(1+$AI$10)</f>
        <v/>
      </c>
      <c r="F75" s="323">
        <f>IF(F9&gt;0,$C$75)*(1+$AI$10)</f>
        <v/>
      </c>
      <c r="G75" s="323">
        <f>IF(G9&gt;0,$C$75)*(1+$AI$10)</f>
        <v/>
      </c>
      <c r="H75" s="323">
        <f>IF(H9&gt;0,$C$75)*(1+$AI$10)</f>
        <v/>
      </c>
      <c r="I75" s="323">
        <f>IF(I9&gt;0,$C$75)*(1+$AI$10)</f>
        <v/>
      </c>
      <c r="J75" s="323">
        <f>IF(J9&gt;0,$C$75)*(1+$AI$10)</f>
        <v/>
      </c>
      <c r="K75" s="323">
        <f>IF(K9&gt;0,$C$75)*(1+$AI$10)</f>
        <v/>
      </c>
      <c r="L75" s="323">
        <f>IF(L9&gt;0,$C$75)*(1+$AI$10)</f>
        <v/>
      </c>
      <c r="M75" s="323">
        <f>IF(M9&gt;0,$C$75)*(1+$AI$10)</f>
        <v/>
      </c>
      <c r="N75" s="323">
        <f>IF(N9&gt;0,$C$75)*(1+$AI$10)</f>
        <v/>
      </c>
      <c r="O75" s="323">
        <f>IF(O9&gt;0,$C$75)*(1+$AI$10)</f>
        <v/>
      </c>
      <c r="P75" s="323">
        <f>IF(P9&gt;0,$C$75)*(1+$AI$10)</f>
        <v/>
      </c>
      <c r="Q75" s="323">
        <f>IF(Q9&gt;0,$C$75)*(1+$AI$10)</f>
        <v/>
      </c>
      <c r="R75" s="323">
        <f>IF(R9&gt;0,$C$75)*(1+$AI$10)</f>
        <v/>
      </c>
      <c r="S75" s="323">
        <f>IF(S9&gt;0,$C$75)*(1+$AI$10)</f>
        <v/>
      </c>
      <c r="T75" s="323">
        <f>IF(T9&gt;0,$C$75)*(1+$AI$10)</f>
        <v/>
      </c>
      <c r="U75" s="323">
        <f>IF(U9&gt;0,$C$75)*(1+$AI$10)</f>
        <v/>
      </c>
      <c r="V75" s="323">
        <f>IF(V9&gt;0,$C$75)*(1+$AI$10)</f>
        <v/>
      </c>
      <c r="W75" s="323">
        <f>IF(W9&gt;0,$C$75)*(1+$AI$10)</f>
        <v/>
      </c>
      <c r="X75" s="323">
        <f>IF(X9&gt;0,$C$75)*(1+$AI$10)</f>
        <v/>
      </c>
      <c r="Y75" s="323">
        <f>IF(Y9&gt;0,$C$75)*(1+$AI$10)</f>
        <v/>
      </c>
      <c r="Z75" s="323">
        <f>IF(Z9&gt;0,$C$75)*(1+$AI$10)</f>
        <v/>
      </c>
      <c r="AA75" s="323">
        <f>IF(AA9&gt;0,$C$75)*(1+$AI$10)</f>
        <v/>
      </c>
      <c r="AB75" s="323">
        <f>IF(AB9&gt;0,$C$75)*(1+$AI$10)</f>
        <v/>
      </c>
      <c r="AC75" s="323">
        <f>IF(AC9&gt;0,$C$75)*(1+$AI$10)</f>
        <v/>
      </c>
      <c r="AD75" s="323">
        <f>IF(AD9&gt;0,$C$75)*(1+$AI$10)</f>
        <v/>
      </c>
      <c r="AF75" s="370">
        <f>SUM(C75:AD75)</f>
        <v/>
      </c>
    </row>
    <row r="76">
      <c r="A76" s="4" t="n"/>
      <c r="B76" s="17" t="n"/>
      <c r="C76" s="322" t="n"/>
      <c r="AF76" s="25" t="n"/>
    </row>
    <row r="77">
      <c r="A77" s="4" t="inlineStr">
        <is>
          <t>Gas Drainage Costs</t>
        </is>
      </c>
      <c r="B77" s="17" t="inlineStr">
        <is>
          <t>AUD/t</t>
        </is>
      </c>
      <c r="C77" s="393" t="n">
        <v>8</v>
      </c>
      <c r="D77" s="392">
        <f>IF(D9&gt;0,$C$77*(1+$AI$11),0)</f>
        <v/>
      </c>
      <c r="E77" s="392">
        <f>IF(E9&gt;0,$C$77*(1+$AI$11),0)</f>
        <v/>
      </c>
      <c r="F77" s="392">
        <f>IF(F9&gt;0,$C$77*(1+$AI$11),0)</f>
        <v/>
      </c>
      <c r="G77" s="392">
        <f>IF(G9&gt;0,$C$77*(1+$AI$11),0)</f>
        <v/>
      </c>
      <c r="H77" s="392">
        <f>IF(H9&gt;0,$C$77*(1+$AI$11),0)</f>
        <v/>
      </c>
      <c r="I77" s="392">
        <f>IF(I9&gt;0,$C$77*(1+$AI$11),0)</f>
        <v/>
      </c>
      <c r="J77" s="392">
        <f>IF(J9&gt;0,$C$77*(1+$AI$11),0)</f>
        <v/>
      </c>
      <c r="K77" s="392">
        <f>IF(K9&gt;0,$C$77*(1+$AI$11),0)</f>
        <v/>
      </c>
      <c r="L77" s="392">
        <f>IF(L9&gt;0,$C$77*(1+$AI$11),0)</f>
        <v/>
      </c>
      <c r="M77" s="392">
        <f>IF(M9&gt;0,$C$77*(1+$AI$11),0)</f>
        <v/>
      </c>
      <c r="N77" s="392">
        <f>IF(N9&gt;0,$C$77*(1+$AI$11),0)</f>
        <v/>
      </c>
      <c r="O77" s="392">
        <f>IF(O9&gt;0,$C$77*(1+$AI$11),0)</f>
        <v/>
      </c>
      <c r="P77" s="392">
        <f>IF(P9&gt;0,$C$77*(1+$AI$11),0)</f>
        <v/>
      </c>
      <c r="Q77" s="392">
        <f>IF(Q9&gt;0,$C$77*(1+$AI$11),0)</f>
        <v/>
      </c>
      <c r="R77" s="392">
        <f>IF(R9&gt;0,$C$77*(1+$AI$11),0)</f>
        <v/>
      </c>
      <c r="S77" s="392">
        <f>IF(S9&gt;0,$C$77*(1+$AI$11),0)</f>
        <v/>
      </c>
      <c r="T77" s="392">
        <f>IF(T9&gt;0,$C$77*(1+$AI$11),0)</f>
        <v/>
      </c>
      <c r="U77" s="392">
        <f>IF(U9&gt;0,$C$77*(1+$AI$11),0)</f>
        <v/>
      </c>
      <c r="V77" s="392">
        <f>IF(V9&gt;0,$C$77*(1+$AI$11),0)</f>
        <v/>
      </c>
      <c r="W77" s="392">
        <f>IF(W9&gt;0,$C$77*(1+$AI$11),0)</f>
        <v/>
      </c>
      <c r="X77" s="392">
        <f>IF(X9&gt;0,$C$77*(1+$AI$11),0)</f>
        <v/>
      </c>
      <c r="Y77" s="392">
        <f>IF(Y9&gt;0,$C$77*(1+$AI$11),0)</f>
        <v/>
      </c>
      <c r="Z77" s="392">
        <f>IF(Z9&gt;0,$C$77*(1+$AI$11),0)</f>
        <v/>
      </c>
      <c r="AA77" s="392">
        <f>IF(AA9&gt;0,$C$77*(1+$AI$11),0)</f>
        <v/>
      </c>
      <c r="AB77" s="392">
        <f>IF(AB9&gt;0,$C$77*(1+$AI$11),0)</f>
        <v/>
      </c>
      <c r="AC77" s="392">
        <f>IF(AC9&gt;0,$C$77*(1+$AI$11),0)</f>
        <v/>
      </c>
      <c r="AD77" s="392">
        <f>IF(AD9&gt;0,$C$77*(1+$AI$11),0)</f>
        <v/>
      </c>
      <c r="AE77" s="26" t="n"/>
      <c r="AF77" s="27" t="n"/>
    </row>
    <row r="78">
      <c r="A78" s="4" t="inlineStr">
        <is>
          <t>Total Gas Drainage Costs</t>
        </is>
      </c>
      <c r="B78" s="17" t="inlineStr">
        <is>
          <t>AUDk</t>
        </is>
      </c>
      <c r="D78" s="323">
        <f>D77*D9</f>
        <v/>
      </c>
      <c r="E78" s="323">
        <f>E77*E9</f>
        <v/>
      </c>
      <c r="F78" s="323">
        <f>F77*F9</f>
        <v/>
      </c>
      <c r="G78" s="323">
        <f>G77*G9</f>
        <v/>
      </c>
      <c r="H78" s="323">
        <f>H77*H9</f>
        <v/>
      </c>
      <c r="I78" s="323">
        <f>I77*I9</f>
        <v/>
      </c>
      <c r="J78" s="323">
        <f>J77*J9</f>
        <v/>
      </c>
      <c r="K78" s="323">
        <f>K77*K9</f>
        <v/>
      </c>
      <c r="L78" s="323">
        <f>L77*L9</f>
        <v/>
      </c>
      <c r="M78" s="323">
        <f>M77*M9</f>
        <v/>
      </c>
      <c r="N78" s="323">
        <f>N77*N9</f>
        <v/>
      </c>
      <c r="O78" s="323">
        <f>O77*O9</f>
        <v/>
      </c>
      <c r="P78" s="323">
        <f>P77*P9</f>
        <v/>
      </c>
      <c r="Q78" s="323">
        <f>Q77*Q9</f>
        <v/>
      </c>
      <c r="R78" s="323">
        <f>R77*R9</f>
        <v/>
      </c>
      <c r="S78" s="323">
        <f>S77*S9</f>
        <v/>
      </c>
      <c r="T78" s="323">
        <f>T77*T9</f>
        <v/>
      </c>
      <c r="U78" s="323">
        <f>U77*U9</f>
        <v/>
      </c>
      <c r="V78" s="323">
        <f>V77*V9</f>
        <v/>
      </c>
      <c r="W78" s="323">
        <f>W77*W9</f>
        <v/>
      </c>
      <c r="X78" s="323">
        <f>X77*X9</f>
        <v/>
      </c>
      <c r="Y78" s="323">
        <f>Y77*Y9</f>
        <v/>
      </c>
      <c r="Z78" s="323">
        <f>Z77*Z9</f>
        <v/>
      </c>
      <c r="AA78" s="323">
        <f>AA77*AA9</f>
        <v/>
      </c>
      <c r="AB78" s="323">
        <f>AB77*AB9</f>
        <v/>
      </c>
      <c r="AC78" s="323">
        <f>AC77*AC9</f>
        <v/>
      </c>
      <c r="AD78" s="323">
        <f>AD77*AD9</f>
        <v/>
      </c>
      <c r="AF78" s="370">
        <f>SUM(C78:AD78)</f>
        <v/>
      </c>
    </row>
    <row r="79">
      <c r="A79" s="4" t="n"/>
      <c r="B79" s="17" t="n"/>
      <c r="AF79" s="25" t="n"/>
    </row>
    <row r="80">
      <c r="A80" s="4" t="inlineStr">
        <is>
          <t>Fixed CHPP Costs</t>
        </is>
      </c>
      <c r="B80" s="17" t="inlineStr">
        <is>
          <t>AUDk</t>
        </is>
      </c>
      <c r="C80" s="391" t="n">
        <v>20000</v>
      </c>
      <c r="D80" s="323">
        <f>IF(D6&gt;0,$C$80,0)</f>
        <v/>
      </c>
      <c r="E80" s="323">
        <f>IF(E6&gt;0,$C$80,0)</f>
        <v/>
      </c>
      <c r="F80" s="323">
        <f>IF(F6&gt;0,$C$80,0)</f>
        <v/>
      </c>
      <c r="G80" s="323">
        <f>IF(G6&gt;0,$C$80,0)</f>
        <v/>
      </c>
      <c r="H80" s="323">
        <f>IF(H6&gt;0,$C$80,0)</f>
        <v/>
      </c>
      <c r="I80" s="323">
        <f>IF(I6&gt;0,$C$80,0)</f>
        <v/>
      </c>
      <c r="J80" s="323">
        <f>IF(J6&gt;0,$C$80,0)</f>
        <v/>
      </c>
      <c r="K80" s="323">
        <f>IF(K6&gt;0,$C$80,0)</f>
        <v/>
      </c>
      <c r="L80" s="323">
        <f>IF(L6&gt;0,$C$80,0)</f>
        <v/>
      </c>
      <c r="M80" s="323">
        <f>IF(M6&gt;0,$C$80,0)</f>
        <v/>
      </c>
      <c r="N80" s="323">
        <f>IF(N6&gt;0,$C$80,0)</f>
        <v/>
      </c>
      <c r="O80" s="323">
        <f>IF(O6&gt;0,$C$80,0)</f>
        <v/>
      </c>
      <c r="P80" s="323">
        <f>IF(P6&gt;0,$C$80,0)</f>
        <v/>
      </c>
      <c r="Q80" s="323">
        <f>IF(Q6&gt;0,$C$80,0)</f>
        <v/>
      </c>
      <c r="R80" s="323">
        <f>IF(R6&gt;0,$C$80,0)</f>
        <v/>
      </c>
      <c r="S80" s="323">
        <f>IF(S6&gt;0,$C$80,0)</f>
        <v/>
      </c>
      <c r="T80" s="323">
        <f>IF(T6&gt;0,$C$80,0)</f>
        <v/>
      </c>
      <c r="U80" s="323">
        <f>IF(U6&gt;0,$C$80,0)</f>
        <v/>
      </c>
      <c r="V80" s="323">
        <f>IF(V6&gt;0,$C$80,0)</f>
        <v/>
      </c>
      <c r="W80" s="323">
        <f>IF(W6&gt;0,$C$80,0)</f>
        <v/>
      </c>
      <c r="X80" s="323">
        <f>IF(X6&gt;0,$C$80,0)</f>
        <v/>
      </c>
      <c r="Y80" s="323">
        <f>IF(Y6&gt;0,$C$80,0)</f>
        <v/>
      </c>
      <c r="Z80" s="323">
        <f>IF(Z6&gt;0,$C$80,0)</f>
        <v/>
      </c>
      <c r="AA80" s="323">
        <f>IF(AA6&gt;0,$C$80,0)</f>
        <v/>
      </c>
      <c r="AB80" s="323">
        <f>IF(AB6&gt;0,$C$80,0)</f>
        <v/>
      </c>
      <c r="AC80" s="323">
        <f>IF(AC6&gt;0,$C$80,0)</f>
        <v/>
      </c>
      <c r="AD80" s="323">
        <f>IF(AD6&gt;0,$C$80,0)</f>
        <v/>
      </c>
      <c r="AF80" s="25" t="n"/>
    </row>
    <row r="81">
      <c r="A81" s="4" t="inlineStr">
        <is>
          <t>Variable CHPP Costs</t>
        </is>
      </c>
      <c r="B81" s="17" t="inlineStr">
        <is>
          <t>AUD/feedt</t>
        </is>
      </c>
      <c r="C81" s="91" t="n">
        <v>9.5</v>
      </c>
      <c r="D81" s="392">
        <f>IF(D12&gt;0,$C$81*(1+$AI$12),0)</f>
        <v/>
      </c>
      <c r="E81" s="392">
        <f>IF(E12&gt;0,$C$81*(1+$AI$12),0)</f>
        <v/>
      </c>
      <c r="F81" s="392">
        <f>IF(F12&gt;0,$C$81*(1+$AI$12),0)</f>
        <v/>
      </c>
      <c r="G81" s="392">
        <f>IF(G12&gt;0,$C$81*(1+$AI$12),0)</f>
        <v/>
      </c>
      <c r="H81" s="392">
        <f>IF(H12&gt;0,$C$81*(1+$AI$12),0)</f>
        <v/>
      </c>
      <c r="I81" s="392">
        <f>IF(I12&gt;0,$C$81*(1+$AI$12),0)</f>
        <v/>
      </c>
      <c r="J81" s="392">
        <f>IF(J12&gt;0,$C$81*(1+$AI$12),0)</f>
        <v/>
      </c>
      <c r="K81" s="392">
        <f>IF(K12&gt;0,$C$81*(1+$AI$12),0)</f>
        <v/>
      </c>
      <c r="L81" s="392">
        <f>IF(L12&gt;0,$C$81*(1+$AI$12),0)</f>
        <v/>
      </c>
      <c r="M81" s="392">
        <f>IF(M12&gt;0,$C$81*(1+$AI$12),0)</f>
        <v/>
      </c>
      <c r="N81" s="392">
        <f>IF(N12&gt;0,$C$81*(1+$AI$12),0)</f>
        <v/>
      </c>
      <c r="O81" s="392">
        <f>IF(O12&gt;0,$C$81*(1+$AI$12),0)</f>
        <v/>
      </c>
      <c r="P81" s="392">
        <f>IF(P12&gt;0,$C$81*(1+$AI$12),0)</f>
        <v/>
      </c>
      <c r="Q81" s="392">
        <f>IF(Q12&gt;0,$C$81*(1+$AI$12),0)</f>
        <v/>
      </c>
      <c r="R81" s="392">
        <f>IF(R12&gt;0,$C$81*(1+$AI$12),0)</f>
        <v/>
      </c>
      <c r="S81" s="392">
        <f>IF(S12&gt;0,$C$81*(1+$AI$12),0)</f>
        <v/>
      </c>
      <c r="T81" s="392">
        <f>IF(T12&gt;0,$C$81*(1+$AI$12),0)</f>
        <v/>
      </c>
      <c r="U81" s="392">
        <f>IF(U12&gt;0,$C$81*(1+$AI$12),0)</f>
        <v/>
      </c>
      <c r="V81" s="392">
        <f>IF(V12&gt;0,$C$81*(1+$AI$12),0)</f>
        <v/>
      </c>
      <c r="W81" s="392">
        <f>IF(W12&gt;0,$C$81*(1+$AI$12),0)</f>
        <v/>
      </c>
      <c r="X81" s="392">
        <f>IF(X12&gt;0,$C$81*(1+$AI$12),0)</f>
        <v/>
      </c>
      <c r="Y81" s="392">
        <f>IF(Y12&gt;0,$C$81*(1+$AI$12),0)</f>
        <v/>
      </c>
      <c r="Z81" s="392">
        <f>IF(Z12&gt;0,$C$81*(1+$AI$12),0)</f>
        <v/>
      </c>
      <c r="AA81" s="392">
        <f>IF(AA12&gt;0,$C$81*(1+$AI$12),0)</f>
        <v/>
      </c>
      <c r="AB81" s="392">
        <f>IF(AB12&gt;0,$C$81*(1+$AI$12),0)</f>
        <v/>
      </c>
      <c r="AC81" s="392">
        <f>IF(AC12&gt;0,$C$81*(1+$AI$12),0)</f>
        <v/>
      </c>
      <c r="AD81" s="392">
        <f>IF(AD12&gt;0,$C$81*(1+$AI$12),0)</f>
        <v/>
      </c>
      <c r="AE81" s="26" t="n"/>
      <c r="AF81" s="27" t="n"/>
    </row>
    <row r="82">
      <c r="A82" s="4" t="inlineStr">
        <is>
          <t>Total CHPP Costs</t>
        </is>
      </c>
      <c r="B82" s="17" t="inlineStr">
        <is>
          <t>AUDk</t>
        </is>
      </c>
      <c r="D82" s="323">
        <f>D9*D81+D80</f>
        <v/>
      </c>
      <c r="E82" s="323">
        <f>E9*E81+E80</f>
        <v/>
      </c>
      <c r="F82" s="323">
        <f>F9*F81+F80</f>
        <v/>
      </c>
      <c r="G82" s="323">
        <f>G9*G81+G80</f>
        <v/>
      </c>
      <c r="H82" s="323">
        <f>H9*H81+H80</f>
        <v/>
      </c>
      <c r="I82" s="323">
        <f>I9*I81+I80</f>
        <v/>
      </c>
      <c r="J82" s="323">
        <f>J9*J81+J80</f>
        <v/>
      </c>
      <c r="K82" s="323">
        <f>K9*K81+K80</f>
        <v/>
      </c>
      <c r="L82" s="323">
        <f>L9*L81+L80</f>
        <v/>
      </c>
      <c r="M82" s="323">
        <f>M9*M81+M80</f>
        <v/>
      </c>
      <c r="N82" s="323">
        <f>N9*N81+N80</f>
        <v/>
      </c>
      <c r="O82" s="323">
        <f>O9*O81+O80</f>
        <v/>
      </c>
      <c r="P82" s="323">
        <f>P9*P81+P80</f>
        <v/>
      </c>
      <c r="Q82" s="323">
        <f>Q9*Q81+Q80</f>
        <v/>
      </c>
      <c r="R82" s="323">
        <f>R9*R81+R80</f>
        <v/>
      </c>
      <c r="S82" s="323">
        <f>S9*S81+S80</f>
        <v/>
      </c>
      <c r="T82" s="323">
        <f>T9*T81+T80</f>
        <v/>
      </c>
      <c r="U82" s="323">
        <f>U9*U81+U80</f>
        <v/>
      </c>
      <c r="V82" s="323">
        <f>V9*V81+V80</f>
        <v/>
      </c>
      <c r="W82" s="323">
        <f>W9*W81+W80</f>
        <v/>
      </c>
      <c r="X82" s="323">
        <f>X9*X81+X80</f>
        <v/>
      </c>
      <c r="Y82" s="323">
        <f>Y9*Y81+Y80</f>
        <v/>
      </c>
      <c r="Z82" s="323">
        <f>Z9*Z81+Z80</f>
        <v/>
      </c>
      <c r="AA82" s="323">
        <f>AA9*AA81+AA80</f>
        <v/>
      </c>
      <c r="AB82" s="323">
        <f>AB9*AB81+AB80</f>
        <v/>
      </c>
      <c r="AC82" s="323">
        <f>AC9*AC81+AC80</f>
        <v/>
      </c>
      <c r="AD82" s="323">
        <f>AD9*AD81+AD80</f>
        <v/>
      </c>
      <c r="AF82" s="370">
        <f>SUM(C82:AD82)</f>
        <v/>
      </c>
    </row>
    <row r="83">
      <c r="A83" s="4" t="n"/>
      <c r="B83" s="17" t="n"/>
      <c r="D83" s="363" t="n"/>
      <c r="E83" s="363" t="n"/>
      <c r="F83" s="363" t="n"/>
      <c r="G83" s="363" t="n"/>
      <c r="H83" s="363" t="n"/>
      <c r="AF83" s="25" t="n"/>
    </row>
    <row r="84">
      <c r="A84" s="4" t="inlineStr">
        <is>
          <t>Overhead - Site Administration</t>
        </is>
      </c>
      <c r="B84" s="17" t="inlineStr">
        <is>
          <t>AUDk</t>
        </is>
      </c>
      <c r="C84" s="391" t="n">
        <v>45000</v>
      </c>
      <c r="D84" s="323">
        <f>IF(D$19&gt;0,$C84,0)</f>
        <v/>
      </c>
      <c r="E84" s="323">
        <f>IF(E$19&gt;0,$C84,0)</f>
        <v/>
      </c>
      <c r="F84" s="323">
        <f>IF(F$19&gt;0,$C84,0)</f>
        <v/>
      </c>
      <c r="G84" s="323">
        <f>IF(G$19&gt;0,$C84,0)</f>
        <v/>
      </c>
      <c r="H84" s="323">
        <f>IF(H$19&gt;0,$C84,0)</f>
        <v/>
      </c>
      <c r="I84" s="323">
        <f>IF(I$19&gt;0,$C84,0)</f>
        <v/>
      </c>
      <c r="J84" s="323">
        <f>IF(J$19&gt;0,$C84,0)</f>
        <v/>
      </c>
      <c r="K84" s="323">
        <f>IF(K$19&gt;0,$C84,0)</f>
        <v/>
      </c>
      <c r="L84" s="323">
        <f>IF(L$19&gt;0,$C84,0)</f>
        <v/>
      </c>
      <c r="M84" s="323">
        <f>IF(M$19&gt;0,$C84,0)</f>
        <v/>
      </c>
      <c r="N84" s="323">
        <f>IF(N$19&gt;0,$C84,0)</f>
        <v/>
      </c>
      <c r="O84" s="323">
        <f>IF(O$19&gt;0,$C84,0)</f>
        <v/>
      </c>
      <c r="P84" s="323">
        <f>IF(P$19&gt;0,$C84,0)</f>
        <v/>
      </c>
      <c r="Q84" s="323">
        <f>IF(Q$19&gt;0,$C84,0)</f>
        <v/>
      </c>
      <c r="R84" s="323">
        <f>IF(R$19&gt;0,$C84,0)</f>
        <v/>
      </c>
      <c r="S84" s="323">
        <f>IF(S$19&gt;0,$C84,0)</f>
        <v/>
      </c>
      <c r="T84" s="323">
        <f>IF(T$19&gt;0,$C84,0)</f>
        <v/>
      </c>
      <c r="U84" s="323">
        <f>IF(U$19&gt;0,$C84,0)</f>
        <v/>
      </c>
      <c r="V84" s="323">
        <f>IF(V$19&gt;0,$C84,0)</f>
        <v/>
      </c>
      <c r="W84" s="323">
        <f>IF(W$19&gt;0,$C84,0)</f>
        <v/>
      </c>
      <c r="X84" s="323">
        <f>IF(X$19&gt;0,$C84,0)</f>
        <v/>
      </c>
      <c r="Y84" s="323">
        <f>IF(Y$19&gt;0,$C84,0)</f>
        <v/>
      </c>
      <c r="Z84" s="323">
        <f>IF(Z$19&gt;0,$C84,0)</f>
        <v/>
      </c>
      <c r="AA84" s="323">
        <f>IF(AA$19&gt;0,$C84,0)</f>
        <v/>
      </c>
      <c r="AB84" s="323">
        <f>IF(AB$19&gt;0,$C84,0)</f>
        <v/>
      </c>
      <c r="AC84" s="323">
        <f>IF(AC$19&gt;0,$C84,0)</f>
        <v/>
      </c>
      <c r="AD84" s="323">
        <f>IF(AD$19&gt;0,$C84,0)</f>
        <v/>
      </c>
      <c r="AF84" s="25" t="n"/>
    </row>
    <row r="85">
      <c r="A85" s="4" t="inlineStr">
        <is>
          <t>Overhead - Town Management</t>
        </is>
      </c>
      <c r="B85" s="17" t="inlineStr">
        <is>
          <t>AUDk</t>
        </is>
      </c>
      <c r="C85" s="391" t="n">
        <v>9000</v>
      </c>
      <c r="D85" s="323">
        <f>IF(D$19&gt;0,$C85,0)</f>
        <v/>
      </c>
      <c r="E85" s="323">
        <f>IF(E$19&gt;0,$C85,0)</f>
        <v/>
      </c>
      <c r="F85" s="323">
        <f>IF(F$19&gt;0,$C85,0)</f>
        <v/>
      </c>
      <c r="G85" s="323">
        <f>IF(G$19&gt;0,$C85,0)</f>
        <v/>
      </c>
      <c r="H85" s="323">
        <f>IF(H$19&gt;0,$C85,0)</f>
        <v/>
      </c>
      <c r="I85" s="323">
        <f>IF(I$19&gt;0,$C85,0)</f>
        <v/>
      </c>
      <c r="J85" s="323">
        <f>IF(J$19&gt;0,$C85,0)</f>
        <v/>
      </c>
      <c r="K85" s="323">
        <f>IF(K$19&gt;0,$C85,0)</f>
        <v/>
      </c>
      <c r="L85" s="323">
        <f>IF(L$19&gt;0,$C85,0)</f>
        <v/>
      </c>
      <c r="M85" s="323">
        <f>IF(M$19&gt;0,$C85,0)</f>
        <v/>
      </c>
      <c r="N85" s="323">
        <f>IF(N$19&gt;0,$C85,0)</f>
        <v/>
      </c>
      <c r="O85" s="323">
        <f>IF(O$19&gt;0,$C85,0)</f>
        <v/>
      </c>
      <c r="P85" s="323">
        <f>IF(P$19&gt;0,$C85,0)</f>
        <v/>
      </c>
      <c r="Q85" s="323">
        <f>IF(Q$19&gt;0,$C85,0)</f>
        <v/>
      </c>
      <c r="R85" s="323">
        <f>IF(R$19&gt;0,$C85,0)</f>
        <v/>
      </c>
      <c r="S85" s="323">
        <f>IF(S$19&gt;0,$C85,0)</f>
        <v/>
      </c>
      <c r="T85" s="323">
        <f>IF(T$19&gt;0,$C85,0)</f>
        <v/>
      </c>
      <c r="U85" s="323">
        <f>IF(U$19&gt;0,$C85,0)</f>
        <v/>
      </c>
      <c r="V85" s="323">
        <f>IF(V$19&gt;0,$C85,0)</f>
        <v/>
      </c>
      <c r="W85" s="323">
        <f>IF(W$19&gt;0,$C85,0)</f>
        <v/>
      </c>
      <c r="X85" s="323">
        <f>IF(X$19&gt;0,$C85,0)</f>
        <v/>
      </c>
      <c r="Y85" s="323">
        <f>IF(Y$19&gt;0,$C85,0)</f>
        <v/>
      </c>
      <c r="Z85" s="323">
        <f>IF(Z$19&gt;0,$C85,0)</f>
        <v/>
      </c>
      <c r="AA85" s="323">
        <f>IF(AA$19&gt;0,$C85,0)</f>
        <v/>
      </c>
      <c r="AB85" s="323">
        <f>IF(AB$19&gt;0,$C85,0)</f>
        <v/>
      </c>
      <c r="AC85" s="323">
        <f>IF(AC$19&gt;0,$C85,0)</f>
        <v/>
      </c>
      <c r="AD85" s="323">
        <f>IF(AD$19&gt;0,$C85,0)</f>
        <v/>
      </c>
      <c r="AF85" s="25" t="n"/>
    </row>
    <row r="86">
      <c r="A86" s="4" t="inlineStr">
        <is>
          <t>Overhead - Corporate Fees</t>
        </is>
      </c>
      <c r="B86" s="17" t="inlineStr">
        <is>
          <t>AUDk</t>
        </is>
      </c>
      <c r="C86" s="391" t="n">
        <v>15000</v>
      </c>
      <c r="D86" s="323">
        <f>IF(D$19&gt;0,$C86,0)</f>
        <v/>
      </c>
      <c r="E86" s="323">
        <f>IF(E$19&gt;0,$C86,0)</f>
        <v/>
      </c>
      <c r="F86" s="323">
        <f>IF(F$19&gt;0,$C86,0)</f>
        <v/>
      </c>
      <c r="G86" s="323">
        <f>IF(G$19&gt;0,$C86,0)</f>
        <v/>
      </c>
      <c r="H86" s="323">
        <f>IF(H$19&gt;0,$C86,0)</f>
        <v/>
      </c>
      <c r="I86" s="323">
        <f>IF(I$19&gt;0,$C86,0)</f>
        <v/>
      </c>
      <c r="J86" s="323">
        <f>IF(J$19&gt;0,$C86,0)</f>
        <v/>
      </c>
      <c r="K86" s="323">
        <f>IF(K$19&gt;0,$C86,0)</f>
        <v/>
      </c>
      <c r="L86" s="323">
        <f>IF(L$19&gt;0,$C86,0)</f>
        <v/>
      </c>
      <c r="M86" s="323">
        <f>IF(M$19&gt;0,$C86,0)</f>
        <v/>
      </c>
      <c r="N86" s="323">
        <f>IF(N$19&gt;0,$C86,0)</f>
        <v/>
      </c>
      <c r="O86" s="323">
        <f>IF(O$19&gt;0,$C86,0)</f>
        <v/>
      </c>
      <c r="P86" s="323">
        <f>IF(P$19&gt;0,$C86,0)</f>
        <v/>
      </c>
      <c r="Q86" s="323">
        <f>IF(Q$19&gt;0,$C86,0)</f>
        <v/>
      </c>
      <c r="R86" s="323">
        <f>IF(R$19&gt;0,$C86,0)</f>
        <v/>
      </c>
      <c r="S86" s="323">
        <f>IF(S$19&gt;0,$C86,0)</f>
        <v/>
      </c>
      <c r="T86" s="323">
        <f>IF(T$19&gt;0,$C86,0)</f>
        <v/>
      </c>
      <c r="U86" s="323">
        <f>IF(U$19&gt;0,$C86,0)</f>
        <v/>
      </c>
      <c r="V86" s="323">
        <f>IF(V$19&gt;0,$C86,0)</f>
        <v/>
      </c>
      <c r="W86" s="323">
        <f>IF(W$19&gt;0,$C86,0)</f>
        <v/>
      </c>
      <c r="X86" s="323">
        <f>IF(X$19&gt;0,$C86,0)</f>
        <v/>
      </c>
      <c r="Y86" s="323">
        <f>IF(Y$19&gt;0,$C86,0)</f>
        <v/>
      </c>
      <c r="Z86" s="323">
        <f>IF(Z$19&gt;0,$C86,0)</f>
        <v/>
      </c>
      <c r="AA86" s="323">
        <f>IF(AA$19&gt;0,$C86,0)</f>
        <v/>
      </c>
      <c r="AB86" s="323">
        <f>IF(AB$19&gt;0,$C86,0)</f>
        <v/>
      </c>
      <c r="AC86" s="323">
        <f>IF(AC$19&gt;0,$C86,0)</f>
        <v/>
      </c>
      <c r="AD86" s="323">
        <f>IF(AD$19&gt;0,$C86,0)</f>
        <v/>
      </c>
      <c r="AF86" s="25" t="n"/>
    </row>
    <row r="87">
      <c r="A87" s="4" t="inlineStr">
        <is>
          <t>Total Overhead Costs</t>
        </is>
      </c>
      <c r="B87" s="17" t="inlineStr">
        <is>
          <t>AUDk</t>
        </is>
      </c>
      <c r="C87" s="323" t="n"/>
      <c r="D87" s="394">
        <f>IF(D9&gt;0,SUM(D84:D86)*(1+$AI$13),0)</f>
        <v/>
      </c>
      <c r="E87" s="394">
        <f>IF(E9&gt;0,SUM(E84:E86)*(1+$AI$13),0)</f>
        <v/>
      </c>
      <c r="F87" s="394">
        <f>IF(F9&gt;0,SUM(F84:F86)*(1+$AI$13),0)</f>
        <v/>
      </c>
      <c r="G87" s="394">
        <f>IF(G9&gt;0,SUM(G84:G86)*(1+$AI$13),0)</f>
        <v/>
      </c>
      <c r="H87" s="394">
        <f>IF(H9&gt;0,SUM(H84:H86)*(1+$AI$13),0)</f>
        <v/>
      </c>
      <c r="I87" s="394">
        <f>IF(I9&gt;0,SUM(I84:I86)*(1+$AI$13),0)</f>
        <v/>
      </c>
      <c r="J87" s="394">
        <f>IF(J9&gt;0,SUM(J84:J86)*(1+$AI$13),0)</f>
        <v/>
      </c>
      <c r="K87" s="394">
        <f>IF(K9&gt;0,SUM(K84:K86)*(1+$AI$13),0)</f>
        <v/>
      </c>
      <c r="L87" s="394">
        <f>IF(L9&gt;0,SUM(L84:L86)*(1+$AI$13),0)</f>
        <v/>
      </c>
      <c r="M87" s="394">
        <f>IF(M9&gt;0,SUM(M84:M86)*(1+$AI$13),0)</f>
        <v/>
      </c>
      <c r="N87" s="394">
        <f>IF(N9&gt;0,SUM(N84:N86)*(1+$AI$13),0)</f>
        <v/>
      </c>
      <c r="O87" s="394">
        <f>IF(O9&gt;0,SUM(O84:O86)*(1+$AI$13),0)</f>
        <v/>
      </c>
      <c r="P87" s="394">
        <f>IF(P9&gt;0,SUM(P84:P86)*(1+$AI$13),0)</f>
        <v/>
      </c>
      <c r="Q87" s="394">
        <f>IF(Q9&gt;0,SUM(Q84:Q86)*(1+$AI$13),0)</f>
        <v/>
      </c>
      <c r="R87" s="394">
        <f>IF(R9&gt;0,SUM(R84:R86)*(1+$AI$13),0)</f>
        <v/>
      </c>
      <c r="S87" s="394">
        <f>IF(S9&gt;0,SUM(S84:S86)*(1+$AI$13),0)</f>
        <v/>
      </c>
      <c r="T87" s="394">
        <f>IF(T9&gt;0,SUM(T84:T86)*(1+$AI$13),0)</f>
        <v/>
      </c>
      <c r="U87" s="394">
        <f>IF(U9&gt;0,SUM(U84:U86)*(1+$AI$13),0)</f>
        <v/>
      </c>
      <c r="V87" s="394">
        <f>IF(V9&gt;0,SUM(V84:V86)*(1+$AI$13),0)</f>
        <v/>
      </c>
      <c r="W87" s="394">
        <f>IF(W9&gt;0,SUM(W84:W86)*(1+$AI$13),0)</f>
        <v/>
      </c>
      <c r="X87" s="394">
        <f>IF(X9&gt;0,SUM(X84:X86)*(1+$AI$13),0)</f>
        <v/>
      </c>
      <c r="Y87" s="394">
        <f>IF(Y9&gt;0,SUM(Y84:Y86)*(1+$AI$13),0)</f>
        <v/>
      </c>
      <c r="Z87" s="394">
        <f>IF(Z9&gt;0,SUM(Z84:Z86)*(1+$AI$13),0)</f>
        <v/>
      </c>
      <c r="AA87" s="394">
        <f>IF(AA9&gt;0,SUM(AA84:AA86)*(1+$AI$13),0)</f>
        <v/>
      </c>
      <c r="AB87" s="394">
        <f>IF(AB9&gt;0,SUM(AB84:AB86)*(1+$AI$13),0)</f>
        <v/>
      </c>
      <c r="AC87" s="394">
        <f>IF(AC9&gt;0,SUM(AC84:AC86)*(1+$AI$13),0)</f>
        <v/>
      </c>
      <c r="AD87" s="394">
        <f>IF(AD9&gt;0,SUM(AD84:AD86)*(1+$AI$13),0)</f>
        <v/>
      </c>
      <c r="AE87" s="36" t="n"/>
      <c r="AF87" s="395">
        <f>SUM(C87:AD87)</f>
        <v/>
      </c>
    </row>
    <row r="88">
      <c r="A88" s="4" t="n"/>
      <c r="B88" s="17" t="n"/>
      <c r="C88" s="323" t="n"/>
      <c r="D88" s="323" t="n"/>
      <c r="E88" s="323" t="n"/>
      <c r="F88" s="323" t="n"/>
      <c r="G88" s="323" t="n"/>
      <c r="H88" s="323" t="n"/>
      <c r="I88" s="323" t="n"/>
      <c r="J88" s="323" t="n"/>
      <c r="K88" s="323" t="n"/>
      <c r="L88" s="323" t="n"/>
      <c r="M88" s="323" t="n"/>
      <c r="N88" s="323" t="n"/>
      <c r="O88" s="323" t="n"/>
      <c r="P88" s="323" t="n"/>
      <c r="Q88" s="323" t="n"/>
      <c r="R88" s="323" t="n"/>
      <c r="S88" s="323" t="n"/>
      <c r="T88" s="323" t="n"/>
      <c r="U88" s="323" t="n"/>
      <c r="V88" s="323" t="n"/>
      <c r="W88" s="323" t="n"/>
      <c r="X88" s="323" t="n"/>
      <c r="Y88" s="323" t="n"/>
      <c r="Z88" s="323" t="n"/>
      <c r="AA88" s="323" t="n"/>
      <c r="AB88" s="323" t="n"/>
      <c r="AC88" s="323" t="n"/>
      <c r="AD88" s="323" t="n"/>
      <c r="AF88" s="370" t="n"/>
    </row>
    <row r="89">
      <c r="A89" s="28" t="inlineStr">
        <is>
          <t>Total FOR Costs</t>
        </is>
      </c>
      <c r="B89" s="56" t="n"/>
      <c r="C89" s="333" t="n"/>
      <c r="D89" s="333">
        <f>SUM(D70,D73,D75,D78,D82,D87)</f>
        <v/>
      </c>
      <c r="E89" s="333">
        <f>SUM(E70,E73,E75,E78,E82,E87)</f>
        <v/>
      </c>
      <c r="F89" s="333">
        <f>SUM(F70,F73,F75,F78,F82,F87)</f>
        <v/>
      </c>
      <c r="G89" s="333">
        <f>SUM(G70,G73,G75,G78,G82,G87)</f>
        <v/>
      </c>
      <c r="H89" s="333">
        <f>SUM(H70,H73,H75,H78,H82,H87)</f>
        <v/>
      </c>
      <c r="I89" s="333">
        <f>SUM(I70,I73,I75,I78,I82,I87)</f>
        <v/>
      </c>
      <c r="J89" s="333">
        <f>SUM(J70,J73,J75,J78,J82,J87)</f>
        <v/>
      </c>
      <c r="K89" s="333">
        <f>SUM(K70,K73,K75,K78,K82,K87)</f>
        <v/>
      </c>
      <c r="L89" s="333">
        <f>SUM(L70,L73,L75,L78,L82,L87)</f>
        <v/>
      </c>
      <c r="M89" s="333">
        <f>SUM(M70,M73,M75,M78,M82,M87)</f>
        <v/>
      </c>
      <c r="N89" s="333">
        <f>SUM(N70,N73,N75,N78,N82,N87)</f>
        <v/>
      </c>
      <c r="O89" s="333">
        <f>SUM(O70,O73,O75,O78,O82,O87)</f>
        <v/>
      </c>
      <c r="P89" s="333">
        <f>SUM(P70,P73,P75,P78,P82,P87)</f>
        <v/>
      </c>
      <c r="Q89" s="333">
        <f>SUM(Q70,Q73,Q75,Q78,Q82,Q87)</f>
        <v/>
      </c>
      <c r="R89" s="333">
        <f>SUM(R70,R73,R75,R78,R82,R87)</f>
        <v/>
      </c>
      <c r="S89" s="333">
        <f>SUM(S70,S73,S75,S78,S82,S87)</f>
        <v/>
      </c>
      <c r="T89" s="333">
        <f>SUM(T70,T73,T75,T78,T82,T87)</f>
        <v/>
      </c>
      <c r="U89" s="333">
        <f>SUM(U70,U73,U75,U78,U82,U87)</f>
        <v/>
      </c>
      <c r="V89" s="333">
        <f>SUM(V70,V73,V75,V78,V82,V87)</f>
        <v/>
      </c>
      <c r="W89" s="333">
        <f>SUM(W70,W73,W75,W78,W82,W87)</f>
        <v/>
      </c>
      <c r="X89" s="333">
        <f>SUM(X70,X73,X75,X78,X82,X87)</f>
        <v/>
      </c>
      <c r="Y89" s="333">
        <f>SUM(Y70,Y73,Y75,Y78,Y82,Y87)</f>
        <v/>
      </c>
      <c r="Z89" s="333">
        <f>SUM(Z70,Z73,Z75,Z78,Z82,Z87)</f>
        <v/>
      </c>
      <c r="AA89" s="333">
        <f>SUM(AA70,AA73,AA75,AA78,AA82,AA87)</f>
        <v/>
      </c>
      <c r="AB89" s="333">
        <f>SUM(AB70,AB73,AB75,AB78,AB82,AB87)</f>
        <v/>
      </c>
      <c r="AC89" s="333">
        <f>SUM(AC70,AC73,AC75,AC78,AC82,AC87)</f>
        <v/>
      </c>
      <c r="AD89" s="333">
        <f>SUM(AD70,AD73,AD75,AD78,AD82,AD87)</f>
        <v/>
      </c>
      <c r="AE89" s="1" t="n"/>
      <c r="AF89" s="387">
        <f>SUM(C89:AD89)</f>
        <v/>
      </c>
    </row>
    <row r="90">
      <c r="A90" s="28" t="inlineStr">
        <is>
          <t>FOR Cost/t</t>
        </is>
      </c>
      <c r="B90" s="56" t="inlineStr">
        <is>
          <t>AUD/t</t>
        </is>
      </c>
      <c r="C90" s="333" t="n"/>
      <c r="D90" s="386">
        <f>IFERROR(D89/D19,0)</f>
        <v/>
      </c>
      <c r="E90" s="386">
        <f>IFERROR(E89/E19,0)</f>
        <v/>
      </c>
      <c r="F90" s="386">
        <f>IFERROR(F89/F19,0)</f>
        <v/>
      </c>
      <c r="G90" s="386">
        <f>IFERROR(G89/G19,0)</f>
        <v/>
      </c>
      <c r="H90" s="386">
        <f>IFERROR(H89/H19,0)</f>
        <v/>
      </c>
      <c r="I90" s="386">
        <f>IFERROR(I89/I19,0)</f>
        <v/>
      </c>
      <c r="J90" s="386">
        <f>IFERROR(J89/J19,0)</f>
        <v/>
      </c>
      <c r="K90" s="386">
        <f>IFERROR(K89/K19,0)</f>
        <v/>
      </c>
      <c r="L90" s="386">
        <f>IFERROR(L89/L19,0)</f>
        <v/>
      </c>
      <c r="M90" s="386">
        <f>IFERROR(M89/M19,0)</f>
        <v/>
      </c>
      <c r="N90" s="386">
        <f>IFERROR(N89/N19,0)</f>
        <v/>
      </c>
      <c r="O90" s="386">
        <f>IFERROR(O89/O19,0)</f>
        <v/>
      </c>
      <c r="P90" s="386">
        <f>IFERROR(P89/P19,0)</f>
        <v/>
      </c>
      <c r="Q90" s="386">
        <f>IFERROR(Q89/Q19,0)</f>
        <v/>
      </c>
      <c r="R90" s="386">
        <f>IFERROR(R89/R19,0)</f>
        <v/>
      </c>
      <c r="S90" s="386">
        <f>IFERROR(S89/S19,0)</f>
        <v/>
      </c>
      <c r="T90" s="386">
        <f>IFERROR(T89/T19,0)</f>
        <v/>
      </c>
      <c r="U90" s="386">
        <f>IFERROR(U89/U19,0)</f>
        <v/>
      </c>
      <c r="V90" s="386">
        <f>IFERROR(V89/V19,0)</f>
        <v/>
      </c>
      <c r="W90" s="386">
        <f>IFERROR(W89/W19,0)</f>
        <v/>
      </c>
      <c r="X90" s="386">
        <f>IFERROR(X89/X19,0)</f>
        <v/>
      </c>
      <c r="Y90" s="386">
        <f>IFERROR(Y89/Y19,0)</f>
        <v/>
      </c>
      <c r="Z90" s="386">
        <f>IFERROR(Z89/Z19,0)</f>
        <v/>
      </c>
      <c r="AA90" s="386">
        <f>IFERROR(AA89/AA19,0)</f>
        <v/>
      </c>
      <c r="AB90" s="386">
        <f>IFERROR(AB89/AB19,0)</f>
        <v/>
      </c>
      <c r="AC90" s="386">
        <f>IFERROR(AC89/AC19,0)</f>
        <v/>
      </c>
      <c r="AD90" s="386">
        <f>IFERROR(AD89/AD19,0)</f>
        <v/>
      </c>
      <c r="AE90" s="396" t="n"/>
      <c r="AF90" s="397">
        <f>IFERROR(AF89/AF19,0)</f>
        <v/>
      </c>
    </row>
    <row r="91">
      <c r="A91" s="4" t="n"/>
      <c r="B91" s="17" t="n"/>
      <c r="D91" s="344" t="n"/>
      <c r="AF91" s="25" t="n"/>
    </row>
    <row r="92">
      <c r="A92" s="28" t="inlineStr">
        <is>
          <t>Direct Selling Expenses</t>
        </is>
      </c>
      <c r="B92" s="17" t="n"/>
      <c r="C92" t="inlineStr">
        <is>
          <t>ToP Liability?</t>
        </is>
      </c>
      <c r="D92" s="17" t="inlineStr">
        <is>
          <t>Y</t>
        </is>
      </c>
      <c r="E92" s="17" t="inlineStr">
        <is>
          <t>Y</t>
        </is>
      </c>
      <c r="F92" s="17" t="inlineStr">
        <is>
          <t>N</t>
        </is>
      </c>
      <c r="G92" s="17" t="inlineStr">
        <is>
          <t>N</t>
        </is>
      </c>
      <c r="H92" s="17" t="inlineStr">
        <is>
          <t>N</t>
        </is>
      </c>
      <c r="AF92" s="25" t="n"/>
    </row>
    <row r="93">
      <c r="A93" s="4" t="inlineStr">
        <is>
          <t>Total Port, Rail and Selling Costs</t>
        </is>
      </c>
      <c r="B93" s="17" t="inlineStr">
        <is>
          <t>AUD/t</t>
        </is>
      </c>
      <c r="C93" s="393" t="n">
        <v>24</v>
      </c>
      <c r="D93" s="323">
        <f>$C$93*D34</f>
        <v/>
      </c>
      <c r="E93" s="323">
        <f>$C$93*E34</f>
        <v/>
      </c>
      <c r="F93" s="323">
        <f>$C$93*F34</f>
        <v/>
      </c>
      <c r="G93" s="323">
        <f>$C$93*G34</f>
        <v/>
      </c>
      <c r="H93" s="323">
        <f>$C$93*H34</f>
        <v/>
      </c>
      <c r="I93" s="323">
        <f>$C$93*I34</f>
        <v/>
      </c>
      <c r="J93" s="323">
        <f>$C$93*J34</f>
        <v/>
      </c>
      <c r="K93" s="323">
        <f>$C$93*K34</f>
        <v/>
      </c>
      <c r="L93" s="323">
        <f>$C$93*L34</f>
        <v/>
      </c>
      <c r="M93" s="323">
        <f>$C$93*M34</f>
        <v/>
      </c>
      <c r="N93" s="323">
        <f>$C$93*N34</f>
        <v/>
      </c>
      <c r="O93" s="323">
        <f>$C$93*O34</f>
        <v/>
      </c>
      <c r="P93" s="323">
        <f>$C$93*P34</f>
        <v/>
      </c>
      <c r="Q93" s="323">
        <f>$C$93*Q34</f>
        <v/>
      </c>
      <c r="R93" s="323">
        <f>$C$93*R34</f>
        <v/>
      </c>
      <c r="S93" s="323">
        <f>$C$93*S34</f>
        <v/>
      </c>
      <c r="T93" s="323">
        <f>$C$93*T34</f>
        <v/>
      </c>
      <c r="U93" s="323">
        <f>$C$93*U34</f>
        <v/>
      </c>
      <c r="V93" s="323">
        <f>$C$93*V34</f>
        <v/>
      </c>
      <c r="W93" s="323">
        <f>$C$93*W34</f>
        <v/>
      </c>
      <c r="X93" s="323">
        <f>$C$93*X34</f>
        <v/>
      </c>
      <c r="Y93" s="323">
        <f>$C$93*Y34</f>
        <v/>
      </c>
      <c r="Z93" s="323">
        <f>$C$93*Z34</f>
        <v/>
      </c>
      <c r="AA93" s="323">
        <f>$C$93*AA34</f>
        <v/>
      </c>
      <c r="AB93" s="323">
        <f>$C$93*AB34</f>
        <v/>
      </c>
      <c r="AC93" s="323">
        <f>$C$93*AC34</f>
        <v/>
      </c>
      <c r="AD93" s="323">
        <f>$C$93*AD34</f>
        <v/>
      </c>
      <c r="AF93" s="370">
        <f>SUM(C93:AD93)</f>
        <v/>
      </c>
    </row>
    <row r="94">
      <c r="A94" s="4" t="inlineStr">
        <is>
          <t>Additional take or pay liability</t>
        </is>
      </c>
      <c r="B94" s="17" t="inlineStr">
        <is>
          <t>AUD/t</t>
        </is>
      </c>
      <c r="C94" s="393" t="n">
        <v>10</v>
      </c>
      <c r="D94" s="323">
        <f>IF(D$92="Y",$C$94*D34,0)</f>
        <v/>
      </c>
      <c r="E94" s="323">
        <f>IF(E$92="Y",$C$94*E34,0)</f>
        <v/>
      </c>
      <c r="F94" s="323">
        <f>IF(F$92="Y",$C$94*F34,0)</f>
        <v/>
      </c>
      <c r="G94" s="323">
        <f>IF(G$92="Y",$C$94*G34,0)</f>
        <v/>
      </c>
      <c r="H94" s="323">
        <f>IF(H$92="Y",$C$94*H34,0)</f>
        <v/>
      </c>
      <c r="I94" s="323">
        <f>IF(I$92="Y",$C$94*I34,0)</f>
        <v/>
      </c>
      <c r="J94" s="323">
        <f>IF(J$92="Y",$C$94*J34,0)</f>
        <v/>
      </c>
      <c r="K94" s="323">
        <f>IF(K$92="Y",$C$94*K34,0)</f>
        <v/>
      </c>
      <c r="L94" s="323">
        <f>IF(L$92="Y",$C$94*L34,0)</f>
        <v/>
      </c>
      <c r="M94" s="323">
        <f>IF(M$92="Y",$C$94*M34,0)</f>
        <v/>
      </c>
      <c r="N94" s="323">
        <f>IF(N$92="Y",$C$94*N34,0)</f>
        <v/>
      </c>
      <c r="O94" s="323">
        <f>IF(O$92="Y",$C$94*O34,0)</f>
        <v/>
      </c>
      <c r="P94" s="323">
        <f>IF(P$92="Y",$C$94*P34,0)</f>
        <v/>
      </c>
      <c r="Q94" s="323">
        <f>IF(Q$92="Y",$C$94*Q34,0)</f>
        <v/>
      </c>
      <c r="R94" s="323">
        <f>IF(R$92="Y",$C$94*R34,0)</f>
        <v/>
      </c>
      <c r="S94" s="323">
        <f>IF(S$92="Y",$C$94*S34,0)</f>
        <v/>
      </c>
      <c r="T94" s="323">
        <f>IF(T$92="Y",$C$94*T34,0)</f>
        <v/>
      </c>
      <c r="U94" s="323">
        <f>IF(U$92="Y",$C$94*U34,0)</f>
        <v/>
      </c>
      <c r="V94" s="323">
        <f>IF(V$92="Y",$C$94*V34,0)</f>
        <v/>
      </c>
      <c r="W94" s="323">
        <f>IF(W$92="Y",$C$94*W34,0)</f>
        <v/>
      </c>
      <c r="X94" s="323">
        <f>IF(X$92="Y",$C$94*X34,0)</f>
        <v/>
      </c>
      <c r="Y94" s="323">
        <f>IF(Y$92="Y",$C$94*Y34,0)</f>
        <v/>
      </c>
      <c r="Z94" s="323">
        <f>IF(Z$92="Y",$C$94*Z34,0)</f>
        <v/>
      </c>
      <c r="AA94" s="323">
        <f>IF(AA$92="Y",$C$94*AA34,0)</f>
        <v/>
      </c>
      <c r="AB94" s="323">
        <f>IF(AB$92="Y",$C$94*AB34,0)</f>
        <v/>
      </c>
      <c r="AC94" s="323">
        <f>IF(AC$92="Y",$C$94*AC34,0)</f>
        <v/>
      </c>
      <c r="AD94" s="323">
        <f>IF(AD$92="Y",$C$94*AD34,0)</f>
        <v/>
      </c>
      <c r="AF94" s="370" t="n"/>
    </row>
    <row r="95" customFormat="1" s="113">
      <c r="A95" s="94" t="inlineStr">
        <is>
          <t>Government Royalty</t>
        </is>
      </c>
      <c r="B95" s="121" t="inlineStr">
        <is>
          <t>AUDk</t>
        </is>
      </c>
      <c r="D95" s="398">
        <f>D148*D34</f>
        <v/>
      </c>
      <c r="E95" s="398">
        <f>E148*E34</f>
        <v/>
      </c>
      <c r="F95" s="398">
        <f>F148*F34</f>
        <v/>
      </c>
      <c r="G95" s="398">
        <f>G148*G34</f>
        <v/>
      </c>
      <c r="H95" s="398">
        <f>H148*H34</f>
        <v/>
      </c>
      <c r="I95" s="398">
        <f>I148*I34</f>
        <v/>
      </c>
      <c r="J95" s="398">
        <f>J148*J34</f>
        <v/>
      </c>
      <c r="K95" s="398">
        <f>K148*K34</f>
        <v/>
      </c>
      <c r="L95" s="398">
        <f>L148*L34</f>
        <v/>
      </c>
      <c r="M95" s="398">
        <f>M148*M34</f>
        <v/>
      </c>
      <c r="N95" s="398">
        <f>N148*N34</f>
        <v/>
      </c>
      <c r="O95" s="398">
        <f>O148*O34</f>
        <v/>
      </c>
      <c r="P95" s="398">
        <f>P148*P34</f>
        <v/>
      </c>
      <c r="Q95" s="398">
        <f>Q148*Q34</f>
        <v/>
      </c>
      <c r="R95" s="398">
        <f>R148*R34</f>
        <v/>
      </c>
      <c r="S95" s="398">
        <f>S148*S34</f>
        <v/>
      </c>
      <c r="T95" s="398">
        <f>T148*T34</f>
        <v/>
      </c>
      <c r="U95" s="398">
        <f>U148*U34</f>
        <v/>
      </c>
      <c r="V95" s="398">
        <f>V148*V34</f>
        <v/>
      </c>
      <c r="W95" s="398">
        <f>W148*W34</f>
        <v/>
      </c>
      <c r="X95" s="398">
        <f>X148*X34</f>
        <v/>
      </c>
      <c r="Y95" s="398">
        <f>Y148*Y34</f>
        <v/>
      </c>
      <c r="Z95" s="398">
        <f>Z148*Z34</f>
        <v/>
      </c>
      <c r="AA95" s="398">
        <f>AA148*AA34</f>
        <v/>
      </c>
      <c r="AB95" s="398">
        <f>AB148*AB34</f>
        <v/>
      </c>
      <c r="AC95" s="398">
        <f>AC148*AC34</f>
        <v/>
      </c>
      <c r="AD95" s="398">
        <f>AD148*AD34</f>
        <v/>
      </c>
      <c r="AF95" s="399">
        <f>SUM(C95:AD95)</f>
        <v/>
      </c>
    </row>
    <row r="96">
      <c r="A96" s="4" t="inlineStr">
        <is>
          <t>Total Direct Selling Expenses</t>
        </is>
      </c>
      <c r="B96" s="17" t="inlineStr">
        <is>
          <t>AUDk</t>
        </is>
      </c>
      <c r="D96" s="347">
        <f>SUM(D93:D95)</f>
        <v/>
      </c>
      <c r="E96" s="347">
        <f>SUM(E93:E95)</f>
        <v/>
      </c>
      <c r="F96" s="347">
        <f>SUM(F93:F95)</f>
        <v/>
      </c>
      <c r="G96" s="347">
        <f>SUM(G93:G95)</f>
        <v/>
      </c>
      <c r="H96" s="347">
        <f>SUM(H93:H95)</f>
        <v/>
      </c>
      <c r="I96" s="347">
        <f>SUM(I93:I95)</f>
        <v/>
      </c>
      <c r="J96" s="347">
        <f>SUM(J93:J95)</f>
        <v/>
      </c>
      <c r="K96" s="347">
        <f>SUM(K93:K95)</f>
        <v/>
      </c>
      <c r="L96" s="347">
        <f>SUM(L93:L95)</f>
        <v/>
      </c>
      <c r="M96" s="347">
        <f>SUM(M93:M95)</f>
        <v/>
      </c>
      <c r="N96" s="347">
        <f>SUM(N93:N95)</f>
        <v/>
      </c>
      <c r="O96" s="347">
        <f>SUM(O93:O95)</f>
        <v/>
      </c>
      <c r="P96" s="347">
        <f>SUM(P93:P95)</f>
        <v/>
      </c>
      <c r="Q96" s="347">
        <f>SUM(Q93:Q95)</f>
        <v/>
      </c>
      <c r="R96" s="347">
        <f>SUM(R93:R95)</f>
        <v/>
      </c>
      <c r="S96" s="347">
        <f>SUM(S93:S95)</f>
        <v/>
      </c>
      <c r="T96" s="347">
        <f>SUM(T93:T95)</f>
        <v/>
      </c>
      <c r="U96" s="347">
        <f>SUM(U93:U95)</f>
        <v/>
      </c>
      <c r="V96" s="347">
        <f>SUM(V93:V95)</f>
        <v/>
      </c>
      <c r="W96" s="347">
        <f>SUM(W93:W95)</f>
        <v/>
      </c>
      <c r="X96" s="347">
        <f>SUM(X93:X95)</f>
        <v/>
      </c>
      <c r="Y96" s="347">
        <f>SUM(Y93:Y95)</f>
        <v/>
      </c>
      <c r="Z96" s="347">
        <f>SUM(Z93:Z95)</f>
        <v/>
      </c>
      <c r="AA96" s="347">
        <f>SUM(AA93:AA95)</f>
        <v/>
      </c>
      <c r="AB96" s="347">
        <f>SUM(AB93:AB95)</f>
        <v/>
      </c>
      <c r="AC96" s="347">
        <f>SUM(AC93:AC95)</f>
        <v/>
      </c>
      <c r="AD96" s="347">
        <f>SUM(AD93:AD95)</f>
        <v/>
      </c>
      <c r="AE96" s="347" t="n"/>
      <c r="AF96" s="400">
        <f>SUM(AF93:AF95)</f>
        <v/>
      </c>
    </row>
    <row r="97">
      <c r="A97" s="4" t="n"/>
      <c r="B97" s="17" t="n"/>
      <c r="C97" s="323" t="n"/>
      <c r="D97" s="323" t="n"/>
      <c r="E97" s="323" t="n"/>
      <c r="F97" s="323" t="n"/>
      <c r="G97" s="323" t="n"/>
      <c r="H97" s="323" t="n"/>
      <c r="I97" s="323" t="n"/>
      <c r="J97" s="323" t="n"/>
      <c r="K97" s="323" t="n"/>
      <c r="L97" s="323" t="n"/>
      <c r="M97" s="323" t="n"/>
      <c r="N97" s="323" t="n"/>
      <c r="O97" s="323" t="n"/>
      <c r="P97" s="323" t="n"/>
      <c r="Q97" s="323" t="n"/>
      <c r="R97" s="323" t="n"/>
      <c r="S97" s="323" t="n"/>
      <c r="T97" s="323" t="n"/>
      <c r="U97" s="323" t="n"/>
      <c r="V97" s="323" t="n"/>
      <c r="W97" s="323" t="n"/>
      <c r="X97" s="323" t="n"/>
      <c r="Y97" s="323" t="n"/>
      <c r="Z97" s="323" t="n"/>
      <c r="AA97" s="323" t="n"/>
      <c r="AB97" s="323" t="n"/>
      <c r="AC97" s="323" t="n"/>
      <c r="AD97" s="323" t="n"/>
      <c r="AF97" s="370" t="n"/>
    </row>
    <row r="98">
      <c r="A98" s="28" t="inlineStr">
        <is>
          <t>Total FOB Costs</t>
        </is>
      </c>
      <c r="B98" s="56" t="inlineStr">
        <is>
          <t>AUDk</t>
        </is>
      </c>
      <c r="C98" s="333" t="n"/>
      <c r="D98" s="333">
        <f>D89+D96</f>
        <v/>
      </c>
      <c r="E98" s="333">
        <f>E89+E96</f>
        <v/>
      </c>
      <c r="F98" s="333">
        <f>F89+F96</f>
        <v/>
      </c>
      <c r="G98" s="333">
        <f>G89+G96</f>
        <v/>
      </c>
      <c r="H98" s="333">
        <f>H89+H96</f>
        <v/>
      </c>
      <c r="I98" s="333">
        <f>I89+I96</f>
        <v/>
      </c>
      <c r="J98" s="333">
        <f>J89+J96</f>
        <v/>
      </c>
      <c r="K98" s="333">
        <f>K89+K96</f>
        <v/>
      </c>
      <c r="L98" s="333">
        <f>L89+L96</f>
        <v/>
      </c>
      <c r="M98" s="333">
        <f>M89+M96</f>
        <v/>
      </c>
      <c r="N98" s="333">
        <f>N89+N96</f>
        <v/>
      </c>
      <c r="O98" s="333">
        <f>O89+O96</f>
        <v/>
      </c>
      <c r="P98" s="333">
        <f>P89+P96</f>
        <v/>
      </c>
      <c r="Q98" s="333">
        <f>Q89+Q96</f>
        <v/>
      </c>
      <c r="R98" s="333">
        <f>R89+R96</f>
        <v/>
      </c>
      <c r="S98" s="333">
        <f>S89+S96</f>
        <v/>
      </c>
      <c r="T98" s="333">
        <f>T89+T96</f>
        <v/>
      </c>
      <c r="U98" s="333">
        <f>U89+U96</f>
        <v/>
      </c>
      <c r="V98" s="333">
        <f>V89+V96</f>
        <v/>
      </c>
      <c r="W98" s="333">
        <f>W89+W96</f>
        <v/>
      </c>
      <c r="X98" s="333">
        <f>X89+X96</f>
        <v/>
      </c>
      <c r="Y98" s="333">
        <f>Y89+Y96</f>
        <v/>
      </c>
      <c r="Z98" s="333">
        <f>Z89+Z96</f>
        <v/>
      </c>
      <c r="AA98" s="333">
        <f>AA89+AA96</f>
        <v/>
      </c>
      <c r="AB98" s="333">
        <f>AB89+AB96</f>
        <v/>
      </c>
      <c r="AC98" s="333">
        <f>AC89+AC96</f>
        <v/>
      </c>
      <c r="AD98" s="333">
        <f>AD89+AD96</f>
        <v/>
      </c>
      <c r="AE98" s="1" t="n"/>
      <c r="AF98" s="387">
        <f>SUM(C98:AD98)</f>
        <v/>
      </c>
    </row>
    <row r="99">
      <c r="A99" s="28" t="inlineStr">
        <is>
          <t>FOB Cost/t</t>
        </is>
      </c>
      <c r="B99" s="56" t="inlineStr">
        <is>
          <t>AUD/t</t>
        </is>
      </c>
      <c r="C99" s="333" t="n"/>
      <c r="D99" s="386">
        <f>IFERROR(D98/D19,0)</f>
        <v/>
      </c>
      <c r="E99" s="386">
        <f>IFERROR(E98/E19,0)</f>
        <v/>
      </c>
      <c r="F99" s="386">
        <f>IFERROR(F98/F19,0)</f>
        <v/>
      </c>
      <c r="G99" s="386">
        <f>IFERROR(G98/G19,0)</f>
        <v/>
      </c>
      <c r="H99" s="386">
        <f>IFERROR(H98/H19,0)</f>
        <v/>
      </c>
      <c r="I99" s="386">
        <f>IFERROR(I98/I19,0)</f>
        <v/>
      </c>
      <c r="J99" s="386">
        <f>IFERROR(J98/J19,0)</f>
        <v/>
      </c>
      <c r="K99" s="386">
        <f>IFERROR(K98/K19,0)</f>
        <v/>
      </c>
      <c r="L99" s="386">
        <f>IFERROR(L98/L19,0)</f>
        <v/>
      </c>
      <c r="M99" s="386">
        <f>IFERROR(M98/M19,0)</f>
        <v/>
      </c>
      <c r="N99" s="386">
        <f>IFERROR(N98/N19,0)</f>
        <v/>
      </c>
      <c r="O99" s="386">
        <f>IFERROR(O98/O19,0)</f>
        <v/>
      </c>
      <c r="P99" s="386">
        <f>IFERROR(P98/P19,0)</f>
        <v/>
      </c>
      <c r="Q99" s="386">
        <f>IFERROR(Q98/Q19,0)</f>
        <v/>
      </c>
      <c r="R99" s="386">
        <f>IFERROR(R98/R19,0)</f>
        <v/>
      </c>
      <c r="S99" s="386">
        <f>IFERROR(S98/S19,0)</f>
        <v/>
      </c>
      <c r="T99" s="386">
        <f>IFERROR(T98/T19,0)</f>
        <v/>
      </c>
      <c r="U99" s="386">
        <f>IFERROR(U98/U19,0)</f>
        <v/>
      </c>
      <c r="V99" s="386">
        <f>IFERROR(V98/V19,0)</f>
        <v/>
      </c>
      <c r="W99" s="386">
        <f>IFERROR(W98/W19,0)</f>
        <v/>
      </c>
      <c r="X99" s="386">
        <f>IFERROR(X98/X19,0)</f>
        <v/>
      </c>
      <c r="Y99" s="386">
        <f>IFERROR(Y98/Y19,0)</f>
        <v/>
      </c>
      <c r="Z99" s="386">
        <f>IFERROR(Z98/Z19,0)</f>
        <v/>
      </c>
      <c r="AA99" s="386">
        <f>IFERROR(AA98/AA19,0)</f>
        <v/>
      </c>
      <c r="AB99" s="386">
        <f>IFERROR(AB98/AB19,0)</f>
        <v/>
      </c>
      <c r="AC99" s="386">
        <f>IFERROR(AC98/AC19,0)</f>
        <v/>
      </c>
      <c r="AD99" s="386">
        <f>IFERROR(AD98/AD19,0)</f>
        <v/>
      </c>
      <c r="AE99" s="396" t="n"/>
      <c r="AF99" s="397">
        <f>IFERROR(AF98/AF19,0)</f>
        <v/>
      </c>
    </row>
    <row r="100">
      <c r="A100" s="4" t="n"/>
      <c r="B100" s="17" t="n"/>
      <c r="D100" s="344" t="n"/>
      <c r="E100" s="344" t="n"/>
      <c r="F100" s="344" t="n"/>
      <c r="G100" s="344" t="n"/>
      <c r="H100" s="344" t="n"/>
      <c r="I100" s="344" t="n"/>
      <c r="J100" s="344" t="n"/>
      <c r="K100" s="344" t="n"/>
      <c r="L100" s="344" t="n"/>
      <c r="M100" s="344" t="n"/>
      <c r="N100" s="344" t="n"/>
      <c r="O100" s="344" t="n"/>
      <c r="P100" s="344" t="n"/>
      <c r="Q100" s="344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44" t="n"/>
      <c r="AB100" s="344" t="n"/>
      <c r="AC100" s="344" t="n"/>
      <c r="AD100" s="344" t="n"/>
      <c r="AE100" s="344" t="n"/>
      <c r="AF100" s="401" t="n"/>
    </row>
    <row r="101">
      <c r="A101" s="28" t="inlineStr">
        <is>
          <t>Mine Earnings before Other Costs and Taxes</t>
        </is>
      </c>
      <c r="B101" s="17" t="inlineStr">
        <is>
          <t>AUDk</t>
        </is>
      </c>
      <c r="D101" s="350">
        <f>D62-D98</f>
        <v/>
      </c>
      <c r="E101" s="350">
        <f>E62-E98</f>
        <v/>
      </c>
      <c r="F101" s="350">
        <f>F62-F98</f>
        <v/>
      </c>
      <c r="G101" s="350">
        <f>G62-G98</f>
        <v/>
      </c>
      <c r="H101" s="350">
        <f>H62-H98</f>
        <v/>
      </c>
      <c r="I101" s="350">
        <f>I62-I98</f>
        <v/>
      </c>
      <c r="J101" s="350">
        <f>J62-J98</f>
        <v/>
      </c>
      <c r="K101" s="350">
        <f>K62-K98</f>
        <v/>
      </c>
      <c r="L101" s="350">
        <f>L62-L98</f>
        <v/>
      </c>
      <c r="M101" s="350">
        <f>M62-M98</f>
        <v/>
      </c>
      <c r="N101" s="350">
        <f>N62-N98</f>
        <v/>
      </c>
      <c r="O101" s="350">
        <f>O62-O98</f>
        <v/>
      </c>
      <c r="P101" s="350">
        <f>P62-P98</f>
        <v/>
      </c>
      <c r="Q101" s="350">
        <f>Q62-Q98</f>
        <v/>
      </c>
      <c r="R101" s="350">
        <f>R62-R98</f>
        <v/>
      </c>
      <c r="S101" s="350">
        <f>S62-S98</f>
        <v/>
      </c>
      <c r="T101" s="350">
        <f>T62-T98</f>
        <v/>
      </c>
      <c r="U101" s="350">
        <f>U62-U98</f>
        <v/>
      </c>
      <c r="V101" s="350">
        <f>V62-V98</f>
        <v/>
      </c>
      <c r="W101" s="350">
        <f>W62-W98</f>
        <v/>
      </c>
      <c r="X101" s="350">
        <f>X62-X98</f>
        <v/>
      </c>
      <c r="Y101" s="350">
        <f>Y62-Y98</f>
        <v/>
      </c>
      <c r="Z101" s="350">
        <f>Z62-Z98</f>
        <v/>
      </c>
      <c r="AA101" s="350">
        <f>AA62-AA98</f>
        <v/>
      </c>
      <c r="AB101" s="350">
        <f>AB62-AB98</f>
        <v/>
      </c>
      <c r="AC101" s="350">
        <f>AC62-AC98</f>
        <v/>
      </c>
      <c r="AD101" s="350">
        <f>AD62-AD98</f>
        <v/>
      </c>
      <c r="AE101" s="350" t="n"/>
      <c r="AF101" s="402">
        <f>AF62-AF98</f>
        <v/>
      </c>
    </row>
    <row r="102">
      <c r="A102" s="4" t="n"/>
      <c r="B102" s="17" t="n"/>
      <c r="AF102" s="25" t="n"/>
    </row>
    <row r="103">
      <c r="A103" s="28" t="inlineStr">
        <is>
          <t>Other Costs</t>
        </is>
      </c>
      <c r="B103" s="17" t="n"/>
      <c r="AF103" s="25" t="n"/>
    </row>
    <row r="104">
      <c r="A104" s="4" t="inlineStr">
        <is>
          <t>Progressive Rehabiliation Costs</t>
        </is>
      </c>
      <c r="B104" s="17" t="inlineStr">
        <is>
          <t>AUDk</t>
        </is>
      </c>
      <c r="C104" s="391" t="n">
        <v>2500</v>
      </c>
      <c r="D104" s="323">
        <f>IF(D9&gt;0,$C$104,0)</f>
        <v/>
      </c>
      <c r="E104" s="323">
        <f>IF(E9&gt;0,$C$104,0)</f>
        <v/>
      </c>
      <c r="F104" s="323">
        <f>IF(F9&gt;0,$C$104,0)</f>
        <v/>
      </c>
      <c r="G104" s="323">
        <f>IF(G9&gt;0,$C$104,0)</f>
        <v/>
      </c>
      <c r="H104" s="323">
        <f>IF(H9&gt;0,$C$104,0)</f>
        <v/>
      </c>
      <c r="I104" s="323">
        <f>IF(I9&gt;0,$C$104,0)</f>
        <v/>
      </c>
      <c r="J104" s="323">
        <f>IF(J9&gt;0,$C$104,0)</f>
        <v/>
      </c>
      <c r="K104" s="323">
        <f>IF(K9&gt;0,$C$104,0)</f>
        <v/>
      </c>
      <c r="L104" s="323">
        <f>IF(L9&gt;0,$C$104,0)</f>
        <v/>
      </c>
      <c r="M104" s="323">
        <f>IF(M9&gt;0,$C$104,0)</f>
        <v/>
      </c>
      <c r="N104" s="323">
        <f>IF(N9&gt;0,$C$104,0)</f>
        <v/>
      </c>
      <c r="O104" s="323">
        <f>IF(O9&gt;0,$C$104,0)</f>
        <v/>
      </c>
      <c r="P104" s="323">
        <f>IF(P9&gt;0,$C$104,0)</f>
        <v/>
      </c>
      <c r="Q104" s="323">
        <f>IF(Q9&gt;0,$C$104,0)</f>
        <v/>
      </c>
      <c r="R104" s="323">
        <f>IF(R9&gt;0,$C$104,0)</f>
        <v/>
      </c>
      <c r="S104" s="323">
        <f>IF(S9&gt;0,$C$104,0)</f>
        <v/>
      </c>
      <c r="T104" s="323">
        <f>IF(T9&gt;0,$C$104,0)</f>
        <v/>
      </c>
      <c r="U104" s="323">
        <f>IF(U9&gt;0,$C$104,0)</f>
        <v/>
      </c>
      <c r="V104" s="323">
        <f>IF(V9&gt;0,$C$104,0)</f>
        <v/>
      </c>
      <c r="W104" s="323">
        <f>IF(W9&gt;0,$C$104,0)</f>
        <v/>
      </c>
      <c r="X104" s="323">
        <f>IF(X9&gt;0,$C$104,0)</f>
        <v/>
      </c>
      <c r="Y104" s="323">
        <f>IF(Y9&gt;0,$C$104,0)</f>
        <v/>
      </c>
      <c r="Z104" s="323">
        <f>IF(Z9&gt;0,$C$104,0)</f>
        <v/>
      </c>
      <c r="AA104" s="323">
        <f>IF(AA9&gt;0,$C$104,0)</f>
        <v/>
      </c>
      <c r="AB104" s="323">
        <f>IF(AB9&gt;0,$C$104,0)</f>
        <v/>
      </c>
      <c r="AC104" s="323">
        <f>IF(AC9&gt;0,$C$104,0)</f>
        <v/>
      </c>
      <c r="AD104" s="323">
        <f>IF(AD9&gt;0,$C$104,0)</f>
        <v/>
      </c>
      <c r="AF104" s="370">
        <f>SUM(C104:AD104)</f>
        <v/>
      </c>
    </row>
    <row r="105">
      <c r="A105" s="4" t="inlineStr">
        <is>
          <t>Mine Closure Costs</t>
        </is>
      </c>
      <c r="B105" s="17" t="inlineStr">
        <is>
          <t>AUDk</t>
        </is>
      </c>
      <c r="C105" s="391" t="n">
        <v>900000</v>
      </c>
      <c r="D105" s="323" t="n"/>
      <c r="E105" s="323" t="n"/>
      <c r="F105" s="323" t="n"/>
      <c r="G105" s="323" t="n"/>
      <c r="H105" s="323" t="n"/>
      <c r="I105" s="323">
        <f>C105</f>
        <v/>
      </c>
      <c r="J105" s="323" t="n"/>
      <c r="K105" s="323" t="n"/>
      <c r="L105" s="323" t="n"/>
      <c r="M105" s="323" t="n"/>
      <c r="N105" s="323" t="n"/>
      <c r="O105" s="323" t="n"/>
      <c r="P105" s="323" t="n"/>
      <c r="Q105" s="323" t="n"/>
      <c r="R105" s="323" t="n"/>
      <c r="S105" s="323" t="n"/>
      <c r="T105" s="323" t="n"/>
      <c r="U105" s="323" t="n"/>
      <c r="V105" s="323" t="n"/>
      <c r="W105" s="323" t="n"/>
      <c r="X105" s="323" t="n"/>
      <c r="Y105" s="323" t="n"/>
      <c r="Z105" s="323" t="n"/>
      <c r="AA105" s="323" t="n"/>
      <c r="AB105" s="323" t="n"/>
      <c r="AC105" s="323" t="n"/>
      <c r="AD105" s="323" t="n"/>
      <c r="AF105" s="370">
        <f>SUM(C105:AD105)</f>
        <v/>
      </c>
      <c r="AH105" s="344" t="n"/>
    </row>
    <row r="106">
      <c r="A106" s="4" t="inlineStr">
        <is>
          <t>Carbon Costs</t>
        </is>
      </c>
      <c r="B106" s="17" t="inlineStr">
        <is>
          <t>AUDk</t>
        </is>
      </c>
      <c r="D106" s="323">
        <f>IF(Assumptions!$C$20="Zero Carbon Liability",Springbok!D26*Carbon!B2,Springbok!D26*Carbon!B3)/1000</f>
        <v/>
      </c>
      <c r="E106" s="323">
        <f>IF(Assumptions!$C$20="Zero Carbon Liability",Springbok!E26*Carbon!C2,Springbok!E26*Carbon!C3)/1000</f>
        <v/>
      </c>
      <c r="F106" s="323">
        <f>IF(Assumptions!$C$20="Zero Carbon Liability",Springbok!F26*Carbon!D2,Springbok!F26*Carbon!D3)/1000</f>
        <v/>
      </c>
      <c r="G106" s="323">
        <f>IF(Assumptions!$C$20="Zero Carbon Liability",Springbok!G26*Carbon!E2,Springbok!G26*Carbon!E3)/1000</f>
        <v/>
      </c>
      <c r="H106" s="323">
        <f>IF(Assumptions!$C$20="Zero Carbon Liability",Springbok!H26*Carbon!F2,Springbok!H26*Carbon!F3)/1000</f>
        <v/>
      </c>
      <c r="I106" s="323">
        <f>IF(Assumptions!$C$20="Zero Carbon Liability",Springbok!I26*Carbon!G2,Springbok!I26*Carbon!G3)/1000</f>
        <v/>
      </c>
      <c r="J106" s="323">
        <f>IF(Assumptions!$C$20="Zero Carbon Liability",Springbok!J26*Carbon!H2,Springbok!J26*Carbon!H3)/1000</f>
        <v/>
      </c>
      <c r="K106" s="323">
        <f>IF(Assumptions!$C$20="Zero Carbon Liability",Springbok!K26*Carbon!I2,Springbok!K26*Carbon!I3)/1000</f>
        <v/>
      </c>
      <c r="L106" s="323">
        <f>IF(Assumptions!$C$20="Zero Carbon Liability",Springbok!L26*Carbon!J2,Springbok!L26*Carbon!J3)/1000</f>
        <v/>
      </c>
      <c r="M106" s="323">
        <f>IF(Assumptions!$C$20="Zero Carbon Liability",Springbok!M26*Carbon!K2,Springbok!M26*Carbon!K3)/1000</f>
        <v/>
      </c>
      <c r="N106" s="323">
        <f>IF(Assumptions!$C$20="Zero Carbon Liability",Springbok!N26*Carbon!L2,Springbok!N26*Carbon!L3)/1000</f>
        <v/>
      </c>
      <c r="O106" s="323">
        <f>IF(Assumptions!$C$20="Zero Carbon Liability",Springbok!O26*Carbon!M2,Springbok!O26*Carbon!M3)/1000</f>
        <v/>
      </c>
      <c r="P106" s="323">
        <f>IF(Assumptions!$C$20="Zero Carbon Liability",Springbok!P26*Carbon!N2,Springbok!P26*Carbon!N3)/1000</f>
        <v/>
      </c>
      <c r="Q106" s="323">
        <f>IF(Assumptions!$C$20="Zero Carbon Liability",Springbok!Q26*Carbon!O2,Springbok!Q26*Carbon!O3)/1000</f>
        <v/>
      </c>
      <c r="R106" s="323">
        <f>IF(Assumptions!$C$20="Zero Carbon Liability",Springbok!R26*Carbon!P2,Springbok!R26*Carbon!P3)/1000</f>
        <v/>
      </c>
      <c r="S106" s="323">
        <f>IF(Assumptions!$C$20="Zero Carbon Liability",Springbok!S26*Carbon!Q2,Springbok!S26*Carbon!Q3)/1000</f>
        <v/>
      </c>
      <c r="T106" s="323">
        <f>IF(Assumptions!$C$20="Zero Carbon Liability",Springbok!T26*Carbon!R2,Springbok!T26*Carbon!R3)/1000</f>
        <v/>
      </c>
      <c r="U106" s="323">
        <f>IF(Assumptions!$C$20="Zero Carbon Liability",Springbok!U26*Carbon!S2,Springbok!U26*Carbon!S3)/1000</f>
        <v/>
      </c>
      <c r="V106" s="323">
        <f>IF(Assumptions!$C$20="Zero Carbon Liability",Springbok!V26*Carbon!T2,Springbok!V26*Carbon!T3)/1000</f>
        <v/>
      </c>
      <c r="W106" s="323">
        <f>IF(Assumptions!$C$20="Zero Carbon Liability",Springbok!W26*Carbon!U2,Springbok!W26*Carbon!U3)/1000</f>
        <v/>
      </c>
      <c r="X106" s="323">
        <f>IF(Assumptions!$C$20="Zero Carbon Liability",Springbok!X26*Carbon!V2,Springbok!X26*Carbon!V3)/1000</f>
        <v/>
      </c>
      <c r="Y106" s="323">
        <f>IF(Assumptions!$C$20="Zero Carbon Liability",Springbok!Y26*Carbon!W2,Springbok!Y26*Carbon!W3)/1000</f>
        <v/>
      </c>
      <c r="Z106" s="323">
        <f>IF(Assumptions!$C$20="Zero Carbon Liability",Springbok!Z26*Carbon!X2,Springbok!Z26*Carbon!X3)/1000</f>
        <v/>
      </c>
      <c r="AA106" s="323">
        <f>IF(Assumptions!$C$20="Zero Carbon Liability",Springbok!AA26*Carbon!Y2,Springbok!AA26*Carbon!Y3)/1000</f>
        <v/>
      </c>
      <c r="AB106" s="323">
        <f>IF(Assumptions!$C$20="Zero Carbon Liability",Springbok!AB26*Carbon!Z2,Springbok!AB26*Carbon!Z3)/1000</f>
        <v/>
      </c>
      <c r="AC106" s="323">
        <f>IF(Assumptions!$C$20="Zero Carbon Liability",Springbok!AC26*Carbon!AA2,Springbok!AC26*Carbon!AA3)/1000</f>
        <v/>
      </c>
      <c r="AD106" s="323">
        <f>IF(Assumptions!$C$20="Zero Carbon Liability",Springbok!AD26*Carbon!AB2,Springbok!AD26*Carbon!AB3)/1000</f>
        <v/>
      </c>
      <c r="AF106" s="370" t="n"/>
    </row>
    <row r="107">
      <c r="A107" s="4" t="inlineStr">
        <is>
          <t>Other Revenue</t>
        </is>
      </c>
      <c r="B107" s="17" t="inlineStr">
        <is>
          <t>AUDk</t>
        </is>
      </c>
      <c r="D107" s="323" t="n">
        <v>0</v>
      </c>
      <c r="E107" s="323" t="n">
        <v>0</v>
      </c>
      <c r="F107" s="323" t="n">
        <v>0</v>
      </c>
      <c r="G107" s="323" t="n">
        <v>0</v>
      </c>
      <c r="H107" s="323" t="n">
        <v>0</v>
      </c>
      <c r="I107" s="323">
        <f>-5000</f>
        <v/>
      </c>
      <c r="J107" s="323" t="n">
        <v>0</v>
      </c>
      <c r="K107" s="323" t="n">
        <v>0</v>
      </c>
      <c r="L107" s="323" t="n">
        <v>0</v>
      </c>
      <c r="M107" s="323" t="n">
        <v>0</v>
      </c>
      <c r="N107" s="323" t="n">
        <v>0</v>
      </c>
      <c r="O107" s="323" t="n">
        <v>0</v>
      </c>
      <c r="P107" s="323" t="n">
        <v>0</v>
      </c>
      <c r="Q107" s="323" t="n">
        <v>0</v>
      </c>
      <c r="R107" s="323" t="n">
        <v>0</v>
      </c>
      <c r="S107" s="323" t="n">
        <v>0</v>
      </c>
      <c r="T107" s="323" t="n">
        <v>0</v>
      </c>
      <c r="U107" s="323" t="n">
        <v>0</v>
      </c>
      <c r="V107" s="323" t="n">
        <v>0</v>
      </c>
      <c r="W107" s="323" t="n">
        <v>0</v>
      </c>
      <c r="X107" s="323" t="n">
        <v>0</v>
      </c>
      <c r="Y107" s="323" t="n">
        <v>0</v>
      </c>
      <c r="Z107" s="323" t="n">
        <v>0</v>
      </c>
      <c r="AA107" s="323" t="n">
        <v>0</v>
      </c>
      <c r="AB107" s="323" t="n">
        <v>0</v>
      </c>
      <c r="AC107" s="323" t="n">
        <v>0</v>
      </c>
      <c r="AD107" s="323" t="n">
        <v>0</v>
      </c>
      <c r="AF107" s="370" t="n"/>
    </row>
    <row r="108">
      <c r="A108" s="4" t="inlineStr">
        <is>
          <t>Total Other Costs</t>
        </is>
      </c>
      <c r="B108" s="17" t="inlineStr">
        <is>
          <t>AUDk</t>
        </is>
      </c>
      <c r="D108" s="347">
        <f>SUM(D104:D107)</f>
        <v/>
      </c>
      <c r="E108" s="347">
        <f>SUM(E104:E107)</f>
        <v/>
      </c>
      <c r="F108" s="347">
        <f>SUM(F104:F107)</f>
        <v/>
      </c>
      <c r="G108" s="347">
        <f>SUM(G104:G107)</f>
        <v/>
      </c>
      <c r="H108" s="347">
        <f>SUM(H104:H107)</f>
        <v/>
      </c>
      <c r="I108" s="347">
        <f>SUM(I104:I107)</f>
        <v/>
      </c>
      <c r="J108" s="347">
        <f>SUM(J104:J107)</f>
        <v/>
      </c>
      <c r="K108" s="347">
        <f>SUM(K104:K107)</f>
        <v/>
      </c>
      <c r="L108" s="347">
        <f>SUM(L104:L107)</f>
        <v/>
      </c>
      <c r="M108" s="347">
        <f>SUM(M104:M107)</f>
        <v/>
      </c>
      <c r="N108" s="347">
        <f>SUM(N104:N107)</f>
        <v/>
      </c>
      <c r="O108" s="347">
        <f>SUM(O104:O107)</f>
        <v/>
      </c>
      <c r="P108" s="347">
        <f>SUM(P104:P107)</f>
        <v/>
      </c>
      <c r="Q108" s="347">
        <f>SUM(Q104:Q107)</f>
        <v/>
      </c>
      <c r="R108" s="347">
        <f>SUM(R104:R107)</f>
        <v/>
      </c>
      <c r="S108" s="347">
        <f>SUM(S104:S107)</f>
        <v/>
      </c>
      <c r="T108" s="347">
        <f>SUM(T104:T107)</f>
        <v/>
      </c>
      <c r="U108" s="347">
        <f>SUM(U104:U107)</f>
        <v/>
      </c>
      <c r="V108" s="347">
        <f>SUM(V104:V107)</f>
        <v/>
      </c>
      <c r="W108" s="347">
        <f>SUM(W104:W107)</f>
        <v/>
      </c>
      <c r="X108" s="347">
        <f>SUM(X104:X107)</f>
        <v/>
      </c>
      <c r="Y108" s="347">
        <f>SUM(Y104:Y107)</f>
        <v/>
      </c>
      <c r="Z108" s="347">
        <f>SUM(Z104:Z107)</f>
        <v/>
      </c>
      <c r="AA108" s="347">
        <f>SUM(AA104:AA107)</f>
        <v/>
      </c>
      <c r="AB108" s="347">
        <f>SUM(AB104:AB107)</f>
        <v/>
      </c>
      <c r="AC108" s="347">
        <f>SUM(AC104:AC107)</f>
        <v/>
      </c>
      <c r="AD108" s="347">
        <f>SUM(AD104:AD107)</f>
        <v/>
      </c>
      <c r="AF108" s="400">
        <f>SUM(AF104:AF105)</f>
        <v/>
      </c>
    </row>
    <row r="109">
      <c r="A109" s="119" t="inlineStr">
        <is>
          <t>Total other - closure credits</t>
        </is>
      </c>
      <c r="B109" s="17" t="n"/>
      <c r="D109" s="344">
        <f>IF(D105&lt;=0,(D104+D106),D108)</f>
        <v/>
      </c>
      <c r="E109" s="344">
        <f>IF(E105&lt;=0,(E104+E106),E108)</f>
        <v/>
      </c>
      <c r="F109" s="344">
        <f>IF(F105&lt;=0,(F104+F106),F108)</f>
        <v/>
      </c>
      <c r="G109" s="344">
        <f>IF(G105&lt;=0,(G104+G106),G108)</f>
        <v/>
      </c>
      <c r="H109" s="344">
        <f>IF(H105&lt;=0,(H104+H106),H108)</f>
        <v/>
      </c>
      <c r="I109" s="344">
        <f>IF(I105&lt;=0,(I104+I106),I108)</f>
        <v/>
      </c>
      <c r="J109" s="344">
        <f>IF(J105&lt;=0,(J104+J106),J108)</f>
        <v/>
      </c>
      <c r="K109" s="344">
        <f>IF(K105&lt;=0,(K104+K106),K108)</f>
        <v/>
      </c>
      <c r="L109" s="344">
        <f>IF(L105&lt;=0,(L104+L106),L108)</f>
        <v/>
      </c>
      <c r="M109" s="344">
        <f>IF(M105&lt;=0,(M104+M106),M108)</f>
        <v/>
      </c>
      <c r="N109" s="344">
        <f>IF(N105&lt;=0,(N104+N106),N108)</f>
        <v/>
      </c>
      <c r="O109" s="344">
        <f>IF(O105&lt;=0,(O104+O106),O108)</f>
        <v/>
      </c>
      <c r="P109" s="344">
        <f>IF(P105&lt;=0,(P104+P106),P108)</f>
        <v/>
      </c>
      <c r="Q109" s="344">
        <f>IF(Q105&lt;=0,(Q104+Q106),Q108)</f>
        <v/>
      </c>
      <c r="R109" s="344">
        <f>IF(R105&lt;=0,(R104+R106),R108)</f>
        <v/>
      </c>
      <c r="S109" s="344">
        <f>IF(S105&lt;=0,(S104+S106),S108)</f>
        <v/>
      </c>
      <c r="T109" s="344">
        <f>IF(T105&lt;=0,(T104+T106),T108)</f>
        <v/>
      </c>
      <c r="U109" s="344">
        <f>IF(U105&lt;=0,(U104+U106),U108)</f>
        <v/>
      </c>
      <c r="V109" s="344">
        <f>IF(V105&lt;=0,(V104+V106),V108)</f>
        <v/>
      </c>
      <c r="W109" s="344">
        <f>IF(W105&lt;=0,(W104+W106),W108)</f>
        <v/>
      </c>
      <c r="X109" s="344">
        <f>IF(X105&lt;=0,(X104+X106),X108)</f>
        <v/>
      </c>
      <c r="Y109" s="344">
        <f>IF(Y105&lt;=0,(Y104+Y106),Y108)</f>
        <v/>
      </c>
      <c r="Z109" s="344">
        <f>IF(Z105&lt;=0,(Z104+Z106),Z108)</f>
        <v/>
      </c>
      <c r="AA109" s="344">
        <f>IF(AA105&lt;=0,(AA104+AA106),AA108)</f>
        <v/>
      </c>
      <c r="AB109" s="344">
        <f>IF(AB105&lt;=0,(AB104+AB106),AB108)</f>
        <v/>
      </c>
      <c r="AC109" s="344">
        <f>IF(AC105&lt;=0,(AC104+AC106),AC108)</f>
        <v/>
      </c>
      <c r="AD109" s="344">
        <f>IF(AD105&lt;=0,(AD104+AD106),AD108)</f>
        <v/>
      </c>
      <c r="AE109" s="344">
        <f>IF(AE105&gt;=0,(AE104+AE106),AE108)</f>
        <v/>
      </c>
      <c r="AF109" s="401" t="n"/>
    </row>
    <row r="110">
      <c r="A110" s="4" t="n"/>
      <c r="B110" s="17" t="n"/>
      <c r="L110" s="344" t="n"/>
      <c r="M110" s="344" t="n"/>
      <c r="N110" s="344" t="n"/>
      <c r="O110" s="344" t="n"/>
      <c r="P110" s="344" t="n"/>
      <c r="Q110" s="344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44" t="n"/>
      <c r="AB110" s="344" t="n"/>
      <c r="AC110" s="344" t="n"/>
      <c r="AD110" s="344" t="n"/>
      <c r="AF110" s="25" t="n"/>
    </row>
    <row r="111">
      <c r="A111" s="28" t="inlineStr">
        <is>
          <t>Capital Costs</t>
        </is>
      </c>
      <c r="B111" s="17" t="n"/>
      <c r="AF111" s="25" t="n"/>
    </row>
    <row r="112">
      <c r="A112" s="4" t="inlineStr">
        <is>
          <t>Project Capital</t>
        </is>
      </c>
      <c r="B112" s="17" t="inlineStr">
        <is>
          <t>AUDk</t>
        </is>
      </c>
      <c r="D112" s="323" t="n">
        <v>0</v>
      </c>
      <c r="E112" s="323" t="n">
        <v>0</v>
      </c>
      <c r="F112" s="323" t="n">
        <v>0</v>
      </c>
      <c r="G112" s="323" t="n">
        <v>0</v>
      </c>
      <c r="H112" s="323" t="n">
        <v>0</v>
      </c>
      <c r="I112" s="323" t="n">
        <v>0</v>
      </c>
      <c r="J112" s="323" t="n">
        <v>0</v>
      </c>
      <c r="K112" s="323" t="n">
        <v>0</v>
      </c>
      <c r="L112" s="323" t="n">
        <v>0</v>
      </c>
      <c r="M112" s="323" t="n">
        <v>0</v>
      </c>
      <c r="N112" s="323" t="n">
        <v>0</v>
      </c>
      <c r="O112" s="323" t="n">
        <v>0</v>
      </c>
      <c r="P112" s="323" t="n">
        <v>0</v>
      </c>
      <c r="Q112" s="323" t="n">
        <v>0</v>
      </c>
      <c r="R112" s="323" t="n">
        <v>0</v>
      </c>
      <c r="S112" s="323" t="n">
        <v>0</v>
      </c>
      <c r="T112" s="323" t="n">
        <v>0</v>
      </c>
      <c r="U112" s="323" t="n">
        <v>0</v>
      </c>
      <c r="V112" s="323" t="n">
        <v>0</v>
      </c>
      <c r="W112" s="323" t="n">
        <v>0</v>
      </c>
      <c r="X112" s="323" t="n">
        <v>0</v>
      </c>
      <c r="Y112" s="323" t="n">
        <v>0</v>
      </c>
      <c r="Z112" s="323" t="n">
        <v>0</v>
      </c>
      <c r="AA112" s="323" t="n">
        <v>0</v>
      </c>
      <c r="AB112" s="323" t="n">
        <v>0</v>
      </c>
      <c r="AC112" s="323" t="n">
        <v>0</v>
      </c>
      <c r="AD112" s="323" t="n">
        <v>0</v>
      </c>
      <c r="AF112" s="370">
        <f>SUM(C112:AD112)</f>
        <v/>
      </c>
    </row>
    <row r="113">
      <c r="A113" s="4" t="inlineStr">
        <is>
          <t>Mining Equipment/Major Capital</t>
        </is>
      </c>
      <c r="B113" s="17" t="inlineStr">
        <is>
          <t>AUDk</t>
        </is>
      </c>
      <c r="D113" s="323">
        <f>SpringbokCapital!D39</f>
        <v/>
      </c>
      <c r="E113" s="323">
        <f>SpringbokCapital!E39</f>
        <v/>
      </c>
      <c r="F113" s="323">
        <f>SpringbokCapital!F39</f>
        <v/>
      </c>
      <c r="G113" s="323">
        <f>SpringbokCapital!G39</f>
        <v/>
      </c>
      <c r="H113" s="323">
        <f>SpringbokCapital!H39</f>
        <v/>
      </c>
      <c r="I113" s="323">
        <f>SpringbokCapital!I39</f>
        <v/>
      </c>
      <c r="J113" s="323">
        <f>SpringbokCapital!J39</f>
        <v/>
      </c>
      <c r="K113" s="323">
        <f>SpringbokCapital!K39</f>
        <v/>
      </c>
      <c r="L113" s="323">
        <f>SpringbokCapital!L39</f>
        <v/>
      </c>
      <c r="M113" s="323">
        <f>SpringbokCapital!M39</f>
        <v/>
      </c>
      <c r="N113" s="323">
        <f>SpringbokCapital!N39</f>
        <v/>
      </c>
      <c r="O113" s="323">
        <f>SpringbokCapital!O39</f>
        <v/>
      </c>
      <c r="P113" s="323">
        <f>SpringbokCapital!P39</f>
        <v/>
      </c>
      <c r="Q113" s="323">
        <f>SpringbokCapital!Q39</f>
        <v/>
      </c>
      <c r="R113" s="323">
        <f>SpringbokCapital!R39</f>
        <v/>
      </c>
      <c r="S113" s="323">
        <f>SpringbokCapital!S39</f>
        <v/>
      </c>
      <c r="T113" s="323">
        <f>SpringbokCapital!T39</f>
        <v/>
      </c>
      <c r="U113" s="323">
        <f>SpringbokCapital!U39</f>
        <v/>
      </c>
      <c r="V113" s="323">
        <f>SpringbokCapital!V39</f>
        <v/>
      </c>
      <c r="W113" s="323">
        <f>SpringbokCapital!W39</f>
        <v/>
      </c>
      <c r="X113" s="323">
        <f>SpringbokCapital!X39</f>
        <v/>
      </c>
      <c r="Y113" s="323">
        <f>SpringbokCapital!Y39</f>
        <v/>
      </c>
      <c r="Z113" s="323">
        <f>SpringbokCapital!Z39</f>
        <v/>
      </c>
      <c r="AA113" s="323">
        <f>SpringbokCapital!AA39</f>
        <v/>
      </c>
      <c r="AB113" s="323">
        <f>SpringbokCapital!AB39</f>
        <v/>
      </c>
      <c r="AC113" s="323">
        <f>SpringbokCapital!AC39</f>
        <v/>
      </c>
      <c r="AD113" s="323">
        <f>SpringbokCapital!AD39</f>
        <v/>
      </c>
      <c r="AF113" s="370">
        <f>SUM(C113:AD113)</f>
        <v/>
      </c>
    </row>
    <row r="114">
      <c r="A114" s="4" t="inlineStr">
        <is>
          <t>Sustaining Capital</t>
        </is>
      </c>
      <c r="B114" s="17" t="inlineStr">
        <is>
          <t>AUD/ROMt</t>
        </is>
      </c>
      <c r="C114" s="393" t="n">
        <v>4</v>
      </c>
      <c r="D114" s="403">
        <f>$C$114*D9</f>
        <v/>
      </c>
      <c r="E114" s="403">
        <f>$C$114*E9</f>
        <v/>
      </c>
      <c r="F114" s="403">
        <f>$C$114*F9</f>
        <v/>
      </c>
      <c r="G114" s="403">
        <f>$C$114*G9</f>
        <v/>
      </c>
      <c r="H114" s="403">
        <f>$C$114*H9</f>
        <v/>
      </c>
      <c r="I114" s="403">
        <f>$C$114*I9</f>
        <v/>
      </c>
      <c r="J114" s="403">
        <f>$C$114*J9</f>
        <v/>
      </c>
      <c r="K114" s="403">
        <f>$C$114*K9</f>
        <v/>
      </c>
      <c r="L114" s="403">
        <f>$C$114*L9</f>
        <v/>
      </c>
      <c r="M114" s="403">
        <f>$C$114*M9</f>
        <v/>
      </c>
      <c r="N114" s="403">
        <f>$C$114*N9</f>
        <v/>
      </c>
      <c r="O114" s="403">
        <f>$C$114*O9</f>
        <v/>
      </c>
      <c r="P114" s="403">
        <f>$C$114*P9</f>
        <v/>
      </c>
      <c r="Q114" s="403">
        <f>$C$114*Q9</f>
        <v/>
      </c>
      <c r="R114" s="403">
        <f>$C$114*R9</f>
        <v/>
      </c>
      <c r="S114" s="403">
        <f>$C$114*S9</f>
        <v/>
      </c>
      <c r="T114" s="403">
        <f>$C$114*T9</f>
        <v/>
      </c>
      <c r="U114" s="403">
        <f>$C$114*U9</f>
        <v/>
      </c>
      <c r="V114" s="403">
        <f>$C$114*V9</f>
        <v/>
      </c>
      <c r="W114" s="403">
        <f>$C$114*W9</f>
        <v/>
      </c>
      <c r="X114" s="403">
        <f>$C$114*X9</f>
        <v/>
      </c>
      <c r="Y114" s="403">
        <f>$C$114*Y9</f>
        <v/>
      </c>
      <c r="Z114" s="403">
        <f>$C$114*Z9</f>
        <v/>
      </c>
      <c r="AA114" s="403">
        <f>$C$114*AA9</f>
        <v/>
      </c>
      <c r="AB114" s="403">
        <f>$C$114*AB9</f>
        <v/>
      </c>
      <c r="AC114" s="403">
        <f>$C$114*AC9</f>
        <v/>
      </c>
      <c r="AD114" s="403">
        <f>$C$114*AD9</f>
        <v/>
      </c>
      <c r="AE114" s="26" t="n"/>
      <c r="AF114" s="383">
        <f>SUM(C114:AD114)</f>
        <v/>
      </c>
    </row>
    <row r="115">
      <c r="A115" s="4" t="inlineStr">
        <is>
          <t>Total Capital</t>
        </is>
      </c>
      <c r="B115" s="17" t="inlineStr">
        <is>
          <t>AUDk</t>
        </is>
      </c>
      <c r="D115" s="344">
        <f>SUM(D112:D114)*(1+$AI$14)</f>
        <v/>
      </c>
      <c r="E115" s="344">
        <f>SUM(E112:E114)*(1+$AI$14)</f>
        <v/>
      </c>
      <c r="F115" s="344">
        <f>SUM(F112:F114)*(1+$AI$14)</f>
        <v/>
      </c>
      <c r="G115" s="344">
        <f>SUM(G112:G114)*(1+$AI$14)</f>
        <v/>
      </c>
      <c r="H115" s="344">
        <f>SUM(H112:H114)*(1+$AI$14)</f>
        <v/>
      </c>
      <c r="I115" s="344">
        <f>SUM(I112:I114)*(1+$AI$14)</f>
        <v/>
      </c>
      <c r="J115" s="344">
        <f>SUM(J112:J114)*(1+$AI$14)</f>
        <v/>
      </c>
      <c r="K115" s="344">
        <f>SUM(K112:K114)*(1+$AI$14)</f>
        <v/>
      </c>
      <c r="L115" s="344">
        <f>SUM(L112:L114)*(1+$AI$14)</f>
        <v/>
      </c>
      <c r="M115" s="344">
        <f>SUM(M112:M114)*(1+$AI$14)</f>
        <v/>
      </c>
      <c r="N115" s="344">
        <f>SUM(N112:N114)*(1+$AI$14)</f>
        <v/>
      </c>
      <c r="O115" s="344">
        <f>SUM(O112:O114)*(1+$AI$14)</f>
        <v/>
      </c>
      <c r="P115" s="344">
        <f>SUM(P112:P114)*(1+$AI$14)</f>
        <v/>
      </c>
      <c r="Q115" s="344">
        <f>SUM(Q112:Q114)*(1+$AI$14)</f>
        <v/>
      </c>
      <c r="R115" s="344">
        <f>SUM(R112:R114)*(1+$AI$14)</f>
        <v/>
      </c>
      <c r="S115" s="344">
        <f>SUM(S112:S114)*(1+$AI$14)</f>
        <v/>
      </c>
      <c r="T115" s="344">
        <f>SUM(T112:T114)*(1+$AI$14)</f>
        <v/>
      </c>
      <c r="U115" s="344">
        <f>SUM(U112:U114)*(1+$AI$14)</f>
        <v/>
      </c>
      <c r="V115" s="344">
        <f>SUM(V112:V114)*(1+$AI$14)</f>
        <v/>
      </c>
      <c r="W115" s="344">
        <f>SUM(W112:W114)*(1+$AI$14)</f>
        <v/>
      </c>
      <c r="X115" s="344">
        <f>SUM(X112:X114)*(1+$AI$14)</f>
        <v/>
      </c>
      <c r="Y115" s="344">
        <f>SUM(Y112:Y114)*(1+$AI$14)</f>
        <v/>
      </c>
      <c r="Z115" s="344">
        <f>SUM(Z112:Z114)*(1+$AI$14)</f>
        <v/>
      </c>
      <c r="AA115" s="344">
        <f>SUM(AA112:AA114)*(1+$AI$14)</f>
        <v/>
      </c>
      <c r="AB115" s="344">
        <f>SUM(AB112:AB114)*(1+$AI$14)</f>
        <v/>
      </c>
      <c r="AC115" s="344">
        <f>SUM(AC112:AC114)*(1+$AI$14)</f>
        <v/>
      </c>
      <c r="AD115" s="344">
        <f>SUM(AD112:AD114)*(1+$AI$14)</f>
        <v/>
      </c>
      <c r="AF115" s="370">
        <f>SUM(C115:AD115)</f>
        <v/>
      </c>
    </row>
    <row r="116">
      <c r="A116" s="4" t="inlineStr">
        <is>
          <t>Depreciation</t>
        </is>
      </c>
      <c r="B116" s="17" t="inlineStr">
        <is>
          <t>AUDk</t>
        </is>
      </c>
      <c r="D116" s="344">
        <f>D132</f>
        <v/>
      </c>
      <c r="E116" s="344">
        <f>E132</f>
        <v/>
      </c>
      <c r="F116" s="344">
        <f>F132</f>
        <v/>
      </c>
      <c r="G116" s="344">
        <f>G132</f>
        <v/>
      </c>
      <c r="H116" s="344">
        <f>H132</f>
        <v/>
      </c>
      <c r="I116" s="344">
        <f>I132</f>
        <v/>
      </c>
      <c r="J116" s="344">
        <f>J132</f>
        <v/>
      </c>
      <c r="K116" s="344">
        <f>K132</f>
        <v/>
      </c>
      <c r="L116" s="344">
        <f>L132</f>
        <v/>
      </c>
      <c r="M116" s="344">
        <f>M132</f>
        <v/>
      </c>
      <c r="N116" s="344">
        <f>N132</f>
        <v/>
      </c>
      <c r="O116" s="344">
        <f>O132</f>
        <v/>
      </c>
      <c r="P116" s="344">
        <f>P132</f>
        <v/>
      </c>
      <c r="Q116" s="344">
        <f>Q132</f>
        <v/>
      </c>
      <c r="R116" s="344">
        <f>R132</f>
        <v/>
      </c>
      <c r="S116" s="344">
        <f>S132</f>
        <v/>
      </c>
      <c r="T116" s="344">
        <f>T132</f>
        <v/>
      </c>
      <c r="U116" s="344">
        <f>U132</f>
        <v/>
      </c>
      <c r="V116" s="344">
        <f>V132</f>
        <v/>
      </c>
      <c r="W116" s="344">
        <f>W132</f>
        <v/>
      </c>
      <c r="X116" s="344">
        <f>X132</f>
        <v/>
      </c>
      <c r="Y116" s="344">
        <f>Y132</f>
        <v/>
      </c>
      <c r="Z116" s="344">
        <f>Z132</f>
        <v/>
      </c>
      <c r="AA116" s="344">
        <f>AA132</f>
        <v/>
      </c>
      <c r="AB116" s="344">
        <f>AB132</f>
        <v/>
      </c>
      <c r="AC116" s="344">
        <f>AC132</f>
        <v/>
      </c>
      <c r="AD116" s="344">
        <f>AD132</f>
        <v/>
      </c>
      <c r="AF116" s="370" t="n"/>
    </row>
    <row r="117">
      <c r="A117" s="4" t="n"/>
      <c r="B117" s="17" t="n"/>
      <c r="D117" s="344" t="n"/>
      <c r="E117" s="344" t="n"/>
      <c r="F117" s="344" t="n"/>
      <c r="G117" s="344" t="n"/>
      <c r="H117" s="344" t="n"/>
      <c r="I117" s="344" t="n"/>
      <c r="J117" s="344" t="n"/>
      <c r="K117" s="344" t="n"/>
      <c r="L117" s="344" t="n"/>
      <c r="M117" s="344" t="n"/>
      <c r="N117" s="344" t="n"/>
      <c r="O117" s="344" t="n"/>
      <c r="P117" s="344" t="n"/>
      <c r="Q117" s="344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44" t="n"/>
      <c r="AB117" s="344" t="n"/>
      <c r="AC117" s="344" t="n"/>
      <c r="AD117" s="344" t="n"/>
      <c r="AF117" s="370" t="n"/>
    </row>
    <row r="118">
      <c r="A118" s="28" t="inlineStr">
        <is>
          <t>Net Cashflow Before Tax</t>
        </is>
      </c>
      <c r="B118" s="56" t="inlineStr">
        <is>
          <t>AUDk</t>
        </is>
      </c>
      <c r="C118" s="1" t="n"/>
      <c r="D118" s="404">
        <f>D101-D108-D115</f>
        <v/>
      </c>
      <c r="E118" s="404">
        <f>E101-E108-E115</f>
        <v/>
      </c>
      <c r="F118" s="404">
        <f>F101-F108-F115</f>
        <v/>
      </c>
      <c r="G118" s="404">
        <f>G101-G108-G115</f>
        <v/>
      </c>
      <c r="H118" s="404">
        <f>H101-H108-H115</f>
        <v/>
      </c>
      <c r="I118" s="404">
        <f>I101-I108-I115</f>
        <v/>
      </c>
      <c r="J118" s="404">
        <f>J101-J108-J115</f>
        <v/>
      </c>
      <c r="K118" s="404">
        <f>K101-K108-K115</f>
        <v/>
      </c>
      <c r="L118" s="404">
        <f>L101-L108-L115</f>
        <v/>
      </c>
      <c r="M118" s="404">
        <f>M101-M108-M115</f>
        <v/>
      </c>
      <c r="N118" s="404">
        <f>N101-N108-N115</f>
        <v/>
      </c>
      <c r="O118" s="404">
        <f>O101-O108-O115</f>
        <v/>
      </c>
      <c r="P118" s="404">
        <f>P101-P108-P115</f>
        <v/>
      </c>
      <c r="Q118" s="404">
        <f>Q101-Q108-Q115</f>
        <v/>
      </c>
      <c r="R118" s="404">
        <f>R101-R108-R115</f>
        <v/>
      </c>
      <c r="S118" s="404">
        <f>S101-S108-S115</f>
        <v/>
      </c>
      <c r="T118" s="404">
        <f>T101-T108-T115</f>
        <v/>
      </c>
      <c r="U118" s="404">
        <f>U101-U108-U115</f>
        <v/>
      </c>
      <c r="V118" s="404">
        <f>V101-V108-V115</f>
        <v/>
      </c>
      <c r="W118" s="404">
        <f>W101-W108-W115</f>
        <v/>
      </c>
      <c r="X118" s="404">
        <f>X101-X108-X115</f>
        <v/>
      </c>
      <c r="Y118" s="404">
        <f>Y101-Y108-Y115</f>
        <v/>
      </c>
      <c r="Z118" s="404">
        <f>Z101-Z108-Z115</f>
        <v/>
      </c>
      <c r="AA118" s="404">
        <f>AA101-AA108-AA115</f>
        <v/>
      </c>
      <c r="AB118" s="404">
        <f>AB101-AB108-AB115</f>
        <v/>
      </c>
      <c r="AC118" s="404">
        <f>AC101-AC108-AC115</f>
        <v/>
      </c>
      <c r="AD118" s="404">
        <f>AD101-AD108-AD115</f>
        <v/>
      </c>
      <c r="AE118" s="1" t="n"/>
      <c r="AF118" s="402">
        <f>AF101-AF108-AF115</f>
        <v/>
      </c>
    </row>
    <row r="119">
      <c r="A119" s="4" t="inlineStr">
        <is>
          <t>Tax Paid</t>
        </is>
      </c>
      <c r="B119" s="17" t="inlineStr">
        <is>
          <t>AUDk</t>
        </is>
      </c>
      <c r="C119" s="43" t="n">
        <v>0.3</v>
      </c>
      <c r="D119" s="323">
        <f>IF((D101-D109-D116)*$C$119&gt;0,(D101-D109-D116)*$C$119,0)</f>
        <v/>
      </c>
      <c r="E119" s="323">
        <f>IF((E101-E109-E116)*$C$119&gt;0,(E101-E109-E116)*$C$119,0)</f>
        <v/>
      </c>
      <c r="F119" s="323">
        <f>IF((F101-F109-F116)*$C$119&gt;0,(F101-F109-F116)*$C$119,0)</f>
        <v/>
      </c>
      <c r="G119" s="323">
        <f>IF((G101-G109-G116)*$C$119&gt;0,(G101-G109-G116)*$C$119,0)</f>
        <v/>
      </c>
      <c r="H119" s="323">
        <f>IF((H101-H109-H116)*$C$119&gt;0,(H101-H109-H116)*$C$119,0)</f>
        <v/>
      </c>
      <c r="I119" s="323">
        <f>IF((I101-I109-I116)*$C$119&gt;0,(I101-I109-I116)*$C$119,0)</f>
        <v/>
      </c>
      <c r="J119" s="323">
        <f>IF((J101-J109-J116)*$C$119&gt;0,(J101-J109-J116)*$C$119,0)</f>
        <v/>
      </c>
      <c r="K119" s="323">
        <f>IF((K101-K109-K116)*$C$119&gt;0,(K101-K109-K116)*$C$119,0)</f>
        <v/>
      </c>
      <c r="L119" s="323">
        <f>IF((L101-L109-L116)*$C$119&gt;0,(L101-L109-L116)*$C$119,0)</f>
        <v/>
      </c>
      <c r="M119" s="323">
        <f>IF((M101-M109-M116)*$C$119&gt;0,(M101-M109-M116)*$C$119,0)</f>
        <v/>
      </c>
      <c r="N119" s="323">
        <f>IF((N101-N109-N116)*$C$119&gt;0,(N101-N109-N116)*$C$119,0)</f>
        <v/>
      </c>
      <c r="O119" s="323">
        <f>IF((O101-O109-O116)*$C$119&gt;0,(O101-O109-O116)*$C$119,0)</f>
        <v/>
      </c>
      <c r="P119" s="323">
        <f>IF((P101-P109-P116)*$C$119&gt;0,(P101-P109-P116)*$C$119,0)</f>
        <v/>
      </c>
      <c r="Q119" s="323">
        <f>IF((Q101-Q109-Q116)*$C$119&gt;0,(Q101-Q109-Q116)*$C$119,0)</f>
        <v/>
      </c>
      <c r="R119" s="323">
        <f>IF((R101-R109-R116)*$C$119&gt;0,(R101-R109-R116)*$C$119,0)</f>
        <v/>
      </c>
      <c r="S119" s="323">
        <f>IF((S101-S109-S116)*$C$119&gt;0,(S101-S109-S116)*$C$119,0)</f>
        <v/>
      </c>
      <c r="T119" s="323">
        <f>IF((T101-T109-T116)*$C$119&gt;0,(T101-T109-T116)*$C$119,0)</f>
        <v/>
      </c>
      <c r="U119" s="323">
        <f>IF((U101-U109-U116)*$C$119&gt;0,(U101-U109-U116)*$C$119,0)</f>
        <v/>
      </c>
      <c r="V119" s="323">
        <f>IF((V101-V109-V116)*$C$119&gt;0,(V101-V109-V116)*$C$119,0)</f>
        <v/>
      </c>
      <c r="W119" s="323">
        <f>IF((W101-W109-W116)*$C$119&gt;0,(W101-W109-W116)*$C$119,0)</f>
        <v/>
      </c>
      <c r="X119" s="323">
        <f>IF((X101-X109-X116)*$C$119&gt;0,(X101-X109-X116)*$C$119,0)</f>
        <v/>
      </c>
      <c r="Y119" s="323">
        <f>IF((Y101-Y109-Y116)*$C$119&gt;0,(Y101-Y109-Y116)*$C$119,0)</f>
        <v/>
      </c>
      <c r="Z119" s="323">
        <f>IF((Z101-Z109-Z116)*$C$119&gt;0,(Z101-Z109-Z116)*$C$119,0)</f>
        <v/>
      </c>
      <c r="AA119" s="323">
        <f>IF((AA101-AA109-AA116)*$C$119&gt;0,(AA101-AA109-AA116)*$C$119,0)</f>
        <v/>
      </c>
      <c r="AB119" s="323">
        <f>IF((AB101-AB109-AB116)*$C$119&gt;0,(AB101-AB109-AB116)*$C$119,0)</f>
        <v/>
      </c>
      <c r="AC119" s="323">
        <f>IF((AC101-AC109-AC116)*$C$119&gt;0,(AC101-AC109-AC116)*$C$119,0)</f>
        <v/>
      </c>
      <c r="AD119" s="323">
        <f>IF((AD101-AD109-AD116)*$C$119&gt;0,(AD101-AD109-AD116)*$C$119,0)</f>
        <v/>
      </c>
      <c r="AF119" s="370">
        <f>SUM(D119:AD119)</f>
        <v/>
      </c>
    </row>
    <row r="120" hidden="1">
      <c r="A120" s="4" t="n"/>
      <c r="B120" s="17" t="n"/>
      <c r="D120" s="344" t="n">
        <v>1</v>
      </c>
      <c r="E120" s="344" t="n">
        <v>1</v>
      </c>
      <c r="F120" s="344" t="n">
        <v>1</v>
      </c>
      <c r="G120" s="344" t="n">
        <v>1</v>
      </c>
      <c r="H120" s="344" t="n">
        <v>1</v>
      </c>
      <c r="I120" s="344" t="n">
        <v>0</v>
      </c>
      <c r="J120" s="344" t="n">
        <v>1</v>
      </c>
      <c r="K120" s="344" t="n">
        <v>1</v>
      </c>
      <c r="L120" s="344" t="n">
        <v>1</v>
      </c>
      <c r="M120" s="344" t="n">
        <v>1</v>
      </c>
      <c r="N120" s="344" t="n">
        <v>1</v>
      </c>
      <c r="O120" s="344" t="n">
        <v>1</v>
      </c>
      <c r="P120" s="344" t="n">
        <v>1</v>
      </c>
      <c r="Q120" s="344" t="n">
        <v>1</v>
      </c>
      <c r="R120" s="344" t="n">
        <v>1</v>
      </c>
      <c r="S120" s="344" t="n">
        <v>1</v>
      </c>
      <c r="T120" s="344" t="n">
        <v>1</v>
      </c>
      <c r="U120" s="344" t="n">
        <v>1</v>
      </c>
      <c r="V120" s="344" t="n">
        <v>1</v>
      </c>
      <c r="W120" s="344" t="n">
        <v>1</v>
      </c>
      <c r="X120" s="344" t="n">
        <v>1</v>
      </c>
      <c r="Y120" s="344" t="n">
        <v>1</v>
      </c>
      <c r="Z120" s="344" t="n">
        <v>1</v>
      </c>
      <c r="AA120" s="344" t="n">
        <v>1</v>
      </c>
      <c r="AB120" s="344" t="n">
        <v>1</v>
      </c>
      <c r="AC120" s="344" t="n">
        <v>1</v>
      </c>
      <c r="AD120" s="344" t="n">
        <v>1</v>
      </c>
      <c r="AF120" s="370" t="n"/>
    </row>
    <row r="121">
      <c r="A121" s="4" t="n"/>
      <c r="B121" s="17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344" t="n"/>
      <c r="Q121" s="344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44" t="n"/>
      <c r="AB121" s="344" t="n"/>
      <c r="AC121" s="344" t="n"/>
      <c r="AD121" s="344" t="n"/>
      <c r="AF121" s="370" t="n"/>
    </row>
    <row r="122">
      <c r="A122" s="28" t="inlineStr">
        <is>
          <t>Cashflows After Tax</t>
        </is>
      </c>
      <c r="B122" s="56" t="inlineStr">
        <is>
          <t>AUDk</t>
        </is>
      </c>
      <c r="C122" s="1" t="n"/>
      <c r="D122" s="404">
        <f>D118-D119</f>
        <v/>
      </c>
      <c r="E122" s="404">
        <f>E118-E119</f>
        <v/>
      </c>
      <c r="F122" s="404">
        <f>F118-F119</f>
        <v/>
      </c>
      <c r="G122" s="404">
        <f>G118-G119</f>
        <v/>
      </c>
      <c r="H122" s="404">
        <f>H118-H119</f>
        <v/>
      </c>
      <c r="I122" s="404">
        <f>I118-I119</f>
        <v/>
      </c>
      <c r="J122" s="404">
        <f>J118-J119</f>
        <v/>
      </c>
      <c r="K122" s="404">
        <f>K118-K119</f>
        <v/>
      </c>
      <c r="L122" s="404">
        <f>L118-L119</f>
        <v/>
      </c>
      <c r="M122" s="404">
        <f>M118-M119</f>
        <v/>
      </c>
      <c r="N122" s="404">
        <f>N118-N119</f>
        <v/>
      </c>
      <c r="O122" s="404">
        <f>O118-O119</f>
        <v/>
      </c>
      <c r="P122" s="404">
        <f>P118-P119</f>
        <v/>
      </c>
      <c r="Q122" s="404">
        <f>Q118-Q119</f>
        <v/>
      </c>
      <c r="R122" s="404">
        <f>R118-R119</f>
        <v/>
      </c>
      <c r="S122" s="404">
        <f>S118-S119</f>
        <v/>
      </c>
      <c r="T122" s="404">
        <f>T118-T119</f>
        <v/>
      </c>
      <c r="U122" s="404">
        <f>U118-U119</f>
        <v/>
      </c>
      <c r="V122" s="404">
        <f>V118-V119</f>
        <v/>
      </c>
      <c r="W122" s="404">
        <f>W118-W119</f>
        <v/>
      </c>
      <c r="X122" s="404">
        <f>X118-X119</f>
        <v/>
      </c>
      <c r="Y122" s="404">
        <f>Y118-Y119</f>
        <v/>
      </c>
      <c r="Z122" s="404">
        <f>Z118-Z119</f>
        <v/>
      </c>
      <c r="AA122" s="404">
        <f>AA118-AA119</f>
        <v/>
      </c>
      <c r="AB122" s="404">
        <f>AB118-AB119</f>
        <v/>
      </c>
      <c r="AC122" s="404">
        <f>AC118-AC119</f>
        <v/>
      </c>
      <c r="AD122" s="404">
        <f>AD118-AD119</f>
        <v/>
      </c>
      <c r="AE122" s="1" t="n"/>
      <c r="AF122" s="405">
        <f>AF118-AF119</f>
        <v/>
      </c>
    </row>
    <row r="123">
      <c r="A123" s="28" t="inlineStr">
        <is>
          <t>Attributable Cashflow After Tax (60%)</t>
        </is>
      </c>
      <c r="B123" s="56" t="inlineStr">
        <is>
          <t>AUDk</t>
        </is>
      </c>
      <c r="C123" s="141" t="n">
        <v>0.6</v>
      </c>
      <c r="D123" s="404">
        <f>IFERROR(D122*$C$123,0)</f>
        <v/>
      </c>
      <c r="E123" s="404">
        <f>IFERROR(E122*$C$123,0)</f>
        <v/>
      </c>
      <c r="F123" s="404">
        <f>IFERROR(F122*$C$123,0)</f>
        <v/>
      </c>
      <c r="G123" s="404">
        <f>IFERROR(G122*$C$123,0)</f>
        <v/>
      </c>
      <c r="H123" s="404">
        <f>IFERROR(H122*$C$123,0)</f>
        <v/>
      </c>
      <c r="I123" s="404">
        <f>IFERROR(I122*$C$123,0)</f>
        <v/>
      </c>
      <c r="J123" s="404">
        <f>IFERROR(J122*$C$123,0)</f>
        <v/>
      </c>
      <c r="K123" s="404">
        <f>IFERROR(K122*$C$123,0)</f>
        <v/>
      </c>
      <c r="L123" s="404">
        <f>IFERROR(L122*$C$123,0)</f>
        <v/>
      </c>
      <c r="M123" s="404">
        <f>IFERROR(M122*$C$123,0)</f>
        <v/>
      </c>
      <c r="N123" s="404">
        <f>IFERROR(N122*$C$123,0)</f>
        <v/>
      </c>
      <c r="O123" s="404">
        <f>IFERROR(O122*$C$123,0)</f>
        <v/>
      </c>
      <c r="P123" s="404">
        <f>IFERROR(P122*$C$123,0)</f>
        <v/>
      </c>
      <c r="Q123" s="404">
        <f>IFERROR(Q122*$C$123,0)</f>
        <v/>
      </c>
      <c r="R123" s="404">
        <f>IFERROR(R122*$C$123,0)</f>
        <v/>
      </c>
      <c r="S123" s="404">
        <f>IFERROR(S122*$C$123,0)</f>
        <v/>
      </c>
      <c r="T123" s="404">
        <f>IFERROR(T122*$C$123,0)</f>
        <v/>
      </c>
      <c r="U123" s="404">
        <f>IFERROR(U122*$C$123,0)</f>
        <v/>
      </c>
      <c r="V123" s="404">
        <f>IFERROR(V122*$C$123,0)</f>
        <v/>
      </c>
      <c r="W123" s="404">
        <f>IFERROR(W122*$C$123,0)</f>
        <v/>
      </c>
      <c r="X123" s="404">
        <f>IFERROR(X122*$C$123,0)</f>
        <v/>
      </c>
      <c r="Y123" s="404">
        <f>IFERROR(Y122*$C$123,0)</f>
        <v/>
      </c>
      <c r="Z123" s="404">
        <f>IFERROR(Z122*$C$123,0)</f>
        <v/>
      </c>
      <c r="AA123" s="404">
        <f>IFERROR(AA122*$C$123,0)</f>
        <v/>
      </c>
      <c r="AB123" s="404">
        <f>IFERROR(AB122*$C$123,0)</f>
        <v/>
      </c>
      <c r="AC123" s="404">
        <f>IFERROR(AC122*$C$123,0)</f>
        <v/>
      </c>
      <c r="AD123" s="404">
        <f>IFERROR(AD122*$C$123,0)</f>
        <v/>
      </c>
      <c r="AE123" s="1" t="n"/>
      <c r="AF123" s="405" t="n"/>
    </row>
    <row r="124">
      <c r="A124" s="28" t="inlineStr">
        <is>
          <t>Discounted Cashflows</t>
        </is>
      </c>
      <c r="B124" s="56" t="inlineStr">
        <is>
          <t>AUDk</t>
        </is>
      </c>
      <c r="C124" s="1" t="n"/>
      <c r="D124" s="404">
        <f>D123*Assumptions!I2</f>
        <v/>
      </c>
      <c r="E124" s="404">
        <f>E122*Assumptions!J2</f>
        <v/>
      </c>
      <c r="F124" s="404">
        <f>F122*Assumptions!K2</f>
        <v/>
      </c>
      <c r="G124" s="404">
        <f>G122*Assumptions!L2</f>
        <v/>
      </c>
      <c r="H124" s="404">
        <f>H122*Assumptions!M2</f>
        <v/>
      </c>
      <c r="I124" s="404">
        <f>I122*Assumptions!N2</f>
        <v/>
      </c>
      <c r="J124" s="404">
        <f>J122*Assumptions!O2</f>
        <v/>
      </c>
      <c r="K124" s="404">
        <f>K122*Assumptions!P2</f>
        <v/>
      </c>
      <c r="L124" s="404">
        <f>L122*Assumptions!Q2</f>
        <v/>
      </c>
      <c r="M124" s="404">
        <f>M122*Assumptions!R2</f>
        <v/>
      </c>
      <c r="N124" s="404">
        <f>N122*Assumptions!S2</f>
        <v/>
      </c>
      <c r="O124" s="404">
        <f>O122*Assumptions!T2</f>
        <v/>
      </c>
      <c r="P124" s="404">
        <f>P122*Assumptions!U2</f>
        <v/>
      </c>
      <c r="Q124" s="404">
        <f>Q122*Assumptions!V2</f>
        <v/>
      </c>
      <c r="R124" s="404">
        <f>R122*Assumptions!W2</f>
        <v/>
      </c>
      <c r="S124" s="404">
        <f>S122*Assumptions!X2</f>
        <v/>
      </c>
      <c r="T124" s="404">
        <f>T122*Assumptions!Y2</f>
        <v/>
      </c>
      <c r="U124" s="404">
        <f>U122*Assumptions!Z2</f>
        <v/>
      </c>
      <c r="V124" s="404">
        <f>V122*Assumptions!AA2</f>
        <v/>
      </c>
      <c r="W124" s="404">
        <f>W122*Assumptions!AB2</f>
        <v/>
      </c>
      <c r="X124" s="404">
        <f>X122*Assumptions!AC2</f>
        <v/>
      </c>
      <c r="Y124" s="404">
        <f>Y122*Assumptions!AD2</f>
        <v/>
      </c>
      <c r="Z124" s="404">
        <f>Z122*Assumptions!AE2</f>
        <v/>
      </c>
      <c r="AA124" s="404">
        <f>AA122*Assumptions!AF2</f>
        <v/>
      </c>
      <c r="AB124" s="404">
        <f>AB122*Assumptions!AG2</f>
        <v/>
      </c>
      <c r="AC124" s="404">
        <f>AC122*Assumptions!AH2</f>
        <v/>
      </c>
      <c r="AD124" s="404">
        <f>AD122*Assumptions!AI2</f>
        <v/>
      </c>
      <c r="AE124" s="1" t="n"/>
      <c r="AF124" s="387">
        <f>SUM(D124:AD124)</f>
        <v/>
      </c>
    </row>
    <row r="125">
      <c r="A125" s="28" t="inlineStr">
        <is>
          <t>Payback Calculation</t>
        </is>
      </c>
      <c r="B125" s="56" t="n"/>
      <c r="C125" s="1" t="n"/>
      <c r="D125" s="404">
        <f>IFERROR(IF(SUM($D$122:D122)/ABS(D122)&gt;1,0,IF(SUM($D$122:D122)&lt;=0,1*D120,1-(SUM($D$122:D122)/D122)*D120)),0)</f>
        <v/>
      </c>
      <c r="E125" s="404">
        <f>IFERROR(IF(SUM($D$122:E122)/ABS(E122)&gt;1,0,IF(SUM($D$122:E122)&lt;=0,1*E120,1-(SUM($D$122:E122)/E122)*E120)),0)</f>
        <v/>
      </c>
      <c r="F125" s="404">
        <f>IFERROR(IF(SUM($D$122:F122)/ABS(F122)&gt;1,0,IF(SUM($D$122:F122)&lt;=0,1*F120,1-(SUM($D$122:F122)/F122)*F120)),0)</f>
        <v/>
      </c>
      <c r="G125" s="404">
        <f>IFERROR(IF(SUM($D$122:G122)/ABS(G122)&gt;1,0,IF(SUM($D$122:G122)&lt;=0,1*G120,1-(SUM($D$122:G122)/G122)*G120)),0)</f>
        <v/>
      </c>
      <c r="H125" s="404">
        <f>IFERROR(IF(SUM($D$122:H122)/ABS(H122)&gt;1,0,IF(SUM($D$122:H122)&lt;=0,1*H120,1-(SUM($D$122:H122)/H122)*H120)),0)</f>
        <v/>
      </c>
      <c r="I125" s="404">
        <f>IFERROR(IF(SUM($D$122:I122)/ABS(I122)&gt;1,0,IF(SUM($D$122:I122)&lt;=0,1*I120,1-(SUM($D$122:I122)/I122)*I120)),0)</f>
        <v/>
      </c>
      <c r="J125" s="404">
        <f>IFERROR(IF(SUM($D$122:J122)/ABS(J122)&gt;1,0,IF(SUM($D$122:J122)&lt;=0,1*J120,1-(SUM($D$122:J122)/J122)*J120)),0)</f>
        <v/>
      </c>
      <c r="K125" s="404">
        <f>IFERROR(IF(SUM($D$122:K122)/ABS(K122)&gt;1,0,IF(SUM($D$122:K122)&lt;=0,1*K120,1-(SUM($D$122:K122)/K122)*K120)),0)</f>
        <v/>
      </c>
      <c r="L125" s="404">
        <f>IFERROR(IF(SUM($D$122:L122)/ABS(L122)&gt;1,0,IF(SUM($D$122:L122)&lt;=0,1*L120,1-(SUM($D$122:L122)/L122)*L120)),0)</f>
        <v/>
      </c>
      <c r="M125" s="404">
        <f>IFERROR(IF(SUM($D$122:M122)/ABS(M122)&gt;1,0,IF(SUM($D$122:M122)&lt;=0,1*M120,1-(SUM($D$122:M122)/M122)*M120)),0)</f>
        <v/>
      </c>
      <c r="N125" s="404">
        <f>IFERROR(IF(SUM($D$122:N122)/ABS(N122)&gt;1,0,IF(SUM($D$122:N122)&lt;=0,1*N120,1-(SUM($D$122:N122)/N122)*N120)),0)</f>
        <v/>
      </c>
      <c r="O125" s="404">
        <f>IFERROR(IF(SUM($D$122:O122)/ABS(O122)&gt;1,0,IF(SUM($D$122:O122)&lt;=0,1*O120,1-(SUM($D$122:O122)/O122)*O120)),0)</f>
        <v/>
      </c>
      <c r="P125" s="404">
        <f>IFERROR(IF(SUM($D$122:P122)/ABS(P122)&gt;1,0,IF(SUM($D$122:P122)&lt;=0,1*P120,1-(SUM($D$122:P122)/P122)*P120)),0)</f>
        <v/>
      </c>
      <c r="Q125" s="404">
        <f>IFERROR(IF(SUM($D$122:Q122)/ABS(Q122)&gt;1,0,IF(SUM($D$122:Q122)&lt;=0,1*Q120,1-(SUM($D$122:Q122)/Q122)*Q120)),0)</f>
        <v/>
      </c>
      <c r="R125" s="404">
        <f>IFERROR(IF(SUM($D$122:R122)/ABS(R122)&gt;1,0,IF(SUM($D$122:R122)&lt;=0,1*R120,1-(SUM($D$122:R122)/R122)*R120)),0)</f>
        <v/>
      </c>
      <c r="S125" s="404">
        <f>IFERROR(IF(SUM($D$122:S122)/ABS(S122)&gt;1,0,IF(SUM($D$122:S122)&lt;=0,1*S120,1-(SUM($D$122:S122)/S122)*S120)),0)</f>
        <v/>
      </c>
      <c r="T125" s="404">
        <f>IFERROR(IF(SUM($D$122:T122)/ABS(T122)&gt;1,0,IF(SUM($D$122:T122)&lt;=0,1*T120,1-(SUM($D$122:T122)/T122)*T120)),0)</f>
        <v/>
      </c>
      <c r="U125" s="404">
        <f>IFERROR(IF(SUM($D$122:U122)/ABS(U122)&gt;1,0,IF(SUM($D$122:U122)&lt;=0,1*U120,1-(SUM($D$122:U122)/U122)*U120)),0)</f>
        <v/>
      </c>
      <c r="V125" s="404">
        <f>IFERROR(IF(SUM($D$122:V122)/ABS(V122)&gt;1,0,IF(SUM($D$122:V122)&lt;=0,1*V120,1-(SUM($D$122:V122)/V122)*V120)),0)</f>
        <v/>
      </c>
      <c r="W125" s="404">
        <f>IFERROR(IF(SUM($D$122:W122)/ABS(W122)&gt;1,0,IF(SUM($D$122:W122)&lt;=0,1*W120,1-(SUM($D$122:W122)/W122)*W120)),0)</f>
        <v/>
      </c>
      <c r="X125" s="404">
        <f>IFERROR(IF(SUM($D$122:X122)/ABS(X122)&gt;1,0,IF(SUM($D$122:X122)&lt;=0,1*X120,1-(SUM($D$122:X122)/X122)*X120)),0)</f>
        <v/>
      </c>
      <c r="Y125" s="404">
        <f>IFERROR(IF(SUM($D$122:Y122)/ABS(Y122)&gt;1,0,IF(SUM($D$122:Y122)&lt;=0,1*Y120,1-(SUM($D$122:Y122)/Y122)*Y120)),0)</f>
        <v/>
      </c>
      <c r="Z125" s="404">
        <f>IFERROR(IF(SUM($D$122:Z122)/ABS(Z122)&gt;1,0,IF(SUM($D$122:Z122)&lt;=0,1*Z120,1-(SUM($D$122:Z122)/Z122)*Z120)),0)</f>
        <v/>
      </c>
      <c r="AA125" s="404">
        <f>IFERROR(IF(SUM($D$122:AA122)/ABS(AA122)&gt;1,0,IF(SUM($D$122:AA122)&lt;=0,1*AA120,1-(SUM($D$122:AA122)/AA122)*AA120)),0)</f>
        <v/>
      </c>
      <c r="AB125" s="404">
        <f>IFERROR(IF(SUM($D$122:AB122)/ABS(AB122)&gt;1,0,IF(SUM($D$122:AB122)&lt;=0,1*AB120,1-(SUM($D$122:AB122)/AB122)*AB120)),0)</f>
        <v/>
      </c>
      <c r="AC125" s="404">
        <f>IFERROR(IF(SUM($D$122:AC122)/ABS(AC122)&gt;1,0,IF(SUM($D$122:AC122)&lt;=0,1*AC120,1-(SUM($D$122:AC122)/AC122)*AC120)),0)</f>
        <v/>
      </c>
      <c r="AD125" s="404">
        <f>IFERROR(IF(SUM($D$122:AD122)/ABS(AD122)&gt;1,0,IF(SUM($D$122:AD122)&lt;=0,1*AD120,1-(SUM($D$122:AD122)/AD122)*AD120)),0)</f>
        <v/>
      </c>
      <c r="AE125" s="1" t="n"/>
      <c r="AF125" s="387" t="n"/>
    </row>
    <row r="126">
      <c r="A126" s="28" t="inlineStr">
        <is>
          <t>Net Present Value</t>
        </is>
      </c>
      <c r="B126" s="56" t="inlineStr">
        <is>
          <t>AUDk</t>
        </is>
      </c>
      <c r="C126" s="404">
        <f>SUM(D124:AD124)</f>
        <v/>
      </c>
      <c r="D126" s="404" t="n"/>
      <c r="E126" s="404" t="n"/>
      <c r="F126" s="404" t="n"/>
      <c r="G126" s="404" t="n"/>
      <c r="H126" s="404" t="n"/>
      <c r="I126" s="404" t="n"/>
      <c r="J126" s="404" t="n"/>
      <c r="K126" s="404" t="n"/>
      <c r="L126" s="404" t="n"/>
      <c r="M126" s="404" t="n"/>
      <c r="N126" s="404" t="n"/>
      <c r="O126" s="404" t="n"/>
      <c r="P126" s="404" t="n"/>
      <c r="Q126" s="404" t="n"/>
      <c r="R126" s="404" t="n"/>
      <c r="S126" s="404" t="n"/>
      <c r="T126" s="404" t="n"/>
      <c r="U126" s="404" t="n"/>
      <c r="V126" s="404" t="n"/>
      <c r="W126" s="404" t="n"/>
      <c r="X126" s="404" t="n"/>
      <c r="Y126" s="404" t="n"/>
      <c r="Z126" s="404" t="n"/>
      <c r="AA126" s="404" t="n"/>
      <c r="AB126" s="404" t="n"/>
      <c r="AC126" s="404" t="n"/>
      <c r="AD126" s="404" t="n"/>
      <c r="AE126" s="1" t="n"/>
      <c r="AF126" s="405" t="n"/>
    </row>
    <row r="127">
      <c r="A127" s="28" t="inlineStr">
        <is>
          <t>Simple Payback</t>
        </is>
      </c>
      <c r="B127" s="56" t="inlineStr">
        <is>
          <t>years</t>
        </is>
      </c>
      <c r="C127" s="406">
        <f>SUM(D125:AD125)</f>
        <v/>
      </c>
      <c r="D127" s="404" t="n"/>
      <c r="E127" s="404" t="n"/>
      <c r="F127" s="404" t="n"/>
      <c r="G127" s="404" t="n"/>
      <c r="H127" s="404" t="n"/>
      <c r="I127" s="404" t="n"/>
      <c r="J127" s="404" t="n"/>
      <c r="K127" s="404" t="n"/>
      <c r="L127" s="404" t="n"/>
      <c r="M127" s="404" t="n"/>
      <c r="N127" s="404" t="n"/>
      <c r="O127" s="404" t="n"/>
      <c r="P127" s="404" t="n"/>
      <c r="Q127" s="404" t="n"/>
      <c r="R127" s="404" t="n"/>
      <c r="S127" s="404" t="n"/>
      <c r="T127" s="404" t="n"/>
      <c r="U127" s="404" t="n"/>
      <c r="V127" s="404" t="n"/>
      <c r="W127" s="404" t="n"/>
      <c r="X127" s="404" t="n"/>
      <c r="Y127" s="404" t="n"/>
      <c r="Z127" s="404" t="n"/>
      <c r="AA127" s="404" t="n"/>
      <c r="AB127" s="404" t="n"/>
      <c r="AC127" s="404" t="n"/>
      <c r="AD127" s="404" t="n"/>
      <c r="AE127" s="1" t="n"/>
      <c r="AF127" s="405" t="n"/>
    </row>
    <row r="128">
      <c r="A128" s="71" t="inlineStr">
        <is>
          <t>IRR</t>
        </is>
      </c>
      <c r="B128" s="92" t="inlineStr">
        <is>
          <t>%</t>
        </is>
      </c>
      <c r="C128" s="93">
        <f>IRR(D124:AD124)</f>
        <v/>
      </c>
      <c r="D128" s="407" t="n"/>
      <c r="E128" s="407" t="n"/>
      <c r="F128" s="407" t="n"/>
      <c r="G128" s="407" t="n"/>
      <c r="H128" s="407" t="n"/>
      <c r="I128" s="407" t="n"/>
      <c r="J128" s="407" t="n"/>
      <c r="K128" s="407" t="n"/>
      <c r="L128" s="407" t="n"/>
      <c r="M128" s="407" t="n"/>
      <c r="N128" s="407" t="n"/>
      <c r="O128" s="407" t="n"/>
      <c r="P128" s="407" t="n"/>
      <c r="Q128" s="407" t="n"/>
      <c r="R128" s="407" t="n"/>
      <c r="S128" s="407" t="n"/>
      <c r="T128" s="407" t="n"/>
      <c r="U128" s="407" t="n"/>
      <c r="V128" s="407" t="n"/>
      <c r="W128" s="407" t="n"/>
      <c r="X128" s="407" t="n"/>
      <c r="Y128" s="407" t="n"/>
      <c r="Z128" s="407" t="n"/>
      <c r="AA128" s="407" t="n"/>
      <c r="AB128" s="407" t="n"/>
      <c r="AC128" s="407" t="n"/>
      <c r="AD128" s="407" t="n"/>
      <c r="AE128" s="26" t="n"/>
      <c r="AF128" s="383" t="n"/>
    </row>
    <row r="129">
      <c r="A129" s="2" t="inlineStr">
        <is>
          <t>Depreciation Summary</t>
        </is>
      </c>
      <c r="B129" s="36" t="n"/>
      <c r="C129" s="36" t="n"/>
      <c r="D129" s="347" t="n"/>
      <c r="E129" s="347" t="n"/>
      <c r="F129" s="347" t="n"/>
      <c r="G129" s="347" t="n"/>
      <c r="H129" s="347" t="n"/>
      <c r="I129" s="347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7" t="n"/>
      <c r="S129" s="347" t="n"/>
      <c r="T129" s="347" t="n"/>
      <c r="U129" s="347" t="n"/>
      <c r="V129" s="347" t="n"/>
      <c r="W129" s="347" t="n"/>
      <c r="X129" s="347" t="n"/>
      <c r="Y129" s="347" t="n"/>
      <c r="Z129" s="347" t="n"/>
      <c r="AA129" s="347" t="n"/>
      <c r="AB129" s="347" t="n"/>
      <c r="AC129" s="347" t="n"/>
      <c r="AD129" s="347" t="n"/>
      <c r="AE129" s="36" t="n"/>
      <c r="AF129" s="395" t="n"/>
    </row>
    <row r="130">
      <c r="A130" s="4" t="inlineStr">
        <is>
          <t>Opening Balance</t>
        </is>
      </c>
      <c r="B130" s="17" t="inlineStr">
        <is>
          <t>AUDk</t>
        </is>
      </c>
      <c r="D130" s="408">
        <f>'Historical Performance'!H140-'Historical Performance'!H141</f>
        <v/>
      </c>
      <c r="E130" s="323">
        <f>D133</f>
        <v/>
      </c>
      <c r="F130" s="323">
        <f>E133</f>
        <v/>
      </c>
      <c r="G130" s="323">
        <f>F133</f>
        <v/>
      </c>
      <c r="H130" s="323">
        <f>G133</f>
        <v/>
      </c>
      <c r="I130" s="323">
        <f>H133</f>
        <v/>
      </c>
      <c r="J130" s="323">
        <f>I133</f>
        <v/>
      </c>
      <c r="K130" s="323">
        <f>J133</f>
        <v/>
      </c>
      <c r="L130" s="323">
        <f>K133</f>
        <v/>
      </c>
      <c r="M130" s="323">
        <f>L133</f>
        <v/>
      </c>
      <c r="N130" s="323">
        <f>M133</f>
        <v/>
      </c>
      <c r="O130" s="323">
        <f>N133</f>
        <v/>
      </c>
      <c r="P130" s="323">
        <f>O133</f>
        <v/>
      </c>
      <c r="Q130" s="323">
        <f>P133</f>
        <v/>
      </c>
      <c r="R130" s="323">
        <f>Q133</f>
        <v/>
      </c>
      <c r="S130" s="323">
        <f>R133</f>
        <v/>
      </c>
      <c r="T130" s="323">
        <f>S133</f>
        <v/>
      </c>
      <c r="U130" s="323">
        <f>T133</f>
        <v/>
      </c>
      <c r="V130" s="323">
        <f>U133</f>
        <v/>
      </c>
      <c r="W130" s="323">
        <f>V133</f>
        <v/>
      </c>
      <c r="X130" s="323">
        <f>W133</f>
        <v/>
      </c>
      <c r="Y130" s="323">
        <f>X133</f>
        <v/>
      </c>
      <c r="Z130" s="323">
        <f>Y133</f>
        <v/>
      </c>
      <c r="AA130" s="323">
        <f>Z133</f>
        <v/>
      </c>
      <c r="AB130" s="323">
        <f>AA133</f>
        <v/>
      </c>
      <c r="AC130" s="323">
        <f>AB133</f>
        <v/>
      </c>
      <c r="AD130" s="323">
        <f>AC133</f>
        <v/>
      </c>
      <c r="AE130" s="323" t="n"/>
      <c r="AF130" s="370" t="n"/>
    </row>
    <row r="131">
      <c r="A131" s="4" t="inlineStr">
        <is>
          <t>Add: Capital Purchases</t>
        </is>
      </c>
      <c r="B131" s="17" t="inlineStr">
        <is>
          <t>AUDk</t>
        </is>
      </c>
      <c r="D131" s="323">
        <f>D115</f>
        <v/>
      </c>
      <c r="E131" s="323">
        <f>E115</f>
        <v/>
      </c>
      <c r="F131" s="323">
        <f>F115</f>
        <v/>
      </c>
      <c r="G131" s="323">
        <f>G115</f>
        <v/>
      </c>
      <c r="H131" s="323">
        <f>H115</f>
        <v/>
      </c>
      <c r="I131" s="323">
        <f>I115</f>
        <v/>
      </c>
      <c r="J131" s="323">
        <f>J115</f>
        <v/>
      </c>
      <c r="K131" s="323">
        <f>K115</f>
        <v/>
      </c>
      <c r="L131" s="323">
        <f>L115</f>
        <v/>
      </c>
      <c r="M131" s="323">
        <f>M115</f>
        <v/>
      </c>
      <c r="N131" s="323">
        <f>N115</f>
        <v/>
      </c>
      <c r="O131" s="323">
        <f>O115</f>
        <v/>
      </c>
      <c r="P131" s="323">
        <f>P115</f>
        <v/>
      </c>
      <c r="Q131" s="323">
        <f>Q115</f>
        <v/>
      </c>
      <c r="R131" s="323">
        <f>R115</f>
        <v/>
      </c>
      <c r="S131" s="323">
        <f>S115</f>
        <v/>
      </c>
      <c r="T131" s="323">
        <f>T115</f>
        <v/>
      </c>
      <c r="U131" s="323">
        <f>U115</f>
        <v/>
      </c>
      <c r="V131" s="323">
        <f>V115</f>
        <v/>
      </c>
      <c r="W131" s="323">
        <f>W115</f>
        <v/>
      </c>
      <c r="X131" s="323">
        <f>X115</f>
        <v/>
      </c>
      <c r="Y131" s="323">
        <f>Y115</f>
        <v/>
      </c>
      <c r="Z131" s="323">
        <f>Z115</f>
        <v/>
      </c>
      <c r="AA131" s="323">
        <f>AA115</f>
        <v/>
      </c>
      <c r="AB131" s="323">
        <f>AB115</f>
        <v/>
      </c>
      <c r="AC131" s="323">
        <f>AC115</f>
        <v/>
      </c>
      <c r="AD131" s="323">
        <f>AD115</f>
        <v/>
      </c>
      <c r="AE131" s="323" t="n"/>
      <c r="AF131" s="370" t="n"/>
    </row>
    <row r="132">
      <c r="A132" s="4" t="inlineStr">
        <is>
          <t>Less: Depreciation</t>
        </is>
      </c>
      <c r="B132" s="17" t="inlineStr">
        <is>
          <t>AUDk</t>
        </is>
      </c>
      <c r="D132" s="398">
        <f>IF(D2=$B$135,D130+D131,(D130+D131)/($B$135-1-D2))</f>
        <v/>
      </c>
      <c r="E132" s="323">
        <f>IFERROR(IF(E2=$B$135,E130+E131,E130/($B$135+1-E2)),0)</f>
        <v/>
      </c>
      <c r="F132" s="323">
        <f>IFERROR(IF(F2=$B$135,F130+F131,F130/($B$135+1-F2)),0)</f>
        <v/>
      </c>
      <c r="G132" s="323">
        <f>IFERROR(IF(G2=$B$135,G130+G131,G130/($B$135+1-G2)),0)</f>
        <v/>
      </c>
      <c r="H132" s="323">
        <f>IFERROR(IF(H2=$B$135,H130+H131,H130/($B$135+1-H2)),0)</f>
        <v/>
      </c>
      <c r="I132" s="323">
        <f>IFERROR(IF(I2=$B$135,I130+I131,I130/($B$135+1-I2)),0)</f>
        <v/>
      </c>
      <c r="J132" s="323">
        <f>IFERROR(IF(J2=$B$135,J130+J131,J130/($B$135+1-J2)),0)</f>
        <v/>
      </c>
      <c r="K132" s="323">
        <f>IFERROR(IF(K2=$B$135,K130+K131,K130/($B$135+1-K2)),0)</f>
        <v/>
      </c>
      <c r="L132" s="323">
        <f>IFERROR(IF(L2=$B$135,L130+L131,L130/($B$135+1-L2)),0)</f>
        <v/>
      </c>
      <c r="M132" s="323">
        <f>IFERROR(IF(M2=$B$135,M130+M131,M130/($B$135+1-M2)),0)</f>
        <v/>
      </c>
      <c r="N132" s="323">
        <f>IFERROR(IF(N2=$B$135,N130+N131,N130/($B$135+1-N2)),0)</f>
        <v/>
      </c>
      <c r="O132" s="323">
        <f>IFERROR(IF(O2=$B$135,O130+O131,O130/($B$135+1-O2)),0)</f>
        <v/>
      </c>
      <c r="P132" s="323">
        <f>IFERROR(IF(P2=$B$135,P130+P131,P130/($B$135+1-P2)),0)</f>
        <v/>
      </c>
      <c r="Q132" s="323">
        <f>IFERROR(IF(Q2=$B$135,Q130+Q131,Q130/($B$135+1-Q2)),0)</f>
        <v/>
      </c>
      <c r="R132" s="323">
        <f>IFERROR(IF(R2=$B$135,R130+R131,R130/($B$135+1-R2)),0)</f>
        <v/>
      </c>
      <c r="S132" s="323">
        <f>IFERROR(IF(S2=$B$135,S130+S131,S130/($B$135+1-S2)),0)</f>
        <v/>
      </c>
      <c r="T132" s="323">
        <f>IFERROR(IF(T2=$B$135,T130+T131,T130/($B$135+1-T2)),0)</f>
        <v/>
      </c>
      <c r="U132" s="323">
        <f>IFERROR(IF(U2=$B$135,U130+U131,U130/($B$135+1-U2)),0)</f>
        <v/>
      </c>
      <c r="V132" s="323">
        <f>IFERROR(IF(V2=$B$135,V130+V131,V130/($B$135+1-V2)),0)</f>
        <v/>
      </c>
      <c r="W132" s="323">
        <f>IFERROR(IF(W2=$B$135,W130+W131,W130/($B$135+1-W2)),0)</f>
        <v/>
      </c>
      <c r="X132" s="323">
        <f>IFERROR(IF(X2=$B$135,X130+X131,X130/($B$135+1-X2)),0)</f>
        <v/>
      </c>
      <c r="Y132" s="323">
        <f>IFERROR(IF(Y2=$B$135,Y130+Y131,Y130/($B$135+1-Y2)),0)</f>
        <v/>
      </c>
      <c r="Z132" s="323">
        <f>IFERROR(IF(Z2=$B$135,Z130+Z131,Z130/($B$135+1-Z2)),0)</f>
        <v/>
      </c>
      <c r="AA132" s="323">
        <f>IFERROR(IF(AA2=$B$135,AA130+AA131,AA130/($B$135+1-AA2)),0)</f>
        <v/>
      </c>
      <c r="AB132" s="323">
        <f>IFERROR(IF(AB2=$B$135,AB130+AB131,AB130/($B$135+1-AB2)),0)</f>
        <v/>
      </c>
      <c r="AC132" s="323">
        <f>IFERROR(IF(AC2=$B$135,AC130+AC131,AC130/($B$135+1-AC2)),0)</f>
        <v/>
      </c>
      <c r="AD132" s="323">
        <f>IFERROR(IF(AD2=$B$135,AD130+AD131,AD130/($B$135+1-AD2)),0)</f>
        <v/>
      </c>
      <c r="AE132" s="323" t="n"/>
      <c r="AF132" s="370" t="n"/>
    </row>
    <row r="133">
      <c r="A133" s="4" t="inlineStr">
        <is>
          <t>Closing Balance</t>
        </is>
      </c>
      <c r="B133" s="17" t="inlineStr">
        <is>
          <t>AUDk</t>
        </is>
      </c>
      <c r="D133" s="323">
        <f>D130+D131-D132</f>
        <v/>
      </c>
      <c r="E133" s="323">
        <f>E130+E131-E132</f>
        <v/>
      </c>
      <c r="F133" s="323">
        <f>F130+F131-F132</f>
        <v/>
      </c>
      <c r="G133" s="323">
        <f>G130+G131-G132</f>
        <v/>
      </c>
      <c r="H133" s="323">
        <f>H130+H131-H132</f>
        <v/>
      </c>
      <c r="I133" s="323">
        <f>I130+I131-I132</f>
        <v/>
      </c>
      <c r="J133" s="323">
        <f>J130+J131-J132</f>
        <v/>
      </c>
      <c r="K133" s="323">
        <f>K130+K131-K132</f>
        <v/>
      </c>
      <c r="L133" s="323">
        <f>L130+L131-L132</f>
        <v/>
      </c>
      <c r="M133" s="323">
        <f>M130+M131-M132</f>
        <v/>
      </c>
      <c r="N133" s="323">
        <f>N130+N131-N132</f>
        <v/>
      </c>
      <c r="O133" s="323">
        <f>O130+O131-O132</f>
        <v/>
      </c>
      <c r="P133" s="323">
        <f>P130+P131-P132</f>
        <v/>
      </c>
      <c r="Q133" s="323">
        <f>Q130+Q131-Q132</f>
        <v/>
      </c>
      <c r="R133" s="323">
        <f>R130+R131-R132</f>
        <v/>
      </c>
      <c r="S133" s="323">
        <f>S130+S131-S132</f>
        <v/>
      </c>
      <c r="T133" s="323">
        <f>T130+T131-T132</f>
        <v/>
      </c>
      <c r="U133" s="323">
        <f>U130+U131-U132</f>
        <v/>
      </c>
      <c r="V133" s="323">
        <f>V130+V131-V132</f>
        <v/>
      </c>
      <c r="W133" s="323">
        <f>W130+W131-W132</f>
        <v/>
      </c>
      <c r="X133" s="323">
        <f>X130+X131-X132</f>
        <v/>
      </c>
      <c r="Y133" s="323">
        <f>Y130+Y131-Y132</f>
        <v/>
      </c>
      <c r="Z133" s="323">
        <f>Z130+Z131-Z132</f>
        <v/>
      </c>
      <c r="AA133" s="323">
        <f>AA130+AA131-AA132</f>
        <v/>
      </c>
      <c r="AB133" s="323">
        <f>AB130+AB131-AB132</f>
        <v/>
      </c>
      <c r="AC133" s="323">
        <f>AC130+AC131-AC132</f>
        <v/>
      </c>
      <c r="AD133" s="323">
        <f>AD130+AD131-AD132</f>
        <v/>
      </c>
      <c r="AE133" s="323" t="n"/>
      <c r="AF133" s="370" t="n"/>
    </row>
    <row r="134">
      <c r="A134" s="4" t="n"/>
      <c r="D134" s="323" t="n"/>
      <c r="E134" s="323" t="n"/>
      <c r="F134" s="323" t="n"/>
      <c r="G134" s="323" t="n"/>
      <c r="H134" s="323" t="n"/>
      <c r="I134" s="323" t="n"/>
      <c r="J134" s="323" t="n"/>
      <c r="K134" s="323" t="n"/>
      <c r="L134" s="323" t="n"/>
      <c r="M134" s="323" t="n"/>
      <c r="N134" s="323" t="n"/>
      <c r="O134" s="323" t="n"/>
      <c r="P134" s="323" t="n"/>
      <c r="Q134" s="323" t="n"/>
      <c r="R134" s="323" t="n"/>
      <c r="S134" s="323" t="n"/>
      <c r="T134" s="323" t="n"/>
      <c r="U134" s="323" t="n"/>
      <c r="V134" s="323" t="n"/>
      <c r="W134" s="323" t="n"/>
      <c r="X134" s="323" t="n"/>
      <c r="Y134" s="323" t="n"/>
      <c r="Z134" s="323" t="n"/>
      <c r="AA134" s="323" t="n"/>
      <c r="AB134" s="323" t="n"/>
      <c r="AC134" s="323" t="n"/>
      <c r="AD134" s="323" t="n"/>
      <c r="AE134" s="323" t="n"/>
      <c r="AF134" s="370" t="n"/>
    </row>
    <row r="135">
      <c r="A135" s="66" t="inlineStr">
        <is>
          <t>Last year of mining</t>
        </is>
      </c>
      <c r="B135" s="17" t="n">
        <v>2031</v>
      </c>
      <c r="C135" s="17" t="n"/>
      <c r="D135" s="323" t="n"/>
      <c r="E135" s="323" t="n"/>
      <c r="F135" s="323" t="n"/>
      <c r="G135" s="323" t="n"/>
      <c r="H135" s="323" t="n"/>
      <c r="I135" s="323" t="n"/>
      <c r="J135" s="323" t="n"/>
      <c r="K135" s="323" t="n"/>
      <c r="L135" s="323" t="n"/>
      <c r="M135" s="323" t="n"/>
      <c r="N135" s="323" t="n"/>
      <c r="O135" s="323" t="n"/>
      <c r="P135" s="323" t="n"/>
      <c r="Q135" s="323" t="n"/>
      <c r="R135" s="323" t="n"/>
      <c r="S135" s="323" t="n"/>
      <c r="T135" s="323" t="n"/>
      <c r="U135" s="323" t="n"/>
      <c r="V135" s="323" t="n"/>
      <c r="W135" s="323" t="n"/>
      <c r="X135" s="323" t="n"/>
      <c r="Y135" s="323" t="n"/>
      <c r="Z135" s="323" t="n"/>
      <c r="AA135" s="323" t="n"/>
      <c r="AB135" s="323" t="n"/>
      <c r="AC135" s="323" t="n"/>
      <c r="AD135" s="323" t="n"/>
      <c r="AE135" s="323" t="n"/>
      <c r="AF135" s="370" t="n"/>
    </row>
    <row r="136">
      <c r="A136" s="8" t="n"/>
      <c r="B136" s="26" t="n"/>
      <c r="C136" s="21" t="n"/>
      <c r="D136" s="403" t="n"/>
      <c r="E136" s="403" t="n"/>
      <c r="F136" s="403" t="n"/>
      <c r="G136" s="403" t="n"/>
      <c r="H136" s="403" t="n"/>
      <c r="I136" s="403" t="n"/>
      <c r="J136" s="403" t="n"/>
      <c r="K136" s="403" t="n"/>
      <c r="L136" s="403" t="n"/>
      <c r="M136" s="403" t="n"/>
      <c r="N136" s="403" t="n"/>
      <c r="O136" s="403" t="n"/>
      <c r="P136" s="403" t="n"/>
      <c r="Q136" s="403" t="n"/>
      <c r="R136" s="403" t="n"/>
      <c r="S136" s="403" t="n"/>
      <c r="T136" s="403" t="n"/>
      <c r="U136" s="403" t="n"/>
      <c r="V136" s="403" t="n"/>
      <c r="W136" s="403" t="n"/>
      <c r="X136" s="403" t="n"/>
      <c r="Y136" s="403" t="n"/>
      <c r="Z136" s="403" t="n"/>
      <c r="AA136" s="403" t="n"/>
      <c r="AB136" s="403" t="n"/>
      <c r="AC136" s="403" t="n"/>
      <c r="AD136" s="403" t="n"/>
      <c r="AE136" s="403" t="n"/>
      <c r="AF136" s="383" t="n"/>
    </row>
    <row r="137">
      <c r="C137" s="17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  <c r="O137" s="323" t="n"/>
      <c r="P137" s="323" t="n"/>
      <c r="Q137" s="323" t="n"/>
      <c r="R137" s="323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3" t="n"/>
      <c r="AC137" s="323" t="n"/>
      <c r="AD137" s="323" t="n"/>
      <c r="AE137" s="323" t="n"/>
      <c r="AF137" s="323" t="n"/>
    </row>
    <row r="138">
      <c r="C138" s="17" t="n"/>
      <c r="D138" s="323" t="n"/>
      <c r="E138" s="323" t="n"/>
      <c r="F138" s="323" t="n"/>
      <c r="G138" s="323" t="n"/>
      <c r="H138" s="323" t="n"/>
      <c r="I138" s="323" t="n"/>
      <c r="J138" s="323" t="n"/>
      <c r="K138" s="323" t="n"/>
      <c r="L138" s="323" t="n"/>
      <c r="M138" s="323" t="n"/>
      <c r="N138" s="323" t="n"/>
      <c r="O138" s="323" t="n"/>
      <c r="P138" s="323" t="n"/>
      <c r="Q138" s="323" t="n"/>
      <c r="R138" s="323" t="n"/>
      <c r="S138" s="323" t="n"/>
      <c r="T138" s="323" t="n"/>
      <c r="U138" s="323" t="n"/>
      <c r="V138" s="323" t="n"/>
      <c r="W138" s="323" t="n"/>
      <c r="X138" s="323" t="n"/>
      <c r="Y138" s="323" t="n"/>
      <c r="Z138" s="323" t="n"/>
      <c r="AA138" s="323" t="n"/>
      <c r="AB138" s="323" t="n"/>
      <c r="AC138" s="323" t="n"/>
      <c r="AD138" s="323" t="n"/>
      <c r="AE138" s="323" t="n"/>
      <c r="AF138" s="323" t="n"/>
    </row>
    <row r="139">
      <c r="C139" s="17" t="n"/>
    </row>
    <row r="140">
      <c r="A140" s="202" t="inlineStr">
        <is>
          <t>QLD Royalty Calculation</t>
        </is>
      </c>
      <c r="C140" s="17" t="n"/>
    </row>
    <row r="141" outlineLevel="1">
      <c r="C141" s="17" t="n"/>
    </row>
    <row r="142" outlineLevel="1">
      <c r="A142" t="inlineStr">
        <is>
          <t>AUD CPI inflator</t>
        </is>
      </c>
      <c r="C142" s="17" t="n"/>
      <c r="D142" s="324" t="n">
        <v>1</v>
      </c>
      <c r="E142" s="324">
        <f>D142*(1+Assumptions!J49)</f>
        <v/>
      </c>
      <c r="F142" s="324">
        <f>E142*(1+Assumptions!K49)</f>
        <v/>
      </c>
      <c r="G142" s="324">
        <f>F142*(1+Assumptions!L49)</f>
        <v/>
      </c>
      <c r="H142" s="324">
        <f>G142*(1+Assumptions!M49)</f>
        <v/>
      </c>
      <c r="I142" s="324">
        <f>H142*(1+Assumptions!N49)</f>
        <v/>
      </c>
      <c r="J142" s="324">
        <f>I142*(1+Assumptions!O49)</f>
        <v/>
      </c>
      <c r="K142" s="324">
        <f>J142*(1+Assumptions!P49)</f>
        <v/>
      </c>
      <c r="L142" s="324">
        <f>K142*(1+Assumptions!Q49)</f>
        <v/>
      </c>
      <c r="M142" s="324">
        <f>L142*(1+Assumptions!R49)</f>
        <v/>
      </c>
      <c r="N142" s="324">
        <f>M142*(1+Assumptions!S49)</f>
        <v/>
      </c>
      <c r="O142" s="324">
        <f>N142*(1+Assumptions!T49)</f>
        <v/>
      </c>
      <c r="P142" s="324">
        <f>O142*(1+Assumptions!U49)</f>
        <v/>
      </c>
      <c r="Q142" s="324">
        <f>P142*(1+Assumptions!V49)</f>
        <v/>
      </c>
      <c r="R142" s="324">
        <f>Q142*(1+Assumptions!W49)</f>
        <v/>
      </c>
      <c r="S142" s="324">
        <f>R142*(1+Assumptions!X49)</f>
        <v/>
      </c>
      <c r="T142" s="324">
        <f>S142*(1+Assumptions!Y49)</f>
        <v/>
      </c>
      <c r="U142" s="324">
        <f>T142*(1+Assumptions!Z49)</f>
        <v/>
      </c>
      <c r="V142" s="324">
        <f>U142*(1+Assumptions!AA49)</f>
        <v/>
      </c>
      <c r="W142" s="324">
        <f>V142*(1+Assumptions!AB49)</f>
        <v/>
      </c>
      <c r="X142" s="324">
        <f>W142*(1+Assumptions!AC49)</f>
        <v/>
      </c>
      <c r="Y142" s="324">
        <f>X142*(1+Assumptions!AD49)</f>
        <v/>
      </c>
      <c r="Z142" s="324">
        <f>Y142*(1+Assumptions!AE49)</f>
        <v/>
      </c>
      <c r="AA142" s="324">
        <f>Z142*(1+Assumptions!AF49)</f>
        <v/>
      </c>
      <c r="AB142" s="324">
        <f>AA142*(1+Assumptions!AG49)</f>
        <v/>
      </c>
      <c r="AC142" s="324">
        <f>AB142*(1+Assumptions!AH49)</f>
        <v/>
      </c>
      <c r="AD142" s="324">
        <f>AC142*(1+Assumptions!AI49)</f>
        <v/>
      </c>
    </row>
    <row r="143" outlineLevel="1">
      <c r="A143" t="inlineStr">
        <is>
          <t>Export sales</t>
        </is>
      </c>
    </row>
    <row r="144" outlineLevel="1">
      <c r="A144" t="inlineStr">
        <is>
          <t>Nominal realised price</t>
        </is>
      </c>
      <c r="B144" t="inlineStr">
        <is>
          <t xml:space="preserve">A$/t  </t>
        </is>
      </c>
      <c r="D144" s="369">
        <f>D142*D63</f>
        <v/>
      </c>
      <c r="E144" s="369">
        <f>E142*E63</f>
        <v/>
      </c>
      <c r="F144" s="369">
        <f>F142*F63</f>
        <v/>
      </c>
      <c r="G144" s="369">
        <f>G142*G63</f>
        <v/>
      </c>
      <c r="H144" s="369">
        <f>H142*H63</f>
        <v/>
      </c>
      <c r="I144" s="369">
        <f>I142*I63</f>
        <v/>
      </c>
      <c r="J144" s="369">
        <f>J142*J63</f>
        <v/>
      </c>
      <c r="K144" s="369">
        <f>K142*K63</f>
        <v/>
      </c>
      <c r="L144" s="369">
        <f>L142*L63</f>
        <v/>
      </c>
      <c r="M144" s="369">
        <f>M142*M63</f>
        <v/>
      </c>
      <c r="N144" s="369">
        <f>N142*N63</f>
        <v/>
      </c>
      <c r="O144" s="369">
        <f>O142*O63</f>
        <v/>
      </c>
      <c r="P144" s="369">
        <f>P142*P63</f>
        <v/>
      </c>
      <c r="Q144" s="369">
        <f>Q142*Q63</f>
        <v/>
      </c>
      <c r="R144" s="369">
        <f>R142*R63</f>
        <v/>
      </c>
      <c r="S144" s="369">
        <f>S142*S63</f>
        <v/>
      </c>
      <c r="T144" s="369">
        <f>T142*T63</f>
        <v/>
      </c>
      <c r="U144" s="369">
        <f>U142*U63</f>
        <v/>
      </c>
      <c r="V144" s="369">
        <f>V142*V63</f>
        <v/>
      </c>
      <c r="W144" s="369">
        <f>W142*W63</f>
        <v/>
      </c>
      <c r="X144" s="369">
        <f>X142*X63</f>
        <v/>
      </c>
      <c r="Y144" s="369">
        <f>Y142*Y63</f>
        <v/>
      </c>
      <c r="Z144" s="369">
        <f>Z142*Z63</f>
        <v/>
      </c>
      <c r="AA144" s="369">
        <f>AA142*AA63</f>
        <v/>
      </c>
      <c r="AB144" s="369">
        <f>AB142*AB63</f>
        <v/>
      </c>
      <c r="AC144" s="369">
        <f>AC142*AC63</f>
        <v/>
      </c>
      <c r="AD144" s="369">
        <f>AD142*AD63</f>
        <v/>
      </c>
    </row>
    <row r="145" outlineLevel="1">
      <c r="A145" t="inlineStr">
        <is>
          <t>Royalty rate</t>
        </is>
      </c>
      <c r="B145" t="inlineStr">
        <is>
          <t>%</t>
        </is>
      </c>
      <c r="D145" s="296">
        <f>IF(D144&lt;Assumptions!I$29,Assumptions!I$35,IF(D144&lt;Assumptions!I$30,(Assumptions!I$42+(D144-Assumptions!I$29)*Assumptions!I$36)/D144,IF(D144&lt;Assumptions!I$31,(Assumptions!I$43+(D144-Assumptions!I$30)*Assumptions!I$37)/D144,IF(D144&lt;Assumptions!I$32,(Assumptions!I$44+(D144-Assumptions!I$31)*Assumptions!I$38)/D144,IF(D144&lt;Assumptions!I$33,(Assumptions!I$45+(D144-Assumptions!I$32)*Assumptions!I$39)/D144,(Assumptions!I$46+(D144-Assumptions!I$33)*Assumptions!I$40)/D144)))))</f>
        <v/>
      </c>
      <c r="E145" s="296">
        <f>IF(E144&lt;Assumptions!J$29,Assumptions!J$35,IF(E144&lt;Assumptions!J$30,(Assumptions!J$42+(E144-Assumptions!J$29)*Assumptions!J$36)/E144,IF(E144&lt;Assumptions!J$31,(Assumptions!J$43+(E144-Assumptions!J$30)*Assumptions!J$37)/E144,IF(E144&lt;Assumptions!J$32,(Assumptions!J$44+(E144-Assumptions!J$31)*Assumptions!J$38)/E144,IF(E144&lt;Assumptions!J$33,(Assumptions!J$45+(E144-Assumptions!J$32)*Assumptions!J$39)/E144,(Assumptions!J$46+(E144-Assumptions!J$33)*Assumptions!J$40)/E144)))))</f>
        <v/>
      </c>
      <c r="F145" s="296">
        <f>IF(F144&lt;Assumptions!K$29,Assumptions!K$35,IF(F144&lt;Assumptions!K$30,(Assumptions!K$42+(F144-Assumptions!K$29)*Assumptions!K$36)/F144,IF(F144&lt;Assumptions!K$31,(Assumptions!K$43+(F144-Assumptions!K$30)*Assumptions!K$37)/F144,IF(F144&lt;Assumptions!K$32,(Assumptions!K$44+(F144-Assumptions!K$31)*Assumptions!K$38)/F144,IF(F144&lt;Assumptions!K$33,(Assumptions!K$45+(F144-Assumptions!K$32)*Assumptions!K$39)/F144,(Assumptions!K$46+(F144-Assumptions!K$33)*Assumptions!K$40)/F144)))))</f>
        <v/>
      </c>
      <c r="G145" s="296">
        <f>IF(G144&lt;Assumptions!L$29,Assumptions!L$35,IF(G144&lt;Assumptions!L$30,(Assumptions!L$42+(G144-Assumptions!L$29)*Assumptions!L$36)/G144,IF(G144&lt;Assumptions!L$31,(Assumptions!L$43+(G144-Assumptions!L$30)*Assumptions!L$37)/G144,IF(G144&lt;Assumptions!L$32,(Assumptions!L$44+(G144-Assumptions!L$31)*Assumptions!L$38)/G144,IF(G144&lt;Assumptions!L$33,(Assumptions!L$45+(G144-Assumptions!L$32)*Assumptions!L$39)/G144,(Assumptions!L$46+(G144-Assumptions!L$33)*Assumptions!L$40)/G144)))))</f>
        <v/>
      </c>
      <c r="H145" s="296">
        <f>IF(H144&lt;Assumptions!M$29,Assumptions!M$35,IF(H144&lt;Assumptions!M$30,(Assumptions!M$42+(H144-Assumptions!M$29)*Assumptions!M$36)/H144,IF(H144&lt;Assumptions!M$31,(Assumptions!M$43+(H144-Assumptions!M$30)*Assumptions!M$37)/H144,IF(H144&lt;Assumptions!M$32,(Assumptions!M$44+(H144-Assumptions!M$31)*Assumptions!M$38)/H144,IF(H144&lt;Assumptions!M$33,(Assumptions!M$45+(H144-Assumptions!M$32)*Assumptions!M$39)/H144,(Assumptions!M$46+(H144-Assumptions!M$33)*Assumptions!M$40)/H144)))))</f>
        <v/>
      </c>
      <c r="I145" s="296">
        <f>IF(I144&lt;Assumptions!N$29,Assumptions!N$35,IF(I144&lt;Assumptions!N$30,(Assumptions!N$42+(I144-Assumptions!N$29)*Assumptions!N$36)/I144,IF(I144&lt;Assumptions!N$31,(Assumptions!N$43+(I144-Assumptions!N$30)*Assumptions!N$37)/I144,IF(I144&lt;Assumptions!N$32,(Assumptions!N$44+(I144-Assumptions!N$31)*Assumptions!N$38)/I144,IF(I144&lt;Assumptions!N$33,(Assumptions!N$45+(I144-Assumptions!N$32)*Assumptions!N$39)/I144,(Assumptions!N$46+(I144-Assumptions!N$33)*Assumptions!N$40)/I144)))))</f>
        <v/>
      </c>
      <c r="J145" s="296">
        <f>IF(J144&lt;Assumptions!O$29,Assumptions!O$35,IF(J144&lt;Assumptions!O$30,(Assumptions!O$42+(J144-Assumptions!O$29)*Assumptions!O$36)/J144,IF(J144&lt;Assumptions!O$31,(Assumptions!O$43+(J144-Assumptions!O$30)*Assumptions!O$37)/J144,IF(J144&lt;Assumptions!O$32,(Assumptions!O$44+(J144-Assumptions!O$31)*Assumptions!O$38)/J144,IF(J144&lt;Assumptions!O$33,(Assumptions!O$45+(J144-Assumptions!O$32)*Assumptions!O$39)/J144,(Assumptions!O$46+(J144-Assumptions!O$33)*Assumptions!O$40)/J144)))))</f>
        <v/>
      </c>
      <c r="K145" s="296">
        <f>IF(K144&lt;Assumptions!P$29,Assumptions!P$35,IF(K144&lt;Assumptions!P$30,(Assumptions!P$42+(K144-Assumptions!P$29)*Assumptions!P$36)/K144,IF(K144&lt;Assumptions!P$31,(Assumptions!P$43+(K144-Assumptions!P$30)*Assumptions!P$37)/K144,IF(K144&lt;Assumptions!P$32,(Assumptions!P$44+(K144-Assumptions!P$31)*Assumptions!P$38)/K144,IF(K144&lt;Assumptions!P$33,(Assumptions!P$45+(K144-Assumptions!P$32)*Assumptions!P$39)/K144,(Assumptions!P$46+(K144-Assumptions!P$33)*Assumptions!P$40)/K144)))))</f>
        <v/>
      </c>
      <c r="L145" s="296">
        <f>IF(L144&lt;Assumptions!Q$29,Assumptions!Q$35,IF(L144&lt;Assumptions!Q$30,(Assumptions!Q$42+(L144-Assumptions!Q$29)*Assumptions!Q$36)/L144,IF(L144&lt;Assumptions!Q$31,(Assumptions!Q$43+(L144-Assumptions!Q$30)*Assumptions!Q$37)/L144,IF(L144&lt;Assumptions!Q$32,(Assumptions!Q$44+(L144-Assumptions!Q$31)*Assumptions!Q$38)/L144,IF(L144&lt;Assumptions!Q$33,(Assumptions!Q$45+(L144-Assumptions!Q$32)*Assumptions!Q$39)/L144,(Assumptions!Q$46+(L144-Assumptions!Q$33)*Assumptions!Q$40)/L144)))))</f>
        <v/>
      </c>
      <c r="M145" s="296">
        <f>IF(M144&lt;Assumptions!R$29,Assumptions!R$35,IF(M144&lt;Assumptions!R$30,(Assumptions!R$42+(M144-Assumptions!R$29)*Assumptions!R$36)/M144,IF(M144&lt;Assumptions!R$31,(Assumptions!R$43+(M144-Assumptions!R$30)*Assumptions!R$37)/M144,IF(M144&lt;Assumptions!R$32,(Assumptions!R$44+(M144-Assumptions!R$31)*Assumptions!R$38)/M144,IF(M144&lt;Assumptions!R$33,(Assumptions!R$45+(M144-Assumptions!R$32)*Assumptions!R$39)/M144,(Assumptions!R$46+(M144-Assumptions!R$33)*Assumptions!R$40)/M144)))))</f>
        <v/>
      </c>
      <c r="N145" s="296">
        <f>IF(N144&lt;Assumptions!S$29,Assumptions!S$35,IF(N144&lt;Assumptions!S$30,(Assumptions!S$42+(N144-Assumptions!S$29)*Assumptions!S$36)/N144,IF(N144&lt;Assumptions!S$31,(Assumptions!S$43+(N144-Assumptions!S$30)*Assumptions!S$37)/N144,IF(N144&lt;Assumptions!S$32,(Assumptions!S$44+(N144-Assumptions!S$31)*Assumptions!S$38)/N144,IF(N144&lt;Assumptions!S$33,(Assumptions!S$45+(N144-Assumptions!S$32)*Assumptions!S$39)/N144,(Assumptions!S$46+(N144-Assumptions!S$33)*Assumptions!S$40)/N144)))))</f>
        <v/>
      </c>
      <c r="O145" s="296">
        <f>IF(O144&lt;Assumptions!T$29,Assumptions!T$35,IF(O144&lt;Assumptions!T$30,(Assumptions!T$42+(O144-Assumptions!T$29)*Assumptions!T$36)/O144,IF(O144&lt;Assumptions!T$31,(Assumptions!T$43+(O144-Assumptions!T$30)*Assumptions!T$37)/O144,IF(O144&lt;Assumptions!T$32,(Assumptions!T$44+(O144-Assumptions!T$31)*Assumptions!T$38)/O144,IF(O144&lt;Assumptions!T$33,(Assumptions!T$45+(O144-Assumptions!T$32)*Assumptions!T$39)/O144,(Assumptions!T$46+(O144-Assumptions!T$33)*Assumptions!T$40)/O144)))))</f>
        <v/>
      </c>
      <c r="P145" s="296">
        <f>IF(P144&lt;Assumptions!U$29,Assumptions!U$35,IF(P144&lt;Assumptions!U$30,(Assumptions!U$42+(P144-Assumptions!U$29)*Assumptions!U$36)/P144,IF(P144&lt;Assumptions!U$31,(Assumptions!U$43+(P144-Assumptions!U$30)*Assumptions!U$37)/P144,IF(P144&lt;Assumptions!U$32,(Assumptions!U$44+(P144-Assumptions!U$31)*Assumptions!U$38)/P144,IF(P144&lt;Assumptions!U$33,(Assumptions!U$45+(P144-Assumptions!U$32)*Assumptions!U$39)/P144,(Assumptions!U$46+(P144-Assumptions!U$33)*Assumptions!U$40)/P144)))))</f>
        <v/>
      </c>
      <c r="Q145" s="296">
        <f>IF(Q144&lt;Assumptions!V$29,Assumptions!V$35,IF(Q144&lt;Assumptions!V$30,(Assumptions!V$42+(Q144-Assumptions!V$29)*Assumptions!V$36)/Q144,IF(Q144&lt;Assumptions!V$31,(Assumptions!V$43+(Q144-Assumptions!V$30)*Assumptions!V$37)/Q144,IF(Q144&lt;Assumptions!V$32,(Assumptions!V$44+(Q144-Assumptions!V$31)*Assumptions!V$38)/Q144,IF(Q144&lt;Assumptions!V$33,(Assumptions!V$45+(Q144-Assumptions!V$32)*Assumptions!V$39)/Q144,(Assumptions!V$46+(Q144-Assumptions!V$33)*Assumptions!V$40)/Q144)))))</f>
        <v/>
      </c>
      <c r="R145" s="296">
        <f>IF(R144&lt;Assumptions!W$29,Assumptions!W$35,IF(R144&lt;Assumptions!W$30,(Assumptions!W$42+(R144-Assumptions!W$29)*Assumptions!W$36)/R144,IF(R144&lt;Assumptions!W$31,(Assumptions!W$43+(R144-Assumptions!W$30)*Assumptions!W$37)/R144,IF(R144&lt;Assumptions!W$32,(Assumptions!W$44+(R144-Assumptions!W$31)*Assumptions!W$38)/R144,IF(R144&lt;Assumptions!W$33,(Assumptions!W$45+(R144-Assumptions!W$32)*Assumptions!W$39)/R144,(Assumptions!W$46+(R144-Assumptions!W$33)*Assumptions!W$40)/R144)))))</f>
        <v/>
      </c>
      <c r="S145" s="296">
        <f>IF(S144&lt;Assumptions!X$29,Assumptions!X$35,IF(S144&lt;Assumptions!X$30,(Assumptions!X$42+(S144-Assumptions!X$29)*Assumptions!X$36)/S144,IF(S144&lt;Assumptions!X$31,(Assumptions!X$43+(S144-Assumptions!X$30)*Assumptions!X$37)/S144,IF(S144&lt;Assumptions!X$32,(Assumptions!X$44+(S144-Assumptions!X$31)*Assumptions!X$38)/S144,IF(S144&lt;Assumptions!X$33,(Assumptions!X$45+(S144-Assumptions!X$32)*Assumptions!X$39)/S144,(Assumptions!X$46+(S144-Assumptions!X$33)*Assumptions!X$40)/S144)))))</f>
        <v/>
      </c>
      <c r="T145" s="296">
        <f>IF(T144&lt;Assumptions!Y$29,Assumptions!Y$35,IF(T144&lt;Assumptions!Y$30,(Assumptions!Y$42+(T144-Assumptions!Y$29)*Assumptions!Y$36)/T144,IF(T144&lt;Assumptions!Y$31,(Assumptions!Y$43+(T144-Assumptions!Y$30)*Assumptions!Y$37)/T144,IF(T144&lt;Assumptions!Y$32,(Assumptions!Y$44+(T144-Assumptions!Y$31)*Assumptions!Y$38)/T144,IF(T144&lt;Assumptions!Y$33,(Assumptions!Y$45+(T144-Assumptions!Y$32)*Assumptions!Y$39)/T144,(Assumptions!Y$46+(T144-Assumptions!Y$33)*Assumptions!Y$40)/T144)))))</f>
        <v/>
      </c>
      <c r="U145" s="296">
        <f>IF(U144&lt;Assumptions!Z$29,Assumptions!Z$35,IF(U144&lt;Assumptions!Z$30,(Assumptions!Z$42+(U144-Assumptions!Z$29)*Assumptions!Z$36)/U144,IF(U144&lt;Assumptions!Z$31,(Assumptions!Z$43+(U144-Assumptions!Z$30)*Assumptions!Z$37)/U144,IF(U144&lt;Assumptions!Z$32,(Assumptions!Z$44+(U144-Assumptions!Z$31)*Assumptions!Z$38)/U144,IF(U144&lt;Assumptions!Z$33,(Assumptions!Z$45+(U144-Assumptions!Z$32)*Assumptions!Z$39)/U144,(Assumptions!Z$46+(U144-Assumptions!Z$33)*Assumptions!Z$40)/U144)))))</f>
        <v/>
      </c>
      <c r="V145" s="296">
        <f>IF(V144&lt;Assumptions!AA$29,Assumptions!AA$35,IF(V144&lt;Assumptions!AA$30,(Assumptions!AA$42+(V144-Assumptions!AA$29)*Assumptions!AA$36)/V144,IF(V144&lt;Assumptions!AA$31,(Assumptions!AA$43+(V144-Assumptions!AA$30)*Assumptions!AA$37)/V144,IF(V144&lt;Assumptions!AA$32,(Assumptions!AA$44+(V144-Assumptions!AA$31)*Assumptions!AA$38)/V144,IF(V144&lt;Assumptions!AA$33,(Assumptions!AA$45+(V144-Assumptions!AA$32)*Assumptions!AA$39)/V144,(Assumptions!AA$46+(V144-Assumptions!AA$33)*Assumptions!AA$40)/V144)))))</f>
        <v/>
      </c>
      <c r="W145" s="296">
        <f>IF(W144&lt;Assumptions!AB$29,Assumptions!AB$35,IF(W144&lt;Assumptions!AB$30,(Assumptions!AB$42+(W144-Assumptions!AB$29)*Assumptions!AB$36)/W144,IF(W144&lt;Assumptions!AB$31,(Assumptions!AB$43+(W144-Assumptions!AB$30)*Assumptions!AB$37)/W144,IF(W144&lt;Assumptions!AB$32,(Assumptions!AB$44+(W144-Assumptions!AB$31)*Assumptions!AB$38)/W144,IF(W144&lt;Assumptions!AB$33,(Assumptions!AB$45+(W144-Assumptions!AB$32)*Assumptions!AB$39)/W144,(Assumptions!AB$46+(W144-Assumptions!AB$33)*Assumptions!AB$40)/W144)))))</f>
        <v/>
      </c>
      <c r="X145" s="296">
        <f>IF(X144&lt;Assumptions!AC$29,Assumptions!AC$35,IF(X144&lt;Assumptions!AC$30,(Assumptions!AC$42+(X144-Assumptions!AC$29)*Assumptions!AC$36)/X144,IF(X144&lt;Assumptions!AC$31,(Assumptions!AC$43+(X144-Assumptions!AC$30)*Assumptions!AC$37)/X144,IF(X144&lt;Assumptions!AC$32,(Assumptions!AC$44+(X144-Assumptions!AC$31)*Assumptions!AC$38)/X144,IF(X144&lt;Assumptions!AC$33,(Assumptions!AC$45+(X144-Assumptions!AC$32)*Assumptions!AC$39)/X144,(Assumptions!AC$46+(X144-Assumptions!AC$33)*Assumptions!AC$40)/X144)))))</f>
        <v/>
      </c>
      <c r="Y145" s="296">
        <f>IF(Y144&lt;Assumptions!AD$29,Assumptions!AD$35,IF(Y144&lt;Assumptions!AD$30,(Assumptions!AD$42+(Y144-Assumptions!AD$29)*Assumptions!AD$36)/Y144,IF(Y144&lt;Assumptions!AD$31,(Assumptions!AD$43+(Y144-Assumptions!AD$30)*Assumptions!AD$37)/Y144,IF(Y144&lt;Assumptions!AD$32,(Assumptions!AD$44+(Y144-Assumptions!AD$31)*Assumptions!AD$38)/Y144,IF(Y144&lt;Assumptions!AD$33,(Assumptions!AD$45+(Y144-Assumptions!AD$32)*Assumptions!AD$39)/Y144,(Assumptions!AD$46+(Y144-Assumptions!AD$33)*Assumptions!AD$40)/Y144)))))</f>
        <v/>
      </c>
      <c r="Z145" s="296">
        <f>IF(Z144&lt;Assumptions!AE$29,Assumptions!AE$35,IF(Z144&lt;Assumptions!AE$30,(Assumptions!AE$42+(Z144-Assumptions!AE$29)*Assumptions!AE$36)/Z144,IF(Z144&lt;Assumptions!AE$31,(Assumptions!AE$43+(Z144-Assumptions!AE$30)*Assumptions!AE$37)/Z144,IF(Z144&lt;Assumptions!AE$32,(Assumptions!AE$44+(Z144-Assumptions!AE$31)*Assumptions!AE$38)/Z144,IF(Z144&lt;Assumptions!AE$33,(Assumptions!AE$45+(Z144-Assumptions!AE$32)*Assumptions!AE$39)/Z144,(Assumptions!AE$46+(Z144-Assumptions!AE$33)*Assumptions!AE$40)/Z144)))))</f>
        <v/>
      </c>
      <c r="AA145" s="296">
        <f>IF(AA144&lt;Assumptions!AF$29,Assumptions!AF$35,IF(AA144&lt;Assumptions!AF$30,(Assumptions!AF$42+(AA144-Assumptions!AF$29)*Assumptions!AF$36)/AA144,IF(AA144&lt;Assumptions!AF$31,(Assumptions!AF$43+(AA144-Assumptions!AF$30)*Assumptions!AF$37)/AA144,IF(AA144&lt;Assumptions!AF$32,(Assumptions!AF$44+(AA144-Assumptions!AF$31)*Assumptions!AF$38)/AA144,IF(AA144&lt;Assumptions!AF$33,(Assumptions!AF$45+(AA144-Assumptions!AF$32)*Assumptions!AF$39)/AA144,(Assumptions!AF$46+(AA144-Assumptions!AF$33)*Assumptions!AF$40)/AA144)))))</f>
        <v/>
      </c>
      <c r="AB145" s="296">
        <f>IF(AB144&lt;Assumptions!AG$29,Assumptions!AG$35,IF(AB144&lt;Assumptions!AG$30,(Assumptions!AG$42+(AB144-Assumptions!AG$29)*Assumptions!AG$36)/AB144,IF(AB144&lt;Assumptions!AG$31,(Assumptions!AG$43+(AB144-Assumptions!AG$30)*Assumptions!AG$37)/AB144,IF(AB144&lt;Assumptions!AG$32,(Assumptions!AG$44+(AB144-Assumptions!AG$31)*Assumptions!AG$38)/AB144,IF(AB144&lt;Assumptions!AG$33,(Assumptions!AG$45+(AB144-Assumptions!AG$32)*Assumptions!AG$39)/AB144,(Assumptions!AG$46+(AB144-Assumptions!AG$33)*Assumptions!AG$40)/AB144)))))</f>
        <v/>
      </c>
      <c r="AC145" s="296">
        <f>IF(AC144&lt;Assumptions!AH$29,Assumptions!AH$35,IF(AC144&lt;Assumptions!AH$30,(Assumptions!AH$42+(AC144-Assumptions!AH$29)*Assumptions!AH$36)/AC144,IF(AC144&lt;Assumptions!AH$31,(Assumptions!AH$43+(AC144-Assumptions!AH$30)*Assumptions!AH$37)/AC144,IF(AC144&lt;Assumptions!AH$32,(Assumptions!AH$44+(AC144-Assumptions!AH$31)*Assumptions!AH$38)/AC144,IF(AC144&lt;Assumptions!AH$33,(Assumptions!AH$45+(AC144-Assumptions!AH$32)*Assumptions!AH$39)/AC144,(Assumptions!AH$46+(AC144-Assumptions!AH$33)*Assumptions!AH$40)/AC144)))))</f>
        <v/>
      </c>
      <c r="AD145" s="296">
        <f>IF(AD144&lt;Assumptions!AI$29,Assumptions!AI$35,IF(AD144&lt;Assumptions!AI$30,(Assumptions!AI$42+(AD144-Assumptions!AI$29)*Assumptions!AI$36)/AD144,IF(AD144&lt;Assumptions!AI$31,(Assumptions!AI$43+(AD144-Assumptions!AI$30)*Assumptions!AI$37)/AD144,IF(AD144&lt;Assumptions!AI$32,(Assumptions!AI$44+(AD144-Assumptions!AI$31)*Assumptions!AI$38)/AD144,IF(AD144&lt;Assumptions!AI$33,(Assumptions!AI$45+(AD144-Assumptions!AI$32)*Assumptions!AI$39)/AD144,(Assumptions!AI$46+(AD144-Assumptions!AI$33)*Assumptions!AI$40)/AD144)))))</f>
        <v/>
      </c>
    </row>
    <row r="146" outlineLevel="1">
      <c r="A146" t="inlineStr">
        <is>
          <t>Nominal deduction</t>
        </is>
      </c>
      <c r="B146" t="inlineStr">
        <is>
          <t xml:space="preserve">A$/t  </t>
        </is>
      </c>
      <c r="D146">
        <f>IFERROR((D93+D94)/D34,0)</f>
        <v/>
      </c>
      <c r="E146">
        <f>IFERROR((E93+E94)/E34,0)</f>
        <v/>
      </c>
      <c r="F146">
        <f>IFERROR((F93+F94)/F34,0)</f>
        <v/>
      </c>
      <c r="G146">
        <f>IFERROR((G93+G94)/G34,0)</f>
        <v/>
      </c>
      <c r="H146">
        <f>IFERROR((H93+H94)/H34,0)</f>
        <v/>
      </c>
      <c r="I146">
        <f>IFERROR((I93+I94)/I34,0)</f>
        <v/>
      </c>
      <c r="J146">
        <f>IFERROR((J93+J94)/J34,0)</f>
        <v/>
      </c>
      <c r="K146">
        <f>IFERROR((K93+K94)/K34,0)</f>
        <v/>
      </c>
      <c r="L146">
        <f>IFERROR((L93+L94)/L34,0)</f>
        <v/>
      </c>
      <c r="M146">
        <f>IFERROR((M93+M94)/M34,0)</f>
        <v/>
      </c>
      <c r="N146">
        <f>IFERROR((N93+N94)/N34,0)</f>
        <v/>
      </c>
      <c r="O146">
        <f>IFERROR((O93+O94)/O34,0)</f>
        <v/>
      </c>
      <c r="P146">
        <f>IFERROR((P93+P94)/P34,0)</f>
        <v/>
      </c>
      <c r="Q146">
        <f>IFERROR((Q93+Q94)/Q34,0)</f>
        <v/>
      </c>
      <c r="R146">
        <f>IFERROR((R93+R94)/R34,0)</f>
        <v/>
      </c>
      <c r="S146">
        <f>IFERROR((S93+S94)/S34,0)</f>
        <v/>
      </c>
      <c r="T146">
        <f>IFERROR((T93+T94)/T34,0)</f>
        <v/>
      </c>
      <c r="U146">
        <f>IFERROR((U93+U94)/U34,0)</f>
        <v/>
      </c>
      <c r="V146">
        <f>IFERROR((V93+V94)/V34,0)</f>
        <v/>
      </c>
      <c r="W146">
        <f>IFERROR((W93+W94)/W34,0)</f>
        <v/>
      </c>
      <c r="X146">
        <f>IFERROR((X93+X94)/X34,0)</f>
        <v/>
      </c>
      <c r="Y146">
        <f>IFERROR((Y93+Y94)/Y34,0)</f>
        <v/>
      </c>
      <c r="Z146">
        <f>IFERROR((Z93+Z94)/Z34,0)</f>
        <v/>
      </c>
      <c r="AA146">
        <f>IFERROR((AA93+AA94)/AA34,0)</f>
        <v/>
      </c>
      <c r="AB146">
        <f>IFERROR((AB93+AB94)/AB34,0)</f>
        <v/>
      </c>
      <c r="AC146">
        <f>IFERROR((AC93+AC94)/AC34,0)</f>
        <v/>
      </c>
      <c r="AD146">
        <f>IFERROR((AD93+AD94)/AD34,0)</f>
        <v/>
      </c>
    </row>
    <row r="147" outlineLevel="1">
      <c r="A147" t="inlineStr">
        <is>
          <t>Nominal royalty payable</t>
        </is>
      </c>
      <c r="B147" t="inlineStr">
        <is>
          <t xml:space="preserve">A$/t  </t>
        </is>
      </c>
      <c r="D147" s="363">
        <f>(D144-D146)*D145</f>
        <v/>
      </c>
      <c r="E147" s="363">
        <f>(E144-E146)*E145</f>
        <v/>
      </c>
      <c r="F147" s="363">
        <f>(F144-F146)*F145</f>
        <v/>
      </c>
      <c r="G147" s="363">
        <f>(G144-G146)*G145</f>
        <v/>
      </c>
      <c r="H147" s="363">
        <f>(H144-H146)*H145</f>
        <v/>
      </c>
      <c r="I147" s="363">
        <f>(I144-I146)*I145</f>
        <v/>
      </c>
      <c r="J147" s="363">
        <f>(J144-J146)*J145</f>
        <v/>
      </c>
      <c r="K147" s="363">
        <f>(K144-K146)*K145</f>
        <v/>
      </c>
      <c r="L147" s="363">
        <f>(L144-L146)*L145</f>
        <v/>
      </c>
      <c r="M147" s="363">
        <f>(M144-M146)*M145</f>
        <v/>
      </c>
      <c r="N147" s="363">
        <f>(N144-N146)*N145</f>
        <v/>
      </c>
      <c r="O147" s="363">
        <f>(O144-O146)*O145</f>
        <v/>
      </c>
      <c r="P147" s="363">
        <f>(P144-P146)*P145</f>
        <v/>
      </c>
      <c r="Q147" s="363">
        <f>(Q144-Q146)*Q145</f>
        <v/>
      </c>
      <c r="R147" s="363">
        <f>(R144-R146)*R145</f>
        <v/>
      </c>
      <c r="S147" s="363">
        <f>(S144-S146)*S145</f>
        <v/>
      </c>
      <c r="T147" s="363">
        <f>(T144-T146)*T145</f>
        <v/>
      </c>
      <c r="U147" s="363">
        <f>(U144-U146)*U145</f>
        <v/>
      </c>
      <c r="V147" s="363">
        <f>(V144-V146)*V145</f>
        <v/>
      </c>
      <c r="W147" s="363">
        <f>(W144-W146)*W145</f>
        <v/>
      </c>
      <c r="X147" s="363">
        <f>(X144-X146)*X145</f>
        <v/>
      </c>
      <c r="Y147" s="363">
        <f>(Y144-Y146)*Y145</f>
        <v/>
      </c>
      <c r="Z147" s="363">
        <f>(Z144-Z146)*Z145</f>
        <v/>
      </c>
      <c r="AA147" s="363">
        <f>(AA144-AA146)*AA145</f>
        <v/>
      </c>
      <c r="AB147" s="363">
        <f>(AB144-AB146)*AB145</f>
        <v/>
      </c>
      <c r="AC147" s="363">
        <f>(AC144-AC146)*AC145</f>
        <v/>
      </c>
      <c r="AD147" s="363">
        <f>(AD144-AD146)*AD145</f>
        <v/>
      </c>
    </row>
    <row r="148" outlineLevel="1">
      <c r="A148" t="inlineStr">
        <is>
          <t>Real royalty payable</t>
        </is>
      </c>
      <c r="B148" t="inlineStr">
        <is>
          <t xml:space="preserve">A$/t  </t>
        </is>
      </c>
      <c r="D148" s="363">
        <f>D147/D142</f>
        <v/>
      </c>
      <c r="E148" s="363">
        <f>E147/E142</f>
        <v/>
      </c>
      <c r="F148" s="363">
        <f>F147/F142</f>
        <v/>
      </c>
      <c r="G148" s="363">
        <f>G147/G142</f>
        <v/>
      </c>
      <c r="H148" s="363">
        <f>H147/H142</f>
        <v/>
      </c>
      <c r="I148" s="363">
        <f>I147/I142</f>
        <v/>
      </c>
      <c r="J148" s="363">
        <f>J147/J142</f>
        <v/>
      </c>
      <c r="K148" s="363">
        <f>K147/K142</f>
        <v/>
      </c>
      <c r="L148" s="363">
        <f>L147/L142</f>
        <v/>
      </c>
      <c r="M148" s="363">
        <f>M147/M142</f>
        <v/>
      </c>
      <c r="N148" s="363">
        <f>N147/N142</f>
        <v/>
      </c>
      <c r="O148" s="363">
        <f>O147/O142</f>
        <v/>
      </c>
      <c r="P148" s="363">
        <f>P147/P142</f>
        <v/>
      </c>
      <c r="Q148" s="363">
        <f>Q147/Q142</f>
        <v/>
      </c>
      <c r="R148" s="363">
        <f>R147/R142</f>
        <v/>
      </c>
      <c r="S148" s="363">
        <f>S147/S142</f>
        <v/>
      </c>
      <c r="T148" s="363">
        <f>T147/T142</f>
        <v/>
      </c>
      <c r="U148" s="363">
        <f>U147/U142</f>
        <v/>
      </c>
      <c r="V148" s="363">
        <f>V147/V142</f>
        <v/>
      </c>
      <c r="W148" s="363">
        <f>W147/W142</f>
        <v/>
      </c>
      <c r="X148" s="363">
        <f>X147/X142</f>
        <v/>
      </c>
      <c r="Y148" s="363">
        <f>Y147/Y142</f>
        <v/>
      </c>
      <c r="Z148" s="363">
        <f>Z147/Z142</f>
        <v/>
      </c>
      <c r="AA148" s="363">
        <f>AA147/AA142</f>
        <v/>
      </c>
      <c r="AB148" s="363">
        <f>AB147/AB142</f>
        <v/>
      </c>
      <c r="AC148" s="363">
        <f>AC147/AC142</f>
        <v/>
      </c>
      <c r="AD148" s="363">
        <f>AD147/AD142</f>
        <v/>
      </c>
    </row>
    <row r="149" outlineLevel="1"/>
    <row r="150" outlineLevel="1">
      <c r="A150" t="inlineStr">
        <is>
          <t>Royalty - Government Export (FOB) excl Nominal Deduction</t>
        </is>
      </c>
      <c r="D150" s="363">
        <f>D144*D145</f>
        <v/>
      </c>
      <c r="E150" s="363">
        <f>E144*E145</f>
        <v/>
      </c>
      <c r="F150" s="363">
        <f>F144*F145</f>
        <v/>
      </c>
      <c r="G150" s="363">
        <f>G144*G145</f>
        <v/>
      </c>
      <c r="H150" s="363">
        <f>H144*H145</f>
        <v/>
      </c>
      <c r="I150" s="363">
        <f>I144*I145</f>
        <v/>
      </c>
      <c r="J150" s="363">
        <f>J144*J145</f>
        <v/>
      </c>
      <c r="K150" s="363">
        <f>K144*K145</f>
        <v/>
      </c>
      <c r="L150" s="363">
        <f>L144*L145</f>
        <v/>
      </c>
      <c r="M150" s="363">
        <f>M144*M145</f>
        <v/>
      </c>
      <c r="N150" s="363">
        <f>N144*N145</f>
        <v/>
      </c>
      <c r="O150" s="363">
        <f>O144*O145</f>
        <v/>
      </c>
      <c r="P150" s="363">
        <f>P144*P145</f>
        <v/>
      </c>
      <c r="Q150" s="363">
        <f>Q144*Q145</f>
        <v/>
      </c>
      <c r="R150" s="363">
        <f>R144*R145</f>
        <v/>
      </c>
      <c r="S150" s="363">
        <f>S144*S145</f>
        <v/>
      </c>
      <c r="T150" s="363">
        <f>T144*T145</f>
        <v/>
      </c>
      <c r="U150" s="363">
        <f>U144*U145</f>
        <v/>
      </c>
      <c r="V150" s="363">
        <f>V144*V145</f>
        <v/>
      </c>
      <c r="W150" s="363">
        <f>W144*W145</f>
        <v/>
      </c>
      <c r="X150" s="363">
        <f>X144*X145</f>
        <v/>
      </c>
      <c r="Y150" s="363">
        <f>Y144*Y145</f>
        <v/>
      </c>
      <c r="Z150" s="363">
        <f>Z144*Z145</f>
        <v/>
      </c>
      <c r="AA150" s="363">
        <f>AA144*AA145</f>
        <v/>
      </c>
      <c r="AB150" s="363">
        <f>AB144*AB145</f>
        <v/>
      </c>
      <c r="AC150" s="363">
        <f>AC144*AC145</f>
        <v/>
      </c>
      <c r="AD150" s="363">
        <f>AD144*AD145</f>
        <v/>
      </c>
    </row>
    <row r="155">
      <c r="D155" s="176" t="n"/>
    </row>
    <row r="157">
      <c r="D157" s="176" t="n"/>
    </row>
    <row r="158">
      <c r="D158" s="176" t="n"/>
    </row>
    <row r="159">
      <c r="D159" s="176" t="n"/>
    </row>
    <row r="160">
      <c r="D160" s="176" t="n"/>
    </row>
    <row r="161">
      <c r="D161" s="176" t="n"/>
    </row>
  </sheetData>
  <pageMargins left="0.7" right="0.7" top="0.75" bottom="0.75" header="0.3" footer="0.3"/>
  <pageSetup orientation="portrait" paperSize="8" scale="3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V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44" sqref="F44"/>
    </sheetView>
  </sheetViews>
  <sheetFormatPr baseColWidth="10" defaultColWidth="8.83203125" defaultRowHeight="15"/>
  <cols>
    <col width="42.5" customWidth="1" min="1" max="1"/>
    <col width="15.83203125" customWidth="1" min="2" max="2"/>
    <col width="12.5" bestFit="1" customWidth="1" min="3" max="3"/>
  </cols>
  <sheetData>
    <row r="1">
      <c r="A1" s="307" t="inlineStr">
        <is>
          <t>Springbok Capital</t>
        </is>
      </c>
      <c r="C1" s="52" t="n"/>
      <c r="D1" s="306">
        <f>Springbok!D2</f>
        <v/>
      </c>
      <c r="E1" s="306">
        <f>D1+1</f>
        <v/>
      </c>
      <c r="F1" s="306">
        <f>E1+1</f>
        <v/>
      </c>
      <c r="G1" s="306">
        <f>F1+1</f>
        <v/>
      </c>
      <c r="H1" s="306">
        <f>G1+1</f>
        <v/>
      </c>
      <c r="I1" s="306">
        <f>H1+1</f>
        <v/>
      </c>
      <c r="J1" s="306">
        <f>I1+1</f>
        <v/>
      </c>
      <c r="K1" s="306">
        <f>J1+1</f>
        <v/>
      </c>
      <c r="L1" s="306">
        <f>K1+1</f>
        <v/>
      </c>
      <c r="M1" s="306">
        <f>L1+1</f>
        <v/>
      </c>
      <c r="N1" s="306">
        <f>M1+1</f>
        <v/>
      </c>
      <c r="O1" s="306">
        <f>N1+1</f>
        <v/>
      </c>
      <c r="P1" s="306">
        <f>O1+1</f>
        <v/>
      </c>
      <c r="Q1" s="306">
        <f>P1+1</f>
        <v/>
      </c>
      <c r="R1" s="306">
        <f>Q1+1</f>
        <v/>
      </c>
      <c r="S1" s="306">
        <f>R1+1</f>
        <v/>
      </c>
      <c r="T1" s="306">
        <f>S1+1</f>
        <v/>
      </c>
      <c r="U1" s="306">
        <f>T1+1</f>
        <v/>
      </c>
      <c r="V1" s="306">
        <f>U1+1</f>
        <v/>
      </c>
    </row>
    <row r="2" ht="16" customHeight="1" thickBot="1"/>
    <row r="3">
      <c r="A3" s="96" t="inlineStr">
        <is>
          <t xml:space="preserve">Capital Items - Units </t>
        </is>
      </c>
      <c r="B3" s="97" t="n"/>
      <c r="C3" s="97" t="n"/>
      <c r="D3" s="98" t="inlineStr">
        <is>
          <t>Insert Unit Numbers by Year Below</t>
        </is>
      </c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9" t="n"/>
    </row>
    <row r="4">
      <c r="A4" s="100" t="inlineStr">
        <is>
          <t>Replacement Miner</t>
        </is>
      </c>
      <c r="B4" t="inlineStr">
        <is>
          <t>AUD$k</t>
        </is>
      </c>
      <c r="C4" s="409" t="n">
        <v>9000</v>
      </c>
      <c r="D4" s="102" t="n">
        <v>1</v>
      </c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3" t="n"/>
    </row>
    <row r="5">
      <c r="A5" s="100" t="inlineStr">
        <is>
          <t>Ventilation Shaft</t>
        </is>
      </c>
      <c r="B5" t="inlineStr">
        <is>
          <t>AUD$k</t>
        </is>
      </c>
      <c r="C5" s="409" t="n">
        <v>20000</v>
      </c>
      <c r="D5" s="102" t="n">
        <v>0.5</v>
      </c>
      <c r="E5" s="102" t="n">
        <v>0.5</v>
      </c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3" t="n"/>
    </row>
    <row r="6">
      <c r="A6" s="100" t="inlineStr">
        <is>
          <t>SIS Drill program</t>
        </is>
      </c>
      <c r="B6" t="inlineStr">
        <is>
          <t>AUD$k</t>
        </is>
      </c>
      <c r="C6" s="409" t="n">
        <v>30000</v>
      </c>
      <c r="D6" s="102" t="n">
        <v>0.5</v>
      </c>
      <c r="E6" s="102" t="n">
        <v>0.5</v>
      </c>
      <c r="F6" s="102" t="n">
        <v>0</v>
      </c>
      <c r="G6" s="102" t="n">
        <v>0</v>
      </c>
      <c r="H6" s="102" t="n"/>
      <c r="I6" s="102" t="n"/>
      <c r="J6" s="102" t="n"/>
      <c r="K6" s="102" t="n"/>
      <c r="L6" s="102" t="n"/>
      <c r="M6" s="102" t="n"/>
      <c r="N6" s="102" t="n"/>
      <c r="O6" s="102" t="n"/>
      <c r="P6" s="102" t="n"/>
      <c r="Q6" s="102" t="n"/>
      <c r="R6" s="102" t="n"/>
      <c r="S6" s="102" t="n"/>
      <c r="T6" s="102" t="n"/>
      <c r="U6" s="102" t="n"/>
      <c r="V6" s="103" t="n"/>
    </row>
    <row r="7">
      <c r="A7" s="100" t="inlineStr">
        <is>
          <t>Replacement Roof Supports</t>
        </is>
      </c>
      <c r="B7" t="inlineStr">
        <is>
          <t>AUD$k</t>
        </is>
      </c>
      <c r="C7" s="409" t="n">
        <v>1000</v>
      </c>
      <c r="D7" s="102" t="n">
        <v>10</v>
      </c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P7" s="102" t="n"/>
      <c r="Q7" s="102" t="n"/>
      <c r="R7" s="102" t="n"/>
      <c r="S7" s="102" t="n"/>
      <c r="T7" s="102" t="n"/>
      <c r="U7" s="102" t="n"/>
      <c r="V7" s="103" t="n"/>
    </row>
    <row r="8">
      <c r="A8" s="100" t="inlineStr">
        <is>
          <t xml:space="preserve">Conveyor Belt Replacement </t>
        </is>
      </c>
      <c r="B8" t="inlineStr">
        <is>
          <t>AUD$k</t>
        </is>
      </c>
      <c r="C8" s="409" t="n">
        <v>3000</v>
      </c>
      <c r="D8" s="102" t="n">
        <v>1</v>
      </c>
      <c r="E8" s="102" t="n">
        <v>1</v>
      </c>
      <c r="F8" s="102" t="n">
        <v>1</v>
      </c>
      <c r="G8" s="102" t="n">
        <v>1</v>
      </c>
      <c r="H8" s="102" t="n">
        <v>1</v>
      </c>
      <c r="I8" s="102" t="n"/>
      <c r="J8" s="102" t="n"/>
      <c r="K8" s="102" t="n"/>
      <c r="L8" s="102" t="n"/>
      <c r="M8" s="102" t="n"/>
      <c r="N8" s="102" t="n"/>
      <c r="O8" s="102" t="n"/>
      <c r="P8" s="102" t="n"/>
      <c r="Q8" s="102" t="n"/>
      <c r="R8" s="102" t="n"/>
      <c r="S8" s="102" t="n"/>
      <c r="T8" s="102" t="n"/>
      <c r="U8" s="102" t="n"/>
      <c r="V8" s="103" t="n"/>
    </row>
    <row r="9" ht="14.25" customHeight="1">
      <c r="A9" s="151" t="inlineStr">
        <is>
          <t>Barada Community Program</t>
        </is>
      </c>
      <c r="B9" s="113" t="inlineStr">
        <is>
          <t>AUD$k</t>
        </is>
      </c>
      <c r="C9" s="410" t="n">
        <v>5000</v>
      </c>
      <c r="D9" s="159" t="n">
        <v>1</v>
      </c>
      <c r="E9" s="147" t="n"/>
      <c r="F9" s="147" t="n"/>
      <c r="G9" s="147" t="n"/>
      <c r="H9" s="147" t="n"/>
      <c r="I9" s="147" t="n"/>
      <c r="J9" s="102" t="n"/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3" t="n"/>
    </row>
    <row r="10">
      <c r="A10" s="151" t="inlineStr">
        <is>
          <t>Tailings Storage Facility</t>
        </is>
      </c>
      <c r="B10" s="113" t="inlineStr">
        <is>
          <t>AUD$k</t>
        </is>
      </c>
      <c r="C10" s="410" t="n">
        <v>10000</v>
      </c>
      <c r="D10" s="159" t="n">
        <v>1</v>
      </c>
      <c r="E10" s="147" t="n"/>
      <c r="F10" s="147" t="n"/>
      <c r="G10" s="147" t="n"/>
      <c r="H10" s="147" t="n"/>
      <c r="I10" s="147" t="n"/>
      <c r="J10" s="102" t="n"/>
      <c r="K10" s="102" t="n"/>
      <c r="L10" s="102" t="n"/>
      <c r="M10" s="102" t="n"/>
      <c r="N10" s="102" t="n"/>
      <c r="O10" s="102" t="n"/>
      <c r="P10" s="102" t="n"/>
      <c r="Q10" s="102" t="n"/>
      <c r="R10" s="102" t="n"/>
      <c r="S10" s="102" t="n"/>
      <c r="T10" s="102" t="n"/>
      <c r="U10" s="102" t="n"/>
      <c r="V10" s="103" t="n"/>
    </row>
    <row r="11">
      <c r="A11" s="100" t="inlineStr">
        <is>
          <t xml:space="preserve">Exploration Drilling </t>
        </is>
      </c>
      <c r="B11" t="inlineStr">
        <is>
          <t>AUD$k</t>
        </is>
      </c>
      <c r="C11" s="409" t="n">
        <v>800</v>
      </c>
      <c r="D11" s="159" t="n">
        <v>1</v>
      </c>
      <c r="E11" s="159" t="n">
        <v>1</v>
      </c>
      <c r="F11" s="159" t="n">
        <v>1</v>
      </c>
      <c r="G11" s="159" t="n">
        <v>1</v>
      </c>
      <c r="H11" s="159" t="n">
        <v>1</v>
      </c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3" t="n"/>
    </row>
    <row r="12">
      <c r="A12" s="100" t="n"/>
      <c r="B12" t="inlineStr">
        <is>
          <t>AUD$k</t>
        </is>
      </c>
      <c r="C12" s="409" t="n"/>
      <c r="D12" s="411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3" t="n"/>
    </row>
    <row r="13">
      <c r="A13" s="100" t="n"/>
      <c r="B13" t="inlineStr">
        <is>
          <t>AUD$k</t>
        </is>
      </c>
      <c r="C13" s="409" t="n"/>
      <c r="D13" s="411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3" t="n"/>
    </row>
    <row r="14">
      <c r="A14" s="100" t="n"/>
      <c r="B14" t="inlineStr">
        <is>
          <t>AUD$k</t>
        </is>
      </c>
      <c r="C14" s="409" t="n"/>
      <c r="D14" s="411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3" t="n"/>
    </row>
    <row r="15">
      <c r="A15" s="100" t="n"/>
      <c r="B15" t="inlineStr">
        <is>
          <t>AUD$k</t>
        </is>
      </c>
      <c r="C15" s="409" t="n"/>
      <c r="D15" s="411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  <c r="P15" s="102" t="n"/>
      <c r="Q15" s="102" t="n"/>
      <c r="R15" s="102" t="n"/>
      <c r="S15" s="102" t="n"/>
      <c r="T15" s="102" t="n"/>
      <c r="U15" s="102" t="n"/>
      <c r="V15" s="103" t="n"/>
    </row>
    <row r="16">
      <c r="A16" s="100" t="n"/>
      <c r="B16" t="inlineStr">
        <is>
          <t>AUD$k</t>
        </is>
      </c>
      <c r="C16" s="409" t="n"/>
      <c r="D16" s="411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02" t="n"/>
      <c r="V16" s="103" t="n"/>
    </row>
    <row r="17">
      <c r="A17" s="100" t="n"/>
      <c r="C17" s="409" t="n"/>
      <c r="D17" s="411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3" t="n"/>
    </row>
    <row r="18" ht="16" customHeight="1" thickBot="1">
      <c r="A18" s="105" t="n"/>
      <c r="B18" s="106" t="n"/>
      <c r="C18" s="409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3" t="n"/>
    </row>
    <row r="19">
      <c r="A19" s="97" t="n"/>
      <c r="B19" s="97" t="n"/>
      <c r="C19" s="412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</row>
    <row r="20" ht="16" customHeight="1" thickBot="1">
      <c r="A20" s="106" t="n"/>
      <c r="B20" s="106" t="n"/>
      <c r="C20" s="413" t="n"/>
      <c r="D20" s="106" t="n"/>
      <c r="E20" s="106" t="n"/>
      <c r="F20" s="106" t="n"/>
      <c r="G20" s="106" t="n"/>
      <c r="H20" s="106" t="n"/>
      <c r="I20" s="106" t="n"/>
      <c r="J20" s="106" t="n"/>
      <c r="K20" s="106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</row>
    <row r="21">
      <c r="A21" s="96" t="inlineStr">
        <is>
          <t xml:space="preserve">Capital Cost - Cost </t>
        </is>
      </c>
      <c r="B21" s="97" t="n"/>
      <c r="C21" s="412" t="n"/>
      <c r="D21" s="98" t="inlineStr">
        <is>
          <t xml:space="preserve">Do not change cells below 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9" t="n"/>
    </row>
    <row r="22">
      <c r="A22" s="100">
        <f>A4</f>
        <v/>
      </c>
      <c r="B22" t="inlineStr">
        <is>
          <t>AUD$k</t>
        </is>
      </c>
      <c r="C22" s="409">
        <f>C4</f>
        <v/>
      </c>
      <c r="D22" s="414">
        <f>$C4*D4</f>
        <v/>
      </c>
      <c r="E22" s="414">
        <f>$C4*E4</f>
        <v/>
      </c>
      <c r="F22" s="414">
        <f>$C4*F4</f>
        <v/>
      </c>
      <c r="G22" s="414">
        <f>$C4*G4</f>
        <v/>
      </c>
      <c r="H22" s="414">
        <f>$C4*H4</f>
        <v/>
      </c>
      <c r="I22" s="414">
        <f>$C4*I4</f>
        <v/>
      </c>
      <c r="J22" s="414">
        <f>$C4*J4</f>
        <v/>
      </c>
      <c r="K22" s="414">
        <f>$C4*K4</f>
        <v/>
      </c>
      <c r="L22" s="414">
        <f>$C4*L4</f>
        <v/>
      </c>
      <c r="M22" s="414">
        <f>$C4*M4</f>
        <v/>
      </c>
      <c r="N22" s="414">
        <f>$C4*N4</f>
        <v/>
      </c>
      <c r="O22" s="414">
        <f>$C4*O4</f>
        <v/>
      </c>
      <c r="P22" s="414">
        <f>$C4*P4</f>
        <v/>
      </c>
      <c r="Q22" s="414">
        <f>$C4*Q4</f>
        <v/>
      </c>
      <c r="R22" s="414">
        <f>$C4*R4</f>
        <v/>
      </c>
      <c r="S22" s="414">
        <f>$C4*S4</f>
        <v/>
      </c>
      <c r="T22" s="414">
        <f>$C4*T4</f>
        <v/>
      </c>
      <c r="U22" s="414">
        <f>$C4*U4</f>
        <v/>
      </c>
      <c r="V22" s="415">
        <f>$C4*V4</f>
        <v/>
      </c>
    </row>
    <row r="23">
      <c r="A23" s="100">
        <f>A5</f>
        <v/>
      </c>
      <c r="B23" t="inlineStr">
        <is>
          <t>AUD$k</t>
        </is>
      </c>
      <c r="C23" s="409">
        <f>C5</f>
        <v/>
      </c>
      <c r="D23" s="414">
        <f>$C5*D5</f>
        <v/>
      </c>
      <c r="E23" s="414">
        <f>$C5*E5</f>
        <v/>
      </c>
      <c r="F23" s="414">
        <f>$C5*F5</f>
        <v/>
      </c>
      <c r="G23" s="414">
        <f>$C5*G5</f>
        <v/>
      </c>
      <c r="H23" s="414">
        <f>$C5*H5</f>
        <v/>
      </c>
      <c r="I23" s="414">
        <f>$C5*I5</f>
        <v/>
      </c>
      <c r="J23" s="414">
        <f>$C5*J5</f>
        <v/>
      </c>
      <c r="K23" s="414">
        <f>$C5*K5</f>
        <v/>
      </c>
      <c r="L23" s="414">
        <f>$C5*L5</f>
        <v/>
      </c>
      <c r="M23" s="414">
        <f>$C5*M5</f>
        <v/>
      </c>
      <c r="N23" s="414">
        <f>$C5*N5</f>
        <v/>
      </c>
      <c r="O23" s="414">
        <f>$C5*O5</f>
        <v/>
      </c>
      <c r="P23" s="414">
        <f>$C5*P5</f>
        <v/>
      </c>
      <c r="Q23" s="414">
        <f>$C5*Q5</f>
        <v/>
      </c>
      <c r="R23" s="414">
        <f>$C5*R5</f>
        <v/>
      </c>
      <c r="S23" s="414">
        <f>$C5*S5</f>
        <v/>
      </c>
      <c r="T23" s="414">
        <f>$C5*T5</f>
        <v/>
      </c>
      <c r="U23" s="414">
        <f>$C5*U5</f>
        <v/>
      </c>
      <c r="V23" s="415">
        <f>$C5*V5</f>
        <v/>
      </c>
    </row>
    <row r="24">
      <c r="A24" s="100">
        <f>A6</f>
        <v/>
      </c>
      <c r="B24" t="inlineStr">
        <is>
          <t>AUD$k</t>
        </is>
      </c>
      <c r="C24" s="409">
        <f>C6</f>
        <v/>
      </c>
      <c r="D24" s="414">
        <f>$C6*D6</f>
        <v/>
      </c>
      <c r="E24" s="414">
        <f>$C6*E6</f>
        <v/>
      </c>
      <c r="F24" s="414">
        <f>$C6*F6</f>
        <v/>
      </c>
      <c r="G24" s="414">
        <f>$C6*G6</f>
        <v/>
      </c>
      <c r="H24" s="414">
        <f>$C6*H6</f>
        <v/>
      </c>
      <c r="I24" s="414">
        <f>$C6*I6</f>
        <v/>
      </c>
      <c r="J24" s="414">
        <f>$C6*J6</f>
        <v/>
      </c>
      <c r="K24" s="414">
        <f>$C6*K6</f>
        <v/>
      </c>
      <c r="L24" s="414">
        <f>$C6*L6</f>
        <v/>
      </c>
      <c r="M24" s="414">
        <f>$C6*M6</f>
        <v/>
      </c>
      <c r="N24" s="414">
        <f>$C6*N6</f>
        <v/>
      </c>
      <c r="O24" s="414">
        <f>$C6*O6</f>
        <v/>
      </c>
      <c r="P24" s="414">
        <f>$C6*P6</f>
        <v/>
      </c>
      <c r="Q24" s="414">
        <f>$C6*Q6</f>
        <v/>
      </c>
      <c r="R24" s="414">
        <f>$C6*R6</f>
        <v/>
      </c>
      <c r="S24" s="414">
        <f>$C6*S6</f>
        <v/>
      </c>
      <c r="T24" s="414">
        <f>$C6*T6</f>
        <v/>
      </c>
      <c r="U24" s="414">
        <f>$C6*U6</f>
        <v/>
      </c>
      <c r="V24" s="415">
        <f>$C6*V6</f>
        <v/>
      </c>
    </row>
    <row r="25">
      <c r="A25" s="100">
        <f>A7</f>
        <v/>
      </c>
      <c r="B25" t="inlineStr">
        <is>
          <t>AUD$k</t>
        </is>
      </c>
      <c r="C25" s="409">
        <f>C7</f>
        <v/>
      </c>
      <c r="D25" s="414">
        <f>$C7*D7</f>
        <v/>
      </c>
      <c r="E25" s="414">
        <f>$C7*E7</f>
        <v/>
      </c>
      <c r="F25" s="414">
        <f>$C7*F7</f>
        <v/>
      </c>
      <c r="G25" s="414">
        <f>$C7*G7</f>
        <v/>
      </c>
      <c r="H25" s="414">
        <f>$C7*H7</f>
        <v/>
      </c>
      <c r="I25" s="414">
        <f>$C7*I7</f>
        <v/>
      </c>
      <c r="J25" s="414">
        <f>$C7*J7</f>
        <v/>
      </c>
      <c r="K25" s="414">
        <f>$C7*K7</f>
        <v/>
      </c>
      <c r="L25" s="414">
        <f>$C7*L7</f>
        <v/>
      </c>
      <c r="M25" s="414">
        <f>$C7*M7</f>
        <v/>
      </c>
      <c r="N25" s="414">
        <f>$C7*N7</f>
        <v/>
      </c>
      <c r="O25" s="414">
        <f>$C7*O7</f>
        <v/>
      </c>
      <c r="P25" s="414">
        <f>$C7*P7</f>
        <v/>
      </c>
      <c r="Q25" s="414">
        <f>$C7*Q7</f>
        <v/>
      </c>
      <c r="R25" s="414">
        <f>$C7*R7</f>
        <v/>
      </c>
      <c r="S25" s="414">
        <f>$C7*S7</f>
        <v/>
      </c>
      <c r="T25" s="414">
        <f>$C7*T7</f>
        <v/>
      </c>
      <c r="U25" s="414">
        <f>$C7*U7</f>
        <v/>
      </c>
      <c r="V25" s="415">
        <f>$C7*V7</f>
        <v/>
      </c>
    </row>
    <row r="26">
      <c r="A26" s="100">
        <f>A8</f>
        <v/>
      </c>
      <c r="B26" t="inlineStr">
        <is>
          <t>AUD$k</t>
        </is>
      </c>
      <c r="C26" s="409">
        <f>C8</f>
        <v/>
      </c>
      <c r="D26" s="414">
        <f>$C8*D8</f>
        <v/>
      </c>
      <c r="E26" s="414">
        <f>$C8*E8</f>
        <v/>
      </c>
      <c r="F26" s="414">
        <f>$C8*F8</f>
        <v/>
      </c>
      <c r="G26" s="414">
        <f>$C8*G8</f>
        <v/>
      </c>
      <c r="H26" s="414">
        <f>$C8*H8</f>
        <v/>
      </c>
      <c r="I26" s="414">
        <f>$C8*I8</f>
        <v/>
      </c>
      <c r="J26" s="414">
        <f>$C8*J8</f>
        <v/>
      </c>
      <c r="K26" s="414">
        <f>$C8*K8</f>
        <v/>
      </c>
      <c r="L26" s="414">
        <f>$C8*L8</f>
        <v/>
      </c>
      <c r="M26" s="414">
        <f>$C8*M8</f>
        <v/>
      </c>
      <c r="N26" s="414">
        <f>$C8*N8</f>
        <v/>
      </c>
      <c r="O26" s="414">
        <f>$C8*O8</f>
        <v/>
      </c>
      <c r="P26" s="414">
        <f>$C8*P8</f>
        <v/>
      </c>
      <c r="Q26" s="414">
        <f>$C8*Q8</f>
        <v/>
      </c>
      <c r="R26" s="414">
        <f>$C8*R8</f>
        <v/>
      </c>
      <c r="S26" s="414">
        <f>$C8*S8</f>
        <v/>
      </c>
      <c r="T26" s="414">
        <f>$C8*T8</f>
        <v/>
      </c>
      <c r="U26" s="414">
        <f>$C8*U8</f>
        <v/>
      </c>
      <c r="V26" s="415">
        <f>$C8*V8</f>
        <v/>
      </c>
    </row>
    <row r="27">
      <c r="A27" s="100">
        <f>A9</f>
        <v/>
      </c>
      <c r="B27" t="inlineStr">
        <is>
          <t>AUD$k</t>
        </is>
      </c>
      <c r="C27" s="409">
        <f>C9</f>
        <v/>
      </c>
      <c r="D27" s="414">
        <f>$C9*D9</f>
        <v/>
      </c>
      <c r="E27" s="414">
        <f>$C9*E9</f>
        <v/>
      </c>
      <c r="F27" s="414">
        <f>$C9*F9</f>
        <v/>
      </c>
      <c r="G27" s="414">
        <f>$C9*G9</f>
        <v/>
      </c>
      <c r="H27" s="414">
        <f>$C9*H9</f>
        <v/>
      </c>
      <c r="I27" s="414">
        <f>$C9*I9</f>
        <v/>
      </c>
      <c r="J27" s="414">
        <f>$C9*J9</f>
        <v/>
      </c>
      <c r="K27" s="414">
        <f>$C9*K9</f>
        <v/>
      </c>
      <c r="L27" s="414">
        <f>$C9*L9</f>
        <v/>
      </c>
      <c r="M27" s="414">
        <f>$C9*M9</f>
        <v/>
      </c>
      <c r="N27" s="414">
        <f>$C9*N9</f>
        <v/>
      </c>
      <c r="O27" s="414">
        <f>$C9*O9</f>
        <v/>
      </c>
      <c r="P27" s="414">
        <f>$C9*P9</f>
        <v/>
      </c>
      <c r="Q27" s="414">
        <f>$C9*Q9</f>
        <v/>
      </c>
      <c r="R27" s="414">
        <f>$C9*R9</f>
        <v/>
      </c>
      <c r="S27" s="414">
        <f>$C9*S9</f>
        <v/>
      </c>
      <c r="T27" s="414">
        <f>$C9*T9</f>
        <v/>
      </c>
      <c r="U27" s="414">
        <f>$C9*U9</f>
        <v/>
      </c>
      <c r="V27" s="415">
        <f>$C9*V9</f>
        <v/>
      </c>
    </row>
    <row r="28">
      <c r="A28" s="100">
        <f>A10</f>
        <v/>
      </c>
      <c r="B28" t="inlineStr">
        <is>
          <t>AUD$k</t>
        </is>
      </c>
      <c r="C28" s="409">
        <f>C10</f>
        <v/>
      </c>
      <c r="D28" s="414">
        <f>$C10*D10</f>
        <v/>
      </c>
      <c r="E28" s="414">
        <f>$C10*E10</f>
        <v/>
      </c>
      <c r="F28" s="414">
        <f>$C10*F10</f>
        <v/>
      </c>
      <c r="G28" s="414">
        <f>$C10*G10</f>
        <v/>
      </c>
      <c r="H28" s="414">
        <f>$C10*H10</f>
        <v/>
      </c>
      <c r="I28" s="414">
        <f>$C10*I10</f>
        <v/>
      </c>
      <c r="J28" s="414">
        <f>$C10*J10</f>
        <v/>
      </c>
      <c r="K28" s="414">
        <f>$C10*K10</f>
        <v/>
      </c>
      <c r="L28" s="414">
        <f>$C10*L10</f>
        <v/>
      </c>
      <c r="M28" s="414">
        <f>$C10*M10</f>
        <v/>
      </c>
      <c r="N28" s="414">
        <f>$C10*N10</f>
        <v/>
      </c>
      <c r="O28" s="414">
        <f>$C10*O10</f>
        <v/>
      </c>
      <c r="P28" s="414">
        <f>$C10*P10</f>
        <v/>
      </c>
      <c r="Q28" s="414">
        <f>$C10*Q10</f>
        <v/>
      </c>
      <c r="R28" s="414">
        <f>$C10*R10</f>
        <v/>
      </c>
      <c r="S28" s="414">
        <f>$C10*S10</f>
        <v/>
      </c>
      <c r="T28" s="414">
        <f>$C10*T10</f>
        <v/>
      </c>
      <c r="U28" s="414">
        <f>$C10*U10</f>
        <v/>
      </c>
      <c r="V28" s="415">
        <f>$C10*V10</f>
        <v/>
      </c>
    </row>
    <row r="29">
      <c r="A29" s="100">
        <f>A11</f>
        <v/>
      </c>
      <c r="B29" t="inlineStr">
        <is>
          <t>AUD$k</t>
        </is>
      </c>
      <c r="C29" s="409">
        <f>C11</f>
        <v/>
      </c>
      <c r="D29" s="414">
        <f>$C11*D11</f>
        <v/>
      </c>
      <c r="E29" s="414">
        <f>$C11*E11</f>
        <v/>
      </c>
      <c r="F29" s="414">
        <f>$C11*F11</f>
        <v/>
      </c>
      <c r="G29" s="414">
        <f>$C11*G11</f>
        <v/>
      </c>
      <c r="H29" s="414">
        <f>$C11*H11</f>
        <v/>
      </c>
      <c r="I29" s="414">
        <f>$C11*I11</f>
        <v/>
      </c>
      <c r="J29" s="414">
        <f>$C11*J11</f>
        <v/>
      </c>
      <c r="K29" s="414">
        <f>$C11*K11</f>
        <v/>
      </c>
      <c r="L29" s="414">
        <f>$C11*L11</f>
        <v/>
      </c>
      <c r="M29" s="414">
        <f>$C11*M11</f>
        <v/>
      </c>
      <c r="N29" s="414">
        <f>$C11*N11</f>
        <v/>
      </c>
      <c r="O29" s="414">
        <f>$C11*O11</f>
        <v/>
      </c>
      <c r="P29" s="414">
        <f>$C11*P11</f>
        <v/>
      </c>
      <c r="Q29" s="414">
        <f>$C11*Q11</f>
        <v/>
      </c>
      <c r="R29" s="414">
        <f>$C11*R11</f>
        <v/>
      </c>
      <c r="S29" s="414">
        <f>$C11*S11</f>
        <v/>
      </c>
      <c r="T29" s="414">
        <f>$C11*T11</f>
        <v/>
      </c>
      <c r="U29" s="414">
        <f>$C11*U11</f>
        <v/>
      </c>
      <c r="V29" s="415">
        <f>$C11*V11</f>
        <v/>
      </c>
    </row>
    <row r="30">
      <c r="A30" s="100">
        <f>A12</f>
        <v/>
      </c>
      <c r="B30" t="inlineStr">
        <is>
          <t>AUD$k</t>
        </is>
      </c>
      <c r="C30" s="409">
        <f>C12</f>
        <v/>
      </c>
      <c r="D30" s="414">
        <f>$C12*D12</f>
        <v/>
      </c>
      <c r="E30" s="414">
        <f>$C12*E12</f>
        <v/>
      </c>
      <c r="F30" s="414">
        <f>$C12*F12</f>
        <v/>
      </c>
      <c r="G30" s="414">
        <f>$C12*G12</f>
        <v/>
      </c>
      <c r="H30" s="414">
        <f>$C12*H12</f>
        <v/>
      </c>
      <c r="I30" s="414">
        <f>$C12*I12</f>
        <v/>
      </c>
      <c r="J30" s="414">
        <f>$C12*J12</f>
        <v/>
      </c>
      <c r="K30" s="414">
        <f>$C12*K12</f>
        <v/>
      </c>
      <c r="L30" s="414">
        <f>$C12*L12</f>
        <v/>
      </c>
      <c r="M30" s="414">
        <f>$C12*M12</f>
        <v/>
      </c>
      <c r="N30" s="414">
        <f>$C12*N12</f>
        <v/>
      </c>
      <c r="O30" s="414">
        <f>$C12*O12</f>
        <v/>
      </c>
      <c r="P30" s="414">
        <f>$C12*P12</f>
        <v/>
      </c>
      <c r="Q30" s="414">
        <f>$C12*Q12</f>
        <v/>
      </c>
      <c r="R30" s="414">
        <f>$C12*R12</f>
        <v/>
      </c>
      <c r="S30" s="414">
        <f>$C12*S12</f>
        <v/>
      </c>
      <c r="T30" s="414">
        <f>$C12*T12</f>
        <v/>
      </c>
      <c r="U30" s="414">
        <f>$C12*U12</f>
        <v/>
      </c>
      <c r="V30" s="415">
        <f>$C12*V12</f>
        <v/>
      </c>
    </row>
    <row r="31">
      <c r="A31" s="100">
        <f>A13</f>
        <v/>
      </c>
      <c r="B31" t="inlineStr">
        <is>
          <t>AUD$k</t>
        </is>
      </c>
      <c r="C31" s="409">
        <f>C13</f>
        <v/>
      </c>
      <c r="D31" s="414">
        <f>$C13*D13</f>
        <v/>
      </c>
      <c r="E31" s="414">
        <f>$C13*E13</f>
        <v/>
      </c>
      <c r="F31" s="414">
        <f>$C13*F13</f>
        <v/>
      </c>
      <c r="G31" s="414">
        <f>$C13*G13</f>
        <v/>
      </c>
      <c r="H31" s="414">
        <f>$C13*H13</f>
        <v/>
      </c>
      <c r="I31" s="414">
        <f>$C13*I13</f>
        <v/>
      </c>
      <c r="J31" s="414">
        <f>$C13*J13</f>
        <v/>
      </c>
      <c r="K31" s="414">
        <f>$C13*K13</f>
        <v/>
      </c>
      <c r="L31" s="414">
        <f>$C13*L13</f>
        <v/>
      </c>
      <c r="M31" s="414">
        <f>$C13*M13</f>
        <v/>
      </c>
      <c r="N31" s="414">
        <f>$C13*N13</f>
        <v/>
      </c>
      <c r="O31" s="414">
        <f>$C13*O13</f>
        <v/>
      </c>
      <c r="P31" s="414">
        <f>$C13*P13</f>
        <v/>
      </c>
      <c r="Q31" s="414">
        <f>$C13*Q13</f>
        <v/>
      </c>
      <c r="R31" s="414">
        <f>$C13*R13</f>
        <v/>
      </c>
      <c r="S31" s="414">
        <f>$C13*S13</f>
        <v/>
      </c>
      <c r="T31" s="414">
        <f>$C13*T13</f>
        <v/>
      </c>
      <c r="U31" s="414">
        <f>$C13*U13</f>
        <v/>
      </c>
      <c r="V31" s="415">
        <f>$C13*V13</f>
        <v/>
      </c>
    </row>
    <row r="32">
      <c r="A32" s="100">
        <f>A14</f>
        <v/>
      </c>
      <c r="B32" t="inlineStr">
        <is>
          <t>AUD$k</t>
        </is>
      </c>
      <c r="C32" s="409">
        <f>C14</f>
        <v/>
      </c>
      <c r="D32" s="414">
        <f>$C14*D14</f>
        <v/>
      </c>
      <c r="E32" s="414">
        <f>$C14*E14</f>
        <v/>
      </c>
      <c r="F32" s="414">
        <f>$C14*F14</f>
        <v/>
      </c>
      <c r="G32" s="414">
        <f>$C14*G14</f>
        <v/>
      </c>
      <c r="H32" s="414">
        <f>$C14*H14</f>
        <v/>
      </c>
      <c r="I32" s="414">
        <f>$C14*I14</f>
        <v/>
      </c>
      <c r="J32" s="414">
        <f>$C14*J14</f>
        <v/>
      </c>
      <c r="K32" s="414">
        <f>$C14*K14</f>
        <v/>
      </c>
      <c r="L32" s="414">
        <f>$C14*L14</f>
        <v/>
      </c>
      <c r="M32" s="414">
        <f>$C14*M14</f>
        <v/>
      </c>
      <c r="N32" s="414">
        <f>$C14*N14</f>
        <v/>
      </c>
      <c r="O32" s="414">
        <f>$C14*O14</f>
        <v/>
      </c>
      <c r="P32" s="414">
        <f>$C14*P14</f>
        <v/>
      </c>
      <c r="Q32" s="414">
        <f>$C14*Q14</f>
        <v/>
      </c>
      <c r="R32" s="414">
        <f>$C14*R14</f>
        <v/>
      </c>
      <c r="S32" s="414">
        <f>$C14*S14</f>
        <v/>
      </c>
      <c r="T32" s="414">
        <f>$C14*T14</f>
        <v/>
      </c>
      <c r="U32" s="414">
        <f>$C14*U14</f>
        <v/>
      </c>
      <c r="V32" s="415">
        <f>$C14*V14</f>
        <v/>
      </c>
    </row>
    <row r="33">
      <c r="A33" s="100">
        <f>A15</f>
        <v/>
      </c>
      <c r="B33" t="inlineStr">
        <is>
          <t>AUD$k</t>
        </is>
      </c>
      <c r="C33" s="409">
        <f>C15</f>
        <v/>
      </c>
      <c r="D33" s="414">
        <f>$C15*D15</f>
        <v/>
      </c>
      <c r="E33" s="414">
        <f>$C15*E15</f>
        <v/>
      </c>
      <c r="F33" s="414">
        <f>$C15*F15</f>
        <v/>
      </c>
      <c r="G33" s="414">
        <f>$C15*G15</f>
        <v/>
      </c>
      <c r="H33" s="414">
        <f>$C15*H15</f>
        <v/>
      </c>
      <c r="I33" s="414">
        <f>$C15*I15</f>
        <v/>
      </c>
      <c r="J33" s="414">
        <f>$C15*J15</f>
        <v/>
      </c>
      <c r="K33" s="414">
        <f>$C15*K15</f>
        <v/>
      </c>
      <c r="L33" s="414">
        <f>$C15*L15</f>
        <v/>
      </c>
      <c r="M33" s="414">
        <f>$C15*M15</f>
        <v/>
      </c>
      <c r="N33" s="414">
        <f>$C15*N15</f>
        <v/>
      </c>
      <c r="O33" s="414">
        <f>$C15*O15</f>
        <v/>
      </c>
      <c r="P33" s="414">
        <f>$C15*P15</f>
        <v/>
      </c>
      <c r="Q33" s="414">
        <f>$C15*Q15</f>
        <v/>
      </c>
      <c r="R33" s="414">
        <f>$C15*R15</f>
        <v/>
      </c>
      <c r="S33" s="414">
        <f>$C15*S15</f>
        <v/>
      </c>
      <c r="T33" s="414">
        <f>$C15*T15</f>
        <v/>
      </c>
      <c r="U33" s="414">
        <f>$C15*U15</f>
        <v/>
      </c>
      <c r="V33" s="415">
        <f>$C15*V15</f>
        <v/>
      </c>
    </row>
    <row r="34">
      <c r="A34" s="100">
        <f>A16</f>
        <v/>
      </c>
      <c r="B34" t="inlineStr">
        <is>
          <t>AUD$k</t>
        </is>
      </c>
      <c r="C34" s="409">
        <f>C16</f>
        <v/>
      </c>
      <c r="D34" s="414">
        <f>$C16*D16</f>
        <v/>
      </c>
      <c r="E34" s="414">
        <f>$C16*E16</f>
        <v/>
      </c>
      <c r="F34" s="414">
        <f>$C16*F16</f>
        <v/>
      </c>
      <c r="G34" s="414">
        <f>$C16*G16</f>
        <v/>
      </c>
      <c r="H34" s="414">
        <f>$C16*H16</f>
        <v/>
      </c>
      <c r="I34" s="414">
        <f>$C16*I16</f>
        <v/>
      </c>
      <c r="J34" s="414">
        <f>$C16*J16</f>
        <v/>
      </c>
      <c r="K34" s="414">
        <f>$C16*K16</f>
        <v/>
      </c>
      <c r="L34" s="414">
        <f>$C16*L16</f>
        <v/>
      </c>
      <c r="M34" s="414">
        <f>$C16*M16</f>
        <v/>
      </c>
      <c r="N34" s="414">
        <f>$C16*N16</f>
        <v/>
      </c>
      <c r="O34" s="414">
        <f>$C16*O16</f>
        <v/>
      </c>
      <c r="P34" s="414">
        <f>$C16*P16</f>
        <v/>
      </c>
      <c r="Q34" s="414">
        <f>$C16*Q16</f>
        <v/>
      </c>
      <c r="R34" s="414">
        <f>$C16*R16</f>
        <v/>
      </c>
      <c r="S34" s="414">
        <f>$C16*S16</f>
        <v/>
      </c>
      <c r="T34" s="414">
        <f>$C16*T16</f>
        <v/>
      </c>
      <c r="U34" s="414">
        <f>$C16*U16</f>
        <v/>
      </c>
      <c r="V34" s="415">
        <f>$C16*V16</f>
        <v/>
      </c>
    </row>
    <row r="35">
      <c r="A35" s="100">
        <f>A17</f>
        <v/>
      </c>
      <c r="B35" t="inlineStr">
        <is>
          <t>AUD$k</t>
        </is>
      </c>
      <c r="C35" s="409">
        <f>C17</f>
        <v/>
      </c>
      <c r="D35" s="414">
        <f>$C17*D17</f>
        <v/>
      </c>
      <c r="E35" s="414">
        <f>$C17*E17</f>
        <v/>
      </c>
      <c r="F35" s="414">
        <f>$C17*F17</f>
        <v/>
      </c>
      <c r="G35" s="414">
        <f>$C17*G17</f>
        <v/>
      </c>
      <c r="H35" s="414">
        <f>$C17*H17</f>
        <v/>
      </c>
      <c r="I35" s="414">
        <f>$C17*I17</f>
        <v/>
      </c>
      <c r="J35" s="414">
        <f>$C17*J17</f>
        <v/>
      </c>
      <c r="K35" s="414">
        <f>$C17*K17</f>
        <v/>
      </c>
      <c r="L35" s="414">
        <f>$C17*L17</f>
        <v/>
      </c>
      <c r="M35" s="414">
        <f>$C17*M17</f>
        <v/>
      </c>
      <c r="N35" s="414">
        <f>$C17*N17</f>
        <v/>
      </c>
      <c r="O35" s="414">
        <f>$C17*O17</f>
        <v/>
      </c>
      <c r="P35" s="414">
        <f>$C17*P17</f>
        <v/>
      </c>
      <c r="Q35" s="414">
        <f>$C17*Q17</f>
        <v/>
      </c>
      <c r="R35" s="414">
        <f>$C17*R17</f>
        <v/>
      </c>
      <c r="S35" s="414">
        <f>$C17*S17</f>
        <v/>
      </c>
      <c r="T35" s="414">
        <f>$C17*T17</f>
        <v/>
      </c>
      <c r="U35" s="414">
        <f>$C17*U17</f>
        <v/>
      </c>
      <c r="V35" s="415">
        <f>$C17*V17</f>
        <v/>
      </c>
    </row>
    <row r="36">
      <c r="A36" s="100">
        <f>A17</f>
        <v/>
      </c>
      <c r="B36" t="inlineStr">
        <is>
          <t>AUD$k</t>
        </is>
      </c>
      <c r="C36" s="409">
        <f>C18</f>
        <v/>
      </c>
      <c r="D36" s="414">
        <f>$C18*D18</f>
        <v/>
      </c>
      <c r="E36" s="414">
        <f>$C18*E18</f>
        <v/>
      </c>
      <c r="F36" s="414">
        <f>$C18*F18</f>
        <v/>
      </c>
      <c r="G36" s="414">
        <f>$C18*G18</f>
        <v/>
      </c>
      <c r="H36" s="414">
        <f>$C18*H18</f>
        <v/>
      </c>
      <c r="I36" s="414">
        <f>$C18*I18</f>
        <v/>
      </c>
      <c r="J36" s="414">
        <f>$C18*J18</f>
        <v/>
      </c>
      <c r="K36" s="414">
        <f>$C18*K18</f>
        <v/>
      </c>
      <c r="L36" s="414">
        <f>$C18*L18</f>
        <v/>
      </c>
      <c r="M36" s="414">
        <f>$C18*M18</f>
        <v/>
      </c>
      <c r="N36" s="414">
        <f>$C18*N18</f>
        <v/>
      </c>
      <c r="O36" s="414">
        <f>$C18*O18</f>
        <v/>
      </c>
      <c r="P36" s="414">
        <f>$C18*P18</f>
        <v/>
      </c>
      <c r="Q36" s="414">
        <f>$C18*Q18</f>
        <v/>
      </c>
      <c r="R36" s="414">
        <f>$C18*R18</f>
        <v/>
      </c>
      <c r="S36" s="414">
        <f>$C18*S18</f>
        <v/>
      </c>
      <c r="T36" s="414">
        <f>$C18*T18</f>
        <v/>
      </c>
      <c r="U36" s="414">
        <f>$C18*U18</f>
        <v/>
      </c>
      <c r="V36" s="415">
        <f>$C18*V18</f>
        <v/>
      </c>
    </row>
    <row r="37">
      <c r="A37" s="100" t="inlineStr">
        <is>
          <t>Total</t>
        </is>
      </c>
      <c r="D37" s="414">
        <f>SUM(D22:D36)</f>
        <v/>
      </c>
      <c r="E37" s="414">
        <f>SUM(E22:E36)</f>
        <v/>
      </c>
      <c r="F37" s="414">
        <f>SUM(F22:F36)</f>
        <v/>
      </c>
      <c r="G37" s="414">
        <f>SUM(G22:G36)</f>
        <v/>
      </c>
      <c r="H37" s="414">
        <f>SUM(H22:H36)</f>
        <v/>
      </c>
      <c r="I37" s="414">
        <f>SUM(I22:I36)</f>
        <v/>
      </c>
      <c r="J37" s="414">
        <f>SUM(J22:J36)</f>
        <v/>
      </c>
      <c r="K37" s="414">
        <f>SUM(K22:K36)</f>
        <v/>
      </c>
      <c r="L37" s="414">
        <f>SUM(L22:L36)</f>
        <v/>
      </c>
      <c r="M37" s="414">
        <f>SUM(M22:M36)</f>
        <v/>
      </c>
      <c r="N37" s="414">
        <f>SUM(N22:N36)</f>
        <v/>
      </c>
      <c r="O37" s="414">
        <f>SUM(O22:O36)</f>
        <v/>
      </c>
      <c r="P37" s="414">
        <f>SUM(P22:P36)</f>
        <v/>
      </c>
      <c r="Q37" s="414">
        <f>SUM(Q22:Q36)</f>
        <v/>
      </c>
      <c r="R37" s="414">
        <f>SUM(R22:R36)</f>
        <v/>
      </c>
      <c r="S37" s="414">
        <f>SUM(S22:S36)</f>
        <v/>
      </c>
      <c r="T37" s="414">
        <f>SUM(T22:T36)</f>
        <v/>
      </c>
      <c r="U37" s="414">
        <f>SUM(U22:U36)</f>
        <v/>
      </c>
      <c r="V37" s="415">
        <f>SUM(V22:V36)</f>
        <v/>
      </c>
    </row>
    <row r="38">
      <c r="A38" s="100" t="inlineStr">
        <is>
          <t xml:space="preserve">Contingency </t>
        </is>
      </c>
      <c r="B38" s="34" t="inlineStr">
        <is>
          <t>%</t>
        </is>
      </c>
      <c r="C38" s="43" t="n">
        <v>0.2</v>
      </c>
      <c r="D38" s="414">
        <f>$C$38*D37</f>
        <v/>
      </c>
      <c r="E38" s="414">
        <f>$C$38*E37</f>
        <v/>
      </c>
      <c r="F38" s="414">
        <f>$C$38*F37</f>
        <v/>
      </c>
      <c r="G38" s="414">
        <f>$C$38*G37</f>
        <v/>
      </c>
      <c r="H38" s="414">
        <f>$C$38*H37</f>
        <v/>
      </c>
      <c r="I38" s="414">
        <f>$C$38*I37</f>
        <v/>
      </c>
      <c r="J38" s="414">
        <f>$C$38*J37</f>
        <v/>
      </c>
      <c r="K38" s="414">
        <f>$C$38*K37</f>
        <v/>
      </c>
      <c r="L38" s="414">
        <f>$C$38*L37</f>
        <v/>
      </c>
      <c r="M38" s="414">
        <f>$C$38*M37</f>
        <v/>
      </c>
      <c r="N38" s="414">
        <f>$C$38*N37</f>
        <v/>
      </c>
      <c r="O38" s="414">
        <f>$C$38*O37</f>
        <v/>
      </c>
      <c r="P38" s="414">
        <f>$C$38*P37</f>
        <v/>
      </c>
      <c r="Q38" s="414">
        <f>$C$38*Q37</f>
        <v/>
      </c>
      <c r="R38" s="414">
        <f>$C$38*R37</f>
        <v/>
      </c>
      <c r="S38" s="414">
        <f>$C$38*S37</f>
        <v/>
      </c>
      <c r="T38" s="414">
        <f>$C$38*T37</f>
        <v/>
      </c>
      <c r="U38" s="414">
        <f>$C$38*U37</f>
        <v/>
      </c>
      <c r="V38" s="415">
        <f>$C$38*V37</f>
        <v/>
      </c>
    </row>
    <row r="39" ht="16" customHeight="1" thickBot="1">
      <c r="A39" s="105" t="inlineStr">
        <is>
          <t xml:space="preserve">Total Capital </t>
        </is>
      </c>
      <c r="B39" s="106" t="n"/>
      <c r="C39" s="106" t="n"/>
      <c r="D39" s="416">
        <f>D38+D37</f>
        <v/>
      </c>
      <c r="E39" s="416">
        <f>E38+E37</f>
        <v/>
      </c>
      <c r="F39" s="416">
        <f>F38+F37</f>
        <v/>
      </c>
      <c r="G39" s="416">
        <f>G38+G37</f>
        <v/>
      </c>
      <c r="H39" s="416">
        <f>H38+H37</f>
        <v/>
      </c>
      <c r="I39" s="416">
        <f>I38+I37</f>
        <v/>
      </c>
      <c r="J39" s="416">
        <f>J38+J37</f>
        <v/>
      </c>
      <c r="K39" s="416">
        <f>K38+K37</f>
        <v/>
      </c>
      <c r="L39" s="416">
        <f>L38+L37</f>
        <v/>
      </c>
      <c r="M39" s="416">
        <f>M38+M37</f>
        <v/>
      </c>
      <c r="N39" s="416">
        <f>N38+N37</f>
        <v/>
      </c>
      <c r="O39" s="416">
        <f>O38+O37</f>
        <v/>
      </c>
      <c r="P39" s="416">
        <f>P38+P37</f>
        <v/>
      </c>
      <c r="Q39" s="416">
        <f>Q38+Q37</f>
        <v/>
      </c>
      <c r="R39" s="416">
        <f>R38+R37</f>
        <v/>
      </c>
      <c r="S39" s="416">
        <f>S38+S37</f>
        <v/>
      </c>
      <c r="T39" s="416">
        <f>T38+T37</f>
        <v/>
      </c>
      <c r="U39" s="416">
        <f>U38+U37</f>
        <v/>
      </c>
      <c r="V39" s="417">
        <f>V38+V37</f>
        <v/>
      </c>
    </row>
    <row r="44">
      <c r="B44" s="89" t="n"/>
    </row>
    <row r="45">
      <c r="B45" s="89" t="n"/>
    </row>
    <row r="46">
      <c r="B46" s="89" t="n"/>
    </row>
    <row r="47">
      <c r="B47" s="89" t="n"/>
    </row>
    <row r="48">
      <c r="B48" s="89" t="n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T150"/>
  <sheetViews>
    <sheetView topLeftCell="A2" zoomScale="85" zoomScaleNormal="85" workbookViewId="0">
      <pane xSplit="3" ySplit="1" topLeftCell="D3" activePane="bottomRight" state="frozen"/>
      <selection pane="topRight" activeCell="D2" sqref="D2"/>
      <selection pane="bottomLeft" activeCell="A3" sqref="A3"/>
      <selection pane="bottomRight" activeCell="H14" sqref="H14"/>
    </sheetView>
  </sheetViews>
  <sheetFormatPr baseColWidth="10" defaultColWidth="8.83203125" defaultRowHeight="15" outlineLevelRow="1"/>
  <cols>
    <col width="40.5" bestFit="1" customWidth="1" min="1" max="1"/>
    <col width="13.6640625" customWidth="1" min="2" max="2"/>
    <col width="17" customWidth="1" min="3" max="3"/>
    <col width="13.6640625" customWidth="1" min="4" max="4"/>
    <col width="10.83203125" customWidth="1" min="5" max="68"/>
    <col width="17.1640625" bestFit="1" customWidth="1" min="69" max="69"/>
    <col width="33.83203125" bestFit="1" customWidth="1" min="71" max="71"/>
    <col width="15.83203125" bestFit="1" customWidth="1" min="72" max="72"/>
  </cols>
  <sheetData>
    <row r="1" hidden="1">
      <c r="A1" s="10" t="n"/>
      <c r="B1" s="36" t="n"/>
      <c r="C1" s="36" t="n"/>
      <c r="D1" s="29" t="n">
        <v>2</v>
      </c>
      <c r="E1" s="29">
        <f>+D1+1</f>
        <v/>
      </c>
      <c r="F1" s="29">
        <f>+E1+1</f>
        <v/>
      </c>
      <c r="G1" s="29">
        <f>+F1+1</f>
        <v/>
      </c>
      <c r="H1" s="29">
        <f>+G1+1</f>
        <v/>
      </c>
      <c r="I1" s="29">
        <f>+H1+1</f>
        <v/>
      </c>
      <c r="J1" s="29">
        <f>+I1+1</f>
        <v/>
      </c>
      <c r="K1" s="29">
        <f>+J1+1</f>
        <v/>
      </c>
      <c r="L1" s="29">
        <f>+K1+1</f>
        <v/>
      </c>
      <c r="M1" s="29">
        <f>+L1+1</f>
        <v/>
      </c>
      <c r="N1" s="29">
        <f>+M1+1</f>
        <v/>
      </c>
      <c r="O1" s="29">
        <f>+N1+1</f>
        <v/>
      </c>
      <c r="P1" s="29">
        <f>+O1+1</f>
        <v/>
      </c>
      <c r="Q1" s="29">
        <f>+P1+1</f>
        <v/>
      </c>
      <c r="R1" s="29">
        <f>+Q1+1</f>
        <v/>
      </c>
      <c r="S1" s="29">
        <f>+R1+1</f>
        <v/>
      </c>
      <c r="T1" s="29">
        <f>+S1+1</f>
        <v/>
      </c>
      <c r="U1" s="29">
        <f>+T1+1</f>
        <v/>
      </c>
      <c r="V1" s="29">
        <f>+U1+1</f>
        <v/>
      </c>
      <c r="W1" s="29">
        <f>+V1+1</f>
        <v/>
      </c>
      <c r="X1" s="29">
        <f>+W1+1</f>
        <v/>
      </c>
      <c r="Y1" s="29">
        <f>+X1+1</f>
        <v/>
      </c>
      <c r="Z1" s="29">
        <f>+Y1+1</f>
        <v/>
      </c>
      <c r="AA1" s="29">
        <f>+Z1+1</f>
        <v/>
      </c>
      <c r="AB1" s="29">
        <f>+AA1+1</f>
        <v/>
      </c>
      <c r="AC1" s="29">
        <f>+AB1+1</f>
        <v/>
      </c>
      <c r="AD1" s="29">
        <f>+AC1+1</f>
        <v/>
      </c>
      <c r="AE1" s="29">
        <f>+AC1+1</f>
        <v/>
      </c>
      <c r="AF1" s="29">
        <f>+AD1+1</f>
        <v/>
      </c>
      <c r="AG1" s="29">
        <f>+AE1+1</f>
        <v/>
      </c>
      <c r="AH1" s="29">
        <f>+AF1+1</f>
        <v/>
      </c>
      <c r="AI1" s="29">
        <f>+AG1+1</f>
        <v/>
      </c>
      <c r="AJ1" s="29">
        <f>+AH1+1</f>
        <v/>
      </c>
      <c r="AK1" s="29">
        <f>+AI1+1</f>
        <v/>
      </c>
      <c r="AL1" s="29">
        <f>+AJ1+1</f>
        <v/>
      </c>
      <c r="AM1" s="29">
        <f>+AK1+1</f>
        <v/>
      </c>
      <c r="AN1" s="29">
        <f>+AL1+1</f>
        <v/>
      </c>
      <c r="AO1" s="29">
        <f>+AM1+1</f>
        <v/>
      </c>
      <c r="AP1" s="29">
        <f>+AN1+1</f>
        <v/>
      </c>
      <c r="AQ1" s="29">
        <f>+AO1+1</f>
        <v/>
      </c>
      <c r="AR1" s="29">
        <f>+AP1+1</f>
        <v/>
      </c>
      <c r="AS1" s="29">
        <f>+AQ1+1</f>
        <v/>
      </c>
      <c r="AT1" s="29">
        <f>+AR1+1</f>
        <v/>
      </c>
      <c r="AU1" s="29">
        <f>+AS1+1</f>
        <v/>
      </c>
      <c r="AV1" s="29">
        <f>+AT1+1</f>
        <v/>
      </c>
      <c r="AW1" s="29">
        <f>+AU1+1</f>
        <v/>
      </c>
      <c r="AX1" s="29">
        <f>+AV1+1</f>
        <v/>
      </c>
      <c r="AY1" s="29">
        <f>+AW1+1</f>
        <v/>
      </c>
      <c r="AZ1" s="29">
        <f>+AX1+1</f>
        <v/>
      </c>
      <c r="BA1" s="29">
        <f>+AY1+1</f>
        <v/>
      </c>
      <c r="BB1" s="29">
        <f>+AZ1+1</f>
        <v/>
      </c>
      <c r="BC1" s="29">
        <f>+BA1+1</f>
        <v/>
      </c>
      <c r="BD1" s="29">
        <f>+BB1+1</f>
        <v/>
      </c>
      <c r="BE1" s="29">
        <f>+BC1+1</f>
        <v/>
      </c>
      <c r="BF1" s="29">
        <f>+BD1+1</f>
        <v/>
      </c>
      <c r="BG1" s="29">
        <f>+BE1+1</f>
        <v/>
      </c>
      <c r="BH1" s="29">
        <f>+BF1+1</f>
        <v/>
      </c>
      <c r="BI1" s="29">
        <f>+BG1+1</f>
        <v/>
      </c>
      <c r="BJ1" s="29">
        <f>+BH1+1</f>
        <v/>
      </c>
      <c r="BK1" s="29">
        <f>+BI1+1</f>
        <v/>
      </c>
      <c r="BL1" s="29">
        <f>+BJ1+1</f>
        <v/>
      </c>
      <c r="BM1" s="29">
        <f>+BK1+1</f>
        <v/>
      </c>
      <c r="BN1" s="29">
        <f>+BL1+1</f>
        <v/>
      </c>
      <c r="BO1" s="29">
        <f>+BM1+1</f>
        <v/>
      </c>
      <c r="BP1" s="29" t="n"/>
      <c r="BQ1" s="3" t="n"/>
    </row>
    <row r="2" ht="16" customHeight="1">
      <c r="A2" s="52" t="inlineStr">
        <is>
          <t>Brave Blossom UG</t>
        </is>
      </c>
      <c r="B2" s="51" t="n"/>
      <c r="C2" s="52" t="n"/>
      <c r="D2" s="306">
        <f>Assumptions!J1</f>
        <v/>
      </c>
      <c r="E2" s="306">
        <f>D2+1</f>
        <v/>
      </c>
      <c r="F2" s="306">
        <f>E2+1</f>
        <v/>
      </c>
      <c r="G2" s="306">
        <f>F2+1</f>
        <v/>
      </c>
      <c r="H2" s="306">
        <f>G2+1</f>
        <v/>
      </c>
      <c r="I2" s="306">
        <f>H2+1</f>
        <v/>
      </c>
      <c r="J2" s="306">
        <f>I2+1</f>
        <v/>
      </c>
      <c r="K2" s="306">
        <f>J2+1</f>
        <v/>
      </c>
      <c r="L2" s="306">
        <f>K2+1</f>
        <v/>
      </c>
      <c r="M2" s="306">
        <f>L2+1</f>
        <v/>
      </c>
      <c r="N2" s="306">
        <f>M2+1</f>
        <v/>
      </c>
      <c r="O2" s="306">
        <f>N2+1</f>
        <v/>
      </c>
      <c r="P2" s="306">
        <f>O2+1</f>
        <v/>
      </c>
      <c r="Q2" s="306">
        <f>P2+1</f>
        <v/>
      </c>
      <c r="R2" s="306">
        <f>Q2+1</f>
        <v/>
      </c>
      <c r="S2" s="306">
        <f>R2+1</f>
        <v/>
      </c>
      <c r="T2" s="306">
        <f>S2+1</f>
        <v/>
      </c>
      <c r="U2" s="306">
        <f>T2+1</f>
        <v/>
      </c>
      <c r="V2" s="306">
        <f>U2+1</f>
        <v/>
      </c>
      <c r="W2" s="306">
        <f>V2+1</f>
        <v/>
      </c>
      <c r="X2" s="306">
        <f>W2+1</f>
        <v/>
      </c>
      <c r="Y2" s="306">
        <f>X2+1</f>
        <v/>
      </c>
      <c r="Z2" s="306">
        <f>Y2+1</f>
        <v/>
      </c>
      <c r="AA2" s="306">
        <f>Z2+1</f>
        <v/>
      </c>
      <c r="AB2" s="306">
        <f>AA2+1</f>
        <v/>
      </c>
      <c r="AC2" s="306">
        <f>AB2+1</f>
        <v/>
      </c>
      <c r="AD2" s="306">
        <f>AC2+1</f>
        <v/>
      </c>
      <c r="AE2" s="306">
        <f>AC2+1</f>
        <v/>
      </c>
      <c r="AF2" s="306">
        <f>AD2+1</f>
        <v/>
      </c>
      <c r="AG2" s="306">
        <f>AE2+1</f>
        <v/>
      </c>
      <c r="AH2" s="306">
        <f>AF2+1</f>
        <v/>
      </c>
      <c r="AI2" s="306">
        <f>AG2+1</f>
        <v/>
      </c>
      <c r="AJ2" s="306">
        <f>AH2+1</f>
        <v/>
      </c>
      <c r="AK2" s="306">
        <f>AI2+1</f>
        <v/>
      </c>
      <c r="AL2" s="306">
        <f>AJ2+1</f>
        <v/>
      </c>
      <c r="AM2" s="306">
        <f>AK2+1</f>
        <v/>
      </c>
      <c r="AN2" s="306">
        <f>AL2+1</f>
        <v/>
      </c>
      <c r="AO2" s="306">
        <f>AM2+1</f>
        <v/>
      </c>
      <c r="AP2" s="306">
        <f>AN2+1</f>
        <v/>
      </c>
      <c r="AQ2" s="306">
        <f>AO2+1</f>
        <v/>
      </c>
      <c r="AR2" s="306">
        <f>AP2+1</f>
        <v/>
      </c>
      <c r="AS2" s="306">
        <f>AQ2+1</f>
        <v/>
      </c>
      <c r="AT2" s="306">
        <f>AR2+1</f>
        <v/>
      </c>
      <c r="AU2" s="306">
        <f>AS2+1</f>
        <v/>
      </c>
      <c r="AV2" s="306">
        <f>AT2+1</f>
        <v/>
      </c>
      <c r="AW2" s="306">
        <f>AU2+1</f>
        <v/>
      </c>
      <c r="AX2" s="306">
        <f>AV2+1</f>
        <v/>
      </c>
      <c r="AY2" s="306">
        <f>AW2+1</f>
        <v/>
      </c>
      <c r="AZ2" s="306">
        <f>AX2+1</f>
        <v/>
      </c>
      <c r="BA2" s="306">
        <f>AY2+1</f>
        <v/>
      </c>
      <c r="BB2" s="306">
        <f>AZ2+1</f>
        <v/>
      </c>
      <c r="BC2" s="306">
        <f>BA2+1</f>
        <v/>
      </c>
      <c r="BD2" s="306">
        <f>BB2+1</f>
        <v/>
      </c>
      <c r="BE2" s="306">
        <f>BC2+1</f>
        <v/>
      </c>
      <c r="BF2" s="306">
        <f>BD2+1</f>
        <v/>
      </c>
      <c r="BG2" s="306">
        <f>BE2+1</f>
        <v/>
      </c>
      <c r="BH2" s="306">
        <f>BF2+1</f>
        <v/>
      </c>
      <c r="BI2" s="306">
        <f>BG2+1</f>
        <v/>
      </c>
      <c r="BJ2" s="306">
        <f>BH2+1</f>
        <v/>
      </c>
      <c r="BK2" s="306">
        <f>BI2+1</f>
        <v/>
      </c>
      <c r="BL2" s="306">
        <f>BJ2+1</f>
        <v/>
      </c>
      <c r="BM2" s="306">
        <f>BK2+1</f>
        <v/>
      </c>
      <c r="BN2" s="306">
        <f>BL2+1</f>
        <v/>
      </c>
      <c r="BO2" s="306">
        <f>BM2+1</f>
        <v/>
      </c>
      <c r="BP2" s="306" t="n"/>
      <c r="BQ2" s="54" t="inlineStr">
        <is>
          <t>Total</t>
        </is>
      </c>
      <c r="BS2" s="15" t="inlineStr">
        <is>
          <t>Valuation Summary</t>
        </is>
      </c>
      <c r="BT2" s="16" t="n"/>
    </row>
    <row r="3">
      <c r="A3" s="2" t="inlineStr">
        <is>
          <t>Physicals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36" t="n"/>
      <c r="BC3" s="36" t="n"/>
      <c r="BD3" s="36" t="n"/>
      <c r="BE3" s="36" t="n"/>
      <c r="BF3" s="36" t="n"/>
      <c r="BG3" s="36" t="n"/>
      <c r="BH3" s="36" t="n"/>
      <c r="BI3" s="36" t="n"/>
      <c r="BJ3" s="36" t="n"/>
      <c r="BK3" s="36" t="n"/>
      <c r="BL3" s="36" t="n"/>
      <c r="BM3" s="36" t="n"/>
      <c r="BN3" s="36" t="n"/>
      <c r="BO3" s="36" t="n"/>
      <c r="BP3" s="36" t="n"/>
      <c r="BQ3" s="3" t="n"/>
      <c r="BS3" s="4" t="inlineStr">
        <is>
          <t>Net Present Value (AUDM)</t>
        </is>
      </c>
      <c r="BT3" s="370">
        <f>BQ124/1000</f>
        <v/>
      </c>
    </row>
    <row r="4" hidden="1">
      <c r="A4" s="28" t="n"/>
      <c r="D4" s="371" t="n"/>
      <c r="E4" s="371" t="n"/>
      <c r="F4" s="371" t="n"/>
      <c r="G4" s="371" t="n"/>
      <c r="H4" s="371" t="n"/>
      <c r="I4" s="371" t="n"/>
      <c r="J4" s="371" t="n"/>
      <c r="K4" s="371" t="n"/>
      <c r="L4" s="371" t="n"/>
      <c r="M4" s="371" t="n"/>
      <c r="N4" s="371" t="n"/>
      <c r="O4" s="371" t="n"/>
      <c r="P4" s="371" t="n"/>
      <c r="Q4" s="371" t="n"/>
      <c r="R4" s="371" t="n"/>
      <c r="S4" s="371" t="n"/>
      <c r="T4" s="371" t="n"/>
      <c r="U4" s="371" t="n"/>
      <c r="V4" s="372">
        <f>V6*5.5*3.55*1.45</f>
        <v/>
      </c>
      <c r="W4" s="372">
        <f>W6*5.5*3.55*1.45</f>
        <v/>
      </c>
      <c r="X4" s="371" t="n"/>
      <c r="Y4" s="371" t="n"/>
      <c r="Z4" s="372">
        <f>Z6*5.5*3.55*1.45</f>
        <v/>
      </c>
      <c r="AA4" s="372">
        <f>AA6*5.5*3.55*1.45</f>
        <v/>
      </c>
      <c r="AB4" s="371" t="n"/>
      <c r="AC4" s="372">
        <f>AC6*5.5*3.55*1.45</f>
        <v/>
      </c>
      <c r="AD4" s="372">
        <f>AD6*5.5*3.55*1.45</f>
        <v/>
      </c>
      <c r="AE4" s="372">
        <f>AE6*5.5*3.55*1.45</f>
        <v/>
      </c>
      <c r="AF4" s="372">
        <f>AF6*5.5*3.55*1.45</f>
        <v/>
      </c>
      <c r="AG4" s="372">
        <f>AG6*5.5*3.55*1.45</f>
        <v/>
      </c>
      <c r="AH4" s="372">
        <f>AH6*5.5*3.55*1.45</f>
        <v/>
      </c>
      <c r="AI4" s="372">
        <f>AI6*5.5*3.55*1.45</f>
        <v/>
      </c>
      <c r="AJ4" s="372">
        <f>AJ6*5.5*3.55*1.45</f>
        <v/>
      </c>
      <c r="AK4" s="372">
        <f>AK6*5.5*3.55*1.45</f>
        <v/>
      </c>
      <c r="AL4" s="372">
        <f>AL6*5.5*3.55*1.45</f>
        <v/>
      </c>
      <c r="AM4" s="372">
        <f>AM6*5.5*3.55*1.45</f>
        <v/>
      </c>
      <c r="AN4" s="372">
        <f>AN6*5.5*3.55*1.45</f>
        <v/>
      </c>
      <c r="AO4" s="372">
        <f>AO6*5.5*3.55*1.45</f>
        <v/>
      </c>
      <c r="AP4" s="372">
        <f>AP6*5.5*3.55*1.45</f>
        <v/>
      </c>
      <c r="AQ4" s="372">
        <f>AQ6*5.5*3.55*1.45</f>
        <v/>
      </c>
      <c r="AR4" s="372">
        <f>AR6*5.5*3.55*1.45</f>
        <v/>
      </c>
      <c r="AS4" s="372">
        <f>AS6*5.5*3.55*1.45</f>
        <v/>
      </c>
      <c r="AT4" s="372">
        <f>AT6*5.5*3.55*1.45</f>
        <v/>
      </c>
      <c r="AU4" s="372">
        <f>AU6*5.5*3.55*1.45</f>
        <v/>
      </c>
      <c r="AV4" s="372">
        <f>AV6*5.5*3.55*1.45</f>
        <v/>
      </c>
      <c r="AW4" s="372">
        <f>AW6*5.5*3.55*1.45</f>
        <v/>
      </c>
      <c r="AX4" s="372">
        <f>AX6*5.5*3.55*1.45</f>
        <v/>
      </c>
      <c r="AY4" s="372">
        <f>AY6*5.5*3.55*1.45</f>
        <v/>
      </c>
      <c r="AZ4" s="372">
        <f>AZ6*5.5*3.55*1.45</f>
        <v/>
      </c>
      <c r="BA4" s="372">
        <f>BA6*5.5*3.55*1.45</f>
        <v/>
      </c>
      <c r="BB4" s="372">
        <f>BB6*5.5*3.55*1.45</f>
        <v/>
      </c>
      <c r="BC4" s="372">
        <f>BC6*5.5*3.55*1.45</f>
        <v/>
      </c>
      <c r="BD4" s="372">
        <f>BD6*5.5*3.55*1.45</f>
        <v/>
      </c>
      <c r="BE4" s="372">
        <f>BE6*5.5*3.55*1.45</f>
        <v/>
      </c>
      <c r="BF4" s="372">
        <f>BF6*5.5*3.55*1.45</f>
        <v/>
      </c>
      <c r="BG4" s="372">
        <f>BG6*5.5*3.55*1.45</f>
        <v/>
      </c>
      <c r="BH4" s="372">
        <f>BH6*5.5*3.55*1.45</f>
        <v/>
      </c>
      <c r="BI4" s="372">
        <f>BI6*5.5*3.55*1.45</f>
        <v/>
      </c>
      <c r="BJ4" s="372">
        <f>BJ6*5.5*3.55*1.45</f>
        <v/>
      </c>
      <c r="BK4" s="372">
        <f>BK6*5.5*3.55*1.45</f>
        <v/>
      </c>
      <c r="BL4" s="372">
        <f>BL6*5.5*3.55*1.45</f>
        <v/>
      </c>
      <c r="BM4" s="372">
        <f>BM6*5.5*3.55*1.45</f>
        <v/>
      </c>
      <c r="BN4" s="372">
        <f>BN6*5.5*3.55*1.45</f>
        <v/>
      </c>
      <c r="BO4" s="372">
        <f>BO6*5.5*3.55*1.45</f>
        <v/>
      </c>
      <c r="BP4" s="372" t="n"/>
      <c r="BQ4" s="25" t="n"/>
      <c r="BS4" s="8" t="n"/>
      <c r="BT4" s="73" t="n"/>
    </row>
    <row r="5">
      <c r="A5" s="28" t="inlineStr">
        <is>
          <t>Mining</t>
        </is>
      </c>
      <c r="B5" s="84" t="n"/>
      <c r="D5" s="373" t="n"/>
      <c r="E5" s="374" t="n"/>
      <c r="F5" s="374" t="n"/>
      <c r="G5" s="374" t="n"/>
      <c r="H5" s="374" t="n"/>
      <c r="I5" s="37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3" t="n"/>
      <c r="W5" s="83" t="n"/>
      <c r="X5" s="84" t="n"/>
      <c r="Y5" s="84" t="n"/>
      <c r="Z5" s="83" t="n"/>
      <c r="AA5" s="83" t="n"/>
      <c r="AB5" s="84" t="n"/>
      <c r="AC5" s="83" t="n"/>
      <c r="AD5" s="83" t="n"/>
      <c r="AE5" s="83" t="n"/>
      <c r="AF5" s="83" t="n"/>
      <c r="AG5" s="83" t="n"/>
      <c r="AH5" s="83" t="n"/>
      <c r="AI5" s="83" t="n"/>
      <c r="AJ5" s="83" t="n"/>
      <c r="AK5" s="83" t="n"/>
      <c r="AL5" s="83" t="n"/>
      <c r="AM5" s="83" t="n"/>
      <c r="AN5" s="83" t="n"/>
      <c r="AO5" s="83" t="n"/>
      <c r="AP5" s="83" t="n"/>
      <c r="AQ5" s="83" t="n"/>
      <c r="AR5" s="83" t="n"/>
      <c r="AS5" s="83" t="n"/>
      <c r="AT5" s="83" t="n"/>
      <c r="AU5" s="83" t="n"/>
      <c r="AV5" s="83" t="n"/>
      <c r="AW5" s="83" t="n"/>
      <c r="AX5" s="83" t="n"/>
      <c r="AY5" s="83" t="n"/>
      <c r="AZ5" s="83" t="n"/>
      <c r="BA5" s="83" t="n"/>
      <c r="BB5" s="83" t="n"/>
      <c r="BC5" s="83" t="n"/>
      <c r="BD5" s="83" t="n"/>
      <c r="BE5" s="83" t="n"/>
      <c r="BF5" s="83" t="n"/>
      <c r="BG5" s="83" t="n"/>
      <c r="BH5" s="83" t="n"/>
      <c r="BI5" s="83" t="n"/>
      <c r="BJ5" s="83" t="n"/>
      <c r="BK5" s="83" t="n"/>
      <c r="BL5" s="83" t="n"/>
      <c r="BM5" s="83" t="n"/>
      <c r="BN5" s="83" t="n"/>
      <c r="BO5" s="83" t="n"/>
      <c r="BP5" s="83" t="n"/>
      <c r="BQ5" s="25" t="n"/>
    </row>
    <row r="6">
      <c r="A6" s="4" t="inlineStr">
        <is>
          <t>Development Metres</t>
        </is>
      </c>
      <c r="B6" s="17" t="inlineStr">
        <is>
          <t>m</t>
        </is>
      </c>
      <c r="C6" s="323" t="n"/>
      <c r="D6" s="323" t="n">
        <v>0</v>
      </c>
      <c r="E6" s="323" t="n">
        <v>0</v>
      </c>
      <c r="F6" s="323" t="n">
        <v>0</v>
      </c>
      <c r="G6" s="323" t="n">
        <v>0</v>
      </c>
      <c r="H6" s="323" t="n">
        <v>7500</v>
      </c>
      <c r="I6" s="323" t="n">
        <v>15000</v>
      </c>
      <c r="J6" s="323" t="n">
        <v>15000</v>
      </c>
      <c r="K6" s="323" t="n">
        <v>15000</v>
      </c>
      <c r="L6" s="323" t="n">
        <v>15000</v>
      </c>
      <c r="M6" s="323" t="n">
        <v>15000</v>
      </c>
      <c r="N6" s="323" t="n">
        <v>15000</v>
      </c>
      <c r="O6" s="323" t="n">
        <v>15000</v>
      </c>
      <c r="P6" s="323" t="n">
        <v>15000</v>
      </c>
      <c r="Q6" s="323" t="n">
        <v>15000</v>
      </c>
      <c r="R6" s="323" t="n">
        <v>15000</v>
      </c>
      <c r="S6" s="323" t="n">
        <v>15000</v>
      </c>
      <c r="T6" s="323" t="n">
        <v>15000</v>
      </c>
      <c r="U6" s="323" t="n">
        <v>15000</v>
      </c>
      <c r="V6" s="323" t="n">
        <v>15000</v>
      </c>
      <c r="W6" s="323" t="n">
        <v>15000</v>
      </c>
      <c r="X6" s="323" t="n">
        <v>15000</v>
      </c>
      <c r="Y6" s="323" t="n">
        <v>7500</v>
      </c>
      <c r="Z6" s="323" t="n"/>
      <c r="AA6" s="323" t="n"/>
      <c r="AB6" s="323" t="n">
        <v>0</v>
      </c>
      <c r="AC6" s="323" t="n">
        <v>0</v>
      </c>
      <c r="AD6" s="323" t="n">
        <v>0</v>
      </c>
      <c r="AE6" s="323" t="n">
        <v>0</v>
      </c>
      <c r="AF6" s="323" t="n">
        <v>0</v>
      </c>
      <c r="AG6" s="323" t="n">
        <v>0</v>
      </c>
      <c r="AH6" s="323" t="n">
        <v>0</v>
      </c>
      <c r="AI6" s="323" t="n">
        <v>0</v>
      </c>
      <c r="AJ6" s="323" t="n">
        <v>0</v>
      </c>
      <c r="AK6" s="323" t="n">
        <v>0</v>
      </c>
      <c r="AL6" s="323" t="n">
        <v>0</v>
      </c>
      <c r="AM6" s="323" t="n">
        <v>0</v>
      </c>
      <c r="AN6" s="323" t="n">
        <v>0</v>
      </c>
      <c r="AO6" s="323" t="n">
        <v>0</v>
      </c>
      <c r="AP6" s="323" t="n">
        <v>0</v>
      </c>
      <c r="AQ6" s="323" t="n">
        <v>0</v>
      </c>
      <c r="AR6" s="323" t="n">
        <v>0</v>
      </c>
      <c r="AS6" s="323" t="n">
        <v>0</v>
      </c>
      <c r="AT6" s="323" t="n">
        <v>0</v>
      </c>
      <c r="AU6" s="323" t="n">
        <v>0</v>
      </c>
      <c r="AV6" s="323" t="n">
        <v>0</v>
      </c>
      <c r="AW6" s="323" t="n">
        <v>0</v>
      </c>
      <c r="AX6" s="323" t="n">
        <v>0</v>
      </c>
      <c r="AY6" s="323" t="n">
        <v>0</v>
      </c>
      <c r="AZ6" s="323" t="n">
        <v>0</v>
      </c>
      <c r="BA6" s="323" t="n">
        <v>0</v>
      </c>
      <c r="BB6" s="323" t="n">
        <v>0</v>
      </c>
      <c r="BC6" s="323" t="n">
        <v>0</v>
      </c>
      <c r="BD6" s="323" t="n">
        <v>0</v>
      </c>
      <c r="BE6" s="323" t="n">
        <v>0</v>
      </c>
      <c r="BF6" s="323" t="n">
        <v>0</v>
      </c>
      <c r="BG6" s="323" t="n">
        <v>0</v>
      </c>
      <c r="BH6" s="323" t="n">
        <v>0</v>
      </c>
      <c r="BI6" s="323" t="n">
        <v>0</v>
      </c>
      <c r="BJ6" s="323" t="n">
        <v>0</v>
      </c>
      <c r="BK6" s="323" t="n">
        <v>0</v>
      </c>
      <c r="BL6" s="323" t="n">
        <v>0</v>
      </c>
      <c r="BM6" s="323" t="n">
        <v>0</v>
      </c>
      <c r="BN6" s="323" t="n">
        <v>0</v>
      </c>
      <c r="BO6" s="323" t="n">
        <v>0</v>
      </c>
      <c r="BP6" s="323" t="n"/>
      <c r="BQ6" s="370">
        <f>SUM(D6:BO6)</f>
        <v/>
      </c>
      <c r="BS6" s="15" t="inlineStr">
        <is>
          <t>Sensitivities Table</t>
        </is>
      </c>
      <c r="BT6" s="16" t="n"/>
    </row>
    <row r="7">
      <c r="A7" s="4" t="inlineStr">
        <is>
          <t>Development Tonnes</t>
        </is>
      </c>
      <c r="B7" s="17" t="inlineStr">
        <is>
          <t>kt</t>
        </is>
      </c>
      <c r="C7" s="375" t="n"/>
      <c r="D7" s="323">
        <f>(3*5.2*1.45*D6)/1000</f>
        <v/>
      </c>
      <c r="E7" s="323">
        <f>(3*5.2*1.45*E6)/1000</f>
        <v/>
      </c>
      <c r="F7" s="323">
        <f>(3*5.2*1.45*F6)/1000</f>
        <v/>
      </c>
      <c r="G7" s="323">
        <f>(3*5.2*1.45*G6)/1000</f>
        <v/>
      </c>
      <c r="H7" s="323">
        <f>(3*5.2*1.45*H6)/1000</f>
        <v/>
      </c>
      <c r="I7" s="323">
        <f>(3*5.2*1.45*I6)/1000</f>
        <v/>
      </c>
      <c r="J7" s="323">
        <f>(3*5.2*1.45*J6)/1000</f>
        <v/>
      </c>
      <c r="K7" s="323">
        <f>(3*5.2*1.45*K6)/1000</f>
        <v/>
      </c>
      <c r="L7" s="323">
        <f>(3*5.2*1.45*L6)/1000</f>
        <v/>
      </c>
      <c r="M7" s="323">
        <f>(3*5.2*1.45*M6)/1000</f>
        <v/>
      </c>
      <c r="N7" s="323">
        <f>(3*5.2*1.45*N6)/1000</f>
        <v/>
      </c>
      <c r="O7" s="323">
        <f>(3*5.2*1.45*O6)/1000</f>
        <v/>
      </c>
      <c r="P7" s="323">
        <f>(3*5.2*1.45*P6)/1000</f>
        <v/>
      </c>
      <c r="Q7" s="323">
        <f>(3*5.2*1.45*Q6)/1000</f>
        <v/>
      </c>
      <c r="R7" s="323">
        <f>(3*5.2*1.45*R6)/1000</f>
        <v/>
      </c>
      <c r="S7" s="323">
        <f>(3*5.2*1.45*S6)/1000</f>
        <v/>
      </c>
      <c r="T7" s="323">
        <f>(3*5.2*1.45*T6)/1000</f>
        <v/>
      </c>
      <c r="U7" s="323">
        <f>(3*5.2*1.45*U6)/1000</f>
        <v/>
      </c>
      <c r="V7" s="323">
        <f>(3*5.2*1.45*V6)/1000</f>
        <v/>
      </c>
      <c r="W7" s="323">
        <f>(3*5.2*1.45*W6)/1000</f>
        <v/>
      </c>
      <c r="X7" s="323">
        <f>(3*5.2*1.45*X6)/1000</f>
        <v/>
      </c>
      <c r="Y7" s="323">
        <f>(3*5.2*1.45*Y6)/1000</f>
        <v/>
      </c>
      <c r="Z7" s="323">
        <f>(3*5.2*1.45*Z6)/1000</f>
        <v/>
      </c>
      <c r="AA7" s="323">
        <f>(3*5.2*1.45*AA6)/1000</f>
        <v/>
      </c>
      <c r="AB7" s="323">
        <f>(3*5.2*1.45*AB6)/1000</f>
        <v/>
      </c>
      <c r="AC7" s="323">
        <f>(3*5.2*1.45*AC6)/1000</f>
        <v/>
      </c>
      <c r="AD7" s="323">
        <f>(3*5.2*1.45*AD6)/1000</f>
        <v/>
      </c>
      <c r="AE7" s="323">
        <f>(3*5.2*1.45*AE6)/1000</f>
        <v/>
      </c>
      <c r="AF7" s="323">
        <f>(3*5.2*1.45*AF6)/1000</f>
        <v/>
      </c>
      <c r="AG7" s="323">
        <f>(3*5.2*1.45*AG6)/1000</f>
        <v/>
      </c>
      <c r="AH7" s="323">
        <f>(3*5.2*1.45*AH6)/1000</f>
        <v/>
      </c>
      <c r="AI7" s="323">
        <f>(3*5.2*1.45*AI6)/1000</f>
        <v/>
      </c>
      <c r="AJ7" s="323">
        <f>(3*5.2*1.45*AJ6)/1000</f>
        <v/>
      </c>
      <c r="AK7" s="323">
        <f>(3*5.2*1.45*AK6)/1000</f>
        <v/>
      </c>
      <c r="AL7" s="323">
        <f>(3*5.2*1.45*AL6)/1000</f>
        <v/>
      </c>
      <c r="AM7" s="323">
        <f>(3*5.2*1.45*AM6)/1000</f>
        <v/>
      </c>
      <c r="AN7" s="323">
        <f>(3*5.2*1.45*AN6)/1000</f>
        <v/>
      </c>
      <c r="AO7" s="323">
        <f>(3*5.2*1.45*AO6)/1000</f>
        <v/>
      </c>
      <c r="AP7" s="323">
        <f>(3*5.2*1.45*AP6)/1000</f>
        <v/>
      </c>
      <c r="AQ7" s="323">
        <f>(3*5.2*1.45*AQ6)/1000</f>
        <v/>
      </c>
      <c r="AR7" s="323">
        <f>(3*5.2*1.45*AR6)/1000</f>
        <v/>
      </c>
      <c r="AS7" s="323">
        <f>(3*5.2*1.45*AS6)/1000</f>
        <v/>
      </c>
      <c r="AT7" s="323">
        <f>(3*5.2*1.45*AT6)/1000</f>
        <v/>
      </c>
      <c r="AU7" s="323">
        <f>(3*5.2*1.45*AU6)/1000</f>
        <v/>
      </c>
      <c r="AV7" s="323">
        <f>(3*5.2*1.45*AV6)/1000</f>
        <v/>
      </c>
      <c r="AW7" s="323">
        <f>(3*5.2*1.45*AW6)/1000</f>
        <v/>
      </c>
      <c r="AX7" s="323">
        <f>(3*5.2*1.45*AX6)/1000</f>
        <v/>
      </c>
      <c r="AY7" s="323">
        <f>(3*5.2*1.45*AY6)/1000</f>
        <v/>
      </c>
      <c r="AZ7" s="323">
        <f>(3*5.2*1.45*AZ6)/1000</f>
        <v/>
      </c>
      <c r="BA7" s="323">
        <f>(3*5.2*1.45*BA6)/1000</f>
        <v/>
      </c>
      <c r="BB7" s="323">
        <f>(3*5.2*1.45*BB6)/1000</f>
        <v/>
      </c>
      <c r="BC7" s="323">
        <f>(3*5.2*1.45*BC6)/1000</f>
        <v/>
      </c>
      <c r="BD7" s="323">
        <f>(3*5.2*1.45*BD6)/1000</f>
        <v/>
      </c>
      <c r="BE7" s="323">
        <f>(3*5.2*1.45*BE6)/1000</f>
        <v/>
      </c>
      <c r="BF7" s="323">
        <f>(3*5.2*1.45*BF6)/1000</f>
        <v/>
      </c>
      <c r="BG7" s="323">
        <f>(3*5.2*1.45*BG6)/1000</f>
        <v/>
      </c>
      <c r="BH7" s="323">
        <f>(3*5.2*1.45*BH6)/1000</f>
        <v/>
      </c>
      <c r="BI7" s="323">
        <f>(3*5.2*1.45*BI6)/1000</f>
        <v/>
      </c>
      <c r="BJ7" s="323">
        <f>(3*5.2*1.45*BJ6)/1000</f>
        <v/>
      </c>
      <c r="BK7" s="323">
        <f>(3*5.2*1.45*BK6)/1000</f>
        <v/>
      </c>
      <c r="BL7" s="323">
        <f>(3*5.2*1.45*BL6)/1000</f>
        <v/>
      </c>
      <c r="BM7" s="323">
        <f>(3*5.2*1.45*BM6)/1000</f>
        <v/>
      </c>
      <c r="BN7" s="323">
        <f>(3*5.2*1.45*BN6)/1000</f>
        <v/>
      </c>
      <c r="BO7" s="323">
        <f>(3*5.2*1.45*BO6)/1000</f>
        <v/>
      </c>
      <c r="BP7" s="323" t="n"/>
      <c r="BQ7" s="370">
        <f>SUM(D7:BO7)</f>
        <v/>
      </c>
      <c r="BS7" s="4" t="inlineStr">
        <is>
          <t>Sales Price</t>
        </is>
      </c>
      <c r="BT7" s="39" t="n">
        <v>0</v>
      </c>
    </row>
    <row r="8">
      <c r="A8" s="4" t="inlineStr">
        <is>
          <t>Longwall Tonnes</t>
        </is>
      </c>
      <c r="B8" s="17" t="inlineStr">
        <is>
          <t>kt</t>
        </is>
      </c>
      <c r="C8" s="323" t="n"/>
      <c r="D8" s="323" t="n"/>
      <c r="E8" s="323" t="n"/>
      <c r="F8" s="323" t="n"/>
      <c r="G8" s="323" t="n"/>
      <c r="H8" s="323" t="n"/>
      <c r="I8" s="323" t="n"/>
      <c r="J8" s="323" t="n">
        <v>7600</v>
      </c>
      <c r="K8" s="323" t="n">
        <v>7600</v>
      </c>
      <c r="L8" s="323" t="n">
        <v>7600</v>
      </c>
      <c r="M8" s="323" t="n">
        <v>7600</v>
      </c>
      <c r="N8" s="323" t="n">
        <v>7600</v>
      </c>
      <c r="O8" s="323" t="n">
        <v>7600</v>
      </c>
      <c r="P8" s="323" t="n">
        <v>7600</v>
      </c>
      <c r="Q8" s="323" t="n">
        <v>7600</v>
      </c>
      <c r="R8" s="323" t="n">
        <v>7600</v>
      </c>
      <c r="S8" s="323" t="n">
        <v>7600</v>
      </c>
      <c r="T8" s="323" t="n">
        <v>7600</v>
      </c>
      <c r="U8" s="323" t="n">
        <v>7600</v>
      </c>
      <c r="V8" s="323" t="n">
        <v>7600</v>
      </c>
      <c r="W8" s="323" t="n">
        <v>7600</v>
      </c>
      <c r="X8" s="323" t="n">
        <v>7600</v>
      </c>
      <c r="Y8" s="323" t="n">
        <v>7600</v>
      </c>
      <c r="Z8" s="323" t="n">
        <v>7600</v>
      </c>
      <c r="AA8" s="323" t="n">
        <v>7600</v>
      </c>
      <c r="AB8" s="323" t="n">
        <v>0</v>
      </c>
      <c r="AC8" s="323" t="n">
        <v>0</v>
      </c>
      <c r="AD8" s="323" t="n">
        <v>0</v>
      </c>
      <c r="AE8" s="323" t="n">
        <v>0</v>
      </c>
      <c r="AF8" s="323" t="n">
        <v>0</v>
      </c>
      <c r="AG8" s="323" t="n">
        <v>0</v>
      </c>
      <c r="AH8" s="323" t="n">
        <v>0</v>
      </c>
      <c r="AI8" s="323" t="n">
        <v>0</v>
      </c>
      <c r="AJ8" s="323" t="n">
        <v>0</v>
      </c>
      <c r="AK8" s="323" t="n">
        <v>0</v>
      </c>
      <c r="AL8" s="323" t="n">
        <v>0</v>
      </c>
      <c r="AM8" s="323" t="n">
        <v>0</v>
      </c>
      <c r="AN8" s="323" t="n">
        <v>0</v>
      </c>
      <c r="AO8" s="323" t="n">
        <v>0</v>
      </c>
      <c r="AP8" s="323" t="n">
        <v>0</v>
      </c>
      <c r="AQ8" s="323" t="n">
        <v>0</v>
      </c>
      <c r="AR8" s="323" t="n">
        <v>0</v>
      </c>
      <c r="AS8" s="323" t="n">
        <v>0</v>
      </c>
      <c r="AT8" s="323" t="n">
        <v>0</v>
      </c>
      <c r="AU8" s="323" t="n">
        <v>0</v>
      </c>
      <c r="AV8" s="323" t="n">
        <v>0</v>
      </c>
      <c r="AW8" s="323" t="n">
        <v>0</v>
      </c>
      <c r="AX8" s="323" t="n">
        <v>0</v>
      </c>
      <c r="AY8" s="323" t="n">
        <v>0</v>
      </c>
      <c r="AZ8" s="323" t="n">
        <v>0</v>
      </c>
      <c r="BA8" s="323" t="n">
        <v>0</v>
      </c>
      <c r="BB8" s="323" t="n">
        <v>0</v>
      </c>
      <c r="BC8" s="323" t="n">
        <v>0</v>
      </c>
      <c r="BD8" s="323" t="n">
        <v>0</v>
      </c>
      <c r="BE8" s="323" t="n">
        <v>0</v>
      </c>
      <c r="BF8" s="323" t="n">
        <v>0</v>
      </c>
      <c r="BG8" s="323" t="n">
        <v>0</v>
      </c>
      <c r="BH8" s="323" t="n">
        <v>0</v>
      </c>
      <c r="BI8" s="323" t="n">
        <v>0</v>
      </c>
      <c r="BJ8" s="323" t="n">
        <v>0</v>
      </c>
      <c r="BK8" s="323" t="n">
        <v>0</v>
      </c>
      <c r="BL8" s="323" t="n">
        <v>0</v>
      </c>
      <c r="BM8" s="323" t="n">
        <v>0</v>
      </c>
      <c r="BN8" s="323" t="n">
        <v>0</v>
      </c>
      <c r="BO8" s="323" t="n">
        <v>0</v>
      </c>
      <c r="BP8" s="323" t="n"/>
      <c r="BQ8" s="370">
        <f>SUM(D8:BO8)</f>
        <v/>
      </c>
      <c r="BS8" s="4" t="inlineStr">
        <is>
          <t>Development Costs</t>
        </is>
      </c>
      <c r="BT8" s="39" t="n">
        <v>0</v>
      </c>
    </row>
    <row r="9">
      <c r="A9" s="4" t="inlineStr">
        <is>
          <t>Total ROM production</t>
        </is>
      </c>
      <c r="B9" s="17" t="inlineStr">
        <is>
          <t>kt</t>
        </is>
      </c>
      <c r="C9" s="323" t="n"/>
      <c r="D9" s="323">
        <f>D7+D8</f>
        <v/>
      </c>
      <c r="E9" s="323">
        <f>E7+E8</f>
        <v/>
      </c>
      <c r="F9" s="323">
        <f>F7+F8</f>
        <v/>
      </c>
      <c r="G9" s="323">
        <f>G7+G8</f>
        <v/>
      </c>
      <c r="H9" s="323">
        <f>H7+H8</f>
        <v/>
      </c>
      <c r="I9" s="323">
        <f>I7+I8</f>
        <v/>
      </c>
      <c r="J9" s="323">
        <f>J7+J8</f>
        <v/>
      </c>
      <c r="K9" s="323">
        <f>K7+K8</f>
        <v/>
      </c>
      <c r="L9" s="323">
        <f>L7+L8</f>
        <v/>
      </c>
      <c r="M9" s="323">
        <f>M7+M8</f>
        <v/>
      </c>
      <c r="N9" s="323">
        <f>N7+N8</f>
        <v/>
      </c>
      <c r="O9" s="323">
        <f>O7+O8</f>
        <v/>
      </c>
      <c r="P9" s="323">
        <f>P7+P8</f>
        <v/>
      </c>
      <c r="Q9" s="323">
        <f>Q7+Q8</f>
        <v/>
      </c>
      <c r="R9" s="323">
        <f>R7+R8</f>
        <v/>
      </c>
      <c r="S9" s="323">
        <f>S7+S8</f>
        <v/>
      </c>
      <c r="T9" s="323">
        <f>T7+T8</f>
        <v/>
      </c>
      <c r="U9" s="323">
        <f>U7+U8</f>
        <v/>
      </c>
      <c r="V9" s="323">
        <f>V7+V8</f>
        <v/>
      </c>
      <c r="W9" s="323">
        <f>W7+W8</f>
        <v/>
      </c>
      <c r="X9" s="323">
        <f>X7+X8</f>
        <v/>
      </c>
      <c r="Y9" s="323">
        <f>Y7+Y8</f>
        <v/>
      </c>
      <c r="Z9" s="323">
        <f>Z7+Z8</f>
        <v/>
      </c>
      <c r="AA9" s="323">
        <f>AA7+AA8</f>
        <v/>
      </c>
      <c r="AB9" s="323">
        <f>AB7+AB8</f>
        <v/>
      </c>
      <c r="AC9" s="323">
        <f>AC7+AC8</f>
        <v/>
      </c>
      <c r="AD9" s="323">
        <f>AD7+AD8</f>
        <v/>
      </c>
      <c r="AE9" s="323">
        <f>AE7+AE8</f>
        <v/>
      </c>
      <c r="AF9" s="323">
        <f>AF7+AF8</f>
        <v/>
      </c>
      <c r="AG9" s="323">
        <f>AG7+AG8</f>
        <v/>
      </c>
      <c r="AH9" s="323">
        <f>AH7+AH8</f>
        <v/>
      </c>
      <c r="AI9" s="323">
        <f>AI7+AI8</f>
        <v/>
      </c>
      <c r="AJ9" s="323">
        <f>AJ7+AJ8</f>
        <v/>
      </c>
      <c r="AK9" s="323">
        <f>AK7+AK8</f>
        <v/>
      </c>
      <c r="AL9" s="323">
        <f>AL7+AL8</f>
        <v/>
      </c>
      <c r="AM9" s="323">
        <f>AM7+AM8</f>
        <v/>
      </c>
      <c r="AN9" s="323">
        <f>AN7+AN8</f>
        <v/>
      </c>
      <c r="AO9" s="323">
        <f>AO7+AO8</f>
        <v/>
      </c>
      <c r="AP9" s="323">
        <f>AP7+AP8</f>
        <v/>
      </c>
      <c r="AQ9" s="323">
        <f>AQ7+AQ8</f>
        <v/>
      </c>
      <c r="AR9" s="323">
        <f>AR7+AR8</f>
        <v/>
      </c>
      <c r="AS9" s="323">
        <f>AS7+AS8</f>
        <v/>
      </c>
      <c r="AT9" s="323">
        <f>AT7+AT8</f>
        <v/>
      </c>
      <c r="AU9" s="323">
        <f>AU7+AU8</f>
        <v/>
      </c>
      <c r="AV9" s="323">
        <f>AV7+AV8</f>
        <v/>
      </c>
      <c r="AW9" s="323">
        <f>AW7+AW8</f>
        <v/>
      </c>
      <c r="AX9" s="323">
        <f>AX7+AX8</f>
        <v/>
      </c>
      <c r="AY9" s="323">
        <f>AY7+AY8</f>
        <v/>
      </c>
      <c r="AZ9" s="323">
        <f>AZ7+AZ8</f>
        <v/>
      </c>
      <c r="BA9" s="323">
        <f>BA7+BA8</f>
        <v/>
      </c>
      <c r="BB9" s="323">
        <f>BB7+BB8</f>
        <v/>
      </c>
      <c r="BC9" s="323">
        <f>BC7+BC8</f>
        <v/>
      </c>
      <c r="BD9" s="323">
        <f>BD7+BD8</f>
        <v/>
      </c>
      <c r="BE9" s="323">
        <f>BE7+BE8</f>
        <v/>
      </c>
      <c r="BF9" s="323">
        <f>BF7+BF8</f>
        <v/>
      </c>
      <c r="BG9" s="323">
        <f>BG7+BG8</f>
        <v/>
      </c>
      <c r="BH9" s="323">
        <f>BH7+BH8</f>
        <v/>
      </c>
      <c r="BI9" s="323">
        <f>BI7+BI8</f>
        <v/>
      </c>
      <c r="BJ9" s="323">
        <f>BJ7+BJ8</f>
        <v/>
      </c>
      <c r="BK9" s="323">
        <f>BK7+BK8</f>
        <v/>
      </c>
      <c r="BL9" s="323">
        <f>BL7+BL8</f>
        <v/>
      </c>
      <c r="BM9" s="323">
        <f>BM7+BM8</f>
        <v/>
      </c>
      <c r="BN9" s="323">
        <f>BN7+BN8</f>
        <v/>
      </c>
      <c r="BO9" s="323">
        <f>BO7+BO8</f>
        <v/>
      </c>
      <c r="BP9" s="323" t="n"/>
      <c r="BQ9" s="370">
        <f>SUM(D9:BO9)</f>
        <v/>
      </c>
      <c r="BS9" s="4" t="inlineStr">
        <is>
          <t>Longwall Costs</t>
        </is>
      </c>
      <c r="BT9" s="39" t="n">
        <v>0</v>
      </c>
    </row>
    <row r="10">
      <c r="A10" s="4" t="n"/>
      <c r="B10" s="87" t="n"/>
      <c r="C10" s="376" t="n"/>
      <c r="D10" s="322" t="n"/>
      <c r="E10" s="322" t="n"/>
      <c r="F10" s="322" t="n"/>
      <c r="G10" s="322" t="n"/>
      <c r="H10" s="322" t="n"/>
      <c r="I10" s="322" t="n"/>
      <c r="J10" s="323" t="n"/>
      <c r="K10" s="323" t="n"/>
      <c r="L10" s="323" t="n"/>
      <c r="M10" s="323" t="n"/>
      <c r="N10" s="323" t="n"/>
      <c r="O10" s="323" t="n"/>
      <c r="P10" s="323" t="n"/>
      <c r="Q10" s="323" t="n"/>
      <c r="R10" s="323" t="n"/>
      <c r="S10" s="323" t="n"/>
      <c r="T10" s="323" t="n"/>
      <c r="U10" s="323" t="n"/>
      <c r="V10" s="323" t="n"/>
      <c r="W10" s="323" t="n"/>
      <c r="X10" s="323" t="n"/>
      <c r="Y10" s="323" t="n"/>
      <c r="Z10" s="323" t="n"/>
      <c r="AA10" s="323" t="n"/>
      <c r="AB10" s="323" t="n"/>
      <c r="AC10" s="323" t="n"/>
      <c r="AD10" s="323" t="n"/>
      <c r="AE10" s="323" t="n"/>
      <c r="AF10" s="323" t="n"/>
      <c r="AG10" s="323" t="n"/>
      <c r="AH10" s="323" t="n"/>
      <c r="AI10" s="323" t="n"/>
      <c r="AJ10" s="323" t="n"/>
      <c r="AK10" s="323" t="n"/>
      <c r="AL10" s="323" t="n"/>
      <c r="AM10" s="323" t="n"/>
      <c r="AN10" s="323" t="n"/>
      <c r="AO10" s="323" t="n"/>
      <c r="AP10" s="323" t="n"/>
      <c r="AQ10" s="323" t="n"/>
      <c r="AR10" s="323" t="n"/>
      <c r="AS10" s="323" t="n"/>
      <c r="AT10" s="323" t="n"/>
      <c r="AU10" s="323" t="n"/>
      <c r="AV10" s="323" t="n"/>
      <c r="AW10" s="323" t="n"/>
      <c r="AX10" s="323" t="n"/>
      <c r="AY10" s="323" t="n"/>
      <c r="AZ10" s="323" t="n"/>
      <c r="BA10" s="323" t="n"/>
      <c r="BB10" s="323" t="n"/>
      <c r="BC10" s="323" t="n"/>
      <c r="BD10" s="323" t="n"/>
      <c r="BE10" s="323" t="n"/>
      <c r="BF10" s="323" t="n"/>
      <c r="BG10" s="323" t="n"/>
      <c r="BH10" s="323" t="n"/>
      <c r="BI10" s="323" t="n"/>
      <c r="BJ10" s="323" t="n"/>
      <c r="BK10" s="323" t="n"/>
      <c r="BL10" s="323" t="n"/>
      <c r="BM10" s="323" t="n"/>
      <c r="BN10" s="323" t="n"/>
      <c r="BO10" s="323" t="n"/>
      <c r="BP10" s="323" t="n"/>
      <c r="BQ10" s="370" t="n"/>
      <c r="BS10" s="4" t="inlineStr">
        <is>
          <t>Outbye Costs</t>
        </is>
      </c>
      <c r="BT10" s="39" t="n">
        <v>0</v>
      </c>
    </row>
    <row r="11">
      <c r="A11" s="28" t="inlineStr">
        <is>
          <t>CHPP</t>
        </is>
      </c>
      <c r="B11" s="87" t="n"/>
      <c r="C11" s="323" t="n"/>
      <c r="D11" s="377" t="n"/>
      <c r="E11" s="378" t="n"/>
      <c r="F11" s="378" t="n"/>
      <c r="G11" s="378" t="n"/>
      <c r="H11" s="378" t="n"/>
      <c r="I11" s="378" t="n"/>
      <c r="J11" s="378" t="n"/>
      <c r="K11" s="377" t="n"/>
      <c r="L11" s="378" t="n"/>
      <c r="M11" s="378" t="n"/>
      <c r="N11" s="378" t="n"/>
      <c r="O11" s="378" t="n"/>
      <c r="P11" s="378" t="n"/>
      <c r="Q11" s="378" t="n"/>
      <c r="R11" s="378" t="n"/>
      <c r="S11" s="378" t="n"/>
      <c r="T11" s="378" t="n"/>
      <c r="U11" s="378" t="n"/>
      <c r="V11" s="378" t="n"/>
      <c r="W11" s="323" t="n"/>
      <c r="X11" s="378" t="n"/>
      <c r="Y11" s="378" t="n"/>
      <c r="Z11" s="378" t="n"/>
      <c r="AA11" s="323" t="n"/>
      <c r="AB11" s="378" t="n"/>
      <c r="AC11" s="378" t="n"/>
      <c r="AD11" s="323" t="n"/>
      <c r="AE11" s="323" t="n"/>
      <c r="AF11" s="323" t="n"/>
      <c r="AG11" s="323" t="n"/>
      <c r="AH11" s="323" t="n"/>
      <c r="AI11" s="323" t="n"/>
      <c r="AJ11" s="323" t="n"/>
      <c r="AK11" s="323" t="n"/>
      <c r="AL11" s="323" t="n"/>
      <c r="AM11" s="323" t="n"/>
      <c r="AN11" s="323" t="n"/>
      <c r="AO11" s="323" t="n"/>
      <c r="AP11" s="323" t="n"/>
      <c r="AQ11" s="323" t="n"/>
      <c r="AR11" s="323" t="n"/>
      <c r="AS11" s="323" t="n"/>
      <c r="AT11" s="323" t="n"/>
      <c r="AU11" s="323" t="n"/>
      <c r="AV11" s="323" t="n"/>
      <c r="AW11" s="323" t="n"/>
      <c r="AX11" s="323" t="n"/>
      <c r="AY11" s="323" t="n"/>
      <c r="AZ11" s="323" t="n"/>
      <c r="BA11" s="323" t="n"/>
      <c r="BB11" s="323" t="n"/>
      <c r="BC11" s="323" t="n"/>
      <c r="BD11" s="323" t="n"/>
      <c r="BE11" s="323" t="n"/>
      <c r="BF11" s="323" t="n"/>
      <c r="BG11" s="323" t="n"/>
      <c r="BH11" s="323" t="n"/>
      <c r="BI11" s="323" t="n"/>
      <c r="BJ11" s="323" t="n"/>
      <c r="BK11" s="323" t="n"/>
      <c r="BL11" s="323" t="n"/>
      <c r="BM11" s="323" t="n"/>
      <c r="BN11" s="323" t="n"/>
      <c r="BO11" s="323" t="n"/>
      <c r="BP11" s="323" t="n"/>
      <c r="BQ11" s="370" t="n"/>
      <c r="BS11" s="4" t="inlineStr">
        <is>
          <t>Gas Drainage Costs</t>
        </is>
      </c>
      <c r="BT11" s="39" t="n">
        <v>0</v>
      </c>
    </row>
    <row r="12">
      <c r="A12" s="4" t="inlineStr">
        <is>
          <t>Primary Feed Tonnes</t>
        </is>
      </c>
      <c r="B12" s="17" t="inlineStr">
        <is>
          <t>kt</t>
        </is>
      </c>
      <c r="C12" s="323" t="n"/>
      <c r="D12" s="323">
        <f>D9</f>
        <v/>
      </c>
      <c r="E12" s="323">
        <f>E9</f>
        <v/>
      </c>
      <c r="F12" s="323">
        <f>F9</f>
        <v/>
      </c>
      <c r="G12" s="323">
        <f>G9</f>
        <v/>
      </c>
      <c r="H12" s="323">
        <f>H9</f>
        <v/>
      </c>
      <c r="I12" s="323">
        <f>I9</f>
        <v/>
      </c>
      <c r="J12" s="323">
        <f>J9</f>
        <v/>
      </c>
      <c r="K12" s="323">
        <f>K9</f>
        <v/>
      </c>
      <c r="L12" s="323">
        <f>L9</f>
        <v/>
      </c>
      <c r="M12" s="323">
        <f>M9</f>
        <v/>
      </c>
      <c r="N12" s="323">
        <f>N9</f>
        <v/>
      </c>
      <c r="O12" s="323">
        <f>O9</f>
        <v/>
      </c>
      <c r="P12" s="323">
        <f>P9</f>
        <v/>
      </c>
      <c r="Q12" s="323">
        <f>Q9</f>
        <v/>
      </c>
      <c r="R12" s="323">
        <f>R9</f>
        <v/>
      </c>
      <c r="S12" s="323">
        <f>S9</f>
        <v/>
      </c>
      <c r="T12" s="323">
        <f>T9</f>
        <v/>
      </c>
      <c r="U12" s="323">
        <f>U9</f>
        <v/>
      </c>
      <c r="V12" s="323">
        <f>V9</f>
        <v/>
      </c>
      <c r="W12" s="323">
        <f>W9</f>
        <v/>
      </c>
      <c r="X12" s="323">
        <f>X9</f>
        <v/>
      </c>
      <c r="Y12" s="323">
        <f>Y9</f>
        <v/>
      </c>
      <c r="Z12" s="323">
        <f>Z9</f>
        <v/>
      </c>
      <c r="AA12" s="323">
        <f>AA9</f>
        <v/>
      </c>
      <c r="AB12" s="323">
        <f>AB9</f>
        <v/>
      </c>
      <c r="AC12" s="323">
        <f>AC9</f>
        <v/>
      </c>
      <c r="AD12" s="323">
        <f>AD9</f>
        <v/>
      </c>
      <c r="AE12" s="323">
        <f>AE9</f>
        <v/>
      </c>
      <c r="AF12" s="323">
        <f>AF9</f>
        <v/>
      </c>
      <c r="AG12" s="323">
        <f>AG9</f>
        <v/>
      </c>
      <c r="AH12" s="323">
        <f>AH9</f>
        <v/>
      </c>
      <c r="AI12" s="323">
        <f>AI9</f>
        <v/>
      </c>
      <c r="AJ12" s="323">
        <f>AJ9</f>
        <v/>
      </c>
      <c r="AK12" s="323">
        <f>AK9</f>
        <v/>
      </c>
      <c r="AL12" s="323">
        <f>AL9</f>
        <v/>
      </c>
      <c r="AM12" s="323">
        <f>AM9</f>
        <v/>
      </c>
      <c r="AN12" s="323">
        <f>AN9</f>
        <v/>
      </c>
      <c r="AO12" s="323">
        <f>AO9</f>
        <v/>
      </c>
      <c r="AP12" s="323">
        <f>AP9</f>
        <v/>
      </c>
      <c r="AQ12" s="323">
        <f>AQ9</f>
        <v/>
      </c>
      <c r="AR12" s="323">
        <f>AR9</f>
        <v/>
      </c>
      <c r="AS12" s="323">
        <f>AS9</f>
        <v/>
      </c>
      <c r="AT12" s="323">
        <f>AT9</f>
        <v/>
      </c>
      <c r="AU12" s="323">
        <f>AU9</f>
        <v/>
      </c>
      <c r="AV12" s="323">
        <f>AV9</f>
        <v/>
      </c>
      <c r="AW12" s="323">
        <f>AW9</f>
        <v/>
      </c>
      <c r="AX12" s="323">
        <f>AX9</f>
        <v/>
      </c>
      <c r="AY12" s="323">
        <f>AY9</f>
        <v/>
      </c>
      <c r="AZ12" s="323">
        <f>AZ9</f>
        <v/>
      </c>
      <c r="BA12" s="323">
        <f>BA9</f>
        <v/>
      </c>
      <c r="BB12" s="323">
        <f>BB9</f>
        <v/>
      </c>
      <c r="BC12" s="323">
        <f>BC9</f>
        <v/>
      </c>
      <c r="BD12" s="323">
        <f>BD9</f>
        <v/>
      </c>
      <c r="BE12" s="323">
        <f>BE9</f>
        <v/>
      </c>
      <c r="BF12" s="323">
        <f>BF9</f>
        <v/>
      </c>
      <c r="BG12" s="323">
        <f>BG9</f>
        <v/>
      </c>
      <c r="BH12" s="323">
        <f>BH9</f>
        <v/>
      </c>
      <c r="BI12" s="323">
        <f>BI9</f>
        <v/>
      </c>
      <c r="BJ12" s="323">
        <f>BJ9</f>
        <v/>
      </c>
      <c r="BK12" s="323">
        <f>BK9</f>
        <v/>
      </c>
      <c r="BL12" s="323">
        <f>BL9</f>
        <v/>
      </c>
      <c r="BM12" s="323">
        <f>BM9</f>
        <v/>
      </c>
      <c r="BN12" s="323">
        <f>BN9</f>
        <v/>
      </c>
      <c r="BO12" s="323">
        <f>BO9</f>
        <v/>
      </c>
      <c r="BP12" s="323" t="n"/>
      <c r="BQ12" s="370">
        <f>SUM(D12:BO12)</f>
        <v/>
      </c>
      <c r="BS12" s="4" t="inlineStr">
        <is>
          <t>CHPP Costs</t>
        </is>
      </c>
      <c r="BT12" s="39" t="n">
        <v>0</v>
      </c>
    </row>
    <row r="13">
      <c r="A13" s="4" t="inlineStr">
        <is>
          <t>Bypass Tonnes</t>
        </is>
      </c>
      <c r="B13" s="17" t="inlineStr">
        <is>
          <t>kt</t>
        </is>
      </c>
      <c r="C13" s="323" t="n"/>
      <c r="D13" s="323" t="n">
        <v>0</v>
      </c>
      <c r="E13" s="323" t="n">
        <v>0</v>
      </c>
      <c r="F13" s="323" t="n">
        <v>0</v>
      </c>
      <c r="G13" s="323" t="n">
        <v>0</v>
      </c>
      <c r="H13" s="323" t="n">
        <v>0</v>
      </c>
      <c r="I13" s="323" t="n">
        <v>0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3" t="n">
        <v>0</v>
      </c>
      <c r="P13" s="323" t="n">
        <v>0</v>
      </c>
      <c r="Q13" s="323" t="n">
        <v>0</v>
      </c>
      <c r="R13" s="323" t="n">
        <v>0</v>
      </c>
      <c r="S13" s="323" t="n">
        <v>0</v>
      </c>
      <c r="T13" s="323" t="n">
        <v>0</v>
      </c>
      <c r="U13" s="323" t="n">
        <v>0</v>
      </c>
      <c r="V13" s="323" t="n">
        <v>0</v>
      </c>
      <c r="W13" s="323" t="n">
        <v>0</v>
      </c>
      <c r="X13" s="323" t="n">
        <v>0</v>
      </c>
      <c r="Y13" s="323" t="n">
        <v>0</v>
      </c>
      <c r="Z13" s="323" t="n">
        <v>0</v>
      </c>
      <c r="AA13" s="323" t="n">
        <v>0</v>
      </c>
      <c r="AB13" s="323" t="n">
        <v>0</v>
      </c>
      <c r="AC13" s="323" t="n">
        <v>0</v>
      </c>
      <c r="AD13" s="323" t="n">
        <v>0</v>
      </c>
      <c r="AE13" s="323" t="n">
        <v>0</v>
      </c>
      <c r="AF13" s="323" t="n">
        <v>0</v>
      </c>
      <c r="AG13" s="323" t="n">
        <v>0</v>
      </c>
      <c r="AH13" s="323" t="n">
        <v>0</v>
      </c>
      <c r="AI13" s="323" t="n">
        <v>0</v>
      </c>
      <c r="AJ13" s="323" t="n">
        <v>0</v>
      </c>
      <c r="AK13" s="323" t="n">
        <v>0</v>
      </c>
      <c r="AL13" s="323" t="n">
        <v>0</v>
      </c>
      <c r="AM13" s="323" t="n">
        <v>0</v>
      </c>
      <c r="AN13" s="323" t="n">
        <v>0</v>
      </c>
      <c r="AO13" s="323" t="n">
        <v>0</v>
      </c>
      <c r="AP13" s="323" t="n">
        <v>0</v>
      </c>
      <c r="AQ13" s="323" t="n">
        <v>0</v>
      </c>
      <c r="AR13" s="323" t="n">
        <v>0</v>
      </c>
      <c r="AS13" s="323" t="n">
        <v>0</v>
      </c>
      <c r="AT13" s="323" t="n">
        <v>0</v>
      </c>
      <c r="AU13" s="323" t="n">
        <v>0</v>
      </c>
      <c r="AV13" s="323" t="n">
        <v>0</v>
      </c>
      <c r="AW13" s="323" t="n">
        <v>0</v>
      </c>
      <c r="AX13" s="323" t="n">
        <v>0</v>
      </c>
      <c r="AY13" s="323" t="n">
        <v>0</v>
      </c>
      <c r="AZ13" s="323" t="n">
        <v>0</v>
      </c>
      <c r="BA13" s="323" t="n">
        <v>0</v>
      </c>
      <c r="BB13" s="323" t="n">
        <v>0</v>
      </c>
      <c r="BC13" s="323" t="n">
        <v>0</v>
      </c>
      <c r="BD13" s="323" t="n">
        <v>0</v>
      </c>
      <c r="BE13" s="323" t="n">
        <v>0</v>
      </c>
      <c r="BF13" s="323" t="n">
        <v>0</v>
      </c>
      <c r="BG13" s="323" t="n">
        <v>0</v>
      </c>
      <c r="BH13" s="323" t="n">
        <v>0</v>
      </c>
      <c r="BI13" s="323" t="n">
        <v>0</v>
      </c>
      <c r="BJ13" s="323" t="n">
        <v>0</v>
      </c>
      <c r="BK13" s="323" t="n">
        <v>0</v>
      </c>
      <c r="BL13" s="323" t="n">
        <v>0</v>
      </c>
      <c r="BM13" s="323" t="n">
        <v>0</v>
      </c>
      <c r="BN13" s="323" t="n">
        <v>0</v>
      </c>
      <c r="BO13" s="323" t="n">
        <v>0</v>
      </c>
      <c r="BP13" s="323" t="n"/>
      <c r="BQ13" s="370">
        <f>SUM(D13:BO13)</f>
        <v/>
      </c>
      <c r="BS13" s="4" t="inlineStr">
        <is>
          <t>Total Overhead Costs</t>
        </is>
      </c>
      <c r="BT13" s="39" t="n">
        <v>0</v>
      </c>
    </row>
    <row r="14">
      <c r="A14" s="4" t="inlineStr">
        <is>
          <t>Plant Product Tonnes</t>
        </is>
      </c>
      <c r="B14" s="17" t="inlineStr">
        <is>
          <t>kt</t>
        </is>
      </c>
      <c r="C14" s="323" t="n"/>
      <c r="D14" s="323">
        <f>D12*($C$15-0.1)</f>
        <v/>
      </c>
      <c r="E14" s="323">
        <f>E12*$C$15</f>
        <v/>
      </c>
      <c r="F14" s="323">
        <f>F12*$C$15</f>
        <v/>
      </c>
      <c r="G14" s="323">
        <f>G12*$C$15</f>
        <v/>
      </c>
      <c r="H14" s="323">
        <f>H12*($C$15-20%)</f>
        <v/>
      </c>
      <c r="I14" s="323">
        <f>I12*($C$15-20%)</f>
        <v/>
      </c>
      <c r="J14" s="323">
        <f>J12*$C$15</f>
        <v/>
      </c>
      <c r="K14" s="323">
        <f>K12*$C$15</f>
        <v/>
      </c>
      <c r="L14" s="323">
        <f>L12*$C$15</f>
        <v/>
      </c>
      <c r="M14" s="323">
        <f>M12*$C$15</f>
        <v/>
      </c>
      <c r="N14" s="323">
        <f>N12*$C$15</f>
        <v/>
      </c>
      <c r="O14" s="323">
        <f>O12*$C$15</f>
        <v/>
      </c>
      <c r="P14" s="323">
        <f>P12*$C$15</f>
        <v/>
      </c>
      <c r="Q14" s="323">
        <f>Q12*$C$15</f>
        <v/>
      </c>
      <c r="R14" s="323">
        <f>R12*$C$15</f>
        <v/>
      </c>
      <c r="S14" s="323">
        <f>S12*$C$15</f>
        <v/>
      </c>
      <c r="T14" s="323">
        <f>T12*$C$15</f>
        <v/>
      </c>
      <c r="U14" s="323">
        <f>U12*$C$15</f>
        <v/>
      </c>
      <c r="V14" s="323">
        <f>V12*$C$15</f>
        <v/>
      </c>
      <c r="W14" s="323">
        <f>W12*$C$15</f>
        <v/>
      </c>
      <c r="X14" s="323">
        <f>X12*$C$15</f>
        <v/>
      </c>
      <c r="Y14" s="323">
        <f>Y12*$C$15</f>
        <v/>
      </c>
      <c r="Z14" s="323">
        <f>Z12*$C$15</f>
        <v/>
      </c>
      <c r="AA14" s="323">
        <f>AA12*$C$15</f>
        <v/>
      </c>
      <c r="AB14" s="323">
        <f>AB12*$C$15</f>
        <v/>
      </c>
      <c r="AC14" s="323">
        <f>AC12*$C$15</f>
        <v/>
      </c>
      <c r="AD14" s="323">
        <f>AD12*$C$15</f>
        <v/>
      </c>
      <c r="AE14" s="323">
        <f>AE12*$C$15</f>
        <v/>
      </c>
      <c r="AF14" s="323">
        <f>AF12*$C$15</f>
        <v/>
      </c>
      <c r="AG14" s="323">
        <f>AG12*$C$15</f>
        <v/>
      </c>
      <c r="AH14" s="323">
        <f>AH12*$C$15</f>
        <v/>
      </c>
      <c r="AI14" s="323">
        <f>AI12*$C$15</f>
        <v/>
      </c>
      <c r="AJ14" s="323">
        <f>AJ12*$C$15</f>
        <v/>
      </c>
      <c r="AK14" s="323">
        <f>AK12*$C$15</f>
        <v/>
      </c>
      <c r="AL14" s="323">
        <f>AL12*$C$15</f>
        <v/>
      </c>
      <c r="AM14" s="323">
        <f>AM12*$C$15</f>
        <v/>
      </c>
      <c r="AN14" s="323">
        <f>AN12*$C$15</f>
        <v/>
      </c>
      <c r="AO14" s="323">
        <f>AO12*$C$15</f>
        <v/>
      </c>
      <c r="AP14" s="323">
        <f>AP12*$C$15</f>
        <v/>
      </c>
      <c r="AQ14" s="323">
        <f>AQ12*$C$15</f>
        <v/>
      </c>
      <c r="AR14" s="323">
        <f>AR12*$C$15</f>
        <v/>
      </c>
      <c r="AS14" s="323">
        <f>AS12*$C$15</f>
        <v/>
      </c>
      <c r="AT14" s="323">
        <f>AT12*$C$15</f>
        <v/>
      </c>
      <c r="AU14" s="323">
        <f>AU12*$C$15</f>
        <v/>
      </c>
      <c r="AV14" s="323">
        <f>AV12*$C$15</f>
        <v/>
      </c>
      <c r="AW14" s="323">
        <f>AW12*$C$15</f>
        <v/>
      </c>
      <c r="AX14" s="323">
        <f>AX12*$C$15</f>
        <v/>
      </c>
      <c r="AY14" s="323">
        <f>AY12*$C$15</f>
        <v/>
      </c>
      <c r="AZ14" s="323">
        <f>AZ12*$C$15</f>
        <v/>
      </c>
      <c r="BA14" s="323">
        <f>BA12*$C$15</f>
        <v/>
      </c>
      <c r="BB14" s="323">
        <f>BB12*$C$15</f>
        <v/>
      </c>
      <c r="BC14" s="323">
        <f>BC12*$C$15</f>
        <v/>
      </c>
      <c r="BD14" s="323">
        <f>BD12*$C$15</f>
        <v/>
      </c>
      <c r="BE14" s="323">
        <f>BE12*$C$15</f>
        <v/>
      </c>
      <c r="BF14" s="323">
        <f>BF12*$C$15</f>
        <v/>
      </c>
      <c r="BG14" s="323">
        <f>BG12*$C$15</f>
        <v/>
      </c>
      <c r="BH14" s="323">
        <f>BH12*$C$15</f>
        <v/>
      </c>
      <c r="BI14" s="323">
        <f>BI12*$C$15</f>
        <v/>
      </c>
      <c r="BJ14" s="323">
        <f>BJ12*$C$15</f>
        <v/>
      </c>
      <c r="BK14" s="323">
        <f>BK12*$C$15</f>
        <v/>
      </c>
      <c r="BL14" s="323">
        <f>BL12*$C$15</f>
        <v/>
      </c>
      <c r="BM14" s="323">
        <f>BM12*$C$15</f>
        <v/>
      </c>
      <c r="BN14" s="323">
        <f>BN12*$C$15</f>
        <v/>
      </c>
      <c r="BO14" s="323">
        <f>BO12*$C$15</f>
        <v/>
      </c>
      <c r="BP14" s="323" t="n"/>
      <c r="BQ14" s="370">
        <f>SUM(D14:BO14)</f>
        <v/>
      </c>
      <c r="BS14" s="8" t="inlineStr">
        <is>
          <t>Total Capital Costs</t>
        </is>
      </c>
      <c r="BT14" s="40" t="n">
        <v>0</v>
      </c>
    </row>
    <row r="15">
      <c r="A15" s="4" t="inlineStr">
        <is>
          <t>CHPP Yield</t>
        </is>
      </c>
      <c r="B15" s="17" t="inlineStr">
        <is>
          <t>%</t>
        </is>
      </c>
      <c r="C15" s="135" t="n">
        <v>0.68</v>
      </c>
      <c r="D15" s="379">
        <f>IFERROR(D14/D12,0)</f>
        <v/>
      </c>
      <c r="E15" s="329">
        <f>IFERROR(E14/E12,0)</f>
        <v/>
      </c>
      <c r="F15" s="329">
        <f>IFERROR(F14/F12,0)</f>
        <v/>
      </c>
      <c r="G15" s="329">
        <f>IFERROR(G14/G12,0)</f>
        <v/>
      </c>
      <c r="H15" s="329">
        <f>IFERROR(H14/H12,0)</f>
        <v/>
      </c>
      <c r="I15" s="329">
        <f>IFERROR(I14/I12,0)</f>
        <v/>
      </c>
      <c r="J15" s="329">
        <f>IFERROR(J14/J12,0)</f>
        <v/>
      </c>
      <c r="K15" s="329">
        <f>IFERROR(K14/K12,0)</f>
        <v/>
      </c>
      <c r="L15" s="329">
        <f>IFERROR(L14/L12,0)</f>
        <v/>
      </c>
      <c r="M15" s="329">
        <f>IFERROR(M14/M12,0)</f>
        <v/>
      </c>
      <c r="N15" s="329">
        <f>IFERROR(N14/N12,0)</f>
        <v/>
      </c>
      <c r="O15" s="329">
        <f>IFERROR(O14/O12,0)</f>
        <v/>
      </c>
      <c r="P15" s="329">
        <f>IFERROR(P14/P12,0)</f>
        <v/>
      </c>
      <c r="Q15" s="329">
        <f>IFERROR(Q14/Q12,0)</f>
        <v/>
      </c>
      <c r="R15" s="329">
        <f>IFERROR(R14/R12,0)</f>
        <v/>
      </c>
      <c r="S15" s="329">
        <f>IFERROR(S14/S12,0)</f>
        <v/>
      </c>
      <c r="T15" s="329">
        <f>IFERROR(T14/T12,0)</f>
        <v/>
      </c>
      <c r="U15" s="329">
        <f>IFERROR(U14/U12,0)</f>
        <v/>
      </c>
      <c r="V15" s="329">
        <f>IFERROR(V14/V12,0)</f>
        <v/>
      </c>
      <c r="W15" s="329">
        <f>IFERROR(W14/W12,0)</f>
        <v/>
      </c>
      <c r="X15" s="329">
        <f>IFERROR(X14/X12,0)</f>
        <v/>
      </c>
      <c r="Y15" s="329">
        <f>IFERROR(Y14/Y12,0)</f>
        <v/>
      </c>
      <c r="Z15" s="329">
        <f>IFERROR(Z14/Z12,0)</f>
        <v/>
      </c>
      <c r="AA15" s="329">
        <f>IFERROR(AA14/AA12,0)</f>
        <v/>
      </c>
      <c r="AB15" s="329">
        <f>IFERROR(AB14/AB12,0)</f>
        <v/>
      </c>
      <c r="AC15" s="329">
        <f>IFERROR(AC14/AC12,0)</f>
        <v/>
      </c>
      <c r="AD15" s="329">
        <f>IFERROR(AD14/AD12,0)</f>
        <v/>
      </c>
      <c r="AE15" s="329">
        <f>IFERROR(AE14/AE12,0)</f>
        <v/>
      </c>
      <c r="AF15" s="329">
        <f>IFERROR(AF14/AF12,0)</f>
        <v/>
      </c>
      <c r="AG15" s="329">
        <f>IFERROR(AG14/AG12,0)</f>
        <v/>
      </c>
      <c r="AH15" s="329">
        <f>IFERROR(AH14/AH12,0)</f>
        <v/>
      </c>
      <c r="AI15" s="329">
        <f>IFERROR(AI14/AI12,0)</f>
        <v/>
      </c>
      <c r="AJ15" s="329">
        <f>IFERROR(AJ14/AJ12,0)</f>
        <v/>
      </c>
      <c r="AK15" s="329">
        <f>IFERROR(AK14/AK12,0)</f>
        <v/>
      </c>
      <c r="AL15" s="329">
        <f>IFERROR(AL14/AL12,0)</f>
        <v/>
      </c>
      <c r="AM15" s="329">
        <f>IFERROR(AM14/AM12,0)</f>
        <v/>
      </c>
      <c r="AN15" s="329">
        <f>IFERROR(AN14/AN12,0)</f>
        <v/>
      </c>
      <c r="AO15" s="329">
        <f>IFERROR(AO14/AO12,0)</f>
        <v/>
      </c>
      <c r="AP15" s="329">
        <f>IFERROR(AP14/AP12,0)</f>
        <v/>
      </c>
      <c r="AQ15" s="329">
        <f>IFERROR(AQ14/AQ12,0)</f>
        <v/>
      </c>
      <c r="AR15" s="329">
        <f>IFERROR(AR14/AR12,0)</f>
        <v/>
      </c>
      <c r="AS15" s="329">
        <f>IFERROR(AS14/AS12,0)</f>
        <v/>
      </c>
      <c r="AT15" s="329">
        <f>IFERROR(AT14/AT12,0)</f>
        <v/>
      </c>
      <c r="AU15" s="329">
        <f>IFERROR(AU14/AU12,0)</f>
        <v/>
      </c>
      <c r="AV15" s="329">
        <f>IFERROR(AV14/AV12,0)</f>
        <v/>
      </c>
      <c r="AW15" s="329">
        <f>IFERROR(AW14/AW12,0)</f>
        <v/>
      </c>
      <c r="AX15" s="329">
        <f>IFERROR(AX14/AX12,0)</f>
        <v/>
      </c>
      <c r="AY15" s="329">
        <f>IFERROR(AY14/AY12,0)</f>
        <v/>
      </c>
      <c r="AZ15" s="329">
        <f>IFERROR(AZ14/AZ12,0)</f>
        <v/>
      </c>
      <c r="BA15" s="329">
        <f>IFERROR(BA14/BA12,0)</f>
        <v/>
      </c>
      <c r="BB15" s="329">
        <f>IFERROR(BB14/BB12,0)</f>
        <v/>
      </c>
      <c r="BC15" s="329">
        <f>IFERROR(BC14/BC12,0)</f>
        <v/>
      </c>
      <c r="BD15" s="329">
        <f>IFERROR(BD14/BD12,0)</f>
        <v/>
      </c>
      <c r="BE15" s="329">
        <f>IFERROR(BE14/BE12,0)</f>
        <v/>
      </c>
      <c r="BF15" s="329">
        <f>IFERROR(BF14/BF12,0)</f>
        <v/>
      </c>
      <c r="BG15" s="329">
        <f>IFERROR(BG14/BG12,0)</f>
        <v/>
      </c>
      <c r="BH15" s="329">
        <f>IFERROR(BH14/BH12,0)</f>
        <v/>
      </c>
      <c r="BI15" s="329">
        <f>IFERROR(BI14/BI12,0)</f>
        <v/>
      </c>
      <c r="BJ15" s="329">
        <f>IFERROR(BJ14/BJ12,0)</f>
        <v/>
      </c>
      <c r="BK15" s="329">
        <f>IFERROR(BK14/BK12,0)</f>
        <v/>
      </c>
      <c r="BL15" s="329">
        <f>IFERROR(BL14/BL12,0)</f>
        <v/>
      </c>
      <c r="BM15" s="329">
        <f>IFERROR(BM14/BM12,0)</f>
        <v/>
      </c>
      <c r="BN15" s="329">
        <f>IFERROR(BN14/BN12,0)</f>
        <v/>
      </c>
      <c r="BO15" s="329">
        <f>IFERROR(BO14/BO12,0)</f>
        <v/>
      </c>
      <c r="BP15" s="329" t="n"/>
      <c r="BQ15" s="380">
        <f>IFERROR(BQ14/BQ12,0)</f>
        <v/>
      </c>
    </row>
    <row r="16">
      <c r="A16" s="4" t="n"/>
      <c r="B16" s="17" t="n"/>
      <c r="C16" s="323" t="n"/>
      <c r="D16" s="323" t="n"/>
      <c r="E16" s="323" t="n"/>
      <c r="F16" s="323" t="n"/>
      <c r="G16" s="323" t="n"/>
      <c r="H16" s="323" t="n"/>
      <c r="I16" s="323" t="n"/>
      <c r="J16" s="323" t="n"/>
      <c r="K16" s="323" t="n"/>
      <c r="L16" s="323" t="n"/>
      <c r="M16" s="323" t="n"/>
      <c r="N16" s="323" t="n"/>
      <c r="O16" s="323" t="n"/>
      <c r="P16" s="323" t="n"/>
      <c r="Q16" s="323" t="n"/>
      <c r="R16" s="323" t="n"/>
      <c r="S16" s="323" t="n"/>
      <c r="T16" s="323" t="n"/>
      <c r="U16" s="323" t="n"/>
      <c r="V16" s="323" t="n"/>
      <c r="W16" s="323" t="n"/>
      <c r="X16" s="323" t="n"/>
      <c r="Y16" s="323" t="n"/>
      <c r="Z16" s="323" t="n"/>
      <c r="AA16" s="323" t="n"/>
      <c r="AB16" s="323" t="n"/>
      <c r="AC16" s="323" t="n"/>
      <c r="AD16" s="323" t="n"/>
      <c r="AE16" s="323" t="n"/>
      <c r="AF16" s="323" t="n"/>
      <c r="AG16" s="323" t="n"/>
      <c r="AH16" s="323" t="n"/>
      <c r="AI16" s="323" t="n"/>
      <c r="AJ16" s="323" t="n"/>
      <c r="AK16" s="323" t="n"/>
      <c r="AL16" s="323" t="n"/>
      <c r="AM16" s="323" t="n"/>
      <c r="AN16" s="323" t="n"/>
      <c r="AO16" s="323" t="n"/>
      <c r="AP16" s="323" t="n"/>
      <c r="AQ16" s="323" t="n"/>
      <c r="AR16" s="323" t="n"/>
      <c r="AS16" s="323" t="n"/>
      <c r="AT16" s="323" t="n"/>
      <c r="AU16" s="323" t="n"/>
      <c r="AV16" s="323" t="n"/>
      <c r="AW16" s="323" t="n"/>
      <c r="AX16" s="323" t="n"/>
      <c r="AY16" s="323" t="n"/>
      <c r="AZ16" s="323" t="n"/>
      <c r="BA16" s="323" t="n"/>
      <c r="BB16" s="323" t="n"/>
      <c r="BC16" s="323" t="n"/>
      <c r="BD16" s="323" t="n"/>
      <c r="BE16" s="323" t="n"/>
      <c r="BF16" s="323" t="n"/>
      <c r="BG16" s="323" t="n"/>
      <c r="BH16" s="323" t="n"/>
      <c r="BI16" s="323" t="n"/>
      <c r="BJ16" s="323" t="n"/>
      <c r="BK16" s="323" t="n"/>
      <c r="BL16" s="323" t="n"/>
      <c r="BM16" s="323" t="n"/>
      <c r="BN16" s="323" t="n"/>
      <c r="BO16" s="323" t="n"/>
      <c r="BP16" s="323" t="n"/>
      <c r="BQ16" s="370" t="n"/>
      <c r="BS16" s="15" t="inlineStr">
        <is>
          <t>LOM volumes</t>
        </is>
      </c>
      <c r="BT16" s="16" t="n"/>
    </row>
    <row r="17">
      <c r="A17" s="4" t="inlineStr">
        <is>
          <t>Operations Yield</t>
        </is>
      </c>
      <c r="B17" s="17" t="n"/>
      <c r="C17" s="171" t="n"/>
      <c r="D17" s="329">
        <f>IFERROR(D19/D9,0)</f>
        <v/>
      </c>
      <c r="E17" s="329">
        <f>IFERROR(E19/E9,0)</f>
        <v/>
      </c>
      <c r="F17" s="329">
        <f>IFERROR(F19/F9,0)</f>
        <v/>
      </c>
      <c r="G17" s="329">
        <f>IFERROR(G19/G9,0)</f>
        <v/>
      </c>
      <c r="H17" s="329">
        <f>IFERROR(H19/H9,0)</f>
        <v/>
      </c>
      <c r="I17" s="329">
        <f>IFERROR(I19/I9,0)</f>
        <v/>
      </c>
      <c r="J17" s="329">
        <f>IFERROR(J19/J9,0)</f>
        <v/>
      </c>
      <c r="K17" s="329">
        <f>IFERROR(K19/K9,0)</f>
        <v/>
      </c>
      <c r="L17" s="329">
        <f>IFERROR(L19/L9,0)</f>
        <v/>
      </c>
      <c r="M17" s="329">
        <f>IFERROR(M19/M9,0)</f>
        <v/>
      </c>
      <c r="N17" s="329">
        <f>IFERROR(N19/N9,0)</f>
        <v/>
      </c>
      <c r="O17" s="329">
        <f>IFERROR(O19/O9,0)</f>
        <v/>
      </c>
      <c r="P17" s="329">
        <f>IFERROR(P19/P9,0)</f>
        <v/>
      </c>
      <c r="Q17" s="329">
        <f>IFERROR(Q19/Q9,0)</f>
        <v/>
      </c>
      <c r="R17" s="329">
        <f>IFERROR(R19/R9,0)</f>
        <v/>
      </c>
      <c r="S17" s="329">
        <f>IFERROR(S19/S9,0)</f>
        <v/>
      </c>
      <c r="T17" s="329">
        <f>IFERROR(T19/T9,0)</f>
        <v/>
      </c>
      <c r="U17" s="329">
        <f>IFERROR(U19/U9,0)</f>
        <v/>
      </c>
      <c r="V17" s="329">
        <f>IFERROR(V19/V9,0)</f>
        <v/>
      </c>
      <c r="W17" s="329">
        <f>IFERROR(W19/W9,0)</f>
        <v/>
      </c>
      <c r="X17" s="329">
        <f>IFERROR(X19/X9,0)</f>
        <v/>
      </c>
      <c r="Y17" s="329">
        <f>IFERROR(Y19/Y9,0)</f>
        <v/>
      </c>
      <c r="Z17" s="329">
        <f>IFERROR(Z19/Z9,0)</f>
        <v/>
      </c>
      <c r="AA17" s="329">
        <f>IFERROR(AA19/AA9,0)</f>
        <v/>
      </c>
      <c r="AB17" s="329">
        <f>IFERROR(AB19/AB9,0)</f>
        <v/>
      </c>
      <c r="AC17" s="329">
        <f>IFERROR(AC19/AC9,0)</f>
        <v/>
      </c>
      <c r="AD17" s="329">
        <f>IFERROR(AD19/AD9,0)</f>
        <v/>
      </c>
      <c r="AE17" s="329">
        <f>IFERROR(AE19/AE9,0)</f>
        <v/>
      </c>
      <c r="AF17" s="329">
        <f>IFERROR(AF19/AF9,0)</f>
        <v/>
      </c>
      <c r="AG17" s="329">
        <f>IFERROR(AG19/AG9,0)</f>
        <v/>
      </c>
      <c r="AH17" s="329">
        <f>IFERROR(AH19/AH9,0)</f>
        <v/>
      </c>
      <c r="AI17" s="329">
        <f>IFERROR(AI19/AI9,0)</f>
        <v/>
      </c>
      <c r="AJ17" s="329">
        <f>IFERROR(AJ19/AJ9,0)</f>
        <v/>
      </c>
      <c r="AK17" s="329">
        <f>IFERROR(AK19/AK9,0)</f>
        <v/>
      </c>
      <c r="AL17" s="329">
        <f>IFERROR(AL19/AL9,0)</f>
        <v/>
      </c>
      <c r="AM17" s="329">
        <f>IFERROR(AM19/AM9,0)</f>
        <v/>
      </c>
      <c r="AN17" s="329">
        <f>IFERROR(AN19/AN9,0)</f>
        <v/>
      </c>
      <c r="AO17" s="329">
        <f>IFERROR(AO19/AO9,0)</f>
        <v/>
      </c>
      <c r="AP17" s="329">
        <f>IFERROR(AP19/AP9,0)</f>
        <v/>
      </c>
      <c r="AQ17" s="329">
        <f>IFERROR(AQ19/AQ9,0)</f>
        <v/>
      </c>
      <c r="AR17" s="329">
        <f>IFERROR(AR19/AR9,0)</f>
        <v/>
      </c>
      <c r="AS17" s="329">
        <f>IFERROR(AS19/AS9,0)</f>
        <v/>
      </c>
      <c r="AT17" s="329">
        <f>IFERROR(AT19/AT9,0)</f>
        <v/>
      </c>
      <c r="AU17" s="329">
        <f>IFERROR(AU19/AU9,0)</f>
        <v/>
      </c>
      <c r="AV17" s="329">
        <f>IFERROR(AV19/AV9,0)</f>
        <v/>
      </c>
      <c r="AW17" s="329">
        <f>IFERROR(AW19/AW9,0)</f>
        <v/>
      </c>
      <c r="AX17" s="329">
        <f>IFERROR(AX19/AX9,0)</f>
        <v/>
      </c>
      <c r="AY17" s="329">
        <f>IFERROR(AY19/AY9,0)</f>
        <v/>
      </c>
      <c r="AZ17" s="329">
        <f>IFERROR(AZ19/AZ9,0)</f>
        <v/>
      </c>
      <c r="BA17" s="329">
        <f>IFERROR(BA19/BA9,0)</f>
        <v/>
      </c>
      <c r="BB17" s="329">
        <f>IFERROR(BB19/BB9,0)</f>
        <v/>
      </c>
      <c r="BC17" s="329">
        <f>IFERROR(BC19/BC9,0)</f>
        <v/>
      </c>
      <c r="BD17" s="329">
        <f>IFERROR(BD19/BD9,0)</f>
        <v/>
      </c>
      <c r="BE17" s="329">
        <f>IFERROR(BE19/BE9,0)</f>
        <v/>
      </c>
      <c r="BF17" s="329">
        <f>IFERROR(BF19/BF9,0)</f>
        <v/>
      </c>
      <c r="BG17" s="329">
        <f>IFERROR(BG19/BG9,0)</f>
        <v/>
      </c>
      <c r="BH17" s="329">
        <f>IFERROR(BH19/BH9,0)</f>
        <v/>
      </c>
      <c r="BI17" s="329">
        <f>IFERROR(BI19/BI9,0)</f>
        <v/>
      </c>
      <c r="BJ17" s="329">
        <f>IFERROR(BJ19/BJ9,0)</f>
        <v/>
      </c>
      <c r="BK17" s="329">
        <f>IFERROR(BK19/BK9,0)</f>
        <v/>
      </c>
      <c r="BL17" s="329">
        <f>IFERROR(BL19/BL9,0)</f>
        <v/>
      </c>
      <c r="BM17" s="329">
        <f>IFERROR(BM19/BM9,0)</f>
        <v/>
      </c>
      <c r="BN17" s="329">
        <f>IFERROR(BN19/BN9,0)</f>
        <v/>
      </c>
      <c r="BO17" s="329">
        <f>IFERROR(BO19/BO9,0)</f>
        <v/>
      </c>
      <c r="BP17" s="329" t="n"/>
      <c r="BQ17" s="380">
        <f>IFERROR(BQ19/BQ9,0)</f>
        <v/>
      </c>
      <c r="BS17" s="4" t="inlineStr">
        <is>
          <t>Development metres (km)</t>
        </is>
      </c>
      <c r="BT17" s="370">
        <f>BQ6/1000</f>
        <v/>
      </c>
    </row>
    <row r="18">
      <c r="A18" s="4" t="n"/>
      <c r="B18" s="17" t="n"/>
      <c r="C18" s="323" t="n"/>
      <c r="D18" s="323" t="n"/>
      <c r="E18" s="323" t="n"/>
      <c r="F18" s="323" t="n"/>
      <c r="G18" s="323" t="n"/>
      <c r="H18" s="323" t="n"/>
      <c r="I18" s="323" t="n"/>
      <c r="J18" s="323" t="n"/>
      <c r="K18" s="323" t="n"/>
      <c r="L18" s="323" t="n"/>
      <c r="M18" s="323" t="n"/>
      <c r="N18" s="323" t="n"/>
      <c r="O18" s="323" t="n"/>
      <c r="P18" s="323" t="n"/>
      <c r="Q18" s="323" t="n"/>
      <c r="R18" s="323" t="n"/>
      <c r="S18" s="323" t="n"/>
      <c r="T18" s="323" t="n"/>
      <c r="U18" s="323" t="n"/>
      <c r="V18" s="323" t="n"/>
      <c r="W18" s="323" t="n"/>
      <c r="X18" s="323" t="n"/>
      <c r="Y18" s="323" t="n"/>
      <c r="Z18" s="323" t="n"/>
      <c r="AA18" s="323" t="n"/>
      <c r="AB18" s="323" t="n"/>
      <c r="AC18" s="323" t="n"/>
      <c r="AD18" s="323" t="n"/>
      <c r="AE18" s="323" t="n"/>
      <c r="AF18" s="323" t="n"/>
      <c r="AG18" s="323" t="n"/>
      <c r="AH18" s="323" t="n"/>
      <c r="AI18" s="323" t="n"/>
      <c r="AJ18" s="323" t="n"/>
      <c r="AK18" s="323" t="n"/>
      <c r="AL18" s="323" t="n"/>
      <c r="AM18" s="323" t="n"/>
      <c r="AN18" s="323" t="n"/>
      <c r="AO18" s="323" t="n"/>
      <c r="AP18" s="323" t="n"/>
      <c r="AQ18" s="323" t="n"/>
      <c r="AR18" s="323" t="n"/>
      <c r="AS18" s="323" t="n"/>
      <c r="AT18" s="323" t="n"/>
      <c r="AU18" s="323" t="n"/>
      <c r="AV18" s="323" t="n"/>
      <c r="AW18" s="323" t="n"/>
      <c r="AX18" s="323" t="n"/>
      <c r="AY18" s="323" t="n"/>
      <c r="AZ18" s="323" t="n"/>
      <c r="BA18" s="323" t="n"/>
      <c r="BB18" s="323" t="n"/>
      <c r="BC18" s="323" t="n"/>
      <c r="BD18" s="323" t="n"/>
      <c r="BE18" s="323" t="n"/>
      <c r="BF18" s="323" t="n"/>
      <c r="BG18" s="323" t="n"/>
      <c r="BH18" s="323" t="n"/>
      <c r="BI18" s="323" t="n"/>
      <c r="BJ18" s="323" t="n"/>
      <c r="BK18" s="323" t="n"/>
      <c r="BL18" s="323" t="n"/>
      <c r="BM18" s="323" t="n"/>
      <c r="BN18" s="323" t="n"/>
      <c r="BO18" s="323" t="n"/>
      <c r="BP18" s="323" t="n"/>
      <c r="BQ18" s="370" t="n"/>
      <c r="BS18" s="4" t="inlineStr">
        <is>
          <t>Longwall ROM tonnes / Dev Metres</t>
        </is>
      </c>
      <c r="BT18" s="381">
        <f>(BT17*1000)/BT20</f>
        <v/>
      </c>
    </row>
    <row r="19">
      <c r="A19" s="4" t="inlineStr">
        <is>
          <t>Saleable Production</t>
        </is>
      </c>
      <c r="B19" s="17" t="inlineStr">
        <is>
          <t>kt</t>
        </is>
      </c>
      <c r="C19" s="323" t="n"/>
      <c r="D19" s="323">
        <f>D13+D14</f>
        <v/>
      </c>
      <c r="E19" s="323">
        <f>E13+E14</f>
        <v/>
      </c>
      <c r="F19" s="323">
        <f>F13+F14</f>
        <v/>
      </c>
      <c r="G19" s="323">
        <f>G13+G14</f>
        <v/>
      </c>
      <c r="H19" s="323">
        <f>H13+H14</f>
        <v/>
      </c>
      <c r="I19" s="323">
        <f>I13+I14</f>
        <v/>
      </c>
      <c r="J19" s="323">
        <f>J13+J14</f>
        <v/>
      </c>
      <c r="K19" s="323">
        <f>K13+K14</f>
        <v/>
      </c>
      <c r="L19" s="323">
        <f>L13+L14</f>
        <v/>
      </c>
      <c r="M19" s="323">
        <f>M13+M14</f>
        <v/>
      </c>
      <c r="N19" s="323">
        <f>N13+N14</f>
        <v/>
      </c>
      <c r="O19" s="323">
        <f>O13+O14</f>
        <v/>
      </c>
      <c r="P19" s="323">
        <f>P13+P14</f>
        <v/>
      </c>
      <c r="Q19" s="323">
        <f>Q13+Q14</f>
        <v/>
      </c>
      <c r="R19" s="323">
        <f>R13+R14</f>
        <v/>
      </c>
      <c r="S19" s="323">
        <f>S13+S14</f>
        <v/>
      </c>
      <c r="T19" s="323">
        <f>T13+T14</f>
        <v/>
      </c>
      <c r="U19" s="323">
        <f>U13+U14</f>
        <v/>
      </c>
      <c r="V19" s="323">
        <f>V13+V14</f>
        <v/>
      </c>
      <c r="W19" s="323">
        <f>W13+W14</f>
        <v/>
      </c>
      <c r="X19" s="323">
        <f>X13+X14</f>
        <v/>
      </c>
      <c r="Y19" s="323">
        <f>Y13+Y14</f>
        <v/>
      </c>
      <c r="Z19" s="323">
        <f>Z13+Z14</f>
        <v/>
      </c>
      <c r="AA19" s="323">
        <f>AA13+AA14</f>
        <v/>
      </c>
      <c r="AB19" s="323">
        <f>AB13+AB14</f>
        <v/>
      </c>
      <c r="AC19" s="323">
        <f>AC13+AC14</f>
        <v/>
      </c>
      <c r="AD19" s="323">
        <f>AD13+AD14</f>
        <v/>
      </c>
      <c r="AE19" s="323">
        <f>AE13+AE14</f>
        <v/>
      </c>
      <c r="AF19" s="323">
        <f>AF13+AF14</f>
        <v/>
      </c>
      <c r="AG19" s="323">
        <f>AG13+AG14</f>
        <v/>
      </c>
      <c r="AH19" s="323">
        <f>AH13+AH14</f>
        <v/>
      </c>
      <c r="AI19" s="323">
        <f>AI13+AI14</f>
        <v/>
      </c>
      <c r="AJ19" s="323">
        <f>AJ13+AJ14</f>
        <v/>
      </c>
      <c r="AK19" s="323">
        <f>AK13+AK14</f>
        <v/>
      </c>
      <c r="AL19" s="323">
        <f>AL13+AL14</f>
        <v/>
      </c>
      <c r="AM19" s="323">
        <f>AM13+AM14</f>
        <v/>
      </c>
      <c r="AN19" s="323">
        <f>AN13+AN14</f>
        <v/>
      </c>
      <c r="AO19" s="323">
        <f>AO13+AO14</f>
        <v/>
      </c>
      <c r="AP19" s="323">
        <f>AP13+AP14</f>
        <v/>
      </c>
      <c r="AQ19" s="323">
        <f>AQ13+AQ14</f>
        <v/>
      </c>
      <c r="AR19" s="323">
        <f>AR13+AR14</f>
        <v/>
      </c>
      <c r="AS19" s="323">
        <f>AS13+AS14</f>
        <v/>
      </c>
      <c r="AT19" s="323">
        <f>AT13+AT14</f>
        <v/>
      </c>
      <c r="AU19" s="323">
        <f>AU13+AU14</f>
        <v/>
      </c>
      <c r="AV19" s="323">
        <f>AV13+AV14</f>
        <v/>
      </c>
      <c r="AW19" s="323">
        <f>AW13+AW14</f>
        <v/>
      </c>
      <c r="AX19" s="323">
        <f>AX13+AX14</f>
        <v/>
      </c>
      <c r="AY19" s="323">
        <f>AY13+AY14</f>
        <v/>
      </c>
      <c r="AZ19" s="323">
        <f>AZ13+AZ14</f>
        <v/>
      </c>
      <c r="BA19" s="323">
        <f>BA13+BA14</f>
        <v/>
      </c>
      <c r="BB19" s="323">
        <f>BB13+BB14</f>
        <v/>
      </c>
      <c r="BC19" s="323">
        <f>BC13+BC14</f>
        <v/>
      </c>
      <c r="BD19" s="323">
        <f>BD13+BD14</f>
        <v/>
      </c>
      <c r="BE19" s="323">
        <f>BE13+BE14</f>
        <v/>
      </c>
      <c r="BF19" s="323">
        <f>BF13+BF14</f>
        <v/>
      </c>
      <c r="BG19" s="323">
        <f>BG13+BG14</f>
        <v/>
      </c>
      <c r="BH19" s="323">
        <f>BH13+BH14</f>
        <v/>
      </c>
      <c r="BI19" s="323">
        <f>BI13+BI14</f>
        <v/>
      </c>
      <c r="BJ19" s="323">
        <f>BJ13+BJ14</f>
        <v/>
      </c>
      <c r="BK19" s="323">
        <f>BK13+BK14</f>
        <v/>
      </c>
      <c r="BL19" s="323">
        <f>BL13+BL14</f>
        <v/>
      </c>
      <c r="BM19" s="323">
        <f>BM13+BM14</f>
        <v/>
      </c>
      <c r="BN19" s="323">
        <f>BN13+BN14</f>
        <v/>
      </c>
      <c r="BO19" s="323">
        <f>BO13+BO14</f>
        <v/>
      </c>
      <c r="BP19" s="323" t="n"/>
      <c r="BQ19" s="370">
        <f>SUM(D19:BO19)</f>
        <v/>
      </c>
      <c r="BS19" s="4" t="inlineStr">
        <is>
          <t>Development ROM (kt)</t>
        </is>
      </c>
      <c r="BT19" s="370">
        <f>BQ7</f>
        <v/>
      </c>
    </row>
    <row r="20">
      <c r="A20" s="8" t="n"/>
      <c r="B20" s="21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6" t="n"/>
      <c r="BE20" s="26" t="n"/>
      <c r="BF20" s="26" t="n"/>
      <c r="BG20" s="26" t="n"/>
      <c r="BH20" s="26" t="n"/>
      <c r="BI20" s="26" t="n"/>
      <c r="BJ20" s="26" t="n"/>
      <c r="BK20" s="26" t="n"/>
      <c r="BL20" s="26" t="n"/>
      <c r="BM20" s="26" t="n"/>
      <c r="BN20" s="26" t="n"/>
      <c r="BO20" s="26" t="n"/>
      <c r="BP20" s="26" t="n"/>
      <c r="BQ20" s="27" t="n"/>
      <c r="BS20" s="4" t="inlineStr">
        <is>
          <t>Longwall ROM (kt)</t>
        </is>
      </c>
      <c r="BT20" s="370">
        <f>BQ8</f>
        <v/>
      </c>
    </row>
    <row r="21">
      <c r="A21" s="1" t="inlineStr">
        <is>
          <t>Carbon</t>
        </is>
      </c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3" t="n"/>
      <c r="AQ21" s="143" t="n"/>
      <c r="AR21" s="143" t="n"/>
      <c r="AS21" s="143" t="n"/>
      <c r="AT21" s="143" t="n"/>
      <c r="AU21" s="143" t="n"/>
      <c r="AV21" s="143" t="n"/>
      <c r="AW21" s="143" t="n"/>
      <c r="AX21" s="143" t="n"/>
      <c r="AY21" s="143" t="n"/>
      <c r="AZ21" s="143" t="n"/>
      <c r="BA21" s="143" t="n"/>
      <c r="BB21" s="143" t="n"/>
      <c r="BC21" s="143" t="n"/>
      <c r="BD21" s="143" t="n"/>
      <c r="BE21" s="143" t="n"/>
      <c r="BF21" s="143" t="n"/>
      <c r="BG21" s="143" t="n"/>
      <c r="BH21" s="143" t="n"/>
      <c r="BI21" s="143" t="n"/>
      <c r="BJ21" s="143" t="n"/>
      <c r="BK21" s="143" t="n"/>
      <c r="BL21" s="143" t="n"/>
      <c r="BM21" s="143" t="n"/>
      <c r="BN21" s="143" t="n"/>
      <c r="BO21" s="143" t="n"/>
      <c r="BP21" s="143" t="n"/>
      <c r="BS21" s="4" t="inlineStr">
        <is>
          <t>Total ROM (kt)</t>
        </is>
      </c>
      <c r="BT21" s="370">
        <f>BT19+BT20</f>
        <v/>
      </c>
    </row>
    <row r="22">
      <c r="A22" s="4" t="inlineStr">
        <is>
          <t>Coal Mine Waste Gass</t>
        </is>
      </c>
      <c r="B22" s="17" t="inlineStr">
        <is>
          <t>t CO2e</t>
        </is>
      </c>
      <c r="C22" s="91" t="n">
        <v>0.13</v>
      </c>
      <c r="D22" s="142" t="n"/>
      <c r="E22" s="143" t="n"/>
      <c r="F22" s="143" t="n"/>
      <c r="G22" s="143" t="n"/>
      <c r="H22" s="382">
        <f>IF(H9&gt;0,H9*1000*$C$22+20000,0)</f>
        <v/>
      </c>
      <c r="I22" s="382">
        <f>IF(I9&gt;0,I9*1000*$C$22+20000,0)</f>
        <v/>
      </c>
      <c r="J22" s="382">
        <f>IF(J9&gt;0,J9*1000*$C$22+20000,0)</f>
        <v/>
      </c>
      <c r="K22" s="382">
        <f>IF(K9&gt;0,K9*1000*$C$22+20000,0)</f>
        <v/>
      </c>
      <c r="L22" s="382">
        <f>IF(L9&gt;0,L9*1000*$C$22+20000,0)</f>
        <v/>
      </c>
      <c r="M22" s="382">
        <f>IF(M9&gt;0,M9*1000*$C$22+20000,0)</f>
        <v/>
      </c>
      <c r="N22" s="382">
        <f>IF(N9&gt;0,N9*1000*$C$22+20000,0)</f>
        <v/>
      </c>
      <c r="O22" s="382">
        <f>IF(O9&gt;0,O9*1000*$C$22+20000,0)</f>
        <v/>
      </c>
      <c r="P22" s="382">
        <f>IF(P9&gt;0,P9*1000*$C$22+20000,0)</f>
        <v/>
      </c>
      <c r="Q22" s="382">
        <f>IF(Q9&gt;0,Q9*1000*$C$22+20000,0)</f>
        <v/>
      </c>
      <c r="R22" s="382">
        <f>IF(R9&gt;0,R9*1000*$C$22+20000,0)</f>
        <v/>
      </c>
      <c r="S22" s="382">
        <f>IF(S9&gt;0,S9*1000*$C$22+20000,0)</f>
        <v/>
      </c>
      <c r="T22" s="382">
        <f>IF(T9&gt;0,T9*1000*$C$22+20000,0)</f>
        <v/>
      </c>
      <c r="U22" s="382">
        <f>IF(U9&gt;0,U9*1000*$C$22+20000,0)</f>
        <v/>
      </c>
      <c r="V22" s="382">
        <f>IF(V9&gt;0,V9*1000*$C$22+20000,0)</f>
        <v/>
      </c>
      <c r="W22" s="382">
        <f>IF(W9&gt;0,W9*1000*$C$22+20000,0)</f>
        <v/>
      </c>
      <c r="X22" s="382">
        <f>IF(X9&gt;0,X9*1000*$C$22+20000,0)</f>
        <v/>
      </c>
      <c r="Y22" s="382">
        <f>IF(Y9&gt;0,Y9*1000*$C$22+20000,0)</f>
        <v/>
      </c>
      <c r="Z22" s="382">
        <f>IF(Z9&gt;0,Z9*1000*$C$22+20000,0)</f>
        <v/>
      </c>
      <c r="AA22" s="382">
        <f>IF(AA9&gt;0,AA9*1000*$C$22+20000,0)</f>
        <v/>
      </c>
      <c r="AB22" s="382">
        <f>IF(AB9&gt;0,AB9*1000*$C$22+20000,0)</f>
        <v/>
      </c>
      <c r="AC22" s="382">
        <f>IF(AC9&gt;0,AC9*1000*$C$22+20000,0)</f>
        <v/>
      </c>
      <c r="AD22" s="382">
        <f>IF(AD9&gt;0,AD9*1000*$C$22+20000,0)</f>
        <v/>
      </c>
      <c r="AE22" s="382">
        <f>IF(AE9&gt;0,AE9*1000*$C$22+20000,0)</f>
        <v/>
      </c>
      <c r="AF22" s="382">
        <f>IF(AF9&gt;0,AF9*1000*$C$22+20000,0)</f>
        <v/>
      </c>
      <c r="AG22" s="382">
        <f>IF(AG9&gt;0,AG9*1000*$C$22+20000,0)</f>
        <v/>
      </c>
      <c r="AH22" s="382">
        <f>IF(AH9&gt;0,AH9*1000*$C$22+20000,0)</f>
        <v/>
      </c>
      <c r="AI22" s="382">
        <f>IF(AI9&gt;0,AI9*1000*$C$22+20000,0)</f>
        <v/>
      </c>
      <c r="AJ22" s="382">
        <f>IF(AJ9&gt;0,AJ9*1000*$C$22+20000,0)</f>
        <v/>
      </c>
      <c r="AK22" s="382">
        <f>IF(AK9&gt;0,AK9*1000*$C$22+20000,0)</f>
        <v/>
      </c>
      <c r="AL22" s="382">
        <f>IF(AL9&gt;0,AL9*1000*$C$22+20000,0)</f>
        <v/>
      </c>
      <c r="AM22" s="382">
        <f>IF(AM9&gt;0,AM9*1000*$C$22+20000,0)</f>
        <v/>
      </c>
      <c r="AN22" s="382">
        <f>IF(AN9&gt;0,AN9*1000*$C$22+20000,0)</f>
        <v/>
      </c>
      <c r="AO22" s="382">
        <f>IF(AO9&gt;0,AO9*1000*$C$22+20000,0)</f>
        <v/>
      </c>
      <c r="AP22" s="382">
        <f>IF(AP9&gt;0,AP9*1000*$C$22+20000,0)</f>
        <v/>
      </c>
      <c r="AQ22" s="382">
        <f>IF(AQ9&gt;0,AQ9*1000*$C$22+20000,0)</f>
        <v/>
      </c>
      <c r="AR22" s="382">
        <f>IF(AR9&gt;0,AR9*1000*$C$22+20000,0)</f>
        <v/>
      </c>
      <c r="AS22" s="382">
        <f>IF(AS9&gt;0,AS9*1000*$C$22+20000,0)</f>
        <v/>
      </c>
      <c r="AT22" s="382">
        <f>IF(AT9&gt;0,AT9*1000*$C$22+20000,0)</f>
        <v/>
      </c>
      <c r="AU22" s="382">
        <f>IF(AU9&gt;0,AU9*1000*$C$22+20000,0)</f>
        <v/>
      </c>
      <c r="AV22" s="382">
        <f>IF(AV9&gt;0,AV9*1000*$C$22+20000,0)</f>
        <v/>
      </c>
      <c r="AW22" s="382">
        <f>IF(AW9&gt;0,AW9*1000*$C$22+20000,0)</f>
        <v/>
      </c>
      <c r="AX22" s="382">
        <f>IF(AX9&gt;0,AX9*1000*$C$22+20000,0)</f>
        <v/>
      </c>
      <c r="AY22" s="382">
        <f>IF(AY9&gt;0,AY9*1000*$C$22+20000,0)</f>
        <v/>
      </c>
      <c r="AZ22" s="382">
        <f>IF(AZ9&gt;0,AZ9*1000*$C$22+20000,0)</f>
        <v/>
      </c>
      <c r="BA22" s="382">
        <f>IF(BA9&gt;0,BA9*1000*$C$22+20000,0)</f>
        <v/>
      </c>
      <c r="BB22" s="382">
        <f>IF(BB9&gt;0,BB9*1000*$C$22+20000,0)</f>
        <v/>
      </c>
      <c r="BC22" s="382">
        <f>IF(BC9&gt;0,BC9*1000*$C$22+20000,0)</f>
        <v/>
      </c>
      <c r="BD22" s="382">
        <f>IF(BD9&gt;0,BD9*1000*$C$22+20000,0)</f>
        <v/>
      </c>
      <c r="BE22" s="382">
        <f>IF(BE9&gt;0,BE9*1000*$C$22+20000,0)</f>
        <v/>
      </c>
      <c r="BF22" s="382">
        <f>IF(BF9&gt;0,BF9*1000*$C$22+20000,0)</f>
        <v/>
      </c>
      <c r="BG22" s="382">
        <f>IF(BG9&gt;0,BG9*1000*$C$22+20000,0)</f>
        <v/>
      </c>
      <c r="BH22" s="382">
        <f>IF(BH9&gt;0,BH9*1000*$C$22+20000,0)</f>
        <v/>
      </c>
      <c r="BI22" s="382">
        <f>IF(BI9&gt;0,BI9*1000*$C$22+20000,0)</f>
        <v/>
      </c>
      <c r="BJ22" s="382">
        <f>IF(BJ9&gt;0,BJ9*1000*$C$22+20000,0)</f>
        <v/>
      </c>
      <c r="BK22" s="382">
        <f>IF(BK9&gt;0,BK9*1000*$C$22+20000,0)</f>
        <v/>
      </c>
      <c r="BL22" s="382">
        <f>IF(BL9&gt;0,BL9*1000*$C$22+20000,0)</f>
        <v/>
      </c>
      <c r="BM22" s="382">
        <f>IF(BM9&gt;0,BM9*1000*$C$22+20000,0)</f>
        <v/>
      </c>
      <c r="BN22" s="382">
        <f>IF(BN9&gt;0,BN9*1000*$C$22+20000,0)</f>
        <v/>
      </c>
      <c r="BO22" s="382">
        <f>IF(BO9&gt;0,BO9*1000*$C$22+20000,0)</f>
        <v/>
      </c>
      <c r="BP22" s="382" t="n"/>
      <c r="BQ22" s="418">
        <f>SUM(D22:BO22)</f>
        <v/>
      </c>
      <c r="BS22" s="4" t="n"/>
      <c r="BT22" s="370" t="n"/>
    </row>
    <row r="23">
      <c r="A23" s="4" t="inlineStr">
        <is>
          <t>Decomission Mines Emissions</t>
        </is>
      </c>
      <c r="B23" s="17" t="inlineStr">
        <is>
          <t>t CO2e</t>
        </is>
      </c>
      <c r="C23" s="91" t="n"/>
      <c r="D23" s="382">
        <f>IF('Decommissioned Mine'!$B$5="Springbok + Brave Blossom",'Decommissioned Mine'!E2,0)</f>
        <v/>
      </c>
      <c r="E23" s="382">
        <f>IF('Decommissioned Mine'!$B$5="Springbok + Brave Blossom",'Decommissioned Mine'!F2,0)</f>
        <v/>
      </c>
      <c r="F23" s="382">
        <f>IF('Decommissioned Mine'!$B$5="Springbok + Brave Blossom",'Decommissioned Mine'!G2,0)</f>
        <v/>
      </c>
      <c r="G23" s="382">
        <f>IF('Decommissioned Mine'!$B$5="Springbok + Brave Blossom",'Decommissioned Mine'!H2,0)</f>
        <v/>
      </c>
      <c r="H23" s="382">
        <f>IF('Decommissioned Mine'!$B$5="Springbok + Brave Blossom",'Decommissioned Mine'!I2,0)</f>
        <v/>
      </c>
      <c r="I23" s="382">
        <f>IF('Decommissioned Mine'!$B$5="Springbok + Brave Blossom",'Decommissioned Mine'!J2,0)</f>
        <v/>
      </c>
      <c r="J23" s="382">
        <f>IF('Decommissioned Mine'!$B$5="Springbok + Brave Blossom",'Decommissioned Mine'!K2,0)</f>
        <v/>
      </c>
      <c r="K23" s="382">
        <f>IF('Decommissioned Mine'!$B$5="Springbok + Brave Blossom",'Decommissioned Mine'!L2,0)</f>
        <v/>
      </c>
      <c r="L23" s="382">
        <f>IF('Decommissioned Mine'!$B$5="Springbok + Brave Blossom",'Decommissioned Mine'!M2,0)</f>
        <v/>
      </c>
      <c r="M23" s="382">
        <f>IF('Decommissioned Mine'!$B$5="Springbok + Brave Blossom",'Decommissioned Mine'!N2,0)</f>
        <v/>
      </c>
      <c r="N23" s="382">
        <f>IF('Decommissioned Mine'!$B$5="Springbok + Brave Blossom",'Decommissioned Mine'!O2,0)</f>
        <v/>
      </c>
      <c r="O23" s="382">
        <f>IF('Decommissioned Mine'!$B$5="Springbok + Brave Blossom",'Decommissioned Mine'!P2,0)</f>
        <v/>
      </c>
      <c r="P23" s="382">
        <f>IF('Decommissioned Mine'!$B$5="Springbok + Brave Blossom",'Decommissioned Mine'!Q2,0)</f>
        <v/>
      </c>
      <c r="Q23" s="382">
        <f>IF('Decommissioned Mine'!$B$5="Springbok + Brave Blossom",'Decommissioned Mine'!R2,0)</f>
        <v/>
      </c>
      <c r="R23" s="382">
        <f>IF('Decommissioned Mine'!$B$5="Springbok + Brave Blossom",'Decommissioned Mine'!S2,0)</f>
        <v/>
      </c>
      <c r="S23" s="382">
        <f>IF('Decommissioned Mine'!$B$5="Springbok + Brave Blossom",'Decommissioned Mine'!T2,0)</f>
        <v/>
      </c>
      <c r="T23" s="382">
        <f>IF('Decommissioned Mine'!$B$5="Springbok + Brave Blossom",'Decommissioned Mine'!U2,0)</f>
        <v/>
      </c>
      <c r="U23" s="382">
        <f>IF('Decommissioned Mine'!$B$5="Springbok + Brave Blossom",'Decommissioned Mine'!V2,0)</f>
        <v/>
      </c>
      <c r="V23" s="382">
        <f>IF('Decommissioned Mine'!$B$5="Springbok + Brave Blossom",'Decommissioned Mine'!W2,0)</f>
        <v/>
      </c>
      <c r="W23" s="382">
        <f>IF('Decommissioned Mine'!$B$5="Springbok + Brave Blossom",'Decommissioned Mine'!X2,0)</f>
        <v/>
      </c>
      <c r="X23" s="382">
        <f>IF('Decommissioned Mine'!$B$5="Springbok + Brave Blossom",'Decommissioned Mine'!Y2,0)</f>
        <v/>
      </c>
      <c r="Y23" s="382">
        <f>IF('Decommissioned Mine'!$B$5="Springbok + Brave Blossom",'Decommissioned Mine'!Z2,0)</f>
        <v/>
      </c>
      <c r="Z23" s="382">
        <f>IF('Decommissioned Mine'!$B$5="Springbok + Brave Blossom",'Decommissioned Mine'!AA2,0)</f>
        <v/>
      </c>
      <c r="AA23" s="382">
        <f>IF('Decommissioned Mine'!$B$5="Springbok + Brave Blossom",'Decommissioned Mine'!AB2,0)</f>
        <v/>
      </c>
      <c r="AB23" s="382">
        <f>IF('Decommissioned Mine'!$B$5="Springbok + Brave Blossom",'Decommissioned Mine'!AC2,0)</f>
        <v/>
      </c>
      <c r="AC23" s="382">
        <f>IF('Decommissioned Mine'!$B$5="Springbok + Brave Blossom",'Decommissioned Mine'!AD2,0)</f>
        <v/>
      </c>
      <c r="AD23" s="382">
        <f>IF('Decommissioned Mine'!$B$5="Springbok + Brave Blossom",'Decommissioned Mine'!AE2,0)</f>
        <v/>
      </c>
      <c r="AE23" s="382">
        <f>IF('Decommissioned Mine'!$B$5="Springbok + Brave Blossom",'Decommissioned Mine'!AF2,0)</f>
        <v/>
      </c>
      <c r="AF23" s="382">
        <f>IF('Decommissioned Mine'!$B$5="Springbok + Brave Blossom",'Decommissioned Mine'!AG2,0)</f>
        <v/>
      </c>
      <c r="AG23" s="382">
        <f>IF('Decommissioned Mine'!$B$5="Springbok + Brave Blossom",'Decommissioned Mine'!AH2,0)</f>
        <v/>
      </c>
      <c r="AH23" s="382">
        <f>IF('Decommissioned Mine'!$B$5="Springbok + Brave Blossom",'Decommissioned Mine'!AI2,0)</f>
        <v/>
      </c>
      <c r="AI23" s="382">
        <f>IF('Decommissioned Mine'!$B$5="Springbok + Brave Blossom",'Decommissioned Mine'!AJ2,0)</f>
        <v/>
      </c>
      <c r="AJ23" s="382">
        <f>IF('Decommissioned Mine'!$B$5="Springbok + Brave Blossom",'Decommissioned Mine'!AK2,0)</f>
        <v/>
      </c>
      <c r="AK23" s="382">
        <f>IF('Decommissioned Mine'!$B$5="Springbok + Brave Blossom",'Decommissioned Mine'!AL2,0)</f>
        <v/>
      </c>
      <c r="AL23" s="382">
        <f>IF('Decommissioned Mine'!$B$5="Springbok + Brave Blossom",'Decommissioned Mine'!AM2,0)</f>
        <v/>
      </c>
      <c r="AM23" s="382">
        <f>IF('Decommissioned Mine'!$B$5="Springbok + Brave Blossom",'Decommissioned Mine'!AN2,0)</f>
        <v/>
      </c>
      <c r="AN23" s="382">
        <f>IF('Decommissioned Mine'!$B$5="Springbok + Brave Blossom",'Decommissioned Mine'!AO2,0)</f>
        <v/>
      </c>
      <c r="AO23" s="382">
        <f>IF('Decommissioned Mine'!$B$5="Springbok + Brave Blossom",'Decommissioned Mine'!AP2,0)</f>
        <v/>
      </c>
      <c r="AP23" s="382">
        <f>IF('Decommissioned Mine'!$B$5="Springbok + Brave Blossom",'Decommissioned Mine'!AQ2,0)</f>
        <v/>
      </c>
      <c r="AQ23" s="382">
        <f>IF('Decommissioned Mine'!$B$5="Springbok + Brave Blossom",'Decommissioned Mine'!AR2,0)</f>
        <v/>
      </c>
      <c r="AR23" s="382">
        <f>IF('Decommissioned Mine'!$B$5="Springbok + Brave Blossom",'Decommissioned Mine'!AS2,0)</f>
        <v/>
      </c>
      <c r="AS23" s="382">
        <f>IF('Decommissioned Mine'!$B$5="Springbok + Brave Blossom",'Decommissioned Mine'!AT2,0)</f>
        <v/>
      </c>
      <c r="AT23" s="382">
        <f>IF('Decommissioned Mine'!$B$5="Springbok + Brave Blossom",'Decommissioned Mine'!AU2,0)</f>
        <v/>
      </c>
      <c r="AU23" s="382">
        <f>IF('Decommissioned Mine'!$B$5="Springbok + Brave Blossom",'Decommissioned Mine'!AV2,0)</f>
        <v/>
      </c>
      <c r="AV23" s="382">
        <f>IF('Decommissioned Mine'!$B$5="Springbok + Brave Blossom",'Decommissioned Mine'!AW2,0)</f>
        <v/>
      </c>
      <c r="AW23" s="382">
        <f>IF('Decommissioned Mine'!$B$5="Springbok + Brave Blossom",'Decommissioned Mine'!AX2,0)</f>
        <v/>
      </c>
      <c r="AX23" s="382">
        <f>IF('Decommissioned Mine'!$B$5="Springbok + Brave Blossom",'Decommissioned Mine'!AY2,0)</f>
        <v/>
      </c>
      <c r="AY23" s="382">
        <f>IF('Decommissioned Mine'!$B$5="Springbok + Brave Blossom",'Decommissioned Mine'!AZ2,0)</f>
        <v/>
      </c>
      <c r="AZ23" s="382">
        <f>IF('Decommissioned Mine'!$B$5="Springbok + Brave Blossom",'Decommissioned Mine'!BA2,0)</f>
        <v/>
      </c>
      <c r="BA23" s="382">
        <f>IF('Decommissioned Mine'!$B$5="Springbok + Brave Blossom",'Decommissioned Mine'!BB2,0)</f>
        <v/>
      </c>
      <c r="BB23" s="382">
        <f>IF('Decommissioned Mine'!$B$5="Springbok + Brave Blossom",'Decommissioned Mine'!BC2,0)</f>
        <v/>
      </c>
      <c r="BC23" s="382">
        <f>IF('Decommissioned Mine'!$B$5="Springbok + Brave Blossom",'Decommissioned Mine'!BD2,0)</f>
        <v/>
      </c>
      <c r="BD23" s="382">
        <f>IF('Decommissioned Mine'!$B$5="Springbok + Brave Blossom",'Decommissioned Mine'!BE2,0)</f>
        <v/>
      </c>
      <c r="BE23" s="382">
        <f>IF('Decommissioned Mine'!$B$5="Springbok + Brave Blossom",'Decommissioned Mine'!BF2,0)</f>
        <v/>
      </c>
      <c r="BF23" s="382">
        <f>IF('Decommissioned Mine'!$B$5="Springbok + Brave Blossom",'Decommissioned Mine'!BG2,0)</f>
        <v/>
      </c>
      <c r="BG23" s="382">
        <f>IF('Decommissioned Mine'!$B$5="Springbok + Brave Blossom",'Decommissioned Mine'!BH2,0)</f>
        <v/>
      </c>
      <c r="BH23" s="382">
        <f>IF('Decommissioned Mine'!$B$5="Springbok + Brave Blossom",'Decommissioned Mine'!BI2,0)</f>
        <v/>
      </c>
      <c r="BI23" s="382">
        <f>IF('Decommissioned Mine'!$B$5="Springbok + Brave Blossom",'Decommissioned Mine'!BJ2,0)</f>
        <v/>
      </c>
      <c r="BJ23" s="382">
        <f>IF('Decommissioned Mine'!$B$5="Springbok + Brave Blossom",'Decommissioned Mine'!BK2,0)</f>
        <v/>
      </c>
      <c r="BK23" s="382">
        <f>IF('Decommissioned Mine'!$B$5="Springbok + Brave Blossom",'Decommissioned Mine'!BL2,0)</f>
        <v/>
      </c>
      <c r="BL23" s="382">
        <f>IF('Decommissioned Mine'!$B$5="Springbok + Brave Blossom",'Decommissioned Mine'!BM2,0)</f>
        <v/>
      </c>
      <c r="BM23" s="382">
        <f>IF('Decommissioned Mine'!$B$5="Springbok + Brave Blossom",'Decommissioned Mine'!BN2,0)</f>
        <v/>
      </c>
      <c r="BN23" s="382">
        <f>IF('Decommissioned Mine'!$B$5="Springbok + Brave Blossom",'Decommissioned Mine'!BO2,0)</f>
        <v/>
      </c>
      <c r="BO23" s="382">
        <f>IF('Decommissioned Mine'!$B$5="Springbok + Brave Blossom",'Decommissioned Mine'!BP2,0)</f>
        <v/>
      </c>
      <c r="BP23" s="382" t="n"/>
      <c r="BQ23" s="418">
        <f>SUM(D23:BO23)</f>
        <v/>
      </c>
      <c r="BS23" s="8" t="inlineStr">
        <is>
          <t>Remaining Mine Life</t>
        </is>
      </c>
      <c r="BT23" s="383" t="n"/>
    </row>
    <row r="24">
      <c r="A24" t="inlineStr">
        <is>
          <t xml:space="preserve">Total Scope 1 Emissions </t>
        </is>
      </c>
      <c r="B24" s="17" t="inlineStr">
        <is>
          <t>t CO2e</t>
        </is>
      </c>
      <c r="C24" s="138" t="n"/>
      <c r="D24" s="382" t="n"/>
      <c r="E24" s="382" t="n"/>
      <c r="F24" s="382" t="n"/>
      <c r="G24" s="382" t="n"/>
      <c r="H24" s="382">
        <f>H23+H22</f>
        <v/>
      </c>
      <c r="I24" s="382">
        <f>I23+I22</f>
        <v/>
      </c>
      <c r="J24" s="382">
        <f>J23+J22</f>
        <v/>
      </c>
      <c r="K24" s="382">
        <f>K23+K22</f>
        <v/>
      </c>
      <c r="L24" s="382">
        <f>L23+L22</f>
        <v/>
      </c>
      <c r="M24" s="382">
        <f>M23+M22</f>
        <v/>
      </c>
      <c r="N24" s="382">
        <f>N23+N22</f>
        <v/>
      </c>
      <c r="O24" s="382">
        <f>O23+O22</f>
        <v/>
      </c>
      <c r="P24" s="382">
        <f>P23+P22</f>
        <v/>
      </c>
      <c r="Q24" s="382">
        <f>Q23+Q22</f>
        <v/>
      </c>
      <c r="R24" s="382">
        <f>R23+R22</f>
        <v/>
      </c>
      <c r="S24" s="382">
        <f>S23+S22</f>
        <v/>
      </c>
      <c r="T24" s="382">
        <f>T23+T22</f>
        <v/>
      </c>
      <c r="U24" s="382">
        <f>U23+U22</f>
        <v/>
      </c>
      <c r="V24" s="382">
        <f>V23+V22</f>
        <v/>
      </c>
      <c r="W24" s="382">
        <f>W23+W22</f>
        <v/>
      </c>
      <c r="X24" s="382">
        <f>X23+X22</f>
        <v/>
      </c>
      <c r="Y24" s="382">
        <f>Y23+Y22</f>
        <v/>
      </c>
      <c r="Z24" s="382">
        <f>Z23+Z22</f>
        <v/>
      </c>
      <c r="AA24" s="382">
        <f>AA23+AA22</f>
        <v/>
      </c>
      <c r="AB24" s="382">
        <f>AB23+AB22</f>
        <v/>
      </c>
      <c r="AC24" s="382">
        <f>AC23+AC22</f>
        <v/>
      </c>
      <c r="AD24" s="382">
        <f>AD23+AD22</f>
        <v/>
      </c>
      <c r="AE24" s="382">
        <f>AE23+AE22</f>
        <v/>
      </c>
      <c r="AF24" s="382">
        <f>AF23+AF22</f>
        <v/>
      </c>
      <c r="AG24" s="382">
        <f>AG23+AG22</f>
        <v/>
      </c>
      <c r="AH24" s="382">
        <f>AH23+AH22</f>
        <v/>
      </c>
      <c r="AI24" s="382">
        <f>AI23+AI22</f>
        <v/>
      </c>
      <c r="AJ24" s="382">
        <f>AJ23+AJ22</f>
        <v/>
      </c>
      <c r="AK24" s="382">
        <f>AK23+AK22</f>
        <v/>
      </c>
      <c r="AL24" s="382">
        <f>AL23+AL22</f>
        <v/>
      </c>
      <c r="AM24" s="382">
        <f>AM23+AM22</f>
        <v/>
      </c>
      <c r="AN24" s="382">
        <f>AN23+AN22</f>
        <v/>
      </c>
      <c r="AO24" s="382">
        <f>AO23+AO22</f>
        <v/>
      </c>
      <c r="AP24" s="382">
        <f>AP23+AP22</f>
        <v/>
      </c>
      <c r="AQ24" s="382">
        <f>AQ23+AQ22</f>
        <v/>
      </c>
      <c r="AR24" s="382">
        <f>AR23+AR22</f>
        <v/>
      </c>
      <c r="AS24" s="382">
        <f>AS23+AS22</f>
        <v/>
      </c>
      <c r="AT24" s="382">
        <f>AT23+AT22</f>
        <v/>
      </c>
      <c r="AU24" s="382">
        <f>AU23+AU22</f>
        <v/>
      </c>
      <c r="AV24" s="382">
        <f>AV23+AV22</f>
        <v/>
      </c>
      <c r="AW24" s="382">
        <f>AW23+AW22</f>
        <v/>
      </c>
      <c r="AX24" s="382">
        <f>AX23+AX22</f>
        <v/>
      </c>
      <c r="AY24" s="382">
        <f>AY23+AY22</f>
        <v/>
      </c>
      <c r="AZ24" s="382">
        <f>AZ23+AZ22</f>
        <v/>
      </c>
      <c r="BA24" s="382">
        <f>BA23+BA22</f>
        <v/>
      </c>
      <c r="BB24" s="382">
        <f>BB23+BB22</f>
        <v/>
      </c>
      <c r="BC24" s="382">
        <f>BC23+BC22</f>
        <v/>
      </c>
      <c r="BD24" s="382">
        <f>BD23+BD22</f>
        <v/>
      </c>
      <c r="BE24" s="382">
        <f>BE23+BE22</f>
        <v/>
      </c>
      <c r="BF24" s="382">
        <f>BF23+BF22</f>
        <v/>
      </c>
      <c r="BG24" s="382">
        <f>BG23+BG22</f>
        <v/>
      </c>
      <c r="BH24" s="382">
        <f>BH23+BH22</f>
        <v/>
      </c>
      <c r="BI24" s="382">
        <f>BI23+BI22</f>
        <v/>
      </c>
      <c r="BJ24" s="382">
        <f>BJ23+BJ22</f>
        <v/>
      </c>
      <c r="BK24" s="382">
        <f>BK23+BK22</f>
        <v/>
      </c>
      <c r="BL24" s="382">
        <f>BL23+BL22</f>
        <v/>
      </c>
      <c r="BM24" s="382">
        <f>BM23+BM22</f>
        <v/>
      </c>
      <c r="BN24" s="382">
        <f>BN23+BN22</f>
        <v/>
      </c>
      <c r="BO24" s="382">
        <f>BO23+BO22</f>
        <v/>
      </c>
      <c r="BP24" s="382" t="n"/>
      <c r="BQ24" s="418">
        <f>SUM(D24:BO24)</f>
        <v/>
      </c>
      <c r="BT24" s="323" t="n"/>
    </row>
    <row r="25">
      <c r="A25" t="inlineStr">
        <is>
          <t>Safeguard - Hybrid Declining Baseline</t>
        </is>
      </c>
      <c r="B25" s="17" t="inlineStr">
        <is>
          <t>t CO2e</t>
        </is>
      </c>
      <c r="D25" s="382">
        <f>(D9*1000*'Decommissioned Mine'!E22)+'Decommissioned Mine'!E21*D23</f>
        <v/>
      </c>
      <c r="E25" s="382">
        <f>(E9*1000*'Decommissioned Mine'!F22)+'Decommissioned Mine'!F21*E23</f>
        <v/>
      </c>
      <c r="F25" s="382">
        <f>(F9*1000*'Decommissioned Mine'!G22)+'Decommissioned Mine'!G21*F23</f>
        <v/>
      </c>
      <c r="G25" s="382">
        <f>(G9*1000*'Decommissioned Mine'!H22)+'Decommissioned Mine'!H21*G23</f>
        <v/>
      </c>
      <c r="H25" s="382">
        <f>(H9*1000*'Decommissioned Mine'!I22)+('Decommissioned Mine'!I21*H23)</f>
        <v/>
      </c>
      <c r="I25" s="382">
        <f>(I9*1000*'Decommissioned Mine'!J22)+'Decommissioned Mine'!J21*I23</f>
        <v/>
      </c>
      <c r="J25" s="382">
        <f>(J9*1000*'Decommissioned Mine'!K22)+'Decommissioned Mine'!K21*J23</f>
        <v/>
      </c>
      <c r="K25" s="382">
        <f>(K9*1000*'Decommissioned Mine'!L22)+'Decommissioned Mine'!L21*K23</f>
        <v/>
      </c>
      <c r="L25" s="382">
        <f>(L9*1000*'Decommissioned Mine'!M22)+'Decommissioned Mine'!M21*L23</f>
        <v/>
      </c>
      <c r="M25" s="382">
        <f>(M9*1000*'Decommissioned Mine'!N22)+'Decommissioned Mine'!N21*M23</f>
        <v/>
      </c>
      <c r="N25" s="382">
        <f>(N9*1000*'Decommissioned Mine'!O22)+'Decommissioned Mine'!O21*N23</f>
        <v/>
      </c>
      <c r="O25" s="382">
        <f>(O9*1000*'Decommissioned Mine'!P22)+'Decommissioned Mine'!P21*O23</f>
        <v/>
      </c>
      <c r="P25" s="382">
        <f>(P9*1000*'Decommissioned Mine'!Q22)+'Decommissioned Mine'!Q21*P23</f>
        <v/>
      </c>
      <c r="Q25" s="382">
        <f>(Q9*1000*'Decommissioned Mine'!R22)+'Decommissioned Mine'!R21*Q23</f>
        <v/>
      </c>
      <c r="R25" s="382">
        <f>(R9*1000*'Decommissioned Mine'!S22)+'Decommissioned Mine'!S21*R23</f>
        <v/>
      </c>
      <c r="S25" s="382">
        <f>(S9*1000*'Decommissioned Mine'!T22)+'Decommissioned Mine'!T21*S23</f>
        <v/>
      </c>
      <c r="T25" s="382">
        <f>(T9*1000*'Decommissioned Mine'!U22)+'Decommissioned Mine'!U21*T23</f>
        <v/>
      </c>
      <c r="U25" s="382">
        <f>(U9*1000*'Decommissioned Mine'!V22)+'Decommissioned Mine'!V21*U23</f>
        <v/>
      </c>
      <c r="V25" s="382">
        <f>(V9*1000*'Decommissioned Mine'!W22)+'Decommissioned Mine'!W21*V23</f>
        <v/>
      </c>
      <c r="W25" s="382">
        <f>(W9*1000*'Decommissioned Mine'!X22)+'Decommissioned Mine'!X21*W23</f>
        <v/>
      </c>
      <c r="X25" s="382">
        <f>(X9*1000*'Decommissioned Mine'!Y22)+'Decommissioned Mine'!Y21*X23</f>
        <v/>
      </c>
      <c r="Y25" s="382">
        <f>(Y9*1000*'Decommissioned Mine'!Z22)+'Decommissioned Mine'!Z21*Y23</f>
        <v/>
      </c>
      <c r="Z25" s="382">
        <f>(Z9*1000*'Decommissioned Mine'!AA22)+'Decommissioned Mine'!AA21*Z23</f>
        <v/>
      </c>
      <c r="AA25" s="382">
        <f>(AA9*1000*'Decommissioned Mine'!AB22)+'Decommissioned Mine'!AB21*AA23</f>
        <v/>
      </c>
      <c r="AB25" s="382">
        <f>(AB9*1000*'Decommissioned Mine'!AC22)+'Decommissioned Mine'!AC21*AB23</f>
        <v/>
      </c>
      <c r="AC25" s="382">
        <f>(AC9*1000*'Decommissioned Mine'!AD22)+'Decommissioned Mine'!AD21*AC23</f>
        <v/>
      </c>
      <c r="AD25" s="382">
        <f>(AD9*1000*'Decommissioned Mine'!AE22)+'Decommissioned Mine'!AE21*AD23</f>
        <v/>
      </c>
      <c r="AE25" s="382">
        <f>(AE9*1000*'Decommissioned Mine'!AF22)+'Decommissioned Mine'!AF21*AE23</f>
        <v/>
      </c>
      <c r="AF25" s="382">
        <f>(AF9*1000*'Decommissioned Mine'!AG22)+'Decommissioned Mine'!AG21*AF23</f>
        <v/>
      </c>
      <c r="AG25" s="382">
        <f>(AG9*1000*'Decommissioned Mine'!AH22)+'Decommissioned Mine'!AH21*AG23</f>
        <v/>
      </c>
      <c r="AH25" s="382">
        <f>(AH9*1000*'Decommissioned Mine'!AI22)+'Decommissioned Mine'!AI21*AH23</f>
        <v/>
      </c>
      <c r="AI25" s="382">
        <f>(AI9*1000*'Decommissioned Mine'!AJ22)+'Decommissioned Mine'!AJ21*AI23</f>
        <v/>
      </c>
      <c r="AJ25" s="382">
        <f>(AJ9*1000*'Decommissioned Mine'!AK22)+'Decommissioned Mine'!AK21*AJ23</f>
        <v/>
      </c>
      <c r="AK25" s="382">
        <f>(AK9*1000*'Decommissioned Mine'!AL22)+'Decommissioned Mine'!AL21*AK23</f>
        <v/>
      </c>
      <c r="AL25" s="382">
        <f>(AL9*1000*'Decommissioned Mine'!AM22)+'Decommissioned Mine'!AM21*AL23</f>
        <v/>
      </c>
      <c r="AM25" s="382">
        <f>(AM9*1000*'Decommissioned Mine'!AN22)+'Decommissioned Mine'!AN21*AM23</f>
        <v/>
      </c>
      <c r="AN25" s="382">
        <f>(AN9*1000*'Decommissioned Mine'!AO22)+'Decommissioned Mine'!AO21*AN23</f>
        <v/>
      </c>
      <c r="AO25" s="382">
        <f>(AO9*1000*'Decommissioned Mine'!AP22)+'Decommissioned Mine'!AP21*AO23</f>
        <v/>
      </c>
      <c r="AP25" s="382">
        <f>(AP9*1000*'Decommissioned Mine'!AQ22)+'Decommissioned Mine'!AQ21*AP23</f>
        <v/>
      </c>
      <c r="AQ25" s="382">
        <f>(AQ9*1000*'Decommissioned Mine'!AQ22)+'Decommissioned Mine'!AQ21*AQ23</f>
        <v/>
      </c>
      <c r="AR25" s="382">
        <f>(AR9*1000*'Decommissioned Mine'!AR22)+'Decommissioned Mine'!AR21*AR23</f>
        <v/>
      </c>
      <c r="AS25" s="382">
        <f>(AS9*1000*'Decommissioned Mine'!AS22)+'Decommissioned Mine'!AS21*AS23</f>
        <v/>
      </c>
      <c r="AT25" s="382">
        <f>(AT9*1000*'Decommissioned Mine'!AT22)+'Decommissioned Mine'!AT21*AT23</f>
        <v/>
      </c>
      <c r="AU25" s="382">
        <f>(AU9*1000*'Decommissioned Mine'!AU22)+'Decommissioned Mine'!AU21*AU23</f>
        <v/>
      </c>
      <c r="AV25" s="382">
        <f>(AV9*1000*'Decommissioned Mine'!AV22)+'Decommissioned Mine'!AV21*AV23</f>
        <v/>
      </c>
      <c r="AW25" s="382">
        <f>(AW9*1000*'Decommissioned Mine'!AW22)+'Decommissioned Mine'!AW21*AW23</f>
        <v/>
      </c>
      <c r="AX25" s="382">
        <f>(AX9*1000*'Decommissioned Mine'!AX22)+'Decommissioned Mine'!AX21*AX23</f>
        <v/>
      </c>
      <c r="AY25" s="382">
        <f>(AY9*1000*'Decommissioned Mine'!AY22)+'Decommissioned Mine'!AY21*AY23</f>
        <v/>
      </c>
      <c r="AZ25" s="382">
        <f>(AZ9*1000*'Decommissioned Mine'!AZ22)+'Decommissioned Mine'!AZ21*AZ23</f>
        <v/>
      </c>
      <c r="BA25" s="382">
        <f>(BA9*1000*'Decommissioned Mine'!BA22)+'Decommissioned Mine'!BA21*BA23</f>
        <v/>
      </c>
      <c r="BB25" s="382">
        <f>(BB9*1000*'Decommissioned Mine'!BB22)+'Decommissioned Mine'!BB21*BB23</f>
        <v/>
      </c>
      <c r="BC25" s="382">
        <f>(BC9*1000*'Decommissioned Mine'!BC22)+'Decommissioned Mine'!BC21*BC23</f>
        <v/>
      </c>
      <c r="BD25" s="382">
        <f>(BD9*1000*'Decommissioned Mine'!BD22)+'Decommissioned Mine'!BD21*BD23</f>
        <v/>
      </c>
      <c r="BE25" s="382">
        <f>(BE9*1000*'Decommissioned Mine'!BE22)+'Decommissioned Mine'!BE21*BE23</f>
        <v/>
      </c>
      <c r="BF25" s="382">
        <f>(BF9*1000*'Decommissioned Mine'!BF22)+'Decommissioned Mine'!BF21*BF23</f>
        <v/>
      </c>
      <c r="BG25" s="382">
        <f>(BG9*1000*'Decommissioned Mine'!BG22)+'Decommissioned Mine'!BG21*BG23</f>
        <v/>
      </c>
      <c r="BH25" s="382">
        <f>(BH9*1000*'Decommissioned Mine'!BH22)+'Decommissioned Mine'!BH21*BH23</f>
        <v/>
      </c>
      <c r="BI25" s="382">
        <f>(BI9*1000*'Decommissioned Mine'!BI22)+'Decommissioned Mine'!BI21*BI23</f>
        <v/>
      </c>
      <c r="BJ25" s="382">
        <f>(BJ9*1000*'Decommissioned Mine'!BJ22)+'Decommissioned Mine'!BJ21*BJ23</f>
        <v/>
      </c>
      <c r="BK25" s="382">
        <f>(BK9*1000*'Decommissioned Mine'!BK22)+'Decommissioned Mine'!BK21*BK23</f>
        <v/>
      </c>
      <c r="BL25" s="382">
        <f>(BL9*1000*'Decommissioned Mine'!BL22)+'Decommissioned Mine'!BL21*BL23</f>
        <v/>
      </c>
      <c r="BM25" s="382">
        <f>(BM9*1000*'Decommissioned Mine'!BM22)+'Decommissioned Mine'!BM21*BM23</f>
        <v/>
      </c>
      <c r="BN25" s="382">
        <f>(BN9*1000*'Decommissioned Mine'!BN22)+'Decommissioned Mine'!BN21*BN23</f>
        <v/>
      </c>
      <c r="BO25" s="382">
        <f>(BO9*1000*'Decommissioned Mine'!BO22)+'Decommissioned Mine'!BO21*BO23</f>
        <v/>
      </c>
      <c r="BP25" s="382" t="n"/>
      <c r="BQ25" s="418">
        <f>SUM(D25:BO25)</f>
        <v/>
      </c>
      <c r="BT25" s="323" t="n"/>
    </row>
    <row r="26">
      <c r="A26" t="inlineStr">
        <is>
          <t>Emissions above (or below) baseline</t>
        </is>
      </c>
      <c r="D26" s="363" t="n"/>
      <c r="E26" s="363" t="n"/>
      <c r="F26" s="363" t="n"/>
      <c r="G26" s="363" t="n"/>
      <c r="H26" s="344">
        <f>H24-H25</f>
        <v/>
      </c>
      <c r="I26" s="344">
        <f>I24-I25</f>
        <v/>
      </c>
      <c r="J26" s="344">
        <f>J24-J25</f>
        <v/>
      </c>
      <c r="K26" s="344">
        <f>K24-K25</f>
        <v/>
      </c>
      <c r="L26" s="344">
        <f>L24-L25</f>
        <v/>
      </c>
      <c r="M26" s="344">
        <f>M24-M25</f>
        <v/>
      </c>
      <c r="N26" s="344">
        <f>N24-N25</f>
        <v/>
      </c>
      <c r="O26" s="344">
        <f>O24-O25</f>
        <v/>
      </c>
      <c r="P26" s="344">
        <f>P24-P25</f>
        <v/>
      </c>
      <c r="Q26" s="344">
        <f>Q24-Q25</f>
        <v/>
      </c>
      <c r="R26" s="344">
        <f>R24-R25</f>
        <v/>
      </c>
      <c r="S26" s="344">
        <f>S24-S25</f>
        <v/>
      </c>
      <c r="T26" s="344">
        <f>T24-T25</f>
        <v/>
      </c>
      <c r="U26" s="344">
        <f>U24-U25</f>
        <v/>
      </c>
      <c r="V26" s="344">
        <f>V24-V25</f>
        <v/>
      </c>
      <c r="W26" s="344">
        <f>W24-W25</f>
        <v/>
      </c>
      <c r="X26" s="344">
        <f>X24-X25</f>
        <v/>
      </c>
      <c r="Y26" s="344">
        <f>Y24-Y25</f>
        <v/>
      </c>
      <c r="Z26" s="344">
        <f>Z24-Z25</f>
        <v/>
      </c>
      <c r="AA26" s="344">
        <f>AA24-AA25</f>
        <v/>
      </c>
      <c r="AB26" s="344">
        <f>AB24-AB25</f>
        <v/>
      </c>
      <c r="AC26" s="344">
        <f>AC24-AC25</f>
        <v/>
      </c>
      <c r="AD26" s="344">
        <f>AD24-AD25</f>
        <v/>
      </c>
      <c r="AE26" s="344">
        <f>AE24-AE25</f>
        <v/>
      </c>
      <c r="AF26" s="344">
        <f>AF24-AF25</f>
        <v/>
      </c>
      <c r="AG26" s="344">
        <f>AG24-AG25</f>
        <v/>
      </c>
      <c r="AH26" s="344">
        <f>AH24-AH25</f>
        <v/>
      </c>
      <c r="AI26" s="344">
        <f>AI24-AI25</f>
        <v/>
      </c>
      <c r="AJ26" s="344">
        <f>AJ24-AJ25</f>
        <v/>
      </c>
      <c r="AK26" s="344">
        <f>AK24-AK25</f>
        <v/>
      </c>
      <c r="AL26" s="344">
        <f>AL24-AL25</f>
        <v/>
      </c>
      <c r="AM26" s="344">
        <f>AM24-AM25</f>
        <v/>
      </c>
      <c r="AN26" s="344">
        <f>AN24-AN25</f>
        <v/>
      </c>
      <c r="AO26" s="344">
        <f>AO24-AO25</f>
        <v/>
      </c>
      <c r="AP26" s="344">
        <f>AP24-AP25</f>
        <v/>
      </c>
      <c r="AQ26" s="344">
        <f>AQ24-AQ25</f>
        <v/>
      </c>
      <c r="AR26" s="344">
        <f>AR24-AR25</f>
        <v/>
      </c>
      <c r="AS26" s="344">
        <f>AS24-AS25</f>
        <v/>
      </c>
      <c r="AT26" s="344">
        <f>AT24-AT25</f>
        <v/>
      </c>
      <c r="AU26" s="344">
        <f>AU24-AU25</f>
        <v/>
      </c>
      <c r="AV26" s="344">
        <f>AV24-AV25</f>
        <v/>
      </c>
      <c r="AW26" s="344">
        <f>AW24-AW25</f>
        <v/>
      </c>
      <c r="AX26" s="344">
        <f>AX24-AX25</f>
        <v/>
      </c>
      <c r="AY26" s="344">
        <f>AY24-AY25</f>
        <v/>
      </c>
      <c r="AZ26" s="344">
        <f>AZ24-AZ25</f>
        <v/>
      </c>
      <c r="BA26" s="344">
        <f>BA24-BA25</f>
        <v/>
      </c>
      <c r="BB26" s="344">
        <f>BB24-BB25</f>
        <v/>
      </c>
      <c r="BC26" s="344">
        <f>BC24-BC25</f>
        <v/>
      </c>
      <c r="BD26" s="344">
        <f>BD24-BD25</f>
        <v/>
      </c>
      <c r="BE26" s="344">
        <f>BE24-BE25</f>
        <v/>
      </c>
      <c r="BF26" s="344">
        <f>BF24-BF25</f>
        <v/>
      </c>
      <c r="BG26" s="344">
        <f>BG24-BG25</f>
        <v/>
      </c>
      <c r="BH26" s="344">
        <f>BH24-BH25</f>
        <v/>
      </c>
      <c r="BI26" s="344">
        <f>BI24-BI25</f>
        <v/>
      </c>
      <c r="BJ26" s="344">
        <f>BJ24-BJ25</f>
        <v/>
      </c>
      <c r="BK26" s="344">
        <f>BK24-BK25</f>
        <v/>
      </c>
      <c r="BL26" s="344">
        <f>BL24-BL25</f>
        <v/>
      </c>
      <c r="BM26" s="344">
        <f>BM24-BM25</f>
        <v/>
      </c>
      <c r="BN26" s="344">
        <f>BN24-BN25</f>
        <v/>
      </c>
      <c r="BO26" s="344">
        <f>BO24-BO25</f>
        <v/>
      </c>
      <c r="BP26" s="363" t="n"/>
      <c r="BQ26" s="418">
        <f>BQ24-BQ25</f>
        <v/>
      </c>
    </row>
    <row r="27">
      <c r="D27" s="363" t="n"/>
      <c r="E27" s="363" t="n"/>
      <c r="F27" s="363" t="n"/>
      <c r="G27" s="363" t="n"/>
      <c r="H27" s="363" t="n"/>
      <c r="I27" s="363" t="n"/>
      <c r="J27" s="363" t="n"/>
      <c r="K27" s="363" t="n"/>
      <c r="L27" s="363" t="n"/>
      <c r="M27" s="363" t="n"/>
      <c r="N27" s="363" t="n"/>
      <c r="O27" s="363" t="n"/>
      <c r="P27" s="363" t="n"/>
      <c r="Q27" s="363" t="n"/>
      <c r="R27" s="363" t="n"/>
      <c r="S27" s="363" t="n"/>
      <c r="T27" s="363" t="n"/>
      <c r="U27" s="363" t="n"/>
      <c r="V27" s="363" t="n"/>
      <c r="W27" s="363" t="n"/>
      <c r="X27" s="363" t="n"/>
      <c r="Y27" s="363" t="n"/>
      <c r="Z27" s="363" t="n"/>
      <c r="AA27" s="363" t="n"/>
      <c r="AB27" s="363" t="n"/>
      <c r="AC27" s="363" t="n"/>
      <c r="AD27" s="363" t="n"/>
      <c r="AE27" s="363" t="n"/>
      <c r="AF27" s="363" t="n"/>
      <c r="AG27" s="363" t="n"/>
      <c r="AH27" s="363" t="n"/>
      <c r="AI27" s="363" t="n"/>
      <c r="AJ27" s="363" t="n"/>
      <c r="AK27" s="363" t="n"/>
      <c r="AL27" s="363" t="n"/>
      <c r="AM27" s="363" t="n"/>
      <c r="AN27" s="363" t="n"/>
      <c r="AO27" s="363" t="n"/>
      <c r="AP27" s="363" t="n"/>
      <c r="AQ27" s="363" t="n"/>
      <c r="AR27" s="363" t="n"/>
      <c r="AS27" s="363" t="n"/>
      <c r="AT27" s="363" t="n"/>
      <c r="AU27" s="363" t="n"/>
      <c r="AV27" s="363" t="n"/>
      <c r="AW27" s="363" t="n"/>
      <c r="AX27" s="363" t="n"/>
      <c r="AY27" s="363" t="n"/>
      <c r="AZ27" s="363" t="n"/>
      <c r="BA27" s="363" t="n"/>
      <c r="BB27" s="363" t="n"/>
      <c r="BC27" s="363" t="n"/>
      <c r="BD27" s="363" t="n"/>
      <c r="BE27" s="363" t="n"/>
      <c r="BF27" s="363" t="n"/>
      <c r="BG27" s="363" t="n"/>
      <c r="BH27" s="363" t="n"/>
      <c r="BI27" s="363" t="n"/>
      <c r="BJ27" s="363" t="n"/>
      <c r="BK27" s="363" t="n"/>
      <c r="BL27" s="363" t="n"/>
      <c r="BM27" s="363" t="n"/>
      <c r="BN27" s="363" t="n"/>
      <c r="BO27" s="363" t="n"/>
      <c r="BP27" s="363" t="n"/>
    </row>
    <row r="28">
      <c r="A28" s="2" t="inlineStr">
        <is>
          <t>Marketing</t>
        </is>
      </c>
      <c r="B28" s="29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95" t="n"/>
      <c r="V28" s="36" t="n"/>
      <c r="W28" s="36" t="n"/>
      <c r="X28" s="36" t="n"/>
      <c r="Y28" s="95" t="n"/>
      <c r="Z28" s="36" t="n"/>
      <c r="AA28" s="36" t="n"/>
      <c r="AB28" s="95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6" t="n"/>
      <c r="BH28" s="36" t="n"/>
      <c r="BI28" s="36" t="n"/>
      <c r="BJ28" s="36" t="n"/>
      <c r="BK28" s="36" t="n"/>
      <c r="BL28" s="36" t="n"/>
      <c r="BM28" s="36" t="n"/>
      <c r="BN28" s="36" t="n"/>
      <c r="BO28" s="36" t="n"/>
      <c r="BP28" s="36" t="n"/>
      <c r="BQ28" s="3" t="n"/>
    </row>
    <row r="29">
      <c r="A29" s="28" t="n"/>
      <c r="B29" s="17" t="n"/>
      <c r="BQ29" s="25" t="n"/>
    </row>
    <row r="30">
      <c r="A30" s="28" t="inlineStr">
        <is>
          <t>Sales</t>
        </is>
      </c>
      <c r="B30" s="17" t="n"/>
      <c r="BQ30" s="25" t="n"/>
    </row>
    <row r="31">
      <c r="A31" s="94" t="inlineStr">
        <is>
          <t>PHCC</t>
        </is>
      </c>
      <c r="B31" s="17" t="inlineStr">
        <is>
          <t>kt</t>
        </is>
      </c>
      <c r="C31" s="299" t="n">
        <v>0</v>
      </c>
      <c r="D31" s="344">
        <f>$C$31*D19</f>
        <v/>
      </c>
      <c r="E31" s="344">
        <f>$C$31*E19</f>
        <v/>
      </c>
      <c r="F31" s="344">
        <f>$C$31*F19</f>
        <v/>
      </c>
      <c r="G31" s="344">
        <f>$C$31*G19</f>
        <v/>
      </c>
      <c r="H31" s="344">
        <f>$C$31*H19</f>
        <v/>
      </c>
      <c r="I31" s="344">
        <f>$C$31*I19</f>
        <v/>
      </c>
      <c r="J31" s="344">
        <f>$C$31*J19</f>
        <v/>
      </c>
      <c r="K31" s="344">
        <f>$C$31*K19</f>
        <v/>
      </c>
      <c r="L31" s="344">
        <f>$C$31*L19</f>
        <v/>
      </c>
      <c r="M31" s="344">
        <f>$C$31*M19</f>
        <v/>
      </c>
      <c r="N31" s="344">
        <f>$C$31*N19</f>
        <v/>
      </c>
      <c r="O31" s="344">
        <f>$C$31*O19</f>
        <v/>
      </c>
      <c r="P31" s="344">
        <f>$C$31*P19</f>
        <v/>
      </c>
      <c r="Q31" s="344">
        <f>$C$31*Q19</f>
        <v/>
      </c>
      <c r="R31" s="344">
        <f>$C$31*R19</f>
        <v/>
      </c>
      <c r="S31" s="344">
        <f>$C$31*S19</f>
        <v/>
      </c>
      <c r="T31" s="344">
        <f>$C$31*T19</f>
        <v/>
      </c>
      <c r="U31" s="344">
        <f>$C$31*U19</f>
        <v/>
      </c>
      <c r="V31" s="344">
        <f>$C$31*V19</f>
        <v/>
      </c>
      <c r="W31" s="344">
        <f>$C$31*W19</f>
        <v/>
      </c>
      <c r="X31" s="344">
        <f>$C$31*X19</f>
        <v/>
      </c>
      <c r="Y31" s="344">
        <f>$C$31*Y19</f>
        <v/>
      </c>
      <c r="Z31" s="344">
        <f>$C$31*Z19</f>
        <v/>
      </c>
      <c r="AA31" s="344">
        <f>$C$31*AA19</f>
        <v/>
      </c>
      <c r="AB31" s="344">
        <f>$C$31*AB19</f>
        <v/>
      </c>
      <c r="AC31" s="344">
        <f>$C$31*AC19</f>
        <v/>
      </c>
      <c r="AD31" s="344">
        <f>$C$31*AD19</f>
        <v/>
      </c>
      <c r="AE31" s="344">
        <f>$C$31*AE19</f>
        <v/>
      </c>
      <c r="AF31" s="344">
        <f>$C$31*AF19</f>
        <v/>
      </c>
      <c r="AG31" s="344">
        <f>$C$31*AG19</f>
        <v/>
      </c>
      <c r="AH31" s="344">
        <f>$C$31*AH19</f>
        <v/>
      </c>
      <c r="AI31" s="344">
        <f>$C$31*AI19</f>
        <v/>
      </c>
      <c r="AJ31" s="344">
        <f>$C$31*AJ19</f>
        <v/>
      </c>
      <c r="AK31" s="344">
        <f>$C$31*AK19</f>
        <v/>
      </c>
      <c r="AL31" s="344">
        <f>$C$31*AL19</f>
        <v/>
      </c>
      <c r="AM31" s="344">
        <f>$C$31*AM19</f>
        <v/>
      </c>
      <c r="AN31" s="344">
        <f>$C$31*AN19</f>
        <v/>
      </c>
      <c r="AO31" s="344">
        <f>$C$31*AO19</f>
        <v/>
      </c>
      <c r="AP31" s="344">
        <f>$C$31*AP19</f>
        <v/>
      </c>
      <c r="AQ31" s="344">
        <f>$C$31*AQ19</f>
        <v/>
      </c>
      <c r="AR31" s="344">
        <f>$C$31*AR19</f>
        <v/>
      </c>
      <c r="AS31" s="344">
        <f>$C$31*AS19</f>
        <v/>
      </c>
      <c r="AT31" s="344">
        <f>$C$31*AT19</f>
        <v/>
      </c>
      <c r="AU31" s="344">
        <f>$C$31*AU19</f>
        <v/>
      </c>
      <c r="AV31" s="344">
        <f>$C$31*AV19</f>
        <v/>
      </c>
      <c r="AW31" s="344">
        <f>$C$31*AW19</f>
        <v/>
      </c>
      <c r="AX31" s="344">
        <f>$C$31*AX19</f>
        <v/>
      </c>
      <c r="AY31" s="344">
        <f>$C$31*AY19</f>
        <v/>
      </c>
      <c r="AZ31" s="344">
        <f>$C$31*AZ19</f>
        <v/>
      </c>
      <c r="BA31" s="344">
        <f>$C$31*BA19</f>
        <v/>
      </c>
      <c r="BB31" s="344">
        <f>$C$31*BB19</f>
        <v/>
      </c>
      <c r="BC31" s="344">
        <f>$C$31*BC19</f>
        <v/>
      </c>
      <c r="BD31" s="344">
        <f>$C$31*BD19</f>
        <v/>
      </c>
      <c r="BE31" s="344">
        <f>$C$31*BE19</f>
        <v/>
      </c>
      <c r="BF31" s="344">
        <f>$C$31*BF19</f>
        <v/>
      </c>
      <c r="BG31" s="344">
        <f>$C$31*BG19</f>
        <v/>
      </c>
      <c r="BH31" s="344">
        <f>$C$31*BH19</f>
        <v/>
      </c>
      <c r="BI31" s="344">
        <f>$C$31*BI19</f>
        <v/>
      </c>
      <c r="BJ31" s="344">
        <f>$C$31*BJ19</f>
        <v/>
      </c>
      <c r="BK31" s="344">
        <f>$C$31*BK19</f>
        <v/>
      </c>
      <c r="BL31" s="344">
        <f>$C$31*BL19</f>
        <v/>
      </c>
      <c r="BM31" s="344">
        <f>$C$31*BM19</f>
        <v/>
      </c>
      <c r="BN31" s="344">
        <f>$C$31*BN19</f>
        <v/>
      </c>
      <c r="BO31" s="344">
        <f>$C$31*BO19</f>
        <v/>
      </c>
      <c r="BP31" s="344" t="n"/>
      <c r="BQ31" s="370">
        <f>SUM(D31:BO31)</f>
        <v/>
      </c>
    </row>
    <row r="32">
      <c r="A32" s="94" t="inlineStr">
        <is>
          <t>88% PHCC</t>
        </is>
      </c>
      <c r="B32" s="17" t="inlineStr">
        <is>
          <t>kt</t>
        </is>
      </c>
      <c r="C32" s="299" t="n">
        <v>1</v>
      </c>
      <c r="D32" s="344">
        <f>$C$32*D19</f>
        <v/>
      </c>
      <c r="E32" s="344">
        <f>$C$32*E19</f>
        <v/>
      </c>
      <c r="F32" s="344">
        <f>$C$32*F19</f>
        <v/>
      </c>
      <c r="G32" s="344">
        <f>$C$32*G19</f>
        <v/>
      </c>
      <c r="H32" s="344">
        <f>$C$32*H19</f>
        <v/>
      </c>
      <c r="I32" s="344">
        <f>$C$32*I19</f>
        <v/>
      </c>
      <c r="J32" s="344">
        <f>$C$32*J19</f>
        <v/>
      </c>
      <c r="K32" s="344">
        <f>$C$32*K19</f>
        <v/>
      </c>
      <c r="L32" s="344">
        <f>$C$32*L19</f>
        <v/>
      </c>
      <c r="M32" s="344">
        <f>$C$32*M19</f>
        <v/>
      </c>
      <c r="N32" s="344">
        <f>$C$32*N19</f>
        <v/>
      </c>
      <c r="O32" s="344">
        <f>$C$32*O19</f>
        <v/>
      </c>
      <c r="P32" s="344">
        <f>$C$32*P19</f>
        <v/>
      </c>
      <c r="Q32" s="344">
        <f>$C$32*Q19</f>
        <v/>
      </c>
      <c r="R32" s="344">
        <f>$C$32*R19</f>
        <v/>
      </c>
      <c r="S32" s="344">
        <f>$C$32*S19</f>
        <v/>
      </c>
      <c r="T32" s="344">
        <f>$C$32*T19</f>
        <v/>
      </c>
      <c r="U32" s="344">
        <f>$C$32*U19</f>
        <v/>
      </c>
      <c r="V32" s="344">
        <f>$C$32*V19</f>
        <v/>
      </c>
      <c r="W32" s="344">
        <f>$C$32*W19</f>
        <v/>
      </c>
      <c r="X32" s="344">
        <f>$C$32*X19</f>
        <v/>
      </c>
      <c r="Y32" s="344">
        <f>$C$32*Y19</f>
        <v/>
      </c>
      <c r="Z32" s="344">
        <f>$C$32*Z19</f>
        <v/>
      </c>
      <c r="AA32" s="344">
        <f>$C$32*AA19</f>
        <v/>
      </c>
      <c r="AB32" s="344">
        <f>$C$32*AB19</f>
        <v/>
      </c>
      <c r="AC32" s="344">
        <f>$C$32*AC19</f>
        <v/>
      </c>
      <c r="AD32" s="344">
        <f>$C$32*AD19</f>
        <v/>
      </c>
      <c r="AE32" s="344">
        <f>$C$32*AE19</f>
        <v/>
      </c>
      <c r="AF32" s="344">
        <f>$C$32*AF19</f>
        <v/>
      </c>
      <c r="AG32" s="344">
        <f>$C$32*AG19</f>
        <v/>
      </c>
      <c r="AH32" s="344">
        <f>$C$32*AH19</f>
        <v/>
      </c>
      <c r="AI32" s="344">
        <f>$C$32*AI19</f>
        <v/>
      </c>
      <c r="AJ32" s="344">
        <f>$C$32*AJ19</f>
        <v/>
      </c>
      <c r="AK32" s="344">
        <f>$C$32*AK19</f>
        <v/>
      </c>
      <c r="AL32" s="344">
        <f>$C$32*AL19</f>
        <v/>
      </c>
      <c r="AM32" s="344">
        <f>$C$32*AM19</f>
        <v/>
      </c>
      <c r="AN32" s="344">
        <f>$C$32*AN19</f>
        <v/>
      </c>
      <c r="AO32" s="344">
        <f>$C$32*AO19</f>
        <v/>
      </c>
      <c r="AP32" s="344">
        <f>$C$32*AP19</f>
        <v/>
      </c>
      <c r="AQ32" s="344">
        <f>$C$32*AQ19</f>
        <v/>
      </c>
      <c r="AR32" s="344">
        <f>$C$32*AR19</f>
        <v/>
      </c>
      <c r="AS32" s="344">
        <f>$C$32*AS19</f>
        <v/>
      </c>
      <c r="AT32" s="344">
        <f>$C$32*AT19</f>
        <v/>
      </c>
      <c r="AU32" s="344">
        <f>$C$32*AU19</f>
        <v/>
      </c>
      <c r="AV32" s="344">
        <f>$C$32*AV19</f>
        <v/>
      </c>
      <c r="AW32" s="344">
        <f>$C$32*AW19</f>
        <v/>
      </c>
      <c r="AX32" s="344">
        <f>$C$32*AX19</f>
        <v/>
      </c>
      <c r="AY32" s="344">
        <f>$C$32*AY19</f>
        <v/>
      </c>
      <c r="AZ32" s="344">
        <f>$C$32*AZ19</f>
        <v/>
      </c>
      <c r="BA32" s="344">
        <f>$C$32*BA19</f>
        <v/>
      </c>
      <c r="BB32" s="344">
        <f>$C$32*BB19</f>
        <v/>
      </c>
      <c r="BC32" s="344">
        <f>$C$32*BC19</f>
        <v/>
      </c>
      <c r="BD32" s="344">
        <f>$C$32*BD19</f>
        <v/>
      </c>
      <c r="BE32" s="344">
        <f>$C$32*BE19</f>
        <v/>
      </c>
      <c r="BF32" s="344">
        <f>$C$32*BF19</f>
        <v/>
      </c>
      <c r="BG32" s="344">
        <f>$C$32*BG19</f>
        <v/>
      </c>
      <c r="BH32" s="344">
        <f>$C$32*BH19</f>
        <v/>
      </c>
      <c r="BI32" s="344">
        <f>$C$32*BI19</f>
        <v/>
      </c>
      <c r="BJ32" s="344">
        <f>$C$32*BJ19</f>
        <v/>
      </c>
      <c r="BK32" s="344">
        <f>$C$32*BK19</f>
        <v/>
      </c>
      <c r="BL32" s="344">
        <f>$C$32*BL19</f>
        <v/>
      </c>
      <c r="BM32" s="344">
        <f>$C$32*BM19</f>
        <v/>
      </c>
      <c r="BN32" s="344">
        <f>$C$32*BN19</f>
        <v/>
      </c>
      <c r="BO32" s="344">
        <f>$C$32*BO19</f>
        <v/>
      </c>
      <c r="BP32" s="344" t="n"/>
      <c r="BQ32" s="370">
        <f>SUM(D32:BO32)</f>
        <v/>
      </c>
    </row>
    <row r="33">
      <c r="A33" s="94" t="inlineStr">
        <is>
          <t>Thermal GCN</t>
        </is>
      </c>
      <c r="B33" s="17" t="inlineStr">
        <is>
          <t>kt</t>
        </is>
      </c>
      <c r="C33" s="299" t="n">
        <v>0</v>
      </c>
      <c r="D33" s="344">
        <f>$C$33*D19</f>
        <v/>
      </c>
      <c r="E33" s="344">
        <f>$C$33*E19</f>
        <v/>
      </c>
      <c r="F33" s="344">
        <f>$C$33*F19</f>
        <v/>
      </c>
      <c r="G33" s="344">
        <f>$C$33*G19</f>
        <v/>
      </c>
      <c r="H33" s="344">
        <f>$C$33*H19</f>
        <v/>
      </c>
      <c r="I33" s="344">
        <f>$C$33*I19</f>
        <v/>
      </c>
      <c r="J33" s="344">
        <f>$C$33*J19</f>
        <v/>
      </c>
      <c r="K33" s="344">
        <f>$C$33*K19</f>
        <v/>
      </c>
      <c r="L33" s="344">
        <f>$C$33*L19</f>
        <v/>
      </c>
      <c r="M33" s="344">
        <f>$C$33*M19</f>
        <v/>
      </c>
      <c r="N33" s="344">
        <f>$C$33*N19</f>
        <v/>
      </c>
      <c r="O33" s="344">
        <f>$C$33*O19</f>
        <v/>
      </c>
      <c r="P33" s="344">
        <f>$C$33*P19</f>
        <v/>
      </c>
      <c r="Q33" s="344">
        <f>$C$33*Q19</f>
        <v/>
      </c>
      <c r="R33" s="344">
        <f>$C$33*R19</f>
        <v/>
      </c>
      <c r="S33" s="344">
        <f>$C$33*S19</f>
        <v/>
      </c>
      <c r="T33" s="344">
        <f>$C$33*T19</f>
        <v/>
      </c>
      <c r="U33" s="344">
        <f>$C$33*U19</f>
        <v/>
      </c>
      <c r="V33" s="344">
        <f>$C$33*V19</f>
        <v/>
      </c>
      <c r="W33" s="344">
        <f>$C$33*W19</f>
        <v/>
      </c>
      <c r="X33" s="344">
        <f>$C$33*X19</f>
        <v/>
      </c>
      <c r="Y33" s="344">
        <f>$C$33*Y19</f>
        <v/>
      </c>
      <c r="Z33" s="344">
        <f>$C$33*Z19</f>
        <v/>
      </c>
      <c r="AA33" s="344">
        <f>$C$33*AA19</f>
        <v/>
      </c>
      <c r="AB33" s="344">
        <f>$C$33*AB19</f>
        <v/>
      </c>
      <c r="AC33" s="344">
        <f>$C$33*AC19</f>
        <v/>
      </c>
      <c r="AD33" s="344">
        <f>$C$33*AD19</f>
        <v/>
      </c>
      <c r="AE33" s="344">
        <f>$C$33*AE19</f>
        <v/>
      </c>
      <c r="AF33" s="344">
        <f>$C$33*AF19</f>
        <v/>
      </c>
      <c r="AG33" s="344">
        <f>$C$33*AG19</f>
        <v/>
      </c>
      <c r="AH33" s="344">
        <f>$C$33*AH19</f>
        <v/>
      </c>
      <c r="AI33" s="344">
        <f>$C$33*AI19</f>
        <v/>
      </c>
      <c r="AJ33" s="344">
        <f>$C$33*AJ19</f>
        <v/>
      </c>
      <c r="AK33" s="344">
        <f>$C$33*AK19</f>
        <v/>
      </c>
      <c r="AL33" s="344">
        <f>$C$33*AL19</f>
        <v/>
      </c>
      <c r="AM33" s="344">
        <f>$C$33*AM19</f>
        <v/>
      </c>
      <c r="AN33" s="344">
        <f>$C$33*AN19</f>
        <v/>
      </c>
      <c r="AO33" s="344">
        <f>$C$33*AO19</f>
        <v/>
      </c>
      <c r="AP33" s="344">
        <f>$C$33*AP19</f>
        <v/>
      </c>
      <c r="AQ33" s="344">
        <f>$C$33*AQ19</f>
        <v/>
      </c>
      <c r="AR33" s="344">
        <f>$C$33*AR19</f>
        <v/>
      </c>
      <c r="AS33" s="344">
        <f>$C$33*AS19</f>
        <v/>
      </c>
      <c r="AT33" s="344">
        <f>$C$33*AT19</f>
        <v/>
      </c>
      <c r="AU33" s="344">
        <f>$C$33*AU19</f>
        <v/>
      </c>
      <c r="AV33" s="344">
        <f>$C$33*AV19</f>
        <v/>
      </c>
      <c r="AW33" s="344">
        <f>$C$33*AW19</f>
        <v/>
      </c>
      <c r="AX33" s="344">
        <f>$C$33*AX19</f>
        <v/>
      </c>
      <c r="AY33" s="344">
        <f>$C$33*AY19</f>
        <v/>
      </c>
      <c r="AZ33" s="344">
        <f>$C$33*AZ19</f>
        <v/>
      </c>
      <c r="BA33" s="344">
        <f>$C$33*BA19</f>
        <v/>
      </c>
      <c r="BB33" s="344">
        <f>$C$33*BB19</f>
        <v/>
      </c>
      <c r="BC33" s="344">
        <f>$C$33*BC19</f>
        <v/>
      </c>
      <c r="BD33" s="344">
        <f>$C$33*BD19</f>
        <v/>
      </c>
      <c r="BE33" s="344">
        <f>$C$33*BE19</f>
        <v/>
      </c>
      <c r="BF33" s="344">
        <f>$C$33*BF19</f>
        <v/>
      </c>
      <c r="BG33" s="344">
        <f>$C$33*BG19</f>
        <v/>
      </c>
      <c r="BH33" s="344">
        <f>$C$33*BH19</f>
        <v/>
      </c>
      <c r="BI33" s="344">
        <f>$C$33*BI19</f>
        <v/>
      </c>
      <c r="BJ33" s="344">
        <f>$C$33*BJ19</f>
        <v/>
      </c>
      <c r="BK33" s="344">
        <f>$C$33*BK19</f>
        <v/>
      </c>
      <c r="BL33" s="344">
        <f>$C$33*BL19</f>
        <v/>
      </c>
      <c r="BM33" s="344">
        <f>$C$33*BM19</f>
        <v/>
      </c>
      <c r="BN33" s="344">
        <f>$C$33*BN19</f>
        <v/>
      </c>
      <c r="BO33" s="344">
        <f>$C$33*BO19</f>
        <v/>
      </c>
      <c r="BP33" s="344" t="n"/>
      <c r="BQ33" s="370">
        <f>SUM(D33:BO33)</f>
        <v/>
      </c>
    </row>
    <row r="34">
      <c r="A34" s="4" t="inlineStr">
        <is>
          <t>Total Sales</t>
        </is>
      </c>
      <c r="B34" s="17" t="inlineStr">
        <is>
          <t>kt</t>
        </is>
      </c>
      <c r="D34" s="347">
        <f>SUM(D31:D33)</f>
        <v/>
      </c>
      <c r="E34" s="347">
        <f>SUM(E31:E33)</f>
        <v/>
      </c>
      <c r="F34" s="347">
        <f>SUM(F31:F33)</f>
        <v/>
      </c>
      <c r="G34" s="347">
        <f>SUM(G31:G33)</f>
        <v/>
      </c>
      <c r="H34" s="347">
        <f>SUM(H31:H33)</f>
        <v/>
      </c>
      <c r="I34" s="347">
        <f>SUM(I31:I33)</f>
        <v/>
      </c>
      <c r="J34" s="347">
        <f>SUM(J31:J33)</f>
        <v/>
      </c>
      <c r="K34" s="347">
        <f>SUM(K31:K33)</f>
        <v/>
      </c>
      <c r="L34" s="347">
        <f>SUM(L31:L33)</f>
        <v/>
      </c>
      <c r="M34" s="347">
        <f>SUM(M31:M33)</f>
        <v/>
      </c>
      <c r="N34" s="347">
        <f>SUM(N31:N33)</f>
        <v/>
      </c>
      <c r="O34" s="347">
        <f>SUM(O31:O33)</f>
        <v/>
      </c>
      <c r="P34" s="347">
        <f>SUM(P31:P33)</f>
        <v/>
      </c>
      <c r="Q34" s="347">
        <f>SUM(Q31:Q33)</f>
        <v/>
      </c>
      <c r="R34" s="347">
        <f>SUM(R31:R33)</f>
        <v/>
      </c>
      <c r="S34" s="347">
        <f>SUM(S31:S33)</f>
        <v/>
      </c>
      <c r="T34" s="347">
        <f>SUM(T31:T33)</f>
        <v/>
      </c>
      <c r="U34" s="347">
        <f>SUM(U31:U33)</f>
        <v/>
      </c>
      <c r="V34" s="347">
        <f>SUM(V31:V33)</f>
        <v/>
      </c>
      <c r="W34" s="347">
        <f>SUM(W31:W33)</f>
        <v/>
      </c>
      <c r="X34" s="347">
        <f>SUM(X31:X33)</f>
        <v/>
      </c>
      <c r="Y34" s="347">
        <f>SUM(Y31:Y33)</f>
        <v/>
      </c>
      <c r="Z34" s="347">
        <f>SUM(Z31:Z33)</f>
        <v/>
      </c>
      <c r="AA34" s="347">
        <f>SUM(AA31:AA33)</f>
        <v/>
      </c>
      <c r="AB34" s="347">
        <f>SUM(AB31:AB33)</f>
        <v/>
      </c>
      <c r="AC34" s="347">
        <f>SUM(AC31:AC33)</f>
        <v/>
      </c>
      <c r="AD34" s="347">
        <f>SUM(AD31:AD33)</f>
        <v/>
      </c>
      <c r="AE34" s="347">
        <f>SUM(AE31:AE33)</f>
        <v/>
      </c>
      <c r="AF34" s="347">
        <f>SUM(AF31:AF33)</f>
        <v/>
      </c>
      <c r="AG34" s="347">
        <f>SUM(AG31:AG33)</f>
        <v/>
      </c>
      <c r="AH34" s="347">
        <f>SUM(AH31:AH33)</f>
        <v/>
      </c>
      <c r="AI34" s="347">
        <f>SUM(AI31:AI33)</f>
        <v/>
      </c>
      <c r="AJ34" s="347">
        <f>SUM(AJ31:AJ33)</f>
        <v/>
      </c>
      <c r="AK34" s="347">
        <f>SUM(AK31:AK33)</f>
        <v/>
      </c>
      <c r="AL34" s="347">
        <f>SUM(AL31:AL33)</f>
        <v/>
      </c>
      <c r="AM34" s="347">
        <f>SUM(AM31:AM33)</f>
        <v/>
      </c>
      <c r="AN34" s="347">
        <f>SUM(AN31:AN33)</f>
        <v/>
      </c>
      <c r="AO34" s="347">
        <f>SUM(AO31:AO33)</f>
        <v/>
      </c>
      <c r="AP34" s="347">
        <f>SUM(AP31:AP33)</f>
        <v/>
      </c>
      <c r="AQ34" s="347">
        <f>SUM(AQ31:AQ33)</f>
        <v/>
      </c>
      <c r="AR34" s="347">
        <f>SUM(AR31:AR33)</f>
        <v/>
      </c>
      <c r="AS34" s="347">
        <f>SUM(AS31:AS33)</f>
        <v/>
      </c>
      <c r="AT34" s="347">
        <f>SUM(AT31:AT33)</f>
        <v/>
      </c>
      <c r="AU34" s="347">
        <f>SUM(AU31:AU33)</f>
        <v/>
      </c>
      <c r="AV34" s="347">
        <f>SUM(AV31:AV33)</f>
        <v/>
      </c>
      <c r="AW34" s="347">
        <f>SUM(AW31:AW33)</f>
        <v/>
      </c>
      <c r="AX34" s="347">
        <f>SUM(AX31:AX33)</f>
        <v/>
      </c>
      <c r="AY34" s="347">
        <f>SUM(AY31:AY33)</f>
        <v/>
      </c>
      <c r="AZ34" s="347">
        <f>SUM(AZ31:AZ33)</f>
        <v/>
      </c>
      <c r="BA34" s="347">
        <f>SUM(BA31:BA33)</f>
        <v/>
      </c>
      <c r="BB34" s="347">
        <f>SUM(BB31:BB33)</f>
        <v/>
      </c>
      <c r="BC34" s="347">
        <f>SUM(BC31:BC33)</f>
        <v/>
      </c>
      <c r="BD34" s="347">
        <f>SUM(BD31:BD33)</f>
        <v/>
      </c>
      <c r="BE34" s="347">
        <f>SUM(BE31:BE33)</f>
        <v/>
      </c>
      <c r="BF34" s="347">
        <f>SUM(BF31:BF33)</f>
        <v/>
      </c>
      <c r="BG34" s="347">
        <f>SUM(BG31:BG33)</f>
        <v/>
      </c>
      <c r="BH34" s="347">
        <f>SUM(BH31:BH33)</f>
        <v/>
      </c>
      <c r="BI34" s="347">
        <f>SUM(BI31:BI33)</f>
        <v/>
      </c>
      <c r="BJ34" s="347">
        <f>SUM(BJ31:BJ33)</f>
        <v/>
      </c>
      <c r="BK34" s="347">
        <f>SUM(BK31:BK33)</f>
        <v/>
      </c>
      <c r="BL34" s="347">
        <f>SUM(BL31:BL33)</f>
        <v/>
      </c>
      <c r="BM34" s="347">
        <f>SUM(BM31:BM33)</f>
        <v/>
      </c>
      <c r="BN34" s="347">
        <f>SUM(BN31:BN33)</f>
        <v/>
      </c>
      <c r="BO34" s="347">
        <f>SUM(BO31:BO33)</f>
        <v/>
      </c>
      <c r="BP34" s="347" t="n"/>
      <c r="BQ34" s="400">
        <f>SUM(BQ31:BQ33)</f>
        <v/>
      </c>
    </row>
    <row r="35">
      <c r="A35" s="4" t="n"/>
      <c r="B35" s="17" t="n"/>
      <c r="BQ35" s="25" t="n"/>
    </row>
    <row r="36">
      <c r="A36" s="28" t="inlineStr">
        <is>
          <t>Product Ash (as received)</t>
        </is>
      </c>
      <c r="B36" s="17" t="n"/>
      <c r="BQ36" s="25" t="n"/>
    </row>
    <row r="37">
      <c r="A37" s="4">
        <f>$A$31</f>
        <v/>
      </c>
      <c r="B37" s="17" t="inlineStr">
        <is>
          <t>%</t>
        </is>
      </c>
      <c r="D37" s="329" t="n"/>
      <c r="E37" s="329" t="n"/>
      <c r="F37" s="329" t="n"/>
      <c r="G37" s="329" t="n"/>
      <c r="H37" s="329" t="n">
        <v>0</v>
      </c>
      <c r="I37" s="329" t="n">
        <v>0</v>
      </c>
      <c r="J37" s="329" t="n">
        <v>0</v>
      </c>
      <c r="K37" s="329" t="n">
        <v>0</v>
      </c>
      <c r="L37" s="329" t="n">
        <v>0</v>
      </c>
      <c r="M37" s="329" t="n">
        <v>0</v>
      </c>
      <c r="N37" s="329" t="n">
        <v>0</v>
      </c>
      <c r="O37" s="329" t="n">
        <v>0</v>
      </c>
      <c r="P37" s="329" t="n">
        <v>0</v>
      </c>
      <c r="Q37" s="329" t="n">
        <v>0</v>
      </c>
      <c r="R37" s="329" t="n">
        <v>0</v>
      </c>
      <c r="S37" s="329" t="n">
        <v>0</v>
      </c>
      <c r="T37" s="329" t="n">
        <v>0</v>
      </c>
      <c r="U37" s="329" t="n">
        <v>0</v>
      </c>
      <c r="V37" s="329" t="n">
        <v>0</v>
      </c>
      <c r="W37" s="329" t="n">
        <v>0</v>
      </c>
      <c r="X37" s="329" t="n">
        <v>0</v>
      </c>
      <c r="Y37" s="329" t="n">
        <v>0</v>
      </c>
      <c r="Z37" s="329" t="n">
        <v>0</v>
      </c>
      <c r="AA37" s="329" t="n">
        <v>0</v>
      </c>
      <c r="AB37" s="329" t="n">
        <v>0</v>
      </c>
      <c r="AC37" s="329" t="n">
        <v>0</v>
      </c>
      <c r="AD37" s="329" t="n">
        <v>0</v>
      </c>
      <c r="AE37" s="329" t="n">
        <v>0</v>
      </c>
      <c r="AF37" s="329" t="n">
        <v>0</v>
      </c>
      <c r="AG37" s="329" t="n">
        <v>0</v>
      </c>
      <c r="AH37" s="329" t="n">
        <v>0</v>
      </c>
      <c r="AI37" s="329" t="n">
        <v>0</v>
      </c>
      <c r="AJ37" s="329" t="n">
        <v>0</v>
      </c>
      <c r="AK37" s="329" t="n">
        <v>0</v>
      </c>
      <c r="AL37" s="329" t="n">
        <v>0</v>
      </c>
      <c r="AM37" s="329" t="n">
        <v>0</v>
      </c>
      <c r="AN37" s="329" t="n">
        <v>0</v>
      </c>
      <c r="AO37" s="329" t="n">
        <v>0</v>
      </c>
      <c r="AP37" s="329" t="n">
        <v>0</v>
      </c>
      <c r="AQ37" s="329" t="n">
        <v>0</v>
      </c>
      <c r="AR37" s="329" t="n">
        <v>0</v>
      </c>
      <c r="AS37" s="329" t="n">
        <v>0</v>
      </c>
      <c r="AT37" s="329" t="n">
        <v>0</v>
      </c>
      <c r="AU37" s="329" t="n">
        <v>0</v>
      </c>
      <c r="AV37" s="329" t="n">
        <v>0</v>
      </c>
      <c r="AW37" s="329" t="n">
        <v>0</v>
      </c>
      <c r="AX37" s="329" t="n">
        <v>0</v>
      </c>
      <c r="AY37" s="329" t="n">
        <v>0</v>
      </c>
      <c r="AZ37" s="329" t="n">
        <v>0</v>
      </c>
      <c r="BA37" s="329" t="n">
        <v>0</v>
      </c>
      <c r="BB37" s="329" t="n">
        <v>0</v>
      </c>
      <c r="BC37" s="329" t="n">
        <v>0</v>
      </c>
      <c r="BD37" s="329" t="n">
        <v>0</v>
      </c>
      <c r="BE37" s="329" t="n">
        <v>0</v>
      </c>
      <c r="BF37" s="329" t="n">
        <v>0</v>
      </c>
      <c r="BG37" s="329" t="n">
        <v>0</v>
      </c>
      <c r="BH37" s="329" t="n">
        <v>0</v>
      </c>
      <c r="BI37" s="329" t="n">
        <v>0</v>
      </c>
      <c r="BJ37" s="329" t="n">
        <v>0</v>
      </c>
      <c r="BK37" s="329" t="n">
        <v>0</v>
      </c>
      <c r="BL37" s="329" t="n">
        <v>0</v>
      </c>
      <c r="BM37" s="329" t="n">
        <v>0</v>
      </c>
      <c r="BN37" s="329" t="n">
        <v>0</v>
      </c>
      <c r="BO37" s="329" t="n">
        <v>0</v>
      </c>
      <c r="BP37" s="329" t="n"/>
      <c r="BQ37" s="370" t="n"/>
    </row>
    <row r="38">
      <c r="A38" s="4">
        <f>$A$32</f>
        <v/>
      </c>
      <c r="B38" s="17" t="inlineStr">
        <is>
          <t>%</t>
        </is>
      </c>
      <c r="D38" s="329" t="n"/>
      <c r="E38" s="329" t="n"/>
      <c r="F38" s="329" t="n"/>
      <c r="G38" s="329" t="n"/>
      <c r="H38" s="329" t="n">
        <v>0.095</v>
      </c>
      <c r="I38" s="329" t="n">
        <v>0.095</v>
      </c>
      <c r="J38" s="329" t="n">
        <v>0.095</v>
      </c>
      <c r="K38" s="329" t="n">
        <v>0.095</v>
      </c>
      <c r="L38" s="329" t="n">
        <v>0.095</v>
      </c>
      <c r="M38" s="329" t="n">
        <v>0.095</v>
      </c>
      <c r="N38" s="329" t="n">
        <v>0.095</v>
      </c>
      <c r="O38" s="329" t="n">
        <v>0.095</v>
      </c>
      <c r="P38" s="329" t="n">
        <v>0.095</v>
      </c>
      <c r="Q38" s="329" t="n">
        <v>0.095</v>
      </c>
      <c r="R38" s="329" t="n">
        <v>0.095</v>
      </c>
      <c r="S38" s="329" t="n">
        <v>0.095</v>
      </c>
      <c r="T38" s="329" t="n">
        <v>0.095</v>
      </c>
      <c r="U38" s="329" t="n">
        <v>0.095</v>
      </c>
      <c r="V38" s="329" t="n">
        <v>0.095</v>
      </c>
      <c r="W38" s="329" t="n">
        <v>0.095</v>
      </c>
      <c r="X38" s="329" t="n">
        <v>0.095</v>
      </c>
      <c r="Y38" s="329" t="n">
        <v>0.095</v>
      </c>
      <c r="Z38" s="329" t="n">
        <v>0.095</v>
      </c>
      <c r="AA38" s="329" t="n">
        <v>0.095</v>
      </c>
      <c r="AB38" s="329" t="n">
        <v>0.095</v>
      </c>
      <c r="AC38" s="329" t="n">
        <v>0.095</v>
      </c>
      <c r="AD38" s="329" t="n">
        <v>0.095</v>
      </c>
      <c r="AE38" s="329" t="n">
        <v>0.095</v>
      </c>
      <c r="AF38" s="329" t="n">
        <v>0.095</v>
      </c>
      <c r="AG38" s="329" t="n">
        <v>0.095</v>
      </c>
      <c r="AH38" s="329" t="n">
        <v>0.095</v>
      </c>
      <c r="AI38" s="329" t="n">
        <v>0.095</v>
      </c>
      <c r="AJ38" s="329" t="n">
        <v>0.095</v>
      </c>
      <c r="AK38" s="329" t="n">
        <v>0.095</v>
      </c>
      <c r="AL38" s="329" t="n">
        <v>0.095</v>
      </c>
      <c r="AM38" s="329" t="n">
        <v>0.095</v>
      </c>
      <c r="AN38" s="329" t="n">
        <v>0.095</v>
      </c>
      <c r="AO38" s="329" t="n">
        <v>0.095</v>
      </c>
      <c r="AP38" s="329" t="n">
        <v>0.095</v>
      </c>
      <c r="AQ38" s="329" t="n">
        <v>0.095</v>
      </c>
      <c r="AR38" s="329" t="n">
        <v>0.095</v>
      </c>
      <c r="AS38" s="329" t="n">
        <v>0.095</v>
      </c>
      <c r="AT38" s="329" t="n">
        <v>0.095</v>
      </c>
      <c r="AU38" s="329" t="n">
        <v>0.095</v>
      </c>
      <c r="AV38" s="329" t="n">
        <v>0.095</v>
      </c>
      <c r="AW38" s="329" t="n">
        <v>0.095</v>
      </c>
      <c r="AX38" s="329" t="n">
        <v>0.095</v>
      </c>
      <c r="AY38" s="329" t="n">
        <v>0.095</v>
      </c>
      <c r="AZ38" s="329" t="n">
        <v>0.095</v>
      </c>
      <c r="BA38" s="329" t="n">
        <v>0.095</v>
      </c>
      <c r="BB38" s="329" t="n">
        <v>0.095</v>
      </c>
      <c r="BC38" s="329" t="n">
        <v>0.095</v>
      </c>
      <c r="BD38" s="329" t="n">
        <v>0.095</v>
      </c>
      <c r="BE38" s="329" t="n">
        <v>0.095</v>
      </c>
      <c r="BF38" s="329" t="n">
        <v>0.095</v>
      </c>
      <c r="BG38" s="329" t="n">
        <v>0.095</v>
      </c>
      <c r="BH38" s="329" t="n">
        <v>0.095</v>
      </c>
      <c r="BI38" s="329" t="n">
        <v>0.095</v>
      </c>
      <c r="BJ38" s="329" t="n">
        <v>0.095</v>
      </c>
      <c r="BK38" s="329" t="n">
        <v>0.095</v>
      </c>
      <c r="BL38" s="329" t="n">
        <v>0.095</v>
      </c>
      <c r="BM38" s="329" t="n">
        <v>0.095</v>
      </c>
      <c r="BN38" s="329" t="n">
        <v>0.095</v>
      </c>
      <c r="BO38" s="329" t="n">
        <v>0.095</v>
      </c>
      <c r="BP38" s="329" t="n"/>
      <c r="BQ38" s="370" t="n"/>
    </row>
    <row r="39">
      <c r="A39" s="4">
        <f>$A$33</f>
        <v/>
      </c>
      <c r="B39" s="17" t="inlineStr">
        <is>
          <t>%</t>
        </is>
      </c>
      <c r="D39" s="329" t="n"/>
      <c r="E39" s="329" t="n"/>
      <c r="F39" s="329" t="n"/>
      <c r="G39" s="329" t="n"/>
      <c r="H39" s="329" t="n">
        <v>0</v>
      </c>
      <c r="I39" s="329" t="n">
        <v>0</v>
      </c>
      <c r="J39" s="329" t="n">
        <v>0</v>
      </c>
      <c r="K39" s="329" t="n">
        <v>0</v>
      </c>
      <c r="L39" s="329" t="n">
        <v>0</v>
      </c>
      <c r="M39" s="329" t="n">
        <v>0</v>
      </c>
      <c r="N39" s="329" t="n">
        <v>0</v>
      </c>
      <c r="O39" s="329" t="n">
        <v>0</v>
      </c>
      <c r="P39" s="329" t="n">
        <v>0</v>
      </c>
      <c r="Q39" s="329" t="n">
        <v>0</v>
      </c>
      <c r="R39" s="329" t="n">
        <v>0</v>
      </c>
      <c r="S39" s="329" t="n">
        <v>0</v>
      </c>
      <c r="T39" s="329" t="n">
        <v>0</v>
      </c>
      <c r="U39" s="329" t="n">
        <v>0</v>
      </c>
      <c r="V39" s="329" t="n">
        <v>0</v>
      </c>
      <c r="W39" s="329" t="n">
        <v>0</v>
      </c>
      <c r="X39" s="329" t="n">
        <v>0</v>
      </c>
      <c r="Y39" s="329" t="n">
        <v>0</v>
      </c>
      <c r="Z39" s="329" t="n">
        <v>0</v>
      </c>
      <c r="AA39" s="329" t="n">
        <v>0</v>
      </c>
      <c r="AB39" s="329" t="n">
        <v>0</v>
      </c>
      <c r="AC39" s="329" t="n">
        <v>0</v>
      </c>
      <c r="AD39" s="329" t="n">
        <v>0</v>
      </c>
      <c r="AE39" s="329" t="n">
        <v>0</v>
      </c>
      <c r="AF39" s="329" t="n">
        <v>0</v>
      </c>
      <c r="AG39" s="329" t="n">
        <v>0</v>
      </c>
      <c r="AH39" s="329" t="n">
        <v>0</v>
      </c>
      <c r="AI39" s="329" t="n">
        <v>0</v>
      </c>
      <c r="AJ39" s="329" t="n">
        <v>0</v>
      </c>
      <c r="AK39" s="329" t="n">
        <v>0</v>
      </c>
      <c r="AL39" s="329" t="n">
        <v>0</v>
      </c>
      <c r="AM39" s="329" t="n">
        <v>0</v>
      </c>
      <c r="AN39" s="329" t="n">
        <v>0</v>
      </c>
      <c r="AO39" s="329" t="n">
        <v>0</v>
      </c>
      <c r="AP39" s="329" t="n">
        <v>0</v>
      </c>
      <c r="AQ39" s="329" t="n">
        <v>0</v>
      </c>
      <c r="AR39" s="329" t="n">
        <v>0</v>
      </c>
      <c r="AS39" s="329" t="n">
        <v>0</v>
      </c>
      <c r="AT39" s="329" t="n">
        <v>0</v>
      </c>
      <c r="AU39" s="329" t="n">
        <v>0</v>
      </c>
      <c r="AV39" s="329" t="n">
        <v>0</v>
      </c>
      <c r="AW39" s="329" t="n">
        <v>0</v>
      </c>
      <c r="AX39" s="329" t="n">
        <v>0</v>
      </c>
      <c r="AY39" s="329" t="n">
        <v>0</v>
      </c>
      <c r="AZ39" s="329" t="n">
        <v>0</v>
      </c>
      <c r="BA39" s="329" t="n">
        <v>0</v>
      </c>
      <c r="BB39" s="329" t="n">
        <v>0</v>
      </c>
      <c r="BC39" s="329" t="n">
        <v>0</v>
      </c>
      <c r="BD39" s="329" t="n">
        <v>0</v>
      </c>
      <c r="BE39" s="329" t="n">
        <v>0</v>
      </c>
      <c r="BF39" s="329" t="n">
        <v>0</v>
      </c>
      <c r="BG39" s="329" t="n">
        <v>0</v>
      </c>
      <c r="BH39" s="329" t="n">
        <v>0</v>
      </c>
      <c r="BI39" s="329" t="n">
        <v>0</v>
      </c>
      <c r="BJ39" s="329" t="n">
        <v>0</v>
      </c>
      <c r="BK39" s="329" t="n">
        <v>0</v>
      </c>
      <c r="BL39" s="329" t="n">
        <v>0</v>
      </c>
      <c r="BM39" s="329" t="n">
        <v>0</v>
      </c>
      <c r="BN39" s="329" t="n">
        <v>0</v>
      </c>
      <c r="BO39" s="329" t="n">
        <v>0</v>
      </c>
      <c r="BP39" s="329" t="n"/>
      <c r="BQ39" s="370" t="n"/>
    </row>
    <row r="40">
      <c r="A40" s="4" t="n"/>
      <c r="B40" s="17" t="n"/>
      <c r="BQ40" s="25" t="n"/>
    </row>
    <row r="41">
      <c r="A41" s="28" t="inlineStr">
        <is>
          <t>Product Energy (gar)</t>
        </is>
      </c>
      <c r="B41" s="17" t="n"/>
      <c r="BQ41" s="25" t="n"/>
    </row>
    <row r="42">
      <c r="A42" s="4">
        <f>$A$31</f>
        <v/>
      </c>
      <c r="B42" s="17" t="inlineStr">
        <is>
          <t>kcal/kg(gar)</t>
        </is>
      </c>
      <c r="D42" s="384" t="n"/>
      <c r="E42" s="384" t="n"/>
      <c r="F42" s="384" t="n"/>
      <c r="G42" s="384" t="n"/>
      <c r="H42" s="384" t="n">
        <v>0</v>
      </c>
      <c r="I42" s="384" t="n">
        <v>0</v>
      </c>
      <c r="J42" s="384" t="n">
        <v>0</v>
      </c>
      <c r="K42" s="384" t="n">
        <v>0</v>
      </c>
      <c r="L42" s="384" t="n">
        <v>0</v>
      </c>
      <c r="M42" s="384" t="n">
        <v>0</v>
      </c>
      <c r="N42" s="384" t="n">
        <v>0</v>
      </c>
      <c r="O42" s="384" t="n">
        <v>0</v>
      </c>
      <c r="P42" s="384" t="n">
        <v>0</v>
      </c>
      <c r="Q42" s="384" t="n">
        <v>0</v>
      </c>
      <c r="R42" s="384" t="n">
        <v>0</v>
      </c>
      <c r="S42" s="384" t="n">
        <v>0</v>
      </c>
      <c r="T42" s="384" t="n">
        <v>0</v>
      </c>
      <c r="U42" s="384" t="n">
        <v>0</v>
      </c>
      <c r="V42" s="384" t="n">
        <v>0</v>
      </c>
      <c r="W42" s="384" t="n">
        <v>0</v>
      </c>
      <c r="X42" s="384" t="n">
        <v>0</v>
      </c>
      <c r="Y42" s="384" t="n">
        <v>0</v>
      </c>
      <c r="Z42" s="384" t="n">
        <v>0</v>
      </c>
      <c r="AA42" s="384" t="n">
        <v>0</v>
      </c>
      <c r="AB42" s="384" t="n">
        <v>0</v>
      </c>
      <c r="AC42" s="384" t="n">
        <v>0</v>
      </c>
      <c r="AD42" s="384" t="n">
        <v>0</v>
      </c>
      <c r="AE42" s="384" t="n">
        <v>0</v>
      </c>
      <c r="AF42" s="384" t="n">
        <v>0</v>
      </c>
      <c r="AG42" s="384" t="n">
        <v>0</v>
      </c>
      <c r="AH42" s="384" t="n">
        <v>0</v>
      </c>
      <c r="AI42" s="384" t="n">
        <v>0</v>
      </c>
      <c r="AJ42" s="384" t="n">
        <v>0</v>
      </c>
      <c r="AK42" s="384" t="n">
        <v>0</v>
      </c>
      <c r="AL42" s="384" t="n">
        <v>0</v>
      </c>
      <c r="AM42" s="384" t="n">
        <v>0</v>
      </c>
      <c r="AN42" s="384" t="n">
        <v>0</v>
      </c>
      <c r="AO42" s="384" t="n">
        <v>0</v>
      </c>
      <c r="AP42" s="384" t="n">
        <v>0</v>
      </c>
      <c r="AQ42" s="384" t="n">
        <v>0</v>
      </c>
      <c r="AR42" s="384" t="n">
        <v>0</v>
      </c>
      <c r="AS42" s="384" t="n">
        <v>0</v>
      </c>
      <c r="AT42" s="384" t="n">
        <v>0</v>
      </c>
      <c r="AU42" s="384" t="n">
        <v>0</v>
      </c>
      <c r="AV42" s="384" t="n">
        <v>0</v>
      </c>
      <c r="AW42" s="384" t="n">
        <v>0</v>
      </c>
      <c r="AX42" s="384" t="n">
        <v>0</v>
      </c>
      <c r="AY42" s="384" t="n">
        <v>0</v>
      </c>
      <c r="AZ42" s="384" t="n">
        <v>0</v>
      </c>
      <c r="BA42" s="384" t="n">
        <v>0</v>
      </c>
      <c r="BB42" s="384" t="n">
        <v>0</v>
      </c>
      <c r="BC42" s="384" t="n">
        <v>0</v>
      </c>
      <c r="BD42" s="384" t="n">
        <v>0</v>
      </c>
      <c r="BE42" s="384" t="n">
        <v>0</v>
      </c>
      <c r="BF42" s="384" t="n">
        <v>0</v>
      </c>
      <c r="BG42" s="384" t="n">
        <v>0</v>
      </c>
      <c r="BH42" s="384" t="n">
        <v>0</v>
      </c>
      <c r="BI42" s="384" t="n">
        <v>0</v>
      </c>
      <c r="BJ42" s="384" t="n">
        <v>0</v>
      </c>
      <c r="BK42" s="384" t="n">
        <v>0</v>
      </c>
      <c r="BL42" s="384" t="n">
        <v>0</v>
      </c>
      <c r="BM42" s="384" t="n">
        <v>0</v>
      </c>
      <c r="BN42" s="384" t="n">
        <v>0</v>
      </c>
      <c r="BO42" s="384" t="n">
        <v>0</v>
      </c>
      <c r="BP42" s="384" t="n"/>
      <c r="BQ42" s="370" t="n"/>
    </row>
    <row r="43">
      <c r="A43" s="4">
        <f>$A$32</f>
        <v/>
      </c>
      <c r="B43" s="17" t="inlineStr">
        <is>
          <t>kcal/kg(gar)</t>
        </is>
      </c>
      <c r="D43" s="323" t="n"/>
      <c r="E43" s="323" t="n"/>
      <c r="F43" s="323" t="n"/>
      <c r="G43" s="323" t="n"/>
      <c r="H43" s="323" t="n">
        <v>0</v>
      </c>
      <c r="I43" s="323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3" t="n">
        <v>0</v>
      </c>
      <c r="P43" s="323" t="n">
        <v>0</v>
      </c>
      <c r="Q43" s="323" t="n">
        <v>0</v>
      </c>
      <c r="R43" s="323" t="n">
        <v>0</v>
      </c>
      <c r="S43" s="323" t="n">
        <v>0</v>
      </c>
      <c r="T43" s="323" t="n">
        <v>0</v>
      </c>
      <c r="U43" s="323" t="n">
        <v>0</v>
      </c>
      <c r="V43" s="323" t="n">
        <v>0</v>
      </c>
      <c r="W43" s="323" t="n">
        <v>0</v>
      </c>
      <c r="X43" s="323" t="n">
        <v>0</v>
      </c>
      <c r="Y43" s="323" t="n">
        <v>0</v>
      </c>
      <c r="Z43" s="323" t="n">
        <v>0</v>
      </c>
      <c r="AA43" s="323" t="n">
        <v>0</v>
      </c>
      <c r="AB43" s="323" t="n">
        <v>0</v>
      </c>
      <c r="AC43" s="323" t="n">
        <v>0</v>
      </c>
      <c r="AD43" s="323" t="n">
        <v>0</v>
      </c>
      <c r="AE43" s="323" t="n">
        <v>0</v>
      </c>
      <c r="AF43" s="323" t="n">
        <v>0</v>
      </c>
      <c r="AG43" s="323" t="n">
        <v>0</v>
      </c>
      <c r="AH43" s="323" t="n">
        <v>0</v>
      </c>
      <c r="AI43" s="323" t="n">
        <v>0</v>
      </c>
      <c r="AJ43" s="323" t="n">
        <v>0</v>
      </c>
      <c r="AK43" s="323" t="n">
        <v>0</v>
      </c>
      <c r="AL43" s="323" t="n">
        <v>0</v>
      </c>
      <c r="AM43" s="323" t="n">
        <v>0</v>
      </c>
      <c r="AN43" s="323" t="n">
        <v>0</v>
      </c>
      <c r="AO43" s="323" t="n">
        <v>0</v>
      </c>
      <c r="AP43" s="323" t="n">
        <v>0</v>
      </c>
      <c r="AQ43" s="323" t="n">
        <v>0</v>
      </c>
      <c r="AR43" s="323" t="n">
        <v>0</v>
      </c>
      <c r="AS43" s="323" t="n">
        <v>0</v>
      </c>
      <c r="AT43" s="323" t="n">
        <v>0</v>
      </c>
      <c r="AU43" s="323" t="n">
        <v>0</v>
      </c>
      <c r="AV43" s="323" t="n">
        <v>0</v>
      </c>
      <c r="AW43" s="323" t="n">
        <v>0</v>
      </c>
      <c r="AX43" s="323" t="n">
        <v>0</v>
      </c>
      <c r="AY43" s="323" t="n">
        <v>0</v>
      </c>
      <c r="AZ43" s="323" t="n">
        <v>0</v>
      </c>
      <c r="BA43" s="323" t="n">
        <v>0</v>
      </c>
      <c r="BB43" s="323" t="n">
        <v>0</v>
      </c>
      <c r="BC43" s="323" t="n">
        <v>0</v>
      </c>
      <c r="BD43" s="323" t="n">
        <v>0</v>
      </c>
      <c r="BE43" s="323" t="n">
        <v>0</v>
      </c>
      <c r="BF43" s="323" t="n">
        <v>0</v>
      </c>
      <c r="BG43" s="323" t="n">
        <v>0</v>
      </c>
      <c r="BH43" s="323" t="n">
        <v>0</v>
      </c>
      <c r="BI43" s="323" t="n">
        <v>0</v>
      </c>
      <c r="BJ43" s="323" t="n">
        <v>0</v>
      </c>
      <c r="BK43" s="323" t="n">
        <v>0</v>
      </c>
      <c r="BL43" s="323" t="n">
        <v>0</v>
      </c>
      <c r="BM43" s="323" t="n">
        <v>0</v>
      </c>
      <c r="BN43" s="323" t="n">
        <v>0</v>
      </c>
      <c r="BO43" s="323" t="n">
        <v>0</v>
      </c>
      <c r="BP43" s="323" t="n"/>
      <c r="BQ43" s="370" t="n"/>
    </row>
    <row r="44">
      <c r="A44" s="4">
        <f>$A$33</f>
        <v/>
      </c>
      <c r="B44" s="17" t="inlineStr">
        <is>
          <t>kcal/kg(gar)</t>
        </is>
      </c>
      <c r="D44" s="323" t="n"/>
      <c r="E44" s="323" t="n"/>
      <c r="F44" s="323" t="n"/>
      <c r="G44" s="323" t="n"/>
      <c r="H44" s="323" t="n">
        <v>6260</v>
      </c>
      <c r="I44" s="323" t="n">
        <v>6260</v>
      </c>
      <c r="J44" s="323" t="n">
        <v>6260</v>
      </c>
      <c r="K44" s="323" t="n">
        <v>6260</v>
      </c>
      <c r="L44" s="323" t="n">
        <v>6260</v>
      </c>
      <c r="M44" s="323" t="n">
        <v>6260</v>
      </c>
      <c r="N44" s="323" t="n">
        <v>6260</v>
      </c>
      <c r="O44" s="323" t="n">
        <v>6260</v>
      </c>
      <c r="P44" s="323" t="n">
        <v>6260</v>
      </c>
      <c r="Q44" s="323" t="n">
        <v>6260</v>
      </c>
      <c r="R44" s="323" t="n">
        <v>6260</v>
      </c>
      <c r="S44" s="323" t="n">
        <v>6260</v>
      </c>
      <c r="T44" s="323" t="n">
        <v>6260</v>
      </c>
      <c r="U44" s="323" t="n">
        <v>6260</v>
      </c>
      <c r="V44" s="323" t="n">
        <v>6260</v>
      </c>
      <c r="W44" s="323" t="n">
        <v>6260</v>
      </c>
      <c r="X44" s="323" t="n">
        <v>6260</v>
      </c>
      <c r="Y44" s="323" t="n">
        <v>6260</v>
      </c>
      <c r="Z44" s="323" t="n">
        <v>6260</v>
      </c>
      <c r="AA44" s="323" t="n">
        <v>6260</v>
      </c>
      <c r="AB44" s="323" t="n">
        <v>6260</v>
      </c>
      <c r="AC44" s="323" t="n">
        <v>6260</v>
      </c>
      <c r="AD44" s="323" t="n">
        <v>6260</v>
      </c>
      <c r="AE44" s="323" t="n">
        <v>6260</v>
      </c>
      <c r="AF44" s="323" t="n">
        <v>6260</v>
      </c>
      <c r="AG44" s="323" t="n">
        <v>6260</v>
      </c>
      <c r="AH44" s="323" t="n">
        <v>6260</v>
      </c>
      <c r="AI44" s="323" t="n">
        <v>6260</v>
      </c>
      <c r="AJ44" s="323" t="n">
        <v>6260</v>
      </c>
      <c r="AK44" s="323" t="n">
        <v>6260</v>
      </c>
      <c r="AL44" s="323" t="n">
        <v>6260</v>
      </c>
      <c r="AM44" s="323" t="n">
        <v>6260</v>
      </c>
      <c r="AN44" s="323" t="n">
        <v>6260</v>
      </c>
      <c r="AO44" s="323" t="n">
        <v>6260</v>
      </c>
      <c r="AP44" s="323" t="n">
        <v>6260</v>
      </c>
      <c r="AQ44" s="323" t="n">
        <v>6260</v>
      </c>
      <c r="AR44" s="323" t="n">
        <v>6260</v>
      </c>
      <c r="AS44" s="323" t="n">
        <v>6260</v>
      </c>
      <c r="AT44" s="323" t="n">
        <v>6260</v>
      </c>
      <c r="AU44" s="323" t="n">
        <v>6260</v>
      </c>
      <c r="AV44" s="323" t="n">
        <v>6260</v>
      </c>
      <c r="AW44" s="323" t="n">
        <v>6260</v>
      </c>
      <c r="AX44" s="323" t="n">
        <v>6260</v>
      </c>
      <c r="AY44" s="323" t="n">
        <v>6260</v>
      </c>
      <c r="AZ44" s="323" t="n">
        <v>6260</v>
      </c>
      <c r="BA44" s="323" t="n">
        <v>6260</v>
      </c>
      <c r="BB44" s="323" t="n">
        <v>6260</v>
      </c>
      <c r="BC44" s="323" t="n">
        <v>6260</v>
      </c>
      <c r="BD44" s="323" t="n">
        <v>6260</v>
      </c>
      <c r="BE44" s="323" t="n">
        <v>6260</v>
      </c>
      <c r="BF44" s="323" t="n">
        <v>6260</v>
      </c>
      <c r="BG44" s="323" t="n">
        <v>6260</v>
      </c>
      <c r="BH44" s="323" t="n">
        <v>6260</v>
      </c>
      <c r="BI44" s="323" t="n">
        <v>6260</v>
      </c>
      <c r="BJ44" s="323" t="n">
        <v>6260</v>
      </c>
      <c r="BK44" s="323" t="n">
        <v>6260</v>
      </c>
      <c r="BL44" s="323" t="n">
        <v>6260</v>
      </c>
      <c r="BM44" s="323" t="n">
        <v>6260</v>
      </c>
      <c r="BN44" s="323" t="n">
        <v>6260</v>
      </c>
      <c r="BO44" s="323" t="n">
        <v>6260</v>
      </c>
      <c r="BP44" s="323" t="n"/>
      <c r="BQ44" s="370" t="n"/>
    </row>
    <row r="45">
      <c r="A45" s="4" t="n"/>
      <c r="B45" s="17" t="n"/>
      <c r="D45" s="323" t="n"/>
      <c r="E45" s="323" t="n"/>
      <c r="F45" s="323" t="n"/>
      <c r="G45" s="323" t="n"/>
      <c r="H45" s="323" t="n"/>
      <c r="I45" s="323" t="n"/>
      <c r="J45" s="323" t="n"/>
      <c r="K45" s="323" t="n"/>
      <c r="L45" s="323" t="n"/>
      <c r="M45" s="323" t="n"/>
      <c r="N45" s="323" t="n"/>
      <c r="O45" s="323" t="n"/>
      <c r="P45" s="323" t="n"/>
      <c r="Q45" s="323" t="n"/>
      <c r="R45" s="323" t="n"/>
      <c r="S45" s="323" t="n"/>
      <c r="T45" s="323" t="n"/>
      <c r="U45" s="323" t="n"/>
      <c r="V45" s="323" t="n"/>
      <c r="W45" s="323" t="n"/>
      <c r="X45" s="323" t="n"/>
      <c r="Y45" s="323" t="n"/>
      <c r="Z45" s="323" t="n"/>
      <c r="AA45" s="323" t="n"/>
      <c r="AB45" s="323" t="n"/>
      <c r="AC45" s="323" t="n"/>
      <c r="AD45" s="323" t="n"/>
      <c r="AE45" s="323" t="n"/>
      <c r="AF45" s="323" t="n"/>
      <c r="AG45" s="323" t="n"/>
      <c r="AH45" s="323" t="n"/>
      <c r="AI45" s="323" t="n"/>
      <c r="AJ45" s="323" t="n"/>
      <c r="AK45" s="323" t="n"/>
      <c r="AL45" s="323" t="n"/>
      <c r="AM45" s="323" t="n"/>
      <c r="AN45" s="323" t="n"/>
      <c r="AO45" s="323" t="n"/>
      <c r="AP45" s="323" t="n"/>
      <c r="AQ45" s="323" t="n"/>
      <c r="AR45" s="323" t="n"/>
      <c r="AS45" s="323" t="n"/>
      <c r="AT45" s="323" t="n"/>
      <c r="AU45" s="323" t="n"/>
      <c r="AV45" s="323" t="n"/>
      <c r="AW45" s="323" t="n"/>
      <c r="AX45" s="323" t="n"/>
      <c r="AY45" s="323" t="n"/>
      <c r="AZ45" s="323" t="n"/>
      <c r="BA45" s="323" t="n"/>
      <c r="BB45" s="323" t="n"/>
      <c r="BC45" s="323" t="n"/>
      <c r="BD45" s="323" t="n"/>
      <c r="BE45" s="323" t="n"/>
      <c r="BF45" s="323" t="n"/>
      <c r="BG45" s="323" t="n"/>
      <c r="BH45" s="323" t="n"/>
      <c r="BI45" s="323" t="n"/>
      <c r="BJ45" s="323" t="n"/>
      <c r="BK45" s="323" t="n"/>
      <c r="BL45" s="323" t="n"/>
      <c r="BM45" s="323" t="n"/>
      <c r="BN45" s="323" t="n"/>
      <c r="BO45" s="323" t="n"/>
      <c r="BP45" s="323" t="n"/>
      <c r="BQ45" s="370" t="n"/>
    </row>
    <row r="46">
      <c r="A46" s="4" t="inlineStr">
        <is>
          <t>GAR-&gt; NAR adjustment</t>
        </is>
      </c>
      <c r="B46" s="17" t="n"/>
      <c r="D46" s="323">
        <f>Assumptions!$B$16</f>
        <v/>
      </c>
      <c r="E46" s="323">
        <f>Assumptions!$B$16</f>
        <v/>
      </c>
      <c r="F46" s="323">
        <f>Assumptions!$B$16</f>
        <v/>
      </c>
      <c r="G46" s="323">
        <f>Assumptions!$B$16</f>
        <v/>
      </c>
      <c r="H46" s="323">
        <f>Assumptions!$B$16</f>
        <v/>
      </c>
      <c r="I46" s="323">
        <f>Assumptions!$B$16</f>
        <v/>
      </c>
      <c r="J46" s="323">
        <f>Assumptions!$B$16</f>
        <v/>
      </c>
      <c r="K46" s="323">
        <f>Assumptions!$B$16</f>
        <v/>
      </c>
      <c r="L46" s="323">
        <f>Assumptions!$B$16</f>
        <v/>
      </c>
      <c r="M46" s="323">
        <f>Assumptions!$B$16</f>
        <v/>
      </c>
      <c r="N46" s="323">
        <f>Assumptions!$B$16</f>
        <v/>
      </c>
      <c r="O46" s="323">
        <f>Assumptions!$B$16</f>
        <v/>
      </c>
      <c r="P46" s="323">
        <f>Assumptions!$B$16</f>
        <v/>
      </c>
      <c r="Q46" s="323">
        <f>Assumptions!$B$16</f>
        <v/>
      </c>
      <c r="R46" s="323">
        <f>Assumptions!$B$16</f>
        <v/>
      </c>
      <c r="S46" s="323">
        <f>Assumptions!$B$16</f>
        <v/>
      </c>
      <c r="T46" s="323">
        <f>Assumptions!$B$16</f>
        <v/>
      </c>
      <c r="U46" s="323">
        <f>Assumptions!$B$16</f>
        <v/>
      </c>
      <c r="V46" s="323">
        <f>Assumptions!$B$16</f>
        <v/>
      </c>
      <c r="W46" s="323">
        <f>Assumptions!$B$16</f>
        <v/>
      </c>
      <c r="X46" s="323">
        <f>Assumptions!$B$16</f>
        <v/>
      </c>
      <c r="Y46" s="323">
        <f>Assumptions!$B$16</f>
        <v/>
      </c>
      <c r="Z46" s="323">
        <f>Assumptions!$B$16</f>
        <v/>
      </c>
      <c r="AA46" s="323">
        <f>Assumptions!$B$16</f>
        <v/>
      </c>
      <c r="AB46" s="323">
        <f>Assumptions!$B$16</f>
        <v/>
      </c>
      <c r="AC46" s="323">
        <f>Assumptions!$B$16</f>
        <v/>
      </c>
      <c r="AD46" s="323">
        <f>Assumptions!$B$16</f>
        <v/>
      </c>
      <c r="AE46" s="323">
        <f>Assumptions!$B$16</f>
        <v/>
      </c>
      <c r="AF46" s="323">
        <f>Assumptions!$B$16</f>
        <v/>
      </c>
      <c r="AG46" s="323">
        <f>Assumptions!$B$16</f>
        <v/>
      </c>
      <c r="AH46" s="323">
        <f>Assumptions!$B$16</f>
        <v/>
      </c>
      <c r="AI46" s="323">
        <f>Assumptions!$B$16</f>
        <v/>
      </c>
      <c r="AJ46" s="323">
        <f>Assumptions!$B$16</f>
        <v/>
      </c>
      <c r="AK46" s="323">
        <f>Assumptions!$B$16</f>
        <v/>
      </c>
      <c r="AL46" s="323">
        <f>Assumptions!$B$16</f>
        <v/>
      </c>
      <c r="AM46" s="323">
        <f>Assumptions!$B$16</f>
        <v/>
      </c>
      <c r="AN46" s="323">
        <f>Assumptions!$B$16</f>
        <v/>
      </c>
      <c r="AO46" s="323">
        <f>Assumptions!$B$16</f>
        <v/>
      </c>
      <c r="AP46" s="323">
        <f>Assumptions!$B$16</f>
        <v/>
      </c>
      <c r="AQ46" s="323">
        <f>Assumptions!$B$16</f>
        <v/>
      </c>
      <c r="AR46" s="323">
        <f>Assumptions!$B$16</f>
        <v/>
      </c>
      <c r="AS46" s="323">
        <f>Assumptions!$B$16</f>
        <v/>
      </c>
      <c r="AT46" s="323">
        <f>Assumptions!$B$16</f>
        <v/>
      </c>
      <c r="AU46" s="323">
        <f>Assumptions!$B$16</f>
        <v/>
      </c>
      <c r="AV46" s="323">
        <f>Assumptions!$B$16</f>
        <v/>
      </c>
      <c r="AW46" s="323">
        <f>Assumptions!$B$16</f>
        <v/>
      </c>
      <c r="AX46" s="323">
        <f>Assumptions!$B$16</f>
        <v/>
      </c>
      <c r="AY46" s="323">
        <f>Assumptions!$B$16</f>
        <v/>
      </c>
      <c r="AZ46" s="323">
        <f>Assumptions!$B$16</f>
        <v/>
      </c>
      <c r="BA46" s="323">
        <f>Assumptions!$B$16</f>
        <v/>
      </c>
      <c r="BB46" s="323">
        <f>Assumptions!$B$16</f>
        <v/>
      </c>
      <c r="BC46" s="323">
        <f>Assumptions!$B$16</f>
        <v/>
      </c>
      <c r="BD46" s="323">
        <f>Assumptions!$B$16</f>
        <v/>
      </c>
      <c r="BE46" s="323">
        <f>Assumptions!$B$16</f>
        <v/>
      </c>
      <c r="BF46" s="323">
        <f>Assumptions!$B$16</f>
        <v/>
      </c>
      <c r="BG46" s="323">
        <f>Assumptions!$B$16</f>
        <v/>
      </c>
      <c r="BH46" s="323">
        <f>Assumptions!$B$16</f>
        <v/>
      </c>
      <c r="BI46" s="323">
        <f>Assumptions!$B$16</f>
        <v/>
      </c>
      <c r="BJ46" s="323">
        <f>Assumptions!$B$16</f>
        <v/>
      </c>
      <c r="BK46" s="323">
        <f>Assumptions!$B$16</f>
        <v/>
      </c>
      <c r="BL46" s="323">
        <f>Assumptions!$B$16</f>
        <v/>
      </c>
      <c r="BM46" s="323">
        <f>Assumptions!$B$16</f>
        <v/>
      </c>
      <c r="BN46" s="323">
        <f>Assumptions!$B$16</f>
        <v/>
      </c>
      <c r="BO46" s="323">
        <f>Assumptions!$B$16</f>
        <v/>
      </c>
      <c r="BP46" s="323" t="n"/>
      <c r="BQ46" s="370" t="n"/>
    </row>
    <row r="47">
      <c r="A47" t="inlineStr">
        <is>
          <t>Basis of coal prices</t>
        </is>
      </c>
      <c r="B47" s="17" t="n"/>
      <c r="D47" s="323">
        <f>Assumptions!$B$17</f>
        <v/>
      </c>
      <c r="E47" s="323">
        <f>Assumptions!$B$17</f>
        <v/>
      </c>
      <c r="F47" s="323">
        <f>Assumptions!$B$17</f>
        <v/>
      </c>
      <c r="G47" s="323">
        <f>Assumptions!$B$17</f>
        <v/>
      </c>
      <c r="H47" s="323">
        <f>Assumptions!$B$17</f>
        <v/>
      </c>
      <c r="I47" s="323">
        <f>Assumptions!$B$17</f>
        <v/>
      </c>
      <c r="J47" s="323">
        <f>Assumptions!$B$17</f>
        <v/>
      </c>
      <c r="K47" s="323">
        <f>Assumptions!$B$17</f>
        <v/>
      </c>
      <c r="L47" s="323">
        <f>Assumptions!$B$17</f>
        <v/>
      </c>
      <c r="M47" s="323">
        <f>Assumptions!$B$17</f>
        <v/>
      </c>
      <c r="N47" s="323">
        <f>Assumptions!$B$17</f>
        <v/>
      </c>
      <c r="O47" s="323">
        <f>Assumptions!$B$17</f>
        <v/>
      </c>
      <c r="P47" s="323">
        <f>Assumptions!$B$17</f>
        <v/>
      </c>
      <c r="Q47" s="323">
        <f>Assumptions!$B$17</f>
        <v/>
      </c>
      <c r="R47" s="323">
        <f>Assumptions!$B$17</f>
        <v/>
      </c>
      <c r="S47" s="323">
        <f>Assumptions!$B$17</f>
        <v/>
      </c>
      <c r="T47" s="323">
        <f>Assumptions!$B$17</f>
        <v/>
      </c>
      <c r="U47" s="323">
        <f>Assumptions!$B$17</f>
        <v/>
      </c>
      <c r="V47" s="323">
        <f>Assumptions!$B$17</f>
        <v/>
      </c>
      <c r="W47" s="323">
        <f>Assumptions!$B$17</f>
        <v/>
      </c>
      <c r="X47" s="323">
        <f>Assumptions!$B$17</f>
        <v/>
      </c>
      <c r="Y47" s="323">
        <f>Assumptions!$B$17</f>
        <v/>
      </c>
      <c r="Z47" s="323">
        <f>Assumptions!$B$17</f>
        <v/>
      </c>
      <c r="AA47" s="323">
        <f>Assumptions!$B$17</f>
        <v/>
      </c>
      <c r="AB47" s="323">
        <f>Assumptions!$B$17</f>
        <v/>
      </c>
      <c r="AC47" s="323">
        <f>Assumptions!$B$17</f>
        <v/>
      </c>
      <c r="AD47" s="323">
        <f>Assumptions!$B$17</f>
        <v/>
      </c>
      <c r="AE47" s="323">
        <f>Assumptions!$B$17</f>
        <v/>
      </c>
      <c r="AF47" s="323">
        <f>Assumptions!$B$17</f>
        <v/>
      </c>
      <c r="AG47" s="323">
        <f>Assumptions!$B$17</f>
        <v/>
      </c>
      <c r="AH47" s="323">
        <f>Assumptions!$B$17</f>
        <v/>
      </c>
      <c r="AI47" s="323">
        <f>Assumptions!$B$17</f>
        <v/>
      </c>
      <c r="AJ47" s="323">
        <f>Assumptions!$B$17</f>
        <v/>
      </c>
      <c r="AK47" s="323">
        <f>Assumptions!$B$17</f>
        <v/>
      </c>
      <c r="AL47" s="323">
        <f>Assumptions!$B$17</f>
        <v/>
      </c>
      <c r="AM47" s="323">
        <f>Assumptions!$B$17</f>
        <v/>
      </c>
      <c r="AN47" s="323">
        <f>Assumptions!$B$17</f>
        <v/>
      </c>
      <c r="AO47" s="323">
        <f>Assumptions!$B$17</f>
        <v/>
      </c>
      <c r="AP47" s="323">
        <f>Assumptions!$B$17</f>
        <v/>
      </c>
      <c r="AQ47" s="323">
        <f>Assumptions!$B$17</f>
        <v/>
      </c>
      <c r="AR47" s="323">
        <f>Assumptions!$B$17</f>
        <v/>
      </c>
      <c r="AS47" s="323">
        <f>Assumptions!$B$17</f>
        <v/>
      </c>
      <c r="AT47" s="323">
        <f>Assumptions!$B$17</f>
        <v/>
      </c>
      <c r="AU47" s="323">
        <f>Assumptions!$B$17</f>
        <v/>
      </c>
      <c r="AV47" s="323">
        <f>Assumptions!$B$17</f>
        <v/>
      </c>
      <c r="AW47" s="323">
        <f>Assumptions!$B$17</f>
        <v/>
      </c>
      <c r="AX47" s="323">
        <f>Assumptions!$B$17</f>
        <v/>
      </c>
      <c r="AY47" s="323">
        <f>Assumptions!$B$17</f>
        <v/>
      </c>
      <c r="AZ47" s="323">
        <f>Assumptions!$B$17</f>
        <v/>
      </c>
      <c r="BA47" s="323">
        <f>Assumptions!$B$17</f>
        <v/>
      </c>
      <c r="BB47" s="323">
        <f>Assumptions!$B$17</f>
        <v/>
      </c>
      <c r="BC47" s="323">
        <f>Assumptions!$B$17</f>
        <v/>
      </c>
      <c r="BD47" s="323">
        <f>Assumptions!$B$17</f>
        <v/>
      </c>
      <c r="BE47" s="323">
        <f>Assumptions!$B$17</f>
        <v/>
      </c>
      <c r="BF47" s="323">
        <f>Assumptions!$B$17</f>
        <v/>
      </c>
      <c r="BG47" s="323">
        <f>Assumptions!$B$17</f>
        <v/>
      </c>
      <c r="BH47" s="323">
        <f>Assumptions!$B$17</f>
        <v/>
      </c>
      <c r="BI47" s="323">
        <f>Assumptions!$B$17</f>
        <v/>
      </c>
      <c r="BJ47" s="323">
        <f>Assumptions!$B$17</f>
        <v/>
      </c>
      <c r="BK47" s="323">
        <f>Assumptions!$B$17</f>
        <v/>
      </c>
      <c r="BL47" s="323">
        <f>Assumptions!$B$17</f>
        <v/>
      </c>
      <c r="BM47" s="323">
        <f>Assumptions!$B$17</f>
        <v/>
      </c>
      <c r="BN47" s="323">
        <f>Assumptions!$B$17</f>
        <v/>
      </c>
      <c r="BO47" s="323">
        <f>Assumptions!$B$17</f>
        <v/>
      </c>
      <c r="BP47" s="323" t="n"/>
      <c r="BQ47" s="370" t="n"/>
    </row>
    <row r="48">
      <c r="B48" s="17" t="n"/>
      <c r="D48" s="323" t="n"/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23" t="n"/>
      <c r="N48" s="323" t="n"/>
      <c r="O48" s="323" t="n"/>
      <c r="P48" s="323" t="n"/>
      <c r="Q48" s="323" t="n"/>
      <c r="R48" s="323" t="n"/>
      <c r="S48" s="323" t="n"/>
      <c r="T48" s="323" t="n"/>
      <c r="U48" s="323" t="n"/>
      <c r="V48" s="323" t="n"/>
      <c r="W48" s="323" t="n"/>
      <c r="X48" s="323" t="n"/>
      <c r="Y48" s="323" t="n"/>
      <c r="Z48" s="323" t="n"/>
      <c r="AA48" s="323" t="n"/>
      <c r="AB48" s="323" t="n"/>
      <c r="AC48" s="323" t="n"/>
      <c r="AD48" s="323" t="n"/>
      <c r="AE48" s="323" t="n"/>
      <c r="AF48" s="323" t="n"/>
      <c r="AG48" s="323" t="n"/>
      <c r="AH48" s="323" t="n"/>
      <c r="AI48" s="323" t="n"/>
      <c r="AJ48" s="323" t="n"/>
      <c r="AK48" s="323" t="n"/>
      <c r="AL48" s="323" t="n"/>
      <c r="AM48" s="323" t="n"/>
      <c r="AN48" s="323" t="n"/>
      <c r="AO48" s="323" t="n"/>
      <c r="AP48" s="323" t="n"/>
      <c r="AQ48" s="323" t="n"/>
      <c r="AR48" s="323" t="n"/>
      <c r="AS48" s="323" t="n"/>
      <c r="AT48" s="323" t="n"/>
      <c r="AU48" s="323" t="n"/>
      <c r="AV48" s="323" t="n"/>
      <c r="AW48" s="323" t="n"/>
      <c r="AX48" s="323" t="n"/>
      <c r="AY48" s="323" t="n"/>
      <c r="AZ48" s="323" t="n"/>
      <c r="BA48" s="323" t="n"/>
      <c r="BB48" s="323" t="n"/>
      <c r="BC48" s="323" t="n"/>
      <c r="BD48" s="323" t="n"/>
      <c r="BE48" s="323" t="n"/>
      <c r="BF48" s="323" t="n"/>
      <c r="BG48" s="323" t="n"/>
      <c r="BH48" s="323" t="n"/>
      <c r="BI48" s="323" t="n"/>
      <c r="BJ48" s="323" t="n"/>
      <c r="BK48" s="323" t="n"/>
      <c r="BL48" s="323" t="n"/>
      <c r="BM48" s="323" t="n"/>
      <c r="BN48" s="323" t="n"/>
      <c r="BO48" s="323" t="n"/>
      <c r="BP48" s="323" t="n"/>
      <c r="BQ48" s="370" t="n"/>
    </row>
    <row r="49">
      <c r="A49" s="28" t="inlineStr">
        <is>
          <t>Product Energy (nar)</t>
        </is>
      </c>
      <c r="B49" s="17" t="n"/>
      <c r="D49" s="323" t="n"/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23" t="n"/>
      <c r="N49" s="323" t="n"/>
      <c r="O49" s="323" t="n"/>
      <c r="P49" s="323" t="n"/>
      <c r="Q49" s="323" t="n"/>
      <c r="R49" s="323" t="n"/>
      <c r="S49" s="323" t="n"/>
      <c r="T49" s="323" t="n"/>
      <c r="U49" s="323" t="n"/>
      <c r="V49" s="323" t="n"/>
      <c r="W49" s="323" t="n"/>
      <c r="X49" s="323" t="n"/>
      <c r="Y49" s="323" t="n"/>
      <c r="Z49" s="323" t="n"/>
      <c r="AA49" s="323" t="n"/>
      <c r="AB49" s="323" t="n"/>
      <c r="AC49" s="323" t="n"/>
      <c r="AD49" s="323" t="n"/>
      <c r="AE49" s="323" t="n"/>
      <c r="AF49" s="323" t="n"/>
      <c r="AG49" s="323" t="n"/>
      <c r="AH49" s="323" t="n"/>
      <c r="AI49" s="323" t="n"/>
      <c r="AJ49" s="323" t="n"/>
      <c r="AK49" s="323" t="n"/>
      <c r="AL49" s="323" t="n"/>
      <c r="AM49" s="323" t="n"/>
      <c r="AN49" s="323" t="n"/>
      <c r="AO49" s="323" t="n"/>
      <c r="AP49" s="323" t="n"/>
      <c r="AQ49" s="323" t="n"/>
      <c r="AR49" s="323" t="n"/>
      <c r="AS49" s="323" t="n"/>
      <c r="AT49" s="323" t="n"/>
      <c r="AU49" s="323" t="n"/>
      <c r="AV49" s="323" t="n"/>
      <c r="AW49" s="323" t="n"/>
      <c r="AX49" s="323" t="n"/>
      <c r="AY49" s="323" t="n"/>
      <c r="AZ49" s="323" t="n"/>
      <c r="BA49" s="323" t="n"/>
      <c r="BB49" s="323" t="n"/>
      <c r="BC49" s="323" t="n"/>
      <c r="BD49" s="323" t="n"/>
      <c r="BE49" s="323" t="n"/>
      <c r="BF49" s="323" t="n"/>
      <c r="BG49" s="323" t="n"/>
      <c r="BH49" s="323" t="n"/>
      <c r="BI49" s="323" t="n"/>
      <c r="BJ49" s="323" t="n"/>
      <c r="BK49" s="323" t="n"/>
      <c r="BL49" s="323" t="n"/>
      <c r="BM49" s="323" t="n"/>
      <c r="BN49" s="323" t="n"/>
      <c r="BO49" s="323" t="n"/>
      <c r="BP49" s="323" t="n"/>
      <c r="BQ49" s="370" t="n"/>
    </row>
    <row r="50">
      <c r="A50" s="4">
        <f>$A$31</f>
        <v/>
      </c>
      <c r="B50" s="17" t="inlineStr">
        <is>
          <t>kcal/kg(nar)</t>
        </is>
      </c>
      <c r="D50" s="323">
        <f>IF(D31&gt;0,D42-D$46,0)</f>
        <v/>
      </c>
      <c r="E50" s="323">
        <f>IF(E31&gt;0,E42-E$46,0)</f>
        <v/>
      </c>
      <c r="F50" s="323">
        <f>IF(F31&gt;0,F42-F$46,0)</f>
        <v/>
      </c>
      <c r="G50" s="323">
        <f>IF(G31&gt;0,G42-G$46,0)</f>
        <v/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3" t="n">
        <v>0</v>
      </c>
      <c r="P50" s="323" t="n">
        <v>0</v>
      </c>
      <c r="Q50" s="323" t="n">
        <v>0</v>
      </c>
      <c r="R50" s="323" t="n">
        <v>0</v>
      </c>
      <c r="S50" s="323" t="n">
        <v>0</v>
      </c>
      <c r="T50" s="323" t="n">
        <v>0</v>
      </c>
      <c r="U50" s="323" t="n">
        <v>0</v>
      </c>
      <c r="V50" s="323" t="n">
        <v>0</v>
      </c>
      <c r="W50" s="323" t="n">
        <v>0</v>
      </c>
      <c r="X50" s="323" t="n">
        <v>0</v>
      </c>
      <c r="Y50" s="323" t="n">
        <v>0</v>
      </c>
      <c r="Z50" s="323" t="n">
        <v>0</v>
      </c>
      <c r="AA50" s="323" t="n">
        <v>0</v>
      </c>
      <c r="AB50" s="323" t="n">
        <v>0</v>
      </c>
      <c r="AC50" s="323" t="n">
        <v>0</v>
      </c>
      <c r="AD50" s="323" t="n">
        <v>0</v>
      </c>
      <c r="AE50" s="323" t="n">
        <v>0</v>
      </c>
      <c r="AF50" s="323" t="n">
        <v>0</v>
      </c>
      <c r="AG50" s="323" t="n">
        <v>0</v>
      </c>
      <c r="AH50" s="323" t="n">
        <v>0</v>
      </c>
      <c r="AI50" s="323" t="n">
        <v>0</v>
      </c>
      <c r="AJ50" s="323" t="n">
        <v>0</v>
      </c>
      <c r="AK50" s="323" t="n">
        <v>0</v>
      </c>
      <c r="AL50" s="323" t="n">
        <v>0</v>
      </c>
      <c r="AM50" s="323" t="n">
        <v>0</v>
      </c>
      <c r="AN50" s="323" t="n">
        <v>0</v>
      </c>
      <c r="AO50" s="323" t="n">
        <v>0</v>
      </c>
      <c r="AP50" s="323" t="n">
        <v>0</v>
      </c>
      <c r="AQ50" s="323" t="n">
        <v>0</v>
      </c>
      <c r="AR50" s="323" t="n">
        <v>0</v>
      </c>
      <c r="AS50" s="323" t="n">
        <v>0</v>
      </c>
      <c r="AT50" s="323" t="n">
        <v>0</v>
      </c>
      <c r="AU50" s="323" t="n">
        <v>0</v>
      </c>
      <c r="AV50" s="323" t="n">
        <v>0</v>
      </c>
      <c r="AW50" s="323" t="n">
        <v>0</v>
      </c>
      <c r="AX50" s="323" t="n">
        <v>0</v>
      </c>
      <c r="AY50" s="323" t="n">
        <v>0</v>
      </c>
      <c r="AZ50" s="323" t="n">
        <v>0</v>
      </c>
      <c r="BA50" s="323" t="n">
        <v>0</v>
      </c>
      <c r="BB50" s="323" t="n">
        <v>0</v>
      </c>
      <c r="BC50" s="323" t="n">
        <v>0</v>
      </c>
      <c r="BD50" s="323" t="n">
        <v>0</v>
      </c>
      <c r="BE50" s="323" t="n">
        <v>0</v>
      </c>
      <c r="BF50" s="323" t="n">
        <v>0</v>
      </c>
      <c r="BG50" s="323" t="n">
        <v>0</v>
      </c>
      <c r="BH50" s="323" t="n">
        <v>0</v>
      </c>
      <c r="BI50" s="323" t="n">
        <v>0</v>
      </c>
      <c r="BJ50" s="323" t="n">
        <v>0</v>
      </c>
      <c r="BK50" s="323" t="n">
        <v>0</v>
      </c>
      <c r="BL50" s="323" t="n">
        <v>0</v>
      </c>
      <c r="BM50" s="323" t="n">
        <v>0</v>
      </c>
      <c r="BN50" s="323" t="n">
        <v>0</v>
      </c>
      <c r="BO50" s="323" t="n">
        <v>0</v>
      </c>
      <c r="BP50" s="323" t="n"/>
      <c r="BQ50" s="370" t="n"/>
    </row>
    <row r="51">
      <c r="A51" s="4">
        <f>$A$32</f>
        <v/>
      </c>
      <c r="B51" s="17" t="inlineStr">
        <is>
          <t>kcal/kg(nar)</t>
        </is>
      </c>
      <c r="D51" s="323">
        <f>IF(D32&gt;0,D43-D$46,0)</f>
        <v/>
      </c>
      <c r="E51" s="323">
        <f>IF(E32&gt;0,E43-E$46,0)</f>
        <v/>
      </c>
      <c r="F51" s="323">
        <f>IF(F32&gt;0,F43-F$46,0)</f>
        <v/>
      </c>
      <c r="G51" s="323">
        <f>IF(G32&gt;0,G43-G$46,0)</f>
        <v/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3" t="n">
        <v>0</v>
      </c>
      <c r="P51" s="323" t="n">
        <v>0</v>
      </c>
      <c r="Q51" s="323" t="n">
        <v>0</v>
      </c>
      <c r="R51" s="323" t="n">
        <v>0</v>
      </c>
      <c r="S51" s="323" t="n">
        <v>0</v>
      </c>
      <c r="T51" s="323" t="n">
        <v>0</v>
      </c>
      <c r="U51" s="323" t="n">
        <v>0</v>
      </c>
      <c r="V51" s="323" t="n">
        <v>0</v>
      </c>
      <c r="W51" s="323" t="n">
        <v>0</v>
      </c>
      <c r="X51" s="323" t="n">
        <v>0</v>
      </c>
      <c r="Y51" s="323" t="n">
        <v>0</v>
      </c>
      <c r="Z51" s="323" t="n">
        <v>0</v>
      </c>
      <c r="AA51" s="323" t="n">
        <v>0</v>
      </c>
      <c r="AB51" s="323" t="n">
        <v>0</v>
      </c>
      <c r="AC51" s="323" t="n">
        <v>0</v>
      </c>
      <c r="AD51" s="323" t="n">
        <v>0</v>
      </c>
      <c r="AE51" s="323" t="n">
        <v>0</v>
      </c>
      <c r="AF51" s="323" t="n">
        <v>0</v>
      </c>
      <c r="AG51" s="323" t="n">
        <v>0</v>
      </c>
      <c r="AH51" s="323" t="n">
        <v>0</v>
      </c>
      <c r="AI51" s="323" t="n">
        <v>0</v>
      </c>
      <c r="AJ51" s="323" t="n">
        <v>0</v>
      </c>
      <c r="AK51" s="323" t="n">
        <v>0</v>
      </c>
      <c r="AL51" s="323" t="n">
        <v>0</v>
      </c>
      <c r="AM51" s="323" t="n">
        <v>0</v>
      </c>
      <c r="AN51" s="323" t="n">
        <v>0</v>
      </c>
      <c r="AO51" s="323" t="n">
        <v>0</v>
      </c>
      <c r="AP51" s="323" t="n">
        <v>0</v>
      </c>
      <c r="AQ51" s="323" t="n">
        <v>0</v>
      </c>
      <c r="AR51" s="323" t="n">
        <v>0</v>
      </c>
      <c r="AS51" s="323" t="n">
        <v>0</v>
      </c>
      <c r="AT51" s="323" t="n">
        <v>0</v>
      </c>
      <c r="AU51" s="323" t="n">
        <v>0</v>
      </c>
      <c r="AV51" s="323" t="n">
        <v>0</v>
      </c>
      <c r="AW51" s="323" t="n">
        <v>0</v>
      </c>
      <c r="AX51" s="323" t="n">
        <v>0</v>
      </c>
      <c r="AY51" s="323" t="n">
        <v>0</v>
      </c>
      <c r="AZ51" s="323" t="n">
        <v>0</v>
      </c>
      <c r="BA51" s="323" t="n">
        <v>0</v>
      </c>
      <c r="BB51" s="323" t="n">
        <v>0</v>
      </c>
      <c r="BC51" s="323" t="n">
        <v>0</v>
      </c>
      <c r="BD51" s="323" t="n">
        <v>0</v>
      </c>
      <c r="BE51" s="323" t="n">
        <v>0</v>
      </c>
      <c r="BF51" s="323" t="n">
        <v>0</v>
      </c>
      <c r="BG51" s="323" t="n">
        <v>0</v>
      </c>
      <c r="BH51" s="323" t="n">
        <v>0</v>
      </c>
      <c r="BI51" s="323" t="n">
        <v>0</v>
      </c>
      <c r="BJ51" s="323" t="n">
        <v>0</v>
      </c>
      <c r="BK51" s="323" t="n">
        <v>0</v>
      </c>
      <c r="BL51" s="323" t="n">
        <v>0</v>
      </c>
      <c r="BM51" s="323" t="n">
        <v>0</v>
      </c>
      <c r="BN51" s="323" t="n">
        <v>0</v>
      </c>
      <c r="BO51" s="323" t="n">
        <v>0</v>
      </c>
      <c r="BP51" s="323" t="n"/>
      <c r="BQ51" s="370" t="n"/>
    </row>
    <row r="52">
      <c r="A52" s="4">
        <f>$A$33</f>
        <v/>
      </c>
      <c r="B52" s="17" t="inlineStr">
        <is>
          <t>kcal/kg(nar)</t>
        </is>
      </c>
      <c r="D52" s="323" t="n"/>
      <c r="E52" s="323" t="n"/>
      <c r="F52" s="323" t="n"/>
      <c r="G52" s="323" t="n"/>
      <c r="H52" s="323">
        <f>IF(H33&gt;0,H44-H$46,0)</f>
        <v/>
      </c>
      <c r="I52" s="323">
        <f>IF(I33&gt;0,I44-I$46,0)</f>
        <v/>
      </c>
      <c r="J52" s="323">
        <f>IF(J33&gt;0,J44-J$46,0)</f>
        <v/>
      </c>
      <c r="K52" s="323">
        <f>IF(K33&gt;0,K44-K$46,0)</f>
        <v/>
      </c>
      <c r="L52" s="323">
        <f>IF(L33&gt;0,L44-L$46,0)</f>
        <v/>
      </c>
      <c r="M52" s="323">
        <f>IF(M33&gt;0,M44-M$46,0)</f>
        <v/>
      </c>
      <c r="N52" s="323">
        <f>IF(N33&gt;0,N44-N$46,0)</f>
        <v/>
      </c>
      <c r="O52" s="323">
        <f>IF(O33&gt;0,O44-O$46,0)</f>
        <v/>
      </c>
      <c r="P52" s="323">
        <f>IF(P33&gt;0,P44-P$46,0)</f>
        <v/>
      </c>
      <c r="Q52" s="323">
        <f>IF(Q33&gt;0,Q44-Q$46,0)</f>
        <v/>
      </c>
      <c r="R52" s="323">
        <f>IF(R33&gt;0,R44-R$46,0)</f>
        <v/>
      </c>
      <c r="S52" s="323">
        <f>IF(S33&gt;0,S44-S$46,0)</f>
        <v/>
      </c>
      <c r="T52" s="323">
        <f>IF(T33&gt;0,T44-T$46,0)</f>
        <v/>
      </c>
      <c r="U52" s="323">
        <f>IF(U33&gt;0,U44-U$46,0)</f>
        <v/>
      </c>
      <c r="V52" s="323">
        <f>IF(V33&gt;0,V44-V$46,0)</f>
        <v/>
      </c>
      <c r="W52" s="323">
        <f>IF(W33&gt;0,W44-W$46,0)</f>
        <v/>
      </c>
      <c r="X52" s="323">
        <f>IF(X33&gt;0,X44-X$46,0)</f>
        <v/>
      </c>
      <c r="Y52" s="323">
        <f>IF(Y33&gt;0,Y44-Y$46,0)</f>
        <v/>
      </c>
      <c r="Z52" s="323">
        <f>IF(Z33&gt;0,Z44-Z$46,0)</f>
        <v/>
      </c>
      <c r="AA52" s="323">
        <f>IF(AA33&gt;0,AA44-AA$46,0)</f>
        <v/>
      </c>
      <c r="AB52" s="323">
        <f>IF(AB33&gt;0,AB44-AB$46,0)</f>
        <v/>
      </c>
      <c r="AC52" s="323">
        <f>IF(AC33&gt;0,AC44-AC$46,0)</f>
        <v/>
      </c>
      <c r="AD52" s="323">
        <f>IF(AD33&gt;0,AD44-AD$46,0)</f>
        <v/>
      </c>
      <c r="AE52" s="323">
        <f>IF(AE33&gt;0,AE44-AE$46,0)</f>
        <v/>
      </c>
      <c r="AF52" s="323">
        <f>IF(AF33&gt;0,AF44-AF$46,0)</f>
        <v/>
      </c>
      <c r="AG52" s="323">
        <f>IF(AG33&gt;0,AG44-AG$46,0)</f>
        <v/>
      </c>
      <c r="AH52" s="323">
        <f>IF(AH33&gt;0,AH44-AH$46,0)</f>
        <v/>
      </c>
      <c r="AI52" s="323">
        <f>IF(AI33&gt;0,AI44-AI$46,0)</f>
        <v/>
      </c>
      <c r="AJ52" s="323">
        <f>IF(AJ33&gt;0,AJ44-AJ$46,0)</f>
        <v/>
      </c>
      <c r="AK52" s="323">
        <f>IF(AK33&gt;0,AK44-AK$46,0)</f>
        <v/>
      </c>
      <c r="AL52" s="323">
        <f>IF(AL33&gt;0,AL44-AL$46,0)</f>
        <v/>
      </c>
      <c r="AM52" s="323">
        <f>IF(AM33&gt;0,AM44-AM$46,0)</f>
        <v/>
      </c>
      <c r="AN52" s="323">
        <f>IF(AN33&gt;0,AN44-AN$46,0)</f>
        <v/>
      </c>
      <c r="AO52" s="323">
        <f>IF(AO33&gt;0,AO44-AO$46,0)</f>
        <v/>
      </c>
      <c r="AP52" s="323">
        <f>IF(AP33&gt;0,AP44-AP$46,0)</f>
        <v/>
      </c>
      <c r="AQ52" s="323">
        <f>IF(AQ33&gt;0,AQ44-AQ$46,0)</f>
        <v/>
      </c>
      <c r="AR52" s="323">
        <f>IF(AR33&gt;0,AR44-AR$46,0)</f>
        <v/>
      </c>
      <c r="AS52" s="323">
        <f>IF(AS33&gt;0,AS44-AS$46,0)</f>
        <v/>
      </c>
      <c r="AT52" s="323">
        <f>IF(AT33&gt;0,AT44-AT$46,0)</f>
        <v/>
      </c>
      <c r="AU52" s="323">
        <f>IF(AU33&gt;0,AU44-AU$46,0)</f>
        <v/>
      </c>
      <c r="AV52" s="323">
        <f>IF(AV33&gt;0,AV44-AV$46,0)</f>
        <v/>
      </c>
      <c r="AW52" s="323">
        <f>IF(AW33&gt;0,AW44-AW$46,0)</f>
        <v/>
      </c>
      <c r="AX52" s="323">
        <f>IF(AX33&gt;0,AX44-AX$46,0)</f>
        <v/>
      </c>
      <c r="AY52" s="323">
        <f>IF(AY33&gt;0,AY44-AY$46,0)</f>
        <v/>
      </c>
      <c r="AZ52" s="323">
        <f>IF(AZ33&gt;0,AZ44-AZ$46,0)</f>
        <v/>
      </c>
      <c r="BA52" s="323">
        <f>IF(BA33&gt;0,BA44-BA$46,0)</f>
        <v/>
      </c>
      <c r="BB52" s="323">
        <f>IF(BB33&gt;0,BB44-BB$46,0)</f>
        <v/>
      </c>
      <c r="BC52" s="323">
        <f>IF(BC33&gt;0,BC44-BC$46,0)</f>
        <v/>
      </c>
      <c r="BD52" s="323">
        <f>IF(BD33&gt;0,BD44-BD$46,0)</f>
        <v/>
      </c>
      <c r="BE52" s="323">
        <f>IF(BE33&gt;0,BE44-BE$46,0)</f>
        <v/>
      </c>
      <c r="BF52" s="323">
        <f>IF(BF33&gt;0,BF44-BF$46,0)</f>
        <v/>
      </c>
      <c r="BG52" s="323">
        <f>IF(BG33&gt;0,BG44-BG$46,0)</f>
        <v/>
      </c>
      <c r="BH52" s="323">
        <f>IF(BH33&gt;0,BH44-BH$46,0)</f>
        <v/>
      </c>
      <c r="BI52" s="323">
        <f>IF(BI33&gt;0,BI44-BI$46,0)</f>
        <v/>
      </c>
      <c r="BJ52" s="323">
        <f>IF(BJ33&gt;0,BJ44-BJ$46,0)</f>
        <v/>
      </c>
      <c r="BK52" s="323">
        <f>IF(BK33&gt;0,BK44-BK$46,0)</f>
        <v/>
      </c>
      <c r="BL52" s="323">
        <f>IF(BL33&gt;0,BL44-BL$46,0)</f>
        <v/>
      </c>
      <c r="BM52" s="323">
        <f>IF(BM33&gt;0,BM44-BM$46,0)</f>
        <v/>
      </c>
      <c r="BN52" s="323">
        <f>IF(BN33&gt;0,BN44-BN$46,0)</f>
        <v/>
      </c>
      <c r="BO52" s="323">
        <f>IF(BO33&gt;0,BO44-BO$46,0)</f>
        <v/>
      </c>
      <c r="BP52" s="323" t="n"/>
      <c r="BQ52" s="370" t="n"/>
    </row>
    <row r="53">
      <c r="A53" s="4" t="n"/>
      <c r="B53" s="17" t="n"/>
      <c r="D53" s="323" t="n"/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23" t="n"/>
      <c r="N53" s="323" t="n"/>
      <c r="O53" s="323" t="n"/>
      <c r="P53" s="323" t="n"/>
      <c r="Q53" s="323" t="n"/>
      <c r="R53" s="323" t="n"/>
      <c r="S53" s="323" t="n"/>
      <c r="T53" s="323" t="n"/>
      <c r="U53" s="323" t="n"/>
      <c r="V53" s="323" t="n"/>
      <c r="W53" s="323" t="n"/>
      <c r="X53" s="323" t="n"/>
      <c r="Y53" s="323" t="n"/>
      <c r="Z53" s="323" t="n"/>
      <c r="AA53" s="323" t="n"/>
      <c r="AB53" s="323" t="n"/>
      <c r="AC53" s="323" t="n"/>
      <c r="AD53" s="323" t="n"/>
      <c r="AE53" s="323" t="n"/>
      <c r="AF53" s="323" t="n"/>
      <c r="AG53" s="323" t="n"/>
      <c r="AH53" s="323" t="n"/>
      <c r="AI53" s="323" t="n"/>
      <c r="AJ53" s="323" t="n"/>
      <c r="AK53" s="323" t="n"/>
      <c r="AL53" s="323" t="n"/>
      <c r="AM53" s="323" t="n"/>
      <c r="AN53" s="323" t="n"/>
      <c r="AO53" s="323" t="n"/>
      <c r="AP53" s="323" t="n"/>
      <c r="AQ53" s="323" t="n"/>
      <c r="AR53" s="323" t="n"/>
      <c r="AS53" s="323" t="n"/>
      <c r="AT53" s="323" t="n"/>
      <c r="AU53" s="323" t="n"/>
      <c r="AV53" s="323" t="n"/>
      <c r="AW53" s="323" t="n"/>
      <c r="AX53" s="323" t="n"/>
      <c r="AY53" s="323" t="n"/>
      <c r="AZ53" s="323" t="n"/>
      <c r="BA53" s="323" t="n"/>
      <c r="BB53" s="323" t="n"/>
      <c r="BC53" s="323" t="n"/>
      <c r="BD53" s="323" t="n"/>
      <c r="BE53" s="323" t="n"/>
      <c r="BF53" s="323" t="n"/>
      <c r="BG53" s="323" t="n"/>
      <c r="BH53" s="323" t="n"/>
      <c r="BI53" s="323" t="n"/>
      <c r="BJ53" s="323" t="n"/>
      <c r="BK53" s="323" t="n"/>
      <c r="BL53" s="323" t="n"/>
      <c r="BM53" s="323" t="n"/>
      <c r="BN53" s="323" t="n"/>
      <c r="BO53" s="323" t="n"/>
      <c r="BP53" s="323" t="n"/>
      <c r="BQ53" s="370" t="n"/>
    </row>
    <row r="54">
      <c r="A54" s="28" t="inlineStr">
        <is>
          <t>Realised Price</t>
        </is>
      </c>
      <c r="B54" s="17" t="n"/>
      <c r="D54" s="323" t="n"/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23" t="n"/>
      <c r="N54" s="323" t="n"/>
      <c r="O54" s="323" t="n"/>
      <c r="P54" s="323" t="n"/>
      <c r="Q54" s="323" t="n"/>
      <c r="R54" s="323" t="n"/>
      <c r="S54" s="323" t="n"/>
      <c r="T54" s="323" t="n"/>
      <c r="U54" s="323" t="n"/>
      <c r="V54" s="323" t="n"/>
      <c r="W54" s="323" t="n"/>
      <c r="X54" s="323" t="n"/>
      <c r="Y54" s="323" t="n"/>
      <c r="Z54" s="323" t="n"/>
      <c r="AA54" s="323" t="n"/>
      <c r="AB54" s="323" t="n"/>
      <c r="AC54" s="323" t="n"/>
      <c r="AD54" s="323" t="n"/>
      <c r="AE54" s="323" t="n"/>
      <c r="AF54" s="323" t="n"/>
      <c r="AG54" s="323" t="n"/>
      <c r="AH54" s="323" t="n"/>
      <c r="AI54" s="323" t="n"/>
      <c r="AJ54" s="323" t="n"/>
      <c r="AK54" s="323" t="n"/>
      <c r="AL54" s="323" t="n"/>
      <c r="AM54" s="323" t="n"/>
      <c r="AN54" s="323" t="n"/>
      <c r="AO54" s="323" t="n"/>
      <c r="AP54" s="323" t="n"/>
      <c r="AQ54" s="323" t="n"/>
      <c r="AR54" s="323" t="n"/>
      <c r="AS54" s="323" t="n"/>
      <c r="AT54" s="323" t="n"/>
      <c r="AU54" s="323" t="n"/>
      <c r="AV54" s="323" t="n"/>
      <c r="AW54" s="323" t="n"/>
      <c r="AX54" s="323" t="n"/>
      <c r="AY54" s="323" t="n"/>
      <c r="AZ54" s="323" t="n"/>
      <c r="BA54" s="323" t="n"/>
      <c r="BB54" s="323" t="n"/>
      <c r="BC54" s="323" t="n"/>
      <c r="BD54" s="323" t="n"/>
      <c r="BE54" s="323" t="n"/>
      <c r="BF54" s="323" t="n"/>
      <c r="BG54" s="323" t="n"/>
      <c r="BH54" s="323" t="n"/>
      <c r="BI54" s="323" t="n"/>
      <c r="BJ54" s="323" t="n"/>
      <c r="BK54" s="323" t="n"/>
      <c r="BL54" s="323" t="n"/>
      <c r="BM54" s="323" t="n"/>
      <c r="BN54" s="323" t="n"/>
      <c r="BO54" s="323" t="n"/>
      <c r="BP54" s="323" t="n"/>
      <c r="BQ54" s="370" t="n"/>
    </row>
    <row r="55">
      <c r="A55" s="4">
        <f>$A$31</f>
        <v/>
      </c>
      <c r="B55" s="17" t="inlineStr">
        <is>
          <t>USD/t</t>
        </is>
      </c>
      <c r="D55" s="323">
        <f>IF(D31&gt;0,Assumptions!J6,0)</f>
        <v/>
      </c>
      <c r="E55" s="323">
        <f>IF(E31&gt;0,Assumptions!K6,0)</f>
        <v/>
      </c>
      <c r="F55" s="323">
        <f>IF(F31&gt;0,Assumptions!L6,0)</f>
        <v/>
      </c>
      <c r="G55" s="323">
        <f>IF(G31&gt;0,Assumptions!M6,0)</f>
        <v/>
      </c>
      <c r="H55" s="323">
        <f>IF(H31&gt;0,Assumptions!N6,0)</f>
        <v/>
      </c>
      <c r="I55" s="323">
        <f>IF(I31&gt;0,Assumptions!O6,0)</f>
        <v/>
      </c>
      <c r="J55" s="323">
        <f>IF(J31&gt;0,Assumptions!P6,0)</f>
        <v/>
      </c>
      <c r="K55" s="323">
        <f>IF(K31&gt;0,Assumptions!Q6,0)</f>
        <v/>
      </c>
      <c r="L55" s="323">
        <f>IF(L31&gt;0,Assumptions!R6,0)</f>
        <v/>
      </c>
      <c r="M55" s="323">
        <f>IF(M31&gt;0,Assumptions!S6,0)</f>
        <v/>
      </c>
      <c r="N55" s="323">
        <f>IF(N31&gt;0,Assumptions!T6,0)</f>
        <v/>
      </c>
      <c r="O55" s="323">
        <f>IF(O31&gt;0,Assumptions!U6,0)</f>
        <v/>
      </c>
      <c r="P55" s="323">
        <f>IF(P31&gt;0,Assumptions!V6,0)</f>
        <v/>
      </c>
      <c r="Q55" s="323">
        <f>IF(Q31&gt;0,Assumptions!W6,0)</f>
        <v/>
      </c>
      <c r="R55" s="323">
        <f>IF(R31&gt;0,Assumptions!X6,0)</f>
        <v/>
      </c>
      <c r="S55" s="323">
        <f>IF(S31&gt;0,Assumptions!Y6,0)</f>
        <v/>
      </c>
      <c r="T55" s="323">
        <f>IF(T31&gt;0,Assumptions!Z6,0)</f>
        <v/>
      </c>
      <c r="U55" s="323">
        <f>IF(U31&gt;0,Assumptions!AA6,0)</f>
        <v/>
      </c>
      <c r="V55" s="323">
        <f>IF(V31&gt;0,Assumptions!AB6,0)</f>
        <v/>
      </c>
      <c r="W55" s="323">
        <f>IF(W31&gt;0,Assumptions!AC6,0)</f>
        <v/>
      </c>
      <c r="X55" s="323">
        <f>IF(X31&gt;0,Assumptions!AD6,0)</f>
        <v/>
      </c>
      <c r="Y55" s="323">
        <f>IF(Y31&gt;0,Assumptions!AE6,0)</f>
        <v/>
      </c>
      <c r="Z55" s="323">
        <f>IF(Z31&gt;0,Assumptions!AF6,0)</f>
        <v/>
      </c>
      <c r="AA55" s="323">
        <f>IF(AA31&gt;0,Assumptions!AG6,0)</f>
        <v/>
      </c>
      <c r="AB55" s="323">
        <f>IF(AB31&gt;0,Assumptions!AH6,0)</f>
        <v/>
      </c>
      <c r="AC55" s="323">
        <f>IF(AC31&gt;0,Assumptions!AI6,0)</f>
        <v/>
      </c>
      <c r="AD55" s="323">
        <f>IF(AD31&gt;0,Assumptions!AJ6,0)</f>
        <v/>
      </c>
      <c r="AE55" s="323">
        <f>IF(AE31&gt;0,Assumptions!AK6,0)</f>
        <v/>
      </c>
      <c r="AF55" s="323">
        <f>IF(AF31&gt;0,Assumptions!AL6,0)</f>
        <v/>
      </c>
      <c r="AG55" s="323">
        <f>IF(AG31&gt;0,Assumptions!AM6,0)</f>
        <v/>
      </c>
      <c r="AH55" s="323">
        <f>IF(AH31&gt;0,Assumptions!AN6,0)</f>
        <v/>
      </c>
      <c r="AI55" s="323">
        <f>IF(AI31&gt;0,Assumptions!AO6,0)</f>
        <v/>
      </c>
      <c r="AJ55" s="323">
        <f>IF(AJ31&gt;0,Assumptions!AP6,0)</f>
        <v/>
      </c>
      <c r="AK55" s="323">
        <f>IF(AK31&gt;0,Assumptions!AQ6,0)</f>
        <v/>
      </c>
      <c r="AL55" s="323">
        <f>IF(AL31&gt;0,Assumptions!AR6,0)</f>
        <v/>
      </c>
      <c r="AM55" s="323">
        <f>IF(AM31&gt;0,Assumptions!AS6,0)</f>
        <v/>
      </c>
      <c r="AN55" s="323">
        <f>IF(AN31&gt;0,Assumptions!AT6,0)</f>
        <v/>
      </c>
      <c r="AO55" s="323">
        <f>IF(AO31&gt;0,Assumptions!AU6,0)</f>
        <v/>
      </c>
      <c r="AP55" s="323">
        <f>IF(AP31&gt;0,Assumptions!AV6,0)</f>
        <v/>
      </c>
      <c r="AQ55" s="323">
        <f>IF(AQ31&gt;0,Assumptions!AW6,0)</f>
        <v/>
      </c>
      <c r="AR55" s="323">
        <f>IF(AR31&gt;0,Assumptions!AX6,0)</f>
        <v/>
      </c>
      <c r="AS55" s="323">
        <f>IF(AS31&gt;0,Assumptions!AY6,0)</f>
        <v/>
      </c>
      <c r="AT55" s="323">
        <f>IF(AT31&gt;0,Assumptions!AZ6,0)</f>
        <v/>
      </c>
      <c r="AU55" s="323">
        <f>IF(AU31&gt;0,Assumptions!BA6,0)</f>
        <v/>
      </c>
      <c r="AV55" s="323">
        <f>IF(AV31&gt;0,Assumptions!BB6,0)</f>
        <v/>
      </c>
      <c r="AW55" s="323">
        <f>IF(AW31&gt;0,Assumptions!BC6,0)</f>
        <v/>
      </c>
      <c r="AX55" s="323">
        <f>IF(AX31&gt;0,Assumptions!BD6,0)</f>
        <v/>
      </c>
      <c r="AY55" s="323">
        <f>IF(AY31&gt;0,Assumptions!BE6,0)</f>
        <v/>
      </c>
      <c r="AZ55" s="323">
        <f>IF(AZ31&gt;0,Assumptions!BF6,0)</f>
        <v/>
      </c>
      <c r="BA55" s="323">
        <f>IF(BA31&gt;0,Assumptions!BG6,0)</f>
        <v/>
      </c>
      <c r="BB55" s="323">
        <f>IF(BB31&gt;0,Assumptions!BH6,0)</f>
        <v/>
      </c>
      <c r="BC55" s="323">
        <f>IF(BC31&gt;0,Assumptions!BI6,0)</f>
        <v/>
      </c>
      <c r="BD55" s="323">
        <f>IF(BD31&gt;0,Assumptions!BJ6,0)</f>
        <v/>
      </c>
      <c r="BE55" s="323">
        <f>IF(BE31&gt;0,Assumptions!BK6,0)</f>
        <v/>
      </c>
      <c r="BF55" s="323">
        <f>IF(BF31&gt;0,Assumptions!BL6,0)</f>
        <v/>
      </c>
      <c r="BG55" s="323">
        <f>IF(BG31&gt;0,Assumptions!BM6,0)</f>
        <v/>
      </c>
      <c r="BH55" s="323">
        <f>IF(BH31&gt;0,Assumptions!BN6,0)</f>
        <v/>
      </c>
      <c r="BI55" s="323">
        <f>IF(BI31&gt;0,Assumptions!BO6,0)</f>
        <v/>
      </c>
      <c r="BJ55" s="323">
        <f>IF(BJ31&gt;0,Assumptions!BP6,0)</f>
        <v/>
      </c>
      <c r="BK55" s="323">
        <f>IF(BK31&gt;0,Assumptions!BQ6,0)</f>
        <v/>
      </c>
      <c r="BL55" s="323">
        <f>IF(BL31&gt;0,Assumptions!BR6,0)</f>
        <v/>
      </c>
      <c r="BM55" s="323">
        <f>IF(BM31&gt;0,Assumptions!BS6,0)</f>
        <v/>
      </c>
      <c r="BN55" s="323">
        <f>IF(BN31&gt;0,Assumptions!BT6,0)</f>
        <v/>
      </c>
      <c r="BO55" s="323">
        <f>IF(BO31&gt;0,Assumptions!BU6,0)</f>
        <v/>
      </c>
      <c r="BP55" s="323" t="n"/>
      <c r="BQ55" s="25" t="n"/>
    </row>
    <row r="56">
      <c r="A56" s="4">
        <f>$A$32</f>
        <v/>
      </c>
      <c r="B56" s="17" t="inlineStr">
        <is>
          <t>USD/t</t>
        </is>
      </c>
      <c r="D56" s="323">
        <f>IF(D32&gt;0,Assumptions!J$7,0)</f>
        <v/>
      </c>
      <c r="E56" s="323">
        <f>IF(E32&gt;0,Assumptions!K$7,0)</f>
        <v/>
      </c>
      <c r="F56" s="323">
        <f>IF(F32&gt;0,Assumptions!L$7,0)</f>
        <v/>
      </c>
      <c r="G56" s="323">
        <f>IF(G32&gt;0,Assumptions!M$7,0)</f>
        <v/>
      </c>
      <c r="H56" s="323">
        <f>IF(H32&gt;0,Assumptions!N$7,0)</f>
        <v/>
      </c>
      <c r="I56" s="323">
        <f>IF(I32&gt;0,Assumptions!O$7,0)</f>
        <v/>
      </c>
      <c r="J56" s="323">
        <f>IF(J32&gt;0,Assumptions!P$7,0)</f>
        <v/>
      </c>
      <c r="K56" s="323">
        <f>IF(K32&gt;0,Assumptions!Q$7,0)</f>
        <v/>
      </c>
      <c r="L56" s="323">
        <f>IF(L32&gt;0,Assumptions!R$7,0)</f>
        <v/>
      </c>
      <c r="M56" s="323">
        <f>IF(M32&gt;0,Assumptions!S$7,0)</f>
        <v/>
      </c>
      <c r="N56" s="323">
        <f>IF(N32&gt;0,Assumptions!T$7,0)</f>
        <v/>
      </c>
      <c r="O56" s="323">
        <f>IF(O32&gt;0,Assumptions!U$7,0)</f>
        <v/>
      </c>
      <c r="P56" s="323">
        <f>IF(P32&gt;0,Assumptions!V$7,0)</f>
        <v/>
      </c>
      <c r="Q56" s="323">
        <f>IF(Q32&gt;0,Assumptions!W$7,0)</f>
        <v/>
      </c>
      <c r="R56" s="323">
        <f>IF(R32&gt;0,Assumptions!X$7,0)</f>
        <v/>
      </c>
      <c r="S56" s="323">
        <f>IF(S32&gt;0,Assumptions!Y$7,0)</f>
        <v/>
      </c>
      <c r="T56" s="323">
        <f>IF(T32&gt;0,Assumptions!Z$7,0)</f>
        <v/>
      </c>
      <c r="U56" s="323">
        <f>IF(U32&gt;0,Assumptions!AA$7,0)</f>
        <v/>
      </c>
      <c r="V56" s="323">
        <f>IF(V32&gt;0,Assumptions!AB$7,0)</f>
        <v/>
      </c>
      <c r="W56" s="323">
        <f>IF(W32&gt;0,Assumptions!AC$7,0)</f>
        <v/>
      </c>
      <c r="X56" s="323">
        <f>IF(X32&gt;0,Assumptions!AD$7,0)</f>
        <v/>
      </c>
      <c r="Y56" s="323">
        <f>IF(Y32&gt;0,Assumptions!AE$7,0)</f>
        <v/>
      </c>
      <c r="Z56" s="323">
        <f>IF(Z32&gt;0,Assumptions!AF$7,0)</f>
        <v/>
      </c>
      <c r="AA56" s="323">
        <f>IF(AA32&gt;0,Assumptions!AG$7,0)</f>
        <v/>
      </c>
      <c r="AB56" s="323">
        <f>IF(AB32&gt;0,Assumptions!AH$7,0)</f>
        <v/>
      </c>
      <c r="AC56" s="323">
        <f>IF(AC32&gt;0,Assumptions!AI$7,0)</f>
        <v/>
      </c>
      <c r="AD56" s="323">
        <f>IF(AD32&gt;0,Assumptions!AJ$7,0)</f>
        <v/>
      </c>
      <c r="AE56" s="323">
        <f>IF(AE32&gt;0,Assumptions!AK$7,0)</f>
        <v/>
      </c>
      <c r="AF56" s="323">
        <f>IF(AF32&gt;0,Assumptions!AL$7,0)</f>
        <v/>
      </c>
      <c r="AG56" s="323">
        <f>IF(AG32&gt;0,Assumptions!AM$7,0)</f>
        <v/>
      </c>
      <c r="AH56" s="323">
        <f>IF(AH32&gt;0,Assumptions!AN$7,0)</f>
        <v/>
      </c>
      <c r="AI56" s="323">
        <f>IF(AI32&gt;0,Assumptions!AO$7,0)</f>
        <v/>
      </c>
      <c r="AJ56" s="323">
        <f>IF(AJ32&gt;0,Assumptions!AP$7,0)</f>
        <v/>
      </c>
      <c r="AK56" s="323">
        <f>IF(AK32&gt;0,Assumptions!AQ$7,0)</f>
        <v/>
      </c>
      <c r="AL56" s="323">
        <f>IF(AL32&gt;0,Assumptions!AR$7,0)</f>
        <v/>
      </c>
      <c r="AM56" s="323">
        <f>IF(AM32&gt;0,Assumptions!AS$7,0)</f>
        <v/>
      </c>
      <c r="AN56" s="323">
        <f>IF(AN32&gt;0,Assumptions!AT$7,0)</f>
        <v/>
      </c>
      <c r="AO56" s="323">
        <f>IF(AO32&gt;0,Assumptions!AU$7,0)</f>
        <v/>
      </c>
      <c r="AP56" s="323">
        <f>IF(AP32&gt;0,Assumptions!AV$7,0)</f>
        <v/>
      </c>
      <c r="AQ56" s="323">
        <f>IF(AQ32&gt;0,Assumptions!AW$7,0)</f>
        <v/>
      </c>
      <c r="AR56" s="323">
        <f>IF(AR32&gt;0,Assumptions!AX$7,0)</f>
        <v/>
      </c>
      <c r="AS56" s="323">
        <f>IF(AS32&gt;0,Assumptions!AY$7,0)</f>
        <v/>
      </c>
      <c r="AT56" s="323">
        <f>IF(AT32&gt;0,Assumptions!AZ$7,0)</f>
        <v/>
      </c>
      <c r="AU56" s="323">
        <f>IF(AU32&gt;0,Assumptions!BA$7,0)</f>
        <v/>
      </c>
      <c r="AV56" s="323">
        <f>IF(AV32&gt;0,Assumptions!BB$7,0)</f>
        <v/>
      </c>
      <c r="AW56" s="323">
        <f>IF(AW32&gt;0,Assumptions!BC$7,0)</f>
        <v/>
      </c>
      <c r="AX56" s="323">
        <f>IF(AX32&gt;0,Assumptions!BD$7,0)</f>
        <v/>
      </c>
      <c r="AY56" s="323">
        <f>IF(AY32&gt;0,Assumptions!BE$7,0)</f>
        <v/>
      </c>
      <c r="AZ56" s="323">
        <f>IF(AZ32&gt;0,Assumptions!BF$7,0)</f>
        <v/>
      </c>
      <c r="BA56" s="323">
        <f>IF(BA32&gt;0,Assumptions!BG$7,0)</f>
        <v/>
      </c>
      <c r="BB56" s="323">
        <f>IF(BB32&gt;0,Assumptions!BH$7,0)</f>
        <v/>
      </c>
      <c r="BC56" s="323">
        <f>IF(BC32&gt;0,Assumptions!BI$7,0)</f>
        <v/>
      </c>
      <c r="BD56" s="323">
        <f>IF(BD32&gt;0,Assumptions!BJ$7,0)</f>
        <v/>
      </c>
      <c r="BE56" s="323">
        <f>IF(BE32&gt;0,Assumptions!BK$7,0)</f>
        <v/>
      </c>
      <c r="BF56" s="323">
        <f>IF(BF32&gt;0,Assumptions!BL$7,0)</f>
        <v/>
      </c>
      <c r="BG56" s="323">
        <f>IF(BG32&gt;0,Assumptions!BM$7,0)</f>
        <v/>
      </c>
      <c r="BH56" s="323">
        <f>IF(BH32&gt;0,Assumptions!BN$7,0)</f>
        <v/>
      </c>
      <c r="BI56" s="323">
        <f>IF(BI32&gt;0,Assumptions!BO$7,0)</f>
        <v/>
      </c>
      <c r="BJ56" s="323">
        <f>IF(BJ32&gt;0,Assumptions!BP$7,0)</f>
        <v/>
      </c>
      <c r="BK56" s="323">
        <f>IF(BK32&gt;0,Assumptions!BQ$7,0)</f>
        <v/>
      </c>
      <c r="BL56" s="323">
        <f>IF(BL32&gt;0,Assumptions!BR$7,0)</f>
        <v/>
      </c>
      <c r="BM56" s="323">
        <f>IF(BM32&gt;0,Assumptions!BS$7,0)</f>
        <v/>
      </c>
      <c r="BN56" s="323">
        <f>IF(BN32&gt;0,Assumptions!BT$7,0)</f>
        <v/>
      </c>
      <c r="BO56" s="323">
        <f>IF(BO32&gt;0,Assumptions!BU$7,0)</f>
        <v/>
      </c>
      <c r="BP56" s="323" t="n"/>
      <c r="BQ56" s="25" t="n"/>
    </row>
    <row r="57">
      <c r="A57" s="4">
        <f>$A$33</f>
        <v/>
      </c>
      <c r="B57" s="17" t="inlineStr">
        <is>
          <t>USD/t</t>
        </is>
      </c>
      <c r="D57" s="323">
        <f>IF(D33&gt;0,IF(D52&gt;Assumptions!J$12,Assumptions!J$8,IF(D52&gt;Assumptions!J$13,Assumptions!J$8,Assumptions!J$9))*(D52/D$47),0)</f>
        <v/>
      </c>
      <c r="E57" s="323">
        <f>IF(E33&gt;0,IF(E52&gt;Assumptions!K$12,Assumptions!K$8,IF(E52&gt;Assumptions!K$13,Assumptions!K$8,Assumptions!K$9))*(E52/E$47),0)</f>
        <v/>
      </c>
      <c r="F57" s="323">
        <f>IF(F33&gt;0,IF(F52&gt;Assumptions!L$12,Assumptions!L$8,IF(F52&gt;Assumptions!L$13,Assumptions!L$8,Assumptions!L$9))*(F52/F$47),0)</f>
        <v/>
      </c>
      <c r="G57" s="323">
        <f>IF(G33&gt;0,IF(G52&gt;Assumptions!M$12,Assumptions!M$8,IF(G52&gt;Assumptions!M$13,Assumptions!M$8,Assumptions!M$9))*(G52/G$47),0)</f>
        <v/>
      </c>
      <c r="H57" s="323">
        <f>IF(H33&gt;0,IF(H52&gt;Assumptions!N$12,Assumptions!N$8,IF(H52&gt;Assumptions!N$13,Assumptions!N$8,Assumptions!N$9))*(H52/H$47),0)</f>
        <v/>
      </c>
      <c r="I57" s="323">
        <f>IF(I33&gt;0,IF(I52&gt;Assumptions!O$12,Assumptions!O$8,IF(I52&gt;Assumptions!O$13,Assumptions!O$8,Assumptions!O$9))*(I52/I$47),0)</f>
        <v/>
      </c>
      <c r="J57" s="323">
        <f>IF(J33&gt;0,IF(J52&gt;Assumptions!P$12,Assumptions!P$8,IF(J52&gt;Assumptions!P$13,Assumptions!P$8,Assumptions!P$9))*(J52/J$47),0)</f>
        <v/>
      </c>
      <c r="K57" s="323">
        <f>IF(K33&gt;0,IF(K52&gt;Assumptions!Q$12,Assumptions!Q$8,IF(K52&gt;Assumptions!Q$13,Assumptions!Q$8,Assumptions!Q$9))*(K52/K$47),0)</f>
        <v/>
      </c>
      <c r="L57" s="323">
        <f>IF(L33&gt;0,IF(L52&gt;Assumptions!R$12,Assumptions!R$8,IF(L52&gt;Assumptions!R$13,Assumptions!R$8,Assumptions!R$9))*(L52/L$47),0)</f>
        <v/>
      </c>
      <c r="M57" s="323">
        <f>IF(M33&gt;0,IF(M52&gt;Assumptions!S$12,Assumptions!S$8,IF(M52&gt;Assumptions!S$13,Assumptions!S$8,Assumptions!S$9))*(M52/M$47),0)</f>
        <v/>
      </c>
      <c r="N57" s="323">
        <f>IF(N33&gt;0,IF(N52&gt;Assumptions!T$12,Assumptions!T$8,IF(N52&gt;Assumptions!T$13,Assumptions!T$8,Assumptions!T$9))*(N52/N$47),0)</f>
        <v/>
      </c>
      <c r="O57" s="323">
        <f>IF(O33&gt;0,IF(O52&gt;Assumptions!U$12,Assumptions!U$8,IF(O52&gt;Assumptions!U$13,Assumptions!U$8,Assumptions!U$9))*(O52/O$47),0)</f>
        <v/>
      </c>
      <c r="P57" s="323">
        <f>IF(P33&gt;0,IF(P52&gt;Assumptions!V$12,Assumptions!V$8,IF(P52&gt;Assumptions!V$13,Assumptions!V$8,Assumptions!V$9))*(P52/P$47),0)</f>
        <v/>
      </c>
      <c r="Q57" s="323">
        <f>IF(Q33&gt;0,IF(Q52&gt;Assumptions!W$12,Assumptions!W$8,IF(Q52&gt;Assumptions!W$13,Assumptions!W$8,Assumptions!W$9))*(Q52/Q$47),0)</f>
        <v/>
      </c>
      <c r="R57" s="323">
        <f>IF(R33&gt;0,IF(R52&gt;Assumptions!X$12,Assumptions!X$8,IF(R52&gt;Assumptions!X$13,Assumptions!X$8,Assumptions!X$9))*(R52/R$47),0)</f>
        <v/>
      </c>
      <c r="S57" s="323">
        <f>IF(S33&gt;0,IF(S52&gt;Assumptions!Y$12,Assumptions!Y$8,IF(S52&gt;Assumptions!Y$13,Assumptions!Y$8,Assumptions!Y$9))*(S52/S$47),0)</f>
        <v/>
      </c>
      <c r="T57" s="323">
        <f>IF(T33&gt;0,IF(T52&gt;Assumptions!Z$12,Assumptions!Z$8,IF(T52&gt;Assumptions!Z$13,Assumptions!Z$8,Assumptions!Z$9))*(T52/T$47),0)</f>
        <v/>
      </c>
      <c r="U57" s="323">
        <f>IF(U33&gt;0,IF(U52&gt;Assumptions!AA$12,Assumptions!AA$8,IF(U52&gt;Assumptions!AA$13,Assumptions!AA$8,Assumptions!AA$9))*(U52/U$47),0)</f>
        <v/>
      </c>
      <c r="V57" s="323">
        <f>IF(V33&gt;0,IF(V52&gt;Assumptions!AB$12,Assumptions!AB$8,IF(V52&gt;Assumptions!AB$13,Assumptions!AB$8,Assumptions!AB$9))*(V52/V$47),0)</f>
        <v/>
      </c>
      <c r="W57" s="323">
        <f>IF(W33&gt;0,IF(W52&gt;Assumptions!AC$12,Assumptions!AC$8,IF(W52&gt;Assumptions!AC$13,Assumptions!AC$8,Assumptions!AC$9))*(W52/W$47),0)</f>
        <v/>
      </c>
      <c r="X57" s="323">
        <f>IF(X33&gt;0,IF(X52&gt;Assumptions!AD$12,Assumptions!AD$8,IF(X52&gt;Assumptions!AD$13,Assumptions!AD$8,Assumptions!AD$9))*(X52/X$47),0)</f>
        <v/>
      </c>
      <c r="Y57" s="323">
        <f>IF(Y33&gt;0,IF(Y52&gt;Assumptions!AE$12,Assumptions!AE$8,IF(Y52&gt;Assumptions!AE$13,Assumptions!AE$8,Assumptions!AE$9))*(Y52/Y$47),0)</f>
        <v/>
      </c>
      <c r="Z57" s="323">
        <f>IF(Z33&gt;0,IF(Z52&gt;Assumptions!AF$12,Assumptions!AF$8,IF(Z52&gt;Assumptions!AF$13,Assumptions!AF$8,Assumptions!AF$9))*(Z52/Z$47),0)</f>
        <v/>
      </c>
      <c r="AA57" s="323">
        <f>IF(AA33&gt;0,IF(AA52&gt;Assumptions!AG$12,Assumptions!AG$8,IF(AA52&gt;Assumptions!AG$13,Assumptions!AG$8,Assumptions!AG$9))*(AA52/AA$47),0)</f>
        <v/>
      </c>
      <c r="AB57" s="323">
        <f>IF(AB33&gt;0,IF(AB52&gt;Assumptions!AH$12,Assumptions!AH$8,IF(AB52&gt;Assumptions!AH$13,Assumptions!AH$8,Assumptions!AH$9))*(AB52/AB$47),0)</f>
        <v/>
      </c>
      <c r="AC57" s="323">
        <f>IF(AC33&gt;0,IF(AC52&gt;Assumptions!AI$12,Assumptions!AI$8,IF(AC52&gt;Assumptions!AI$13,Assumptions!AI$8,Assumptions!AI$9))*(AC52/AC$47),0)</f>
        <v/>
      </c>
      <c r="AD57" s="323">
        <f>IF(AD33&gt;0,IF(AD52&gt;Assumptions!AJ$12,Assumptions!AJ$8,IF(AD52&gt;Assumptions!AJ$13,Assumptions!AJ$8,Assumptions!AJ$9))*(AD52/AD$47),0)</f>
        <v/>
      </c>
      <c r="AE57" s="323">
        <f>IF(AE33&gt;0,IF(AE52&gt;Assumptions!AK$12,Assumptions!AK$8,IF(AE52&gt;Assumptions!AK$13,Assumptions!AK$8,Assumptions!AK$9))*(AE52/AE$47),0)</f>
        <v/>
      </c>
      <c r="AF57" s="323">
        <f>IF(AF33&gt;0,IF(AF52&gt;Assumptions!AL$12,Assumptions!AL$8,IF(AF52&gt;Assumptions!AL$13,Assumptions!AL$8,Assumptions!AL$9))*(AF52/AF$47),0)</f>
        <v/>
      </c>
      <c r="AG57" s="323">
        <f>IF(AG33&gt;0,IF(AG52&gt;Assumptions!AM$12,Assumptions!AM$8,IF(AG52&gt;Assumptions!AM$13,Assumptions!AM$8,Assumptions!AM$9))*(AG52/AG$47),0)</f>
        <v/>
      </c>
      <c r="AH57" s="323">
        <f>IF(AH33&gt;0,IF(AH52&gt;Assumptions!AN$12,Assumptions!AN$8,IF(AH52&gt;Assumptions!AN$13,Assumptions!AN$8,Assumptions!AN$9))*(AH52/AH$47),0)</f>
        <v/>
      </c>
      <c r="AI57" s="323">
        <f>IF(AI33&gt;0,IF(AI52&gt;Assumptions!AO$12,Assumptions!AO$8,IF(AI52&gt;Assumptions!AO$13,Assumptions!AO$8,Assumptions!AO$9))*(AI52/AI$47),0)</f>
        <v/>
      </c>
      <c r="AJ57" s="323">
        <f>IF(AJ33&gt;0,IF(AJ52&gt;Assumptions!AP$12,Assumptions!AP$8,IF(AJ52&gt;Assumptions!AP$13,Assumptions!AP$8,Assumptions!AP$9))*(AJ52/AJ$47),0)</f>
        <v/>
      </c>
      <c r="AK57" s="323">
        <f>IF(AK33&gt;0,IF(AK52&gt;Assumptions!AQ$12,Assumptions!AQ$8,IF(AK52&gt;Assumptions!AQ$13,Assumptions!AQ$8,Assumptions!AQ$9))*(AK52/AK$47),0)</f>
        <v/>
      </c>
      <c r="AL57" s="323">
        <f>IF(AL33&gt;0,IF(AL52&gt;Assumptions!AR$12,Assumptions!AR$8,IF(AL52&gt;Assumptions!AR$13,Assumptions!AR$8,Assumptions!AR$9))*(AL52/AL$47),0)</f>
        <v/>
      </c>
      <c r="AM57" s="323">
        <f>IF(AM33&gt;0,IF(AM52&gt;Assumptions!AS$12,Assumptions!AS$8,IF(AM52&gt;Assumptions!AS$13,Assumptions!AS$8,Assumptions!AS$9))*(AM52/AM$47),0)</f>
        <v/>
      </c>
      <c r="AN57" s="323">
        <f>IF(AN33&gt;0,IF(AN52&gt;Assumptions!AT$12,Assumptions!AT$8,IF(AN52&gt;Assumptions!AT$13,Assumptions!AT$8,Assumptions!AT$9))*(AN52/AN$47),0)</f>
        <v/>
      </c>
      <c r="AO57" s="323">
        <f>IF(AO33&gt;0,IF(AO52&gt;Assumptions!AU$12,Assumptions!AU$8,IF(AO52&gt;Assumptions!AU$13,Assumptions!AU$8,Assumptions!AU$9))*(AO52/AO$47),0)</f>
        <v/>
      </c>
      <c r="AP57" s="323">
        <f>IF(AP33&gt;0,IF(AP52&gt;Assumptions!AV$12,Assumptions!AV$8,IF(AP52&gt;Assumptions!AV$13,Assumptions!AV$8,Assumptions!AV$9))*(AP52/AP$47),0)</f>
        <v/>
      </c>
      <c r="AQ57" s="323">
        <f>IF(AQ33&gt;0,IF(AQ52&gt;Assumptions!AW$12,Assumptions!AW$8,IF(AQ52&gt;Assumptions!AW$13,Assumptions!AW$8,Assumptions!AW$9))*(AQ52/AQ$47),0)</f>
        <v/>
      </c>
      <c r="AR57" s="323">
        <f>IF(AR33&gt;0,IF(AR52&gt;Assumptions!AX$12,Assumptions!AX$8,IF(AR52&gt;Assumptions!AX$13,Assumptions!AX$8,Assumptions!AX$9))*(AR52/AR$47),0)</f>
        <v/>
      </c>
      <c r="AS57" s="323">
        <f>IF(AS33&gt;0,IF(AS52&gt;Assumptions!AY$12,Assumptions!AY$8,IF(AS52&gt;Assumptions!AY$13,Assumptions!AY$8,Assumptions!AY$9))*(AS52/AS$47),0)</f>
        <v/>
      </c>
      <c r="AT57" s="323">
        <f>IF(AT33&gt;0,IF(AT52&gt;Assumptions!AZ$12,Assumptions!AZ$8,IF(AT52&gt;Assumptions!AZ$13,Assumptions!AZ$8,Assumptions!AZ$9))*(AT52/AT$47),0)</f>
        <v/>
      </c>
      <c r="AU57" s="323">
        <f>IF(AU33&gt;0,IF(AU52&gt;Assumptions!BA$12,Assumptions!BA$8,IF(AU52&gt;Assumptions!BA$13,Assumptions!BA$8,Assumptions!BA$9))*(AU52/AU$47),0)</f>
        <v/>
      </c>
      <c r="AV57" s="323">
        <f>IF(AV33&gt;0,IF(AV52&gt;Assumptions!BB$12,Assumptions!BB$8,IF(AV52&gt;Assumptions!BB$13,Assumptions!BB$8,Assumptions!BB$9))*(AV52/AV$47),0)</f>
        <v/>
      </c>
      <c r="AW57" s="323">
        <f>IF(AW33&gt;0,IF(AW52&gt;Assumptions!BC$12,Assumptions!BC$8,IF(AW52&gt;Assumptions!BC$13,Assumptions!BC$8,Assumptions!BC$9))*(AW52/AW$47),0)</f>
        <v/>
      </c>
      <c r="AX57" s="323">
        <f>IF(AX33&gt;0,IF(AX52&gt;Assumptions!BD$12,Assumptions!BD$8,IF(AX52&gt;Assumptions!BD$13,Assumptions!BD$8,Assumptions!BD$9))*(AX52/AX$47),0)</f>
        <v/>
      </c>
      <c r="AY57" s="323">
        <f>IF(AY33&gt;0,IF(AY52&gt;Assumptions!BE$12,Assumptions!BE$8,IF(AY52&gt;Assumptions!BE$13,Assumptions!BE$8,Assumptions!BE$9))*(AY52/AY$47),0)</f>
        <v/>
      </c>
      <c r="AZ57" s="323">
        <f>IF(AZ33&gt;0,IF(AZ52&gt;Assumptions!BF$12,Assumptions!BF$8,IF(AZ52&gt;Assumptions!BF$13,Assumptions!BF$8,Assumptions!BF$9))*(AZ52/AZ$47),0)</f>
        <v/>
      </c>
      <c r="BA57" s="323">
        <f>IF(BA33&gt;0,IF(BA52&gt;Assumptions!BG$12,Assumptions!BG$8,IF(BA52&gt;Assumptions!BG$13,Assumptions!BG$8,Assumptions!BG$9))*(BA52/BA$47),0)</f>
        <v/>
      </c>
      <c r="BB57" s="323">
        <f>IF(BB33&gt;0,IF(BB52&gt;Assumptions!BH$12,Assumptions!BH$8,IF(BB52&gt;Assumptions!BH$13,Assumptions!BH$8,Assumptions!BH$9))*(BB52/BB$47),0)</f>
        <v/>
      </c>
      <c r="BC57" s="323">
        <f>IF(BC33&gt;0,IF(BC52&gt;Assumptions!BI$12,Assumptions!BI$8,IF(BC52&gt;Assumptions!BI$13,Assumptions!BI$8,Assumptions!BI$9))*(BC52/BC$47),0)</f>
        <v/>
      </c>
      <c r="BD57" s="323">
        <f>IF(BD33&gt;0,IF(BD52&gt;Assumptions!BJ$12,Assumptions!BJ$8,IF(BD52&gt;Assumptions!BJ$13,Assumptions!BJ$8,Assumptions!BJ$9))*(BD52/BD$47),0)</f>
        <v/>
      </c>
      <c r="BE57" s="323">
        <f>IF(BE33&gt;0,IF(BE52&gt;Assumptions!BK$12,Assumptions!BK$8,IF(BE52&gt;Assumptions!BK$13,Assumptions!BK$8,Assumptions!BK$9))*(BE52/BE$47),0)</f>
        <v/>
      </c>
      <c r="BF57" s="323">
        <f>IF(BF33&gt;0,IF(BF52&gt;Assumptions!BL$12,Assumptions!BL$8,IF(BF52&gt;Assumptions!BL$13,Assumptions!BL$8,Assumptions!BL$9))*(BF52/BF$47),0)</f>
        <v/>
      </c>
      <c r="BG57" s="323">
        <f>IF(BG33&gt;0,IF(BG52&gt;Assumptions!BM$12,Assumptions!BM$8,IF(BG52&gt;Assumptions!BM$13,Assumptions!BM$8,Assumptions!BM$9))*(BG52/BG$47),0)</f>
        <v/>
      </c>
      <c r="BH57" s="323">
        <f>IF(BH33&gt;0,IF(BH52&gt;Assumptions!BN$12,Assumptions!BN$8,IF(BH52&gt;Assumptions!BN$13,Assumptions!BN$8,Assumptions!BN$9))*(BH52/BH$47),0)</f>
        <v/>
      </c>
      <c r="BI57" s="323">
        <f>IF(BI33&gt;0,IF(BI52&gt;Assumptions!BO$12,Assumptions!BO$8,IF(BI52&gt;Assumptions!BO$13,Assumptions!BO$8,Assumptions!BO$9))*(BI52/BI$47),0)</f>
        <v/>
      </c>
      <c r="BJ57" s="323">
        <f>IF(BJ33&gt;0,IF(BJ52&gt;Assumptions!BP$12,Assumptions!BP$8,IF(BJ52&gt;Assumptions!BP$13,Assumptions!BP$8,Assumptions!BP$9))*(BJ52/BJ$47),0)</f>
        <v/>
      </c>
      <c r="BK57" s="323">
        <f>IF(BK33&gt;0,IF(BK52&gt;Assumptions!BQ$12,Assumptions!BQ$8,IF(BK52&gt;Assumptions!BQ$13,Assumptions!BQ$8,Assumptions!BQ$9))*(BK52/BK$47),0)</f>
        <v/>
      </c>
      <c r="BL57" s="323">
        <f>IF(BL33&gt;0,IF(BL52&gt;Assumptions!BR$12,Assumptions!BR$8,IF(BL52&gt;Assumptions!BR$13,Assumptions!BR$8,Assumptions!BR$9))*(BL52/BL$47),0)</f>
        <v/>
      </c>
      <c r="BM57" s="323">
        <f>IF(BM33&gt;0,IF(BM52&gt;Assumptions!BS$12,Assumptions!BS$8,IF(BM52&gt;Assumptions!BS$13,Assumptions!BS$8,Assumptions!BS$9))*(BM52/BM$47),0)</f>
        <v/>
      </c>
      <c r="BN57" s="323">
        <f>IF(BN33&gt;0,IF(BN52&gt;Assumptions!BT$12,Assumptions!BT$8,IF(BN52&gt;Assumptions!BT$13,Assumptions!BT$8,Assumptions!BT$9))*(BN52/BN$47),0)</f>
        <v/>
      </c>
      <c r="BO57" s="323">
        <f>IF(BO33&gt;0,IF(BO52&gt;Assumptions!BU$12,Assumptions!BU$8,IF(BO52&gt;Assumptions!BU$13,Assumptions!BU$8,Assumptions!BU$9))*(BO52/BO$47),0)</f>
        <v/>
      </c>
      <c r="BP57" s="323" t="n"/>
      <c r="BQ57" s="25" t="n"/>
    </row>
    <row r="58">
      <c r="A58" s="4" t="inlineStr">
        <is>
          <t>Average Export Realised Price</t>
        </is>
      </c>
      <c r="B58" s="17" t="inlineStr">
        <is>
          <t>USD/t</t>
        </is>
      </c>
      <c r="D58" s="385">
        <f>IFERROR(SUMPRODUCT(D31:D33,D55:D57)/D34,0)</f>
        <v/>
      </c>
      <c r="E58" s="385">
        <f>IFERROR(SUMPRODUCT(E31:E33,E55:E57)/E34,0)</f>
        <v/>
      </c>
      <c r="F58" s="385">
        <f>IFERROR(SUMPRODUCT(F31:F33,F55:F57)/F34,0)</f>
        <v/>
      </c>
      <c r="G58" s="385">
        <f>IFERROR(SUMPRODUCT(G31:G33,G55:G57)/G34,0)</f>
        <v/>
      </c>
      <c r="H58" s="385">
        <f>IFERROR(SUMPRODUCT(H31:H33,H55:H57)/H34,0)</f>
        <v/>
      </c>
      <c r="I58" s="385">
        <f>IFERROR(SUMPRODUCT(I31:I33,I55:I57)/I34,0)</f>
        <v/>
      </c>
      <c r="J58" s="385">
        <f>IFERROR(SUMPRODUCT(J31:J33,J55:J57)/J34,0)</f>
        <v/>
      </c>
      <c r="K58" s="385">
        <f>IFERROR(SUMPRODUCT(K31:K33,K55:K57)/K34,0)</f>
        <v/>
      </c>
      <c r="L58" s="385">
        <f>IFERROR(SUMPRODUCT(L31:L33,L55:L57)/L34,0)</f>
        <v/>
      </c>
      <c r="M58" s="385">
        <f>IFERROR(SUMPRODUCT(M31:M33,M55:M57)/M34,0)</f>
        <v/>
      </c>
      <c r="N58" s="385">
        <f>IFERROR(SUMPRODUCT(N31:N33,N55:N57)/N34,0)</f>
        <v/>
      </c>
      <c r="O58" s="385">
        <f>IFERROR(SUMPRODUCT(O31:O33,O55:O57)/O34,0)</f>
        <v/>
      </c>
      <c r="P58" s="385">
        <f>IFERROR(SUMPRODUCT(P31:P33,P55:P57)/P34,0)</f>
        <v/>
      </c>
      <c r="Q58" s="385">
        <f>IFERROR(SUMPRODUCT(Q31:Q33,Q55:Q57)/Q34,0)</f>
        <v/>
      </c>
      <c r="R58" s="385">
        <f>IFERROR(SUMPRODUCT(R31:R33,R55:R57)/R34,0)</f>
        <v/>
      </c>
      <c r="S58" s="385">
        <f>IFERROR(SUMPRODUCT(S31:S33,S55:S57)/S34,0)</f>
        <v/>
      </c>
      <c r="T58" s="385">
        <f>IFERROR(SUMPRODUCT(T31:T33,T55:T57)/T34,0)</f>
        <v/>
      </c>
      <c r="U58" s="385">
        <f>IFERROR(SUMPRODUCT(U31:U33,U55:U57)/U34,0)</f>
        <v/>
      </c>
      <c r="V58" s="385">
        <f>IFERROR(SUMPRODUCT(V31:V33,V55:V57)/V34,0)</f>
        <v/>
      </c>
      <c r="W58" s="385">
        <f>IFERROR(SUMPRODUCT(W31:W33,W55:W57)/W34,0)</f>
        <v/>
      </c>
      <c r="X58" s="385">
        <f>IFERROR(SUMPRODUCT(X31:X33,X55:X57)/X34,0)</f>
        <v/>
      </c>
      <c r="Y58" s="385">
        <f>IFERROR(SUMPRODUCT(Y31:Y33,Y55:Y57)/Y34,0)</f>
        <v/>
      </c>
      <c r="Z58" s="385">
        <f>IFERROR(SUMPRODUCT(Z31:Z33,Z55:Z57)/Z34,0)</f>
        <v/>
      </c>
      <c r="AA58" s="385">
        <f>IFERROR(SUMPRODUCT(AA31:AA33,AA55:AA57)/AA34,0)</f>
        <v/>
      </c>
      <c r="AB58" s="385">
        <f>IFERROR(SUMPRODUCT(AB31:AB33,AB55:AB57)/AB34,0)</f>
        <v/>
      </c>
      <c r="AC58" s="385">
        <f>IFERROR(SUMPRODUCT(AC31:AC33,AC55:AC57)/AC34,0)</f>
        <v/>
      </c>
      <c r="AD58" s="385">
        <f>IFERROR(SUMPRODUCT(AD31:AD33,AD55:AD57)/AD34,0)</f>
        <v/>
      </c>
      <c r="AE58" s="385">
        <f>IFERROR(SUMPRODUCT(AE31:AE33,AE55:AE57)/AE34,0)</f>
        <v/>
      </c>
      <c r="AF58" s="385">
        <f>IFERROR(SUMPRODUCT(AF31:AF33,AF55:AF57)/AF34,0)</f>
        <v/>
      </c>
      <c r="AG58" s="385">
        <f>IFERROR(SUMPRODUCT(AG31:AG33,AG55:AG57)/AG34,0)</f>
        <v/>
      </c>
      <c r="AH58" s="385">
        <f>IFERROR(SUMPRODUCT(AH31:AH33,AH55:AH57)/AH34,0)</f>
        <v/>
      </c>
      <c r="AI58" s="385">
        <f>IFERROR(SUMPRODUCT(AI31:AI33,AI55:AI57)/AI34,0)</f>
        <v/>
      </c>
      <c r="AJ58" s="385">
        <f>IFERROR(SUMPRODUCT(AJ31:AJ33,AJ55:AJ57)/AJ34,0)</f>
        <v/>
      </c>
      <c r="AK58" s="385">
        <f>IFERROR(SUMPRODUCT(AK31:AK33,AK55:AK57)/AK34,0)</f>
        <v/>
      </c>
      <c r="AL58" s="385">
        <f>IFERROR(SUMPRODUCT(AL31:AL33,AL55:AL57)/AL34,0)</f>
        <v/>
      </c>
      <c r="AM58" s="385">
        <f>IFERROR(SUMPRODUCT(AM31:AM33,AM55:AM57)/AM34,0)</f>
        <v/>
      </c>
      <c r="AN58" s="385">
        <f>IFERROR(SUMPRODUCT(AN31:AN33,AN55:AN57)/AN34,0)</f>
        <v/>
      </c>
      <c r="AO58" s="385">
        <f>IFERROR(SUMPRODUCT(AO31:AO33,AO55:AO57)/AO34,0)</f>
        <v/>
      </c>
      <c r="AP58" s="385">
        <f>IFERROR(SUMPRODUCT(AP31:AP33,AP55:AP57)/AP34,0)</f>
        <v/>
      </c>
      <c r="AQ58" s="385">
        <f>IFERROR(SUMPRODUCT(AQ31:AQ33,AQ55:AQ57)/AQ34,0)</f>
        <v/>
      </c>
      <c r="AR58" s="385">
        <f>IFERROR(SUMPRODUCT(AR31:AR33,AR55:AR57)/AR34,0)</f>
        <v/>
      </c>
      <c r="AS58" s="385">
        <f>IFERROR(SUMPRODUCT(AS31:AS33,AS55:AS57)/AS34,0)</f>
        <v/>
      </c>
      <c r="AT58" s="385">
        <f>IFERROR(SUMPRODUCT(AT31:AT33,AT55:AT57)/AT34,0)</f>
        <v/>
      </c>
      <c r="AU58" s="385">
        <f>IFERROR(SUMPRODUCT(AU31:AU33,AU55:AU57)/AU34,0)</f>
        <v/>
      </c>
      <c r="AV58" s="385">
        <f>IFERROR(SUMPRODUCT(AV31:AV33,AV55:AV57)/AV34,0)</f>
        <v/>
      </c>
      <c r="AW58" s="385">
        <f>IFERROR(SUMPRODUCT(AW31:AW33,AW55:AW57)/AW34,0)</f>
        <v/>
      </c>
      <c r="AX58" s="385">
        <f>IFERROR(SUMPRODUCT(AX31:AX33,AX55:AX57)/AX34,0)</f>
        <v/>
      </c>
      <c r="AY58" s="385">
        <f>IFERROR(SUMPRODUCT(AY31:AY33,AY55:AY57)/AY34,0)</f>
        <v/>
      </c>
      <c r="AZ58" s="385">
        <f>IFERROR(SUMPRODUCT(AZ31:AZ33,AZ55:AZ57)/AZ34,0)</f>
        <v/>
      </c>
      <c r="BA58" s="385">
        <f>IFERROR(SUMPRODUCT(BA31:BA33,BA55:BA57)/BA34,0)</f>
        <v/>
      </c>
      <c r="BB58" s="385">
        <f>IFERROR(SUMPRODUCT(BB31:BB33,BB55:BB57)/BB34,0)</f>
        <v/>
      </c>
      <c r="BC58" s="385">
        <f>IFERROR(SUMPRODUCT(BC31:BC33,BC55:BC57)/BC34,0)</f>
        <v/>
      </c>
      <c r="BD58" s="385">
        <f>IFERROR(SUMPRODUCT(BD31:BD33,BD55:BD57)/BD34,0)</f>
        <v/>
      </c>
      <c r="BE58" s="385">
        <f>IFERROR(SUMPRODUCT(BE31:BE33,BE55:BE57)/BE34,0)</f>
        <v/>
      </c>
      <c r="BF58" s="385">
        <f>IFERROR(SUMPRODUCT(BF31:BF33,BF55:BF57)/BF34,0)</f>
        <v/>
      </c>
      <c r="BG58" s="385">
        <f>IFERROR(SUMPRODUCT(BG31:BG33,BG55:BG57)/BG34,0)</f>
        <v/>
      </c>
      <c r="BH58" s="385">
        <f>IFERROR(SUMPRODUCT(BH31:BH33,BH55:BH57)/BH34,0)</f>
        <v/>
      </c>
      <c r="BI58" s="385">
        <f>IFERROR(SUMPRODUCT(BI31:BI33,BI55:BI57)/BI34,0)</f>
        <v/>
      </c>
      <c r="BJ58" s="385">
        <f>IFERROR(SUMPRODUCT(BJ31:BJ33,BJ55:BJ57)/BJ34,0)</f>
        <v/>
      </c>
      <c r="BK58" s="385">
        <f>IFERROR(SUMPRODUCT(BK31:BK33,BK55:BK57)/BK34,0)</f>
        <v/>
      </c>
      <c r="BL58" s="385">
        <f>IFERROR(SUMPRODUCT(BL31:BL33,BL55:BL57)/BL34,0)</f>
        <v/>
      </c>
      <c r="BM58" s="385">
        <f>IFERROR(SUMPRODUCT(BM31:BM33,BM55:BM57)/BM34,0)</f>
        <v/>
      </c>
      <c r="BN58" s="385">
        <f>IFERROR(SUMPRODUCT(BN31:BN33,BN55:BN57)/BN34,0)</f>
        <v/>
      </c>
      <c r="BO58" s="385">
        <f>IFERROR(SUMPRODUCT(BO31:BO33,BO55:BO57)/BO34,0)</f>
        <v/>
      </c>
      <c r="BP58" s="323" t="n"/>
      <c r="BQ58" s="25" t="n"/>
    </row>
    <row r="59">
      <c r="A59" s="4" t="n"/>
      <c r="B59" s="17" t="n"/>
      <c r="D59" s="322" t="n"/>
      <c r="E59" s="322" t="n"/>
      <c r="F59" s="322" t="n"/>
      <c r="G59" s="322" t="n"/>
      <c r="H59" s="322" t="n"/>
      <c r="I59" s="322" t="n"/>
      <c r="J59" s="322" t="n"/>
      <c r="K59" s="322" t="n"/>
      <c r="L59" s="322" t="n"/>
      <c r="M59" s="322" t="n"/>
      <c r="N59" s="322" t="n"/>
      <c r="O59" s="322" t="n"/>
      <c r="P59" s="322" t="n"/>
      <c r="Q59" s="322" t="n"/>
      <c r="R59" s="322" t="n"/>
      <c r="S59" s="322" t="n"/>
      <c r="T59" s="322" t="n"/>
      <c r="U59" s="322" t="n"/>
      <c r="V59" s="322" t="n"/>
      <c r="W59" s="322" t="n"/>
      <c r="X59" s="322" t="n"/>
      <c r="Y59" s="322" t="n"/>
      <c r="Z59" s="322" t="n"/>
      <c r="AA59" s="322" t="n"/>
      <c r="AB59" s="322" t="n"/>
      <c r="AC59" s="322" t="n"/>
      <c r="AD59" s="322" t="n"/>
      <c r="AE59" s="322" t="n"/>
      <c r="AF59" s="322" t="n"/>
      <c r="AG59" s="322" t="n"/>
      <c r="AH59" s="322" t="n"/>
      <c r="AI59" s="322" t="n"/>
      <c r="AJ59" s="322" t="n"/>
      <c r="AK59" s="322" t="n"/>
      <c r="AL59" s="322" t="n"/>
      <c r="AM59" s="322" t="n"/>
      <c r="AN59" s="322" t="n"/>
      <c r="AO59" s="322" t="n"/>
      <c r="AP59" s="322" t="n"/>
      <c r="AQ59" s="322" t="n"/>
      <c r="AR59" s="322" t="n"/>
      <c r="AS59" s="322" t="n"/>
      <c r="AT59" s="322" t="n"/>
      <c r="AU59" s="322" t="n"/>
      <c r="AV59" s="322" t="n"/>
      <c r="AW59" s="322" t="n"/>
      <c r="AX59" s="322" t="n"/>
      <c r="AY59" s="322" t="n"/>
      <c r="AZ59" s="322" t="n"/>
      <c r="BA59" s="322" t="n"/>
      <c r="BB59" s="322" t="n"/>
      <c r="BC59" s="322" t="n"/>
      <c r="BD59" s="322" t="n"/>
      <c r="BE59" s="322" t="n"/>
      <c r="BF59" s="322" t="n"/>
      <c r="BG59" s="322" t="n"/>
      <c r="BH59" s="322" t="n"/>
      <c r="BI59" s="322" t="n"/>
      <c r="BJ59" s="322" t="n"/>
      <c r="BK59" s="322" t="n"/>
      <c r="BL59" s="322" t="n"/>
      <c r="BM59" s="322" t="n"/>
      <c r="BN59" s="322" t="n"/>
      <c r="BO59" s="322" t="n"/>
      <c r="BP59" s="322" t="n"/>
      <c r="BQ59" s="25" t="n"/>
    </row>
    <row r="60">
      <c r="A60" s="4" t="inlineStr">
        <is>
          <t>Total Revenue</t>
        </is>
      </c>
      <c r="B60" s="17" t="inlineStr">
        <is>
          <t>USDk</t>
        </is>
      </c>
      <c r="D60" s="323">
        <f>SUMPRODUCT(D31:D32,D55:D56)</f>
        <v/>
      </c>
      <c r="E60" s="323">
        <f>SUMPRODUCT(E31:E32,E55:E56)</f>
        <v/>
      </c>
      <c r="F60" s="323">
        <f>SUMPRODUCT(F31:F32,F55:F56)</f>
        <v/>
      </c>
      <c r="G60" s="323">
        <f>SUMPRODUCT(G31:G32,G55:G56)</f>
        <v/>
      </c>
      <c r="H60" s="323">
        <f>SUMPRODUCT(H31:H32,H55:H56)</f>
        <v/>
      </c>
      <c r="I60" s="323">
        <f>SUMPRODUCT(I31:I32,I55:I56)</f>
        <v/>
      </c>
      <c r="J60" s="323">
        <f>SUMPRODUCT(J31:J32,J55:J56)</f>
        <v/>
      </c>
      <c r="K60" s="323">
        <f>SUMPRODUCT(K31:K32,K55:K56)</f>
        <v/>
      </c>
      <c r="L60" s="323">
        <f>SUMPRODUCT(L31:L32,L55:L56)</f>
        <v/>
      </c>
      <c r="M60" s="323">
        <f>SUMPRODUCT(M31:M32,M55:M56)</f>
        <v/>
      </c>
      <c r="N60" s="323">
        <f>SUMPRODUCT(N31:N32,N55:N56)</f>
        <v/>
      </c>
      <c r="O60" s="323">
        <f>SUMPRODUCT(O31:O32,O55:O56)</f>
        <v/>
      </c>
      <c r="P60" s="323">
        <f>SUMPRODUCT(P31:P32,P55:P56)</f>
        <v/>
      </c>
      <c r="Q60" s="323">
        <f>SUMPRODUCT(Q31:Q32,Q55:Q56)</f>
        <v/>
      </c>
      <c r="R60" s="323">
        <f>SUMPRODUCT(R31:R32,R55:R56)</f>
        <v/>
      </c>
      <c r="S60" s="323">
        <f>SUMPRODUCT(S31:S32,S55:S56)</f>
        <v/>
      </c>
      <c r="T60" s="323">
        <f>SUMPRODUCT(T31:T32,T55:T56)</f>
        <v/>
      </c>
      <c r="U60" s="323">
        <f>SUMPRODUCT(U31:U32,U55:U56)</f>
        <v/>
      </c>
      <c r="V60" s="323">
        <f>SUMPRODUCT(V31:V32,V55:V56)</f>
        <v/>
      </c>
      <c r="W60" s="323">
        <f>SUMPRODUCT(W31:W32,W55:W56)</f>
        <v/>
      </c>
      <c r="X60" s="323">
        <f>SUMPRODUCT(X31:X32,X55:X56)</f>
        <v/>
      </c>
      <c r="Y60" s="323">
        <f>SUMPRODUCT(Y31:Y32,Y55:Y56)</f>
        <v/>
      </c>
      <c r="Z60" s="323">
        <f>SUMPRODUCT(Z31:Z32,Z55:Z56)</f>
        <v/>
      </c>
      <c r="AA60" s="323">
        <f>SUMPRODUCT(AA31:AA32,AA55:AA56)</f>
        <v/>
      </c>
      <c r="AB60" s="323">
        <f>SUMPRODUCT(AB31:AB32,AB55:AB56)</f>
        <v/>
      </c>
      <c r="AC60" s="323">
        <f>SUMPRODUCT(AC31:AC32,AC55:AC56)</f>
        <v/>
      </c>
      <c r="AD60" s="323">
        <f>SUMPRODUCT(AD31:AD32,AD55:AD56)</f>
        <v/>
      </c>
      <c r="AE60" s="323">
        <f>SUMPRODUCT(AE31:AE32,AE55:AE56)</f>
        <v/>
      </c>
      <c r="AF60" s="323">
        <f>SUMPRODUCT(AF31:AF32,AF55:AF56)</f>
        <v/>
      </c>
      <c r="AG60" s="323">
        <f>SUMPRODUCT(AG31:AG32,AG55:AG56)</f>
        <v/>
      </c>
      <c r="AH60" s="323">
        <f>SUMPRODUCT(AH31:AH32,AH55:AH56)</f>
        <v/>
      </c>
      <c r="AI60" s="323">
        <f>SUMPRODUCT(AI31:AI32,AI55:AI56)</f>
        <v/>
      </c>
      <c r="AJ60" s="323">
        <f>SUMPRODUCT(AJ31:AJ32,AJ55:AJ56)</f>
        <v/>
      </c>
      <c r="AK60" s="323">
        <f>SUMPRODUCT(AK31:AK32,AK55:AK56)</f>
        <v/>
      </c>
      <c r="AL60" s="323">
        <f>SUMPRODUCT(AL31:AL32,AL55:AL56)</f>
        <v/>
      </c>
      <c r="AM60" s="323">
        <f>SUMPRODUCT(AM31:AM32,AM55:AM56)</f>
        <v/>
      </c>
      <c r="AN60" s="323">
        <f>SUMPRODUCT(AN31:AN32,AN55:AN56)</f>
        <v/>
      </c>
      <c r="AO60" s="323">
        <f>SUMPRODUCT(AO31:AO32,AO55:AO56)</f>
        <v/>
      </c>
      <c r="AP60" s="323">
        <f>SUMPRODUCT(AP31:AP32,AP55:AP56)</f>
        <v/>
      </c>
      <c r="AQ60" s="323">
        <f>SUMPRODUCT(AQ31:AQ32,AQ55:AQ56)</f>
        <v/>
      </c>
      <c r="AR60" s="323">
        <f>SUMPRODUCT(AR31:AR32,AR55:AR56)</f>
        <v/>
      </c>
      <c r="AS60" s="323">
        <f>SUMPRODUCT(AS31:AS32,AS55:AS56)</f>
        <v/>
      </c>
      <c r="AT60" s="323">
        <f>SUMPRODUCT(AT31:AT32,AT55:AT56)</f>
        <v/>
      </c>
      <c r="AU60" s="323">
        <f>SUMPRODUCT(AU31:AU32,AU55:AU56)</f>
        <v/>
      </c>
      <c r="AV60" s="323">
        <f>SUMPRODUCT(AV31:AV32,AV55:AV56)</f>
        <v/>
      </c>
      <c r="AW60" s="323">
        <f>SUMPRODUCT(AW31:AW32,AW55:AW56)</f>
        <v/>
      </c>
      <c r="AX60" s="323">
        <f>SUMPRODUCT(AX31:AX32,AX55:AX56)</f>
        <v/>
      </c>
      <c r="AY60" s="323">
        <f>SUMPRODUCT(AY31:AY32,AY55:AY56)</f>
        <v/>
      </c>
      <c r="AZ60" s="323">
        <f>SUMPRODUCT(AZ31:AZ32,AZ55:AZ56)</f>
        <v/>
      </c>
      <c r="BA60" s="323">
        <f>SUMPRODUCT(BA31:BA32,BA55:BA56)</f>
        <v/>
      </c>
      <c r="BB60" s="323">
        <f>SUMPRODUCT(BB31:BB32,BB55:BB56)</f>
        <v/>
      </c>
      <c r="BC60" s="323">
        <f>SUMPRODUCT(BC31:BC32,BC55:BC56)</f>
        <v/>
      </c>
      <c r="BD60" s="323">
        <f>SUMPRODUCT(BD31:BD32,BD55:BD56)</f>
        <v/>
      </c>
      <c r="BE60" s="323">
        <f>SUMPRODUCT(BE31:BE32,BE55:BE56)</f>
        <v/>
      </c>
      <c r="BF60" s="323">
        <f>SUMPRODUCT(BF31:BF32,BF55:BF56)</f>
        <v/>
      </c>
      <c r="BG60" s="323">
        <f>SUMPRODUCT(BG31:BG32,BG55:BG56)</f>
        <v/>
      </c>
      <c r="BH60" s="323">
        <f>SUMPRODUCT(BH31:BH32,BH55:BH56)</f>
        <v/>
      </c>
      <c r="BI60" s="323">
        <f>SUMPRODUCT(BI31:BI32,BI55:BI56)</f>
        <v/>
      </c>
      <c r="BJ60" s="323">
        <f>SUMPRODUCT(BJ31:BJ32,BJ55:BJ56)</f>
        <v/>
      </c>
      <c r="BK60" s="323">
        <f>SUMPRODUCT(BK31:BK32,BK55:BK56)</f>
        <v/>
      </c>
      <c r="BL60" s="323">
        <f>SUMPRODUCT(BL31:BL32,BL55:BL56)</f>
        <v/>
      </c>
      <c r="BM60" s="323">
        <f>SUMPRODUCT(BM31:BM32,BM55:BM56)</f>
        <v/>
      </c>
      <c r="BN60" s="323">
        <f>SUMPRODUCT(BN31:BN32,BN55:BN56)</f>
        <v/>
      </c>
      <c r="BO60" s="323">
        <f>SUMPRODUCT(BO31:BO32,BO55:BO56)</f>
        <v/>
      </c>
      <c r="BP60" s="323" t="n"/>
      <c r="BQ60" s="370">
        <f>SUM(D60:BO60)</f>
        <v/>
      </c>
    </row>
    <row r="61">
      <c r="A61" s="4" t="inlineStr">
        <is>
          <t>FX</t>
        </is>
      </c>
      <c r="B61" s="17" t="inlineStr">
        <is>
          <t>USD:AUD</t>
        </is>
      </c>
      <c r="D61" s="324">
        <f>Assumptions!I4</f>
        <v/>
      </c>
      <c r="E61" s="324">
        <f>Assumptions!J4</f>
        <v/>
      </c>
      <c r="F61" s="324">
        <f>Assumptions!K4</f>
        <v/>
      </c>
      <c r="G61" s="324">
        <f>Assumptions!L4</f>
        <v/>
      </c>
      <c r="H61" s="324">
        <f>Assumptions!M4</f>
        <v/>
      </c>
      <c r="I61" s="324">
        <f>Assumptions!N4</f>
        <v/>
      </c>
      <c r="J61" s="324">
        <f>Assumptions!O4</f>
        <v/>
      </c>
      <c r="K61" s="324">
        <f>Assumptions!P4</f>
        <v/>
      </c>
      <c r="L61" s="324">
        <f>Assumptions!Q4</f>
        <v/>
      </c>
      <c r="M61" s="324">
        <f>Assumptions!R4</f>
        <v/>
      </c>
      <c r="N61" s="324">
        <f>Assumptions!S4</f>
        <v/>
      </c>
      <c r="O61" s="324">
        <f>Assumptions!T4</f>
        <v/>
      </c>
      <c r="P61" s="324">
        <f>Assumptions!U4</f>
        <v/>
      </c>
      <c r="Q61" s="324">
        <f>Assumptions!V4</f>
        <v/>
      </c>
      <c r="R61" s="324">
        <f>Assumptions!W4</f>
        <v/>
      </c>
      <c r="S61" s="324">
        <f>Assumptions!X4</f>
        <v/>
      </c>
      <c r="T61" s="324">
        <f>Assumptions!Y4</f>
        <v/>
      </c>
      <c r="U61" s="324">
        <f>Assumptions!Z4</f>
        <v/>
      </c>
      <c r="V61" s="324">
        <f>Assumptions!AA4</f>
        <v/>
      </c>
      <c r="W61" s="324">
        <f>Assumptions!AB4</f>
        <v/>
      </c>
      <c r="X61" s="324">
        <f>Assumptions!AC4</f>
        <v/>
      </c>
      <c r="Y61" s="324">
        <f>Assumptions!AD4</f>
        <v/>
      </c>
      <c r="Z61" s="324">
        <f>Assumptions!AE4</f>
        <v/>
      </c>
      <c r="AA61" s="324">
        <f>Assumptions!AF4</f>
        <v/>
      </c>
      <c r="AB61" s="324">
        <f>Assumptions!AG4</f>
        <v/>
      </c>
      <c r="AC61" s="324">
        <f>Assumptions!AH4</f>
        <v/>
      </c>
      <c r="AD61" s="324">
        <f>Assumptions!AI4</f>
        <v/>
      </c>
      <c r="AE61" s="324">
        <f>Assumptions!AI4</f>
        <v/>
      </c>
      <c r="AF61" s="324">
        <f>Assumptions!AJ4</f>
        <v/>
      </c>
      <c r="AG61" s="324">
        <f>Assumptions!AK4</f>
        <v/>
      </c>
      <c r="AH61" s="324">
        <f>Assumptions!AL4</f>
        <v/>
      </c>
      <c r="AI61" s="324">
        <f>Assumptions!AM4</f>
        <v/>
      </c>
      <c r="AJ61" s="324">
        <f>Assumptions!AN4</f>
        <v/>
      </c>
      <c r="AK61" s="324">
        <f>Assumptions!AO4</f>
        <v/>
      </c>
      <c r="AL61" s="324">
        <f>Assumptions!AP4</f>
        <v/>
      </c>
      <c r="AM61" s="324">
        <f>Assumptions!AQ4</f>
        <v/>
      </c>
      <c r="AN61" s="324">
        <f>Assumptions!AR4</f>
        <v/>
      </c>
      <c r="AO61" s="324">
        <f>Assumptions!AS4</f>
        <v/>
      </c>
      <c r="AP61" s="324">
        <f>Assumptions!AT4</f>
        <v/>
      </c>
      <c r="AQ61" s="324">
        <f>Assumptions!AU4</f>
        <v/>
      </c>
      <c r="AR61" s="324">
        <f>Assumptions!AV4</f>
        <v/>
      </c>
      <c r="AS61" s="324">
        <f>Assumptions!AW4</f>
        <v/>
      </c>
      <c r="AT61" s="324">
        <f>Assumptions!AX4</f>
        <v/>
      </c>
      <c r="AU61" s="324">
        <f>Assumptions!AY4</f>
        <v/>
      </c>
      <c r="AV61" s="324">
        <f>Assumptions!AZ4</f>
        <v/>
      </c>
      <c r="AW61" s="324">
        <f>Assumptions!BA4</f>
        <v/>
      </c>
      <c r="AX61" s="324">
        <f>Assumptions!BB4</f>
        <v/>
      </c>
      <c r="AY61" s="324">
        <f>Assumptions!BC4</f>
        <v/>
      </c>
      <c r="AZ61" s="324">
        <f>Assumptions!BD4</f>
        <v/>
      </c>
      <c r="BA61" s="324">
        <f>Assumptions!BE4</f>
        <v/>
      </c>
      <c r="BB61" s="324">
        <f>Assumptions!BF4</f>
        <v/>
      </c>
      <c r="BC61" s="324">
        <f>Assumptions!BG4</f>
        <v/>
      </c>
      <c r="BD61" s="324">
        <f>Assumptions!BH4</f>
        <v/>
      </c>
      <c r="BE61" s="324">
        <f>Assumptions!BI4</f>
        <v/>
      </c>
      <c r="BF61" s="324">
        <f>Assumptions!BJ4</f>
        <v/>
      </c>
      <c r="BG61" s="324">
        <f>Assumptions!BK4</f>
        <v/>
      </c>
      <c r="BH61" s="324">
        <f>Assumptions!BL4</f>
        <v/>
      </c>
      <c r="BI61" s="324">
        <f>Assumptions!BM4</f>
        <v/>
      </c>
      <c r="BJ61" s="324">
        <f>Assumptions!BN4</f>
        <v/>
      </c>
      <c r="BK61" s="324">
        <f>Assumptions!BO4</f>
        <v/>
      </c>
      <c r="BL61" s="324">
        <f>Assumptions!BP4</f>
        <v/>
      </c>
      <c r="BM61" s="324">
        <f>Assumptions!BQ4</f>
        <v/>
      </c>
      <c r="BN61" s="324">
        <f>Assumptions!BR4</f>
        <v/>
      </c>
      <c r="BO61" s="324">
        <f>Assumptions!BS4</f>
        <v/>
      </c>
      <c r="BP61" s="324" t="n"/>
      <c r="BQ61" s="25" t="n"/>
    </row>
    <row r="62">
      <c r="A62" s="4" t="inlineStr">
        <is>
          <t>Total Revenue</t>
        </is>
      </c>
      <c r="B62" s="17" t="inlineStr">
        <is>
          <t>AUD</t>
        </is>
      </c>
      <c r="D62" s="333">
        <f>(D60/D61)*(1+$BT$7)</f>
        <v/>
      </c>
      <c r="E62" s="333">
        <f>(E60/E61)*(1+$BT$7)</f>
        <v/>
      </c>
      <c r="F62" s="333">
        <f>(F60/F61)*(1+$BT$7)</f>
        <v/>
      </c>
      <c r="G62" s="333">
        <f>(G60/G61)*(1+$BT$7)</f>
        <v/>
      </c>
      <c r="H62" s="333">
        <f>(H60/H61)*(1+$BT$7)</f>
        <v/>
      </c>
      <c r="I62" s="333">
        <f>(I60/I61)*(1+$BT$7)</f>
        <v/>
      </c>
      <c r="J62" s="333">
        <f>(J60/J61)*(1+$BT$7)</f>
        <v/>
      </c>
      <c r="K62" s="333">
        <f>(K60/K61)*(1+$BT$7)</f>
        <v/>
      </c>
      <c r="L62" s="333">
        <f>(L60/L61)*(1+$BT$7)</f>
        <v/>
      </c>
      <c r="M62" s="333">
        <f>(M60/M61)*(1+$BT$7)</f>
        <v/>
      </c>
      <c r="N62" s="333">
        <f>(N60/N61)*(1+$BT$7)</f>
        <v/>
      </c>
      <c r="O62" s="333">
        <f>(O60/O61)*(1+$BT$7)</f>
        <v/>
      </c>
      <c r="P62" s="333">
        <f>(P60/P61)*(1+$BT$7)</f>
        <v/>
      </c>
      <c r="Q62" s="333">
        <f>(Q60/Q61)*(1+$BT$7)</f>
        <v/>
      </c>
      <c r="R62" s="333">
        <f>(R60/R61)*(1+$BT$7)</f>
        <v/>
      </c>
      <c r="S62" s="333">
        <f>(S60/S61)*(1+$BT$7)</f>
        <v/>
      </c>
      <c r="T62" s="333">
        <f>(T60/T61)*(1+$BT$7)</f>
        <v/>
      </c>
      <c r="U62" s="333">
        <f>(U60/U61)*(1+$BT$7)</f>
        <v/>
      </c>
      <c r="V62" s="333">
        <f>(V60/V61)*(1+$BT$7)</f>
        <v/>
      </c>
      <c r="W62" s="333">
        <f>(W60/W61)*(1+$BT$7)</f>
        <v/>
      </c>
      <c r="X62" s="333">
        <f>(X60/X61)*(1+$BT$7)</f>
        <v/>
      </c>
      <c r="Y62" s="333">
        <f>(Y60/Y61)*(1+$BT$7)</f>
        <v/>
      </c>
      <c r="Z62" s="333">
        <f>(Z60/Z61)*(1+$BT$7)</f>
        <v/>
      </c>
      <c r="AA62" s="333">
        <f>(AA60/AA61)*(1+$BT$7)</f>
        <v/>
      </c>
      <c r="AB62" s="333">
        <f>(AB60/AB61)*(1+$BT$7)</f>
        <v/>
      </c>
      <c r="AC62" s="333">
        <f>(AC60/AC61)*(1+$BT$7)</f>
        <v/>
      </c>
      <c r="AD62" s="333">
        <f>(AD60/AD61)*(1+$BT$7)</f>
        <v/>
      </c>
      <c r="AE62" s="333">
        <f>(AE60/AE61)*(1+$BT$7)</f>
        <v/>
      </c>
      <c r="AF62" s="333">
        <f>(AF60/AF61)*(1+$BT$7)</f>
        <v/>
      </c>
      <c r="AG62" s="333">
        <f>(AG60/AG61)*(1+$BT$7)</f>
        <v/>
      </c>
      <c r="AH62" s="333">
        <f>(AH60/AH61)*(1+$BT$7)</f>
        <v/>
      </c>
      <c r="AI62" s="333">
        <f>(AI60/AI61)*(1+$BT$7)</f>
        <v/>
      </c>
      <c r="AJ62" s="333">
        <f>(AJ60/AJ61)*(1+$BT$7)</f>
        <v/>
      </c>
      <c r="AK62" s="333">
        <f>(AK60/AK61)*(1+$BT$7)</f>
        <v/>
      </c>
      <c r="AL62" s="333">
        <f>(AL60/AL61)*(1+$BT$7)</f>
        <v/>
      </c>
      <c r="AM62" s="333">
        <f>(AM60/AM61)*(1+$BT$7)</f>
        <v/>
      </c>
      <c r="AN62" s="333">
        <f>(AN60/AN61)*(1+$BT$7)</f>
        <v/>
      </c>
      <c r="AO62" s="333">
        <f>(AO60/AO61)*(1+$BT$7)</f>
        <v/>
      </c>
      <c r="AP62" s="333">
        <f>(AP60/AP61)*(1+$BT$7)</f>
        <v/>
      </c>
      <c r="AQ62" s="333">
        <f>(AQ60/AQ61)*(1+$BT$7)</f>
        <v/>
      </c>
      <c r="AR62" s="333">
        <f>(AR60/AR61)*(1+$BT$7)</f>
        <v/>
      </c>
      <c r="AS62" s="333">
        <f>(AS60/AS61)*(1+$BT$7)</f>
        <v/>
      </c>
      <c r="AT62" s="333">
        <f>(AT60/AT61)*(1+$BT$7)</f>
        <v/>
      </c>
      <c r="AU62" s="333">
        <f>(AU60/AU61)*(1+$BT$7)</f>
        <v/>
      </c>
      <c r="AV62" s="333">
        <f>(AV60/AV61)*(1+$BT$7)</f>
        <v/>
      </c>
      <c r="AW62" s="333">
        <f>(AW60/AW61)*(1+$BT$7)</f>
        <v/>
      </c>
      <c r="AX62" s="333">
        <f>(AX60/AX61)*(1+$BT$7)</f>
        <v/>
      </c>
      <c r="AY62" s="333">
        <f>(AY60/AY61)*(1+$BT$7)</f>
        <v/>
      </c>
      <c r="AZ62" s="333">
        <f>(AZ60/AZ61)*(1+$BT$7)</f>
        <v/>
      </c>
      <c r="BA62" s="333">
        <f>(BA60/BA61)*(1+$BT$7)</f>
        <v/>
      </c>
      <c r="BB62" s="333">
        <f>(BB60/BB61)*(1+$BT$7)</f>
        <v/>
      </c>
      <c r="BC62" s="333">
        <f>(BC60/BC61)*(1+$BT$7)</f>
        <v/>
      </c>
      <c r="BD62" s="333">
        <f>(BD60/BD61)*(1+$BT$7)</f>
        <v/>
      </c>
      <c r="BE62" s="333">
        <f>(BE60/BE61)*(1+$BT$7)</f>
        <v/>
      </c>
      <c r="BF62" s="333">
        <f>(BF60/BF61)*(1+$BT$7)</f>
        <v/>
      </c>
      <c r="BG62" s="333">
        <f>(BG60/BG61)*(1+$BT$7)</f>
        <v/>
      </c>
      <c r="BH62" s="333">
        <f>(BH60/BH61)*(1+$BT$7)</f>
        <v/>
      </c>
      <c r="BI62" s="333">
        <f>(BI60/BI61)*(1+$BT$7)</f>
        <v/>
      </c>
      <c r="BJ62" s="333">
        <f>(BJ60/BJ61)*(1+$BT$7)</f>
        <v/>
      </c>
      <c r="BK62" s="333">
        <f>(BK60/BK61)*(1+$BT$7)</f>
        <v/>
      </c>
      <c r="BL62" s="333">
        <f>(BL60/BL61)*(1+$BT$7)</f>
        <v/>
      </c>
      <c r="BM62" s="333">
        <f>(BM60/BM61)*(1+$BT$7)</f>
        <v/>
      </c>
      <c r="BN62" s="333">
        <f>(BN60/BN61)*(1+$BT$7)</f>
        <v/>
      </c>
      <c r="BO62" s="333">
        <f>(BO60/BO61)*(1+$BT$7)</f>
        <v/>
      </c>
      <c r="BP62" s="333" t="n"/>
      <c r="BQ62" s="387">
        <f>SUM(D62:BO62)</f>
        <v/>
      </c>
    </row>
    <row r="63">
      <c r="A63" s="4" t="inlineStr">
        <is>
          <t>Average Realisation</t>
        </is>
      </c>
      <c r="B63" s="17" t="inlineStr">
        <is>
          <t>AUD/t</t>
        </is>
      </c>
      <c r="D63" s="388">
        <f>IFERROR(D62/D19,0)</f>
        <v/>
      </c>
      <c r="E63" s="388">
        <f>IFERROR(E62/E19,0)</f>
        <v/>
      </c>
      <c r="F63" s="388">
        <f>IFERROR(F62/F19,0)</f>
        <v/>
      </c>
      <c r="G63" s="388">
        <f>IFERROR(G62/G19,0)</f>
        <v/>
      </c>
      <c r="H63" s="388">
        <f>IFERROR(H62/H19,0)</f>
        <v/>
      </c>
      <c r="I63" s="388">
        <f>IFERROR(I62/I19,0)</f>
        <v/>
      </c>
      <c r="J63" s="388">
        <f>IFERROR(J62/J19,0)</f>
        <v/>
      </c>
      <c r="K63" s="388">
        <f>IFERROR(K62/K19,0)</f>
        <v/>
      </c>
      <c r="L63" s="388">
        <f>IFERROR(L62/L19,0)</f>
        <v/>
      </c>
      <c r="M63" s="388">
        <f>IFERROR(M62/M19,0)</f>
        <v/>
      </c>
      <c r="N63" s="388">
        <f>IFERROR(N62/N19,0)</f>
        <v/>
      </c>
      <c r="O63" s="388">
        <f>IFERROR(O62/O19,0)</f>
        <v/>
      </c>
      <c r="P63" s="388">
        <f>IFERROR(P62/P19,0)</f>
        <v/>
      </c>
      <c r="Q63" s="388">
        <f>IFERROR(Q62/Q19,0)</f>
        <v/>
      </c>
      <c r="R63" s="388">
        <f>IFERROR(R62/R19,0)</f>
        <v/>
      </c>
      <c r="S63" s="388">
        <f>IFERROR(S62/S19,0)</f>
        <v/>
      </c>
      <c r="T63" s="388">
        <f>IFERROR(T62/T19,0)</f>
        <v/>
      </c>
      <c r="U63" s="388">
        <f>IFERROR(U62/U19,0)</f>
        <v/>
      </c>
      <c r="V63" s="388">
        <f>IFERROR(V62/V19,0)</f>
        <v/>
      </c>
      <c r="W63" s="388">
        <f>IFERROR(W62/W19,0)</f>
        <v/>
      </c>
      <c r="X63" s="388">
        <f>IFERROR(X62/X19,0)</f>
        <v/>
      </c>
      <c r="Y63" s="388">
        <f>IFERROR(Y62/Y19,0)</f>
        <v/>
      </c>
      <c r="Z63" s="388">
        <f>IFERROR(Z62/Z19,0)</f>
        <v/>
      </c>
      <c r="AA63" s="388">
        <f>IFERROR(AA62/AA19,0)</f>
        <v/>
      </c>
      <c r="AB63" s="388">
        <f>IFERROR(AB62/AB19,0)</f>
        <v/>
      </c>
      <c r="AC63" s="388">
        <f>IFERROR(AC62/AC19,0)</f>
        <v/>
      </c>
      <c r="AD63" s="388">
        <f>IFERROR(AD62/AD19,0)</f>
        <v/>
      </c>
      <c r="AE63" s="388">
        <f>IFERROR(AE62/AE19,0)</f>
        <v/>
      </c>
      <c r="AF63" s="388">
        <f>IFERROR(AF62/AF19,0)</f>
        <v/>
      </c>
      <c r="AG63" s="388">
        <f>IFERROR(AG62/AG19,0)</f>
        <v/>
      </c>
      <c r="AH63" s="388">
        <f>IFERROR(AH62/AH19,0)</f>
        <v/>
      </c>
      <c r="AI63" s="388">
        <f>IFERROR(AI62/AI19,0)</f>
        <v/>
      </c>
      <c r="AJ63" s="388">
        <f>IFERROR(AJ62/AJ19,0)</f>
        <v/>
      </c>
      <c r="AK63" s="388">
        <f>IFERROR(AK62/AK19,0)</f>
        <v/>
      </c>
      <c r="AL63" s="388">
        <f>IFERROR(AL62/AL19,0)</f>
        <v/>
      </c>
      <c r="AM63" s="388">
        <f>IFERROR(AM62/AM19,0)</f>
        <v/>
      </c>
      <c r="AN63" s="388">
        <f>IFERROR(AN62/AN19,0)</f>
        <v/>
      </c>
      <c r="AO63" s="388">
        <f>IFERROR(AO62/AO19,0)</f>
        <v/>
      </c>
      <c r="AP63" s="388">
        <f>IFERROR(AP62/AP19,0)</f>
        <v/>
      </c>
      <c r="AQ63" s="388">
        <f>IFERROR(AQ62/AQ19,0)</f>
        <v/>
      </c>
      <c r="AR63" s="388">
        <f>IFERROR(AR62/AR19,0)</f>
        <v/>
      </c>
      <c r="AS63" s="388">
        <f>IFERROR(AS62/AS19,0)</f>
        <v/>
      </c>
      <c r="AT63" s="388">
        <f>IFERROR(AT62/AT19,0)</f>
        <v/>
      </c>
      <c r="AU63" s="388">
        <f>IFERROR(AU62/AU19,0)</f>
        <v/>
      </c>
      <c r="AV63" s="388">
        <f>IFERROR(AV62/AV19,0)</f>
        <v/>
      </c>
      <c r="AW63" s="388">
        <f>IFERROR(AW62/AW19,0)</f>
        <v/>
      </c>
      <c r="AX63" s="388">
        <f>IFERROR(AX62/AX19,0)</f>
        <v/>
      </c>
      <c r="AY63" s="388">
        <f>IFERROR(AY62/AY19,0)</f>
        <v/>
      </c>
      <c r="AZ63" s="388">
        <f>IFERROR(AZ62/AZ19,0)</f>
        <v/>
      </c>
      <c r="BA63" s="388">
        <f>IFERROR(BA62/BA19,0)</f>
        <v/>
      </c>
      <c r="BB63" s="388">
        <f>IFERROR(BB62/BB19,0)</f>
        <v/>
      </c>
      <c r="BC63" s="388">
        <f>IFERROR(BC62/BC19,0)</f>
        <v/>
      </c>
      <c r="BD63" s="388">
        <f>IFERROR(BD62/BD19,0)</f>
        <v/>
      </c>
      <c r="BE63" s="388">
        <f>IFERROR(BE62/BE19,0)</f>
        <v/>
      </c>
      <c r="BF63" s="388">
        <f>IFERROR(BF62/BF19,0)</f>
        <v/>
      </c>
      <c r="BG63" s="388">
        <f>IFERROR(BG62/BG19,0)</f>
        <v/>
      </c>
      <c r="BH63" s="388">
        <f>IFERROR(BH62/BH19,0)</f>
        <v/>
      </c>
      <c r="BI63" s="388">
        <f>IFERROR(BI62/BI19,0)</f>
        <v/>
      </c>
      <c r="BJ63" s="388">
        <f>IFERROR(BJ62/BJ19,0)</f>
        <v/>
      </c>
      <c r="BK63" s="388">
        <f>IFERROR(BK62/BK19,0)</f>
        <v/>
      </c>
      <c r="BL63" s="388">
        <f>IFERROR(BL62/BL19,0)</f>
        <v/>
      </c>
      <c r="BM63" s="388">
        <f>IFERROR(BM62/BM19,0)</f>
        <v/>
      </c>
      <c r="BN63" s="388">
        <f>IFERROR(BN62/BN19,0)</f>
        <v/>
      </c>
      <c r="BO63" s="388">
        <f>IFERROR(BO62/BO19,0)</f>
        <v/>
      </c>
      <c r="BP63" s="388" t="n"/>
      <c r="BQ63" s="389">
        <f>IFERROR(BQ62/BQ19,0)</f>
        <v/>
      </c>
    </row>
    <row r="64">
      <c r="A64" s="8" t="n"/>
      <c r="B64" s="21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  <c r="AP64" s="26" t="n"/>
      <c r="AQ64" s="26" t="n"/>
      <c r="AR64" s="26" t="n"/>
      <c r="AS64" s="26" t="n"/>
      <c r="AT64" s="26" t="n"/>
      <c r="AU64" s="26" t="n"/>
      <c r="AV64" s="26" t="n"/>
      <c r="AW64" s="26" t="n"/>
      <c r="AX64" s="26" t="n"/>
      <c r="AY64" s="26" t="n"/>
      <c r="AZ64" s="26" t="n"/>
      <c r="BA64" s="26" t="n"/>
      <c r="BB64" s="26" t="n"/>
      <c r="BC64" s="26" t="n"/>
      <c r="BD64" s="26" t="n"/>
      <c r="BE64" s="26" t="n"/>
      <c r="BF64" s="26" t="n"/>
      <c r="BG64" s="26" t="n"/>
      <c r="BH64" s="26" t="n"/>
      <c r="BI64" s="26" t="n"/>
      <c r="BJ64" s="26" t="n"/>
      <c r="BK64" s="26" t="n"/>
      <c r="BL64" s="26" t="n"/>
      <c r="BM64" s="26" t="n"/>
      <c r="BN64" s="26" t="n"/>
      <c r="BO64" s="26" t="n"/>
      <c r="BP64" s="26" t="n"/>
      <c r="BQ64" s="27" t="n"/>
    </row>
    <row r="65">
      <c r="A65" s="2" t="inlineStr">
        <is>
          <t>Costs</t>
        </is>
      </c>
      <c r="B65" s="29" t="n"/>
      <c r="C65" s="36" t="n"/>
      <c r="D65" s="390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6" t="n"/>
      <c r="BH65" s="36" t="n"/>
      <c r="BI65" s="36" t="n"/>
      <c r="BJ65" s="36" t="n"/>
      <c r="BK65" s="36" t="n"/>
      <c r="BL65" s="36" t="n"/>
      <c r="BM65" s="36" t="n"/>
      <c r="BN65" s="36" t="n"/>
      <c r="BO65" s="36" t="n"/>
      <c r="BP65" s="36" t="n"/>
      <c r="BQ65" s="3" t="n"/>
    </row>
    <row r="66">
      <c r="A66" s="28" t="n"/>
      <c r="B66" s="17" t="n"/>
      <c r="D66" s="322" t="n"/>
      <c r="BQ66" s="25" t="n"/>
    </row>
    <row r="67">
      <c r="A67" s="28" t="inlineStr">
        <is>
          <t>Direct Mining Costs</t>
        </is>
      </c>
      <c r="B67" s="17" t="n"/>
      <c r="D67" s="322" t="n"/>
      <c r="BQ67" s="25" t="n"/>
    </row>
    <row r="68">
      <c r="A68" s="28" t="n"/>
      <c r="B68" s="17" t="n"/>
      <c r="D68" s="322" t="n"/>
      <c r="BQ68" s="25" t="n"/>
    </row>
    <row r="69">
      <c r="A69" s="4" t="inlineStr">
        <is>
          <t>Development Costs</t>
        </is>
      </c>
      <c r="B69" s="17" t="inlineStr">
        <is>
          <t>AUD/m</t>
        </is>
      </c>
      <c r="C69" s="391" t="n">
        <v>5600</v>
      </c>
      <c r="D69" s="392">
        <f>IF(D6&gt;0,$C$69*(1+$BT$8),0)</f>
        <v/>
      </c>
      <c r="E69" s="392">
        <f>IF(E6&gt;0,$C$69*(1+$BT$8),0)</f>
        <v/>
      </c>
      <c r="F69" s="392">
        <f>IF(F6&gt;0,$C$69*(1+$BT$8),0)</f>
        <v/>
      </c>
      <c r="G69" s="392">
        <f>IF(G6&gt;0,$C$69*(1+$BT$8),0)</f>
        <v/>
      </c>
      <c r="H69" s="392">
        <f>IF(H6&gt;0,$C$69*(1+$BT$8),0)</f>
        <v/>
      </c>
      <c r="I69" s="392">
        <f>IF(I6&gt;0,$C$69*(1+$BT$8),0)</f>
        <v/>
      </c>
      <c r="J69" s="392">
        <f>IF(J6&gt;0,$C$69*(1+$BT$8),0)</f>
        <v/>
      </c>
      <c r="K69" s="392">
        <f>IF(K6&gt;0,$C$69*(1+$BT$8),0)</f>
        <v/>
      </c>
      <c r="L69" s="392">
        <f>IF(L6&gt;0,$C$69*(1+$BT$8),0)</f>
        <v/>
      </c>
      <c r="M69" s="392">
        <f>IF(M6&gt;0,$C$69*(1+$BT$8),0)</f>
        <v/>
      </c>
      <c r="N69" s="392">
        <f>IF(N6&gt;0,$C$69*(1+$BT$8),0)</f>
        <v/>
      </c>
      <c r="O69" s="392">
        <f>IF(O6&gt;0,$C$69*(1+$BT$8),0)</f>
        <v/>
      </c>
      <c r="P69" s="392">
        <f>IF(P6&gt;0,$C$69*(1+$BT$8),0)</f>
        <v/>
      </c>
      <c r="Q69" s="392">
        <f>IF(Q6&gt;0,$C$69*(1+$BT$8),0)</f>
        <v/>
      </c>
      <c r="R69" s="392">
        <f>IF(R6&gt;0,$C$69*(1+$BT$8),0)</f>
        <v/>
      </c>
      <c r="S69" s="392">
        <f>IF(S6&gt;0,$C$69*(1+$BT$8),0)</f>
        <v/>
      </c>
      <c r="T69" s="392">
        <f>IF(T6&gt;0,$C$69*(1+$BT$8),0)</f>
        <v/>
      </c>
      <c r="U69" s="392">
        <f>IF(U6&gt;0,$C$69*(1+$BT$8),0)</f>
        <v/>
      </c>
      <c r="V69" s="392">
        <f>IF(V6&gt;0,$C$69*(1+$BT$8),0)</f>
        <v/>
      </c>
      <c r="W69" s="392">
        <f>IF(W6&gt;0,$C$69*(1+$BT$8),0)</f>
        <v/>
      </c>
      <c r="X69" s="392">
        <f>IF(X6&gt;0,$C$69*(1+$BT$8),0)</f>
        <v/>
      </c>
      <c r="Y69" s="392">
        <f>IF(Y6&gt;0,$C$69*(1+$BT$8),0)</f>
        <v/>
      </c>
      <c r="Z69" s="392">
        <f>IF(Z6&gt;0,$C$69*(1+$BT$8),0)</f>
        <v/>
      </c>
      <c r="AA69" s="392">
        <f>IF(AA6&gt;0,$C$69*(1+$BT$8),0)</f>
        <v/>
      </c>
      <c r="AB69" s="392">
        <f>IF(AB6&gt;0,$C$69*(1+$BT$8),0)</f>
        <v/>
      </c>
      <c r="AC69" s="392">
        <f>IF(AC6&gt;0,$C$69*(1+$BT$8),0)</f>
        <v/>
      </c>
      <c r="AD69" s="392">
        <f>IF(AD6&gt;0,$C$69*(1+$BT$8),0)</f>
        <v/>
      </c>
      <c r="AE69" s="392">
        <f>IF(AE6&gt;0,$C$69*(1+$BT$8),0)</f>
        <v/>
      </c>
      <c r="AF69" s="392">
        <f>IF(AF6&gt;0,$C$69*(1+$BT$8),0)</f>
        <v/>
      </c>
      <c r="AG69" s="392">
        <f>IF(AG6&gt;0,$C$69*(1+$BT$8),0)</f>
        <v/>
      </c>
      <c r="AH69" s="392">
        <f>IF(AH6&gt;0,$C$69*(1+$BT$8),0)</f>
        <v/>
      </c>
      <c r="AI69" s="392">
        <f>IF(AI6&gt;0,$C$69*(1+$BT$8),0)</f>
        <v/>
      </c>
      <c r="AJ69" s="392">
        <f>IF(AJ6&gt;0,$C$69*(1+$BT$8),0)</f>
        <v/>
      </c>
      <c r="AK69" s="392">
        <f>IF(AK6&gt;0,$C$69*(1+$BT$8),0)</f>
        <v/>
      </c>
      <c r="AL69" s="392">
        <f>IF(AL6&gt;0,$C$69*(1+$BT$8),0)</f>
        <v/>
      </c>
      <c r="AM69" s="392">
        <f>IF(AM6&gt;0,$C$69*(1+$BT$8),0)</f>
        <v/>
      </c>
      <c r="AN69" s="392">
        <f>IF(AN6&gt;0,$C$69*(1+$BT$8),0)</f>
        <v/>
      </c>
      <c r="AO69" s="392">
        <f>IF(AO6&gt;0,$C$69*(1+$BT$8),0)</f>
        <v/>
      </c>
      <c r="AP69" s="392">
        <f>IF(AP6&gt;0,$C$69*(1+$BT$8),0)</f>
        <v/>
      </c>
      <c r="AQ69" s="392">
        <f>IF(AQ6&gt;0,$C$69*(1+$BT$8),0)</f>
        <v/>
      </c>
      <c r="AR69" s="392">
        <f>IF(AR6&gt;0,$C$69*(1+$BT$8),0)</f>
        <v/>
      </c>
      <c r="AS69" s="392">
        <f>IF(AS6&gt;0,$C$69*(1+$BT$8),0)</f>
        <v/>
      </c>
      <c r="AT69" s="392">
        <f>IF(AT6&gt;0,$C$69*(1+$BT$8),0)</f>
        <v/>
      </c>
      <c r="AU69" s="392">
        <f>IF(AU6&gt;0,$C$69*(1+$BT$8),0)</f>
        <v/>
      </c>
      <c r="AV69" s="392">
        <f>IF(AV6&gt;0,$C$69*(1+$BT$8),0)</f>
        <v/>
      </c>
      <c r="AW69" s="392">
        <f>IF(AW6&gt;0,$C$69*(1+$BT$8),0)</f>
        <v/>
      </c>
      <c r="AX69" s="392">
        <f>IF(AX6&gt;0,$C$69*(1+$BT$8),0)</f>
        <v/>
      </c>
      <c r="AY69" s="392">
        <f>IF(AY6&gt;0,$C$69*(1+$BT$8),0)</f>
        <v/>
      </c>
      <c r="AZ69" s="392">
        <f>IF(AZ6&gt;0,$C$69*(1+$BT$8),0)</f>
        <v/>
      </c>
      <c r="BA69" s="392">
        <f>IF(BA6&gt;0,$C$69*(1+$BT$8),0)</f>
        <v/>
      </c>
      <c r="BB69" s="392">
        <f>IF(BB6&gt;0,$C$69*(1+$BT$8),0)</f>
        <v/>
      </c>
      <c r="BC69" s="392">
        <f>IF(BC6&gt;0,$C$69*(1+$BT$8),0)</f>
        <v/>
      </c>
      <c r="BD69" s="392">
        <f>IF(BD6&gt;0,$C$69*(1+$BT$8),0)</f>
        <v/>
      </c>
      <c r="BE69" s="392">
        <f>IF(BE6&gt;0,$C$69*(1+$BT$8),0)</f>
        <v/>
      </c>
      <c r="BF69" s="392">
        <f>IF(BF6&gt;0,$C$69*(1+$BT$8),0)</f>
        <v/>
      </c>
      <c r="BG69" s="392">
        <f>IF(BG6&gt;0,$C$69*(1+$BT$8),0)</f>
        <v/>
      </c>
      <c r="BH69" s="392">
        <f>IF(BH6&gt;0,$C$69*(1+$BT$8),0)</f>
        <v/>
      </c>
      <c r="BI69" s="392">
        <f>IF(BI6&gt;0,$C$69*(1+$BT$8),0)</f>
        <v/>
      </c>
      <c r="BJ69" s="392">
        <f>IF(BJ6&gt;0,$C$69*(1+$BT$8),0)</f>
        <v/>
      </c>
      <c r="BK69" s="392">
        <f>IF(BK6&gt;0,$C$69*(1+$BT$8),0)</f>
        <v/>
      </c>
      <c r="BL69" s="392">
        <f>IF(BL6&gt;0,$C$69*(1+$BT$8),0)</f>
        <v/>
      </c>
      <c r="BM69" s="392">
        <f>IF(BM6&gt;0,$C$69*(1+$BT$8),0)</f>
        <v/>
      </c>
      <c r="BN69" s="392">
        <f>IF(BN6&gt;0,$C$69*(1+$BT$8),0)</f>
        <v/>
      </c>
      <c r="BO69" s="392">
        <f>IF(BO6&gt;0,$C$69*(1+$BT$8),0)</f>
        <v/>
      </c>
      <c r="BP69" s="392" t="n"/>
      <c r="BQ69" s="27" t="n"/>
    </row>
    <row r="70">
      <c r="A70" s="4" t="inlineStr">
        <is>
          <t>Total Development Costs</t>
        </is>
      </c>
      <c r="B70" s="17" t="inlineStr">
        <is>
          <t>AUDk</t>
        </is>
      </c>
      <c r="D70" s="323">
        <f>D6*D69/1000</f>
        <v/>
      </c>
      <c r="E70" s="323">
        <f>E6*E69/1000</f>
        <v/>
      </c>
      <c r="F70" s="323">
        <f>F6*F69/1000</f>
        <v/>
      </c>
      <c r="G70" s="323">
        <f>G6*G69/1000</f>
        <v/>
      </c>
      <c r="H70" s="323">
        <f>H6*H69/1000</f>
        <v/>
      </c>
      <c r="I70" s="323">
        <f>I6*I69/1000</f>
        <v/>
      </c>
      <c r="J70" s="323">
        <f>J6*J69/1000</f>
        <v/>
      </c>
      <c r="K70" s="323">
        <f>K6*K69/1000</f>
        <v/>
      </c>
      <c r="L70" s="323">
        <f>L6*L69/1000</f>
        <v/>
      </c>
      <c r="M70" s="323">
        <f>M6*M69/1000</f>
        <v/>
      </c>
      <c r="N70" s="323">
        <f>N6*N69/1000</f>
        <v/>
      </c>
      <c r="O70" s="323">
        <f>O6*O69/1000</f>
        <v/>
      </c>
      <c r="P70" s="323">
        <f>P6*P69/1000</f>
        <v/>
      </c>
      <c r="Q70" s="323">
        <f>Q6*Q69/1000</f>
        <v/>
      </c>
      <c r="R70" s="323">
        <f>R6*R69/1000</f>
        <v/>
      </c>
      <c r="S70" s="323">
        <f>S6*S69/1000</f>
        <v/>
      </c>
      <c r="T70" s="323">
        <f>T6*T69/1000</f>
        <v/>
      </c>
      <c r="U70" s="323">
        <f>U6*U69/1000</f>
        <v/>
      </c>
      <c r="V70" s="323">
        <f>V6*V69/1000</f>
        <v/>
      </c>
      <c r="W70" s="323">
        <f>W6*W69/1000</f>
        <v/>
      </c>
      <c r="X70" s="323">
        <f>X6*X69/1000</f>
        <v/>
      </c>
      <c r="Y70" s="323">
        <f>Y6*Y69/1000</f>
        <v/>
      </c>
      <c r="Z70" s="323">
        <f>Z6*Z69/1000</f>
        <v/>
      </c>
      <c r="AA70" s="323">
        <f>AA6*AA69/1000</f>
        <v/>
      </c>
      <c r="AB70" s="323">
        <f>AB6*AB69/1000</f>
        <v/>
      </c>
      <c r="AC70" s="323">
        <f>AC6*AC69/1000</f>
        <v/>
      </c>
      <c r="AD70" s="323">
        <f>AD6*AD69/1000</f>
        <v/>
      </c>
      <c r="AE70" s="323">
        <f>AE6*AE69/1000</f>
        <v/>
      </c>
      <c r="AF70" s="323">
        <f>AF6*AF69/1000</f>
        <v/>
      </c>
      <c r="AG70" s="323">
        <f>AG6*AG69/1000</f>
        <v/>
      </c>
      <c r="AH70" s="323">
        <f>AH6*AH69/1000</f>
        <v/>
      </c>
      <c r="AI70" s="323">
        <f>AI6*AI69/1000</f>
        <v/>
      </c>
      <c r="AJ70" s="323">
        <f>AJ6*AJ69/1000</f>
        <v/>
      </c>
      <c r="AK70" s="323">
        <f>AK6*AK69/1000</f>
        <v/>
      </c>
      <c r="AL70" s="323">
        <f>AL6*AL69/1000</f>
        <v/>
      </c>
      <c r="AM70" s="323">
        <f>AM6*AM69/1000</f>
        <v/>
      </c>
      <c r="AN70" s="323">
        <f>AN6*AN69/1000</f>
        <v/>
      </c>
      <c r="AO70" s="323">
        <f>AO6*AO69/1000</f>
        <v/>
      </c>
      <c r="AP70" s="323">
        <f>AP6*AP69/1000</f>
        <v/>
      </c>
      <c r="AQ70" s="323">
        <f>AQ6*AQ69/1000</f>
        <v/>
      </c>
      <c r="AR70" s="323">
        <f>AR6*AR69/1000</f>
        <v/>
      </c>
      <c r="AS70" s="323">
        <f>AS6*AS69/1000</f>
        <v/>
      </c>
      <c r="AT70" s="323">
        <f>AT6*AT69/1000</f>
        <v/>
      </c>
      <c r="AU70" s="323">
        <f>AU6*AU69/1000</f>
        <v/>
      </c>
      <c r="AV70" s="323">
        <f>AV6*AV69/1000</f>
        <v/>
      </c>
      <c r="AW70" s="323">
        <f>AW6*AW69/1000</f>
        <v/>
      </c>
      <c r="AX70" s="323">
        <f>AX6*AX69/1000</f>
        <v/>
      </c>
      <c r="AY70" s="323">
        <f>AY6*AY69/1000</f>
        <v/>
      </c>
      <c r="AZ70" s="323">
        <f>AZ6*AZ69/1000</f>
        <v/>
      </c>
      <c r="BA70" s="323">
        <f>BA6*BA69/1000</f>
        <v/>
      </c>
      <c r="BB70" s="323">
        <f>BB6*BB69/1000</f>
        <v/>
      </c>
      <c r="BC70" s="323">
        <f>BC6*BC69/1000</f>
        <v/>
      </c>
      <c r="BD70" s="323">
        <f>BD6*BD69/1000</f>
        <v/>
      </c>
      <c r="BE70" s="323">
        <f>BE6*BE69/1000</f>
        <v/>
      </c>
      <c r="BF70" s="323">
        <f>BF6*BF69/1000</f>
        <v/>
      </c>
      <c r="BG70" s="323">
        <f>BG6*BG69/1000</f>
        <v/>
      </c>
      <c r="BH70" s="323">
        <f>BH6*BH69/1000</f>
        <v/>
      </c>
      <c r="BI70" s="323">
        <f>BI6*BI69/1000</f>
        <v/>
      </c>
      <c r="BJ70" s="323">
        <f>BJ6*BJ69/1000</f>
        <v/>
      </c>
      <c r="BK70" s="323">
        <f>BK6*BK69/1000</f>
        <v/>
      </c>
      <c r="BL70" s="323">
        <f>BL6*BL69/1000</f>
        <v/>
      </c>
      <c r="BM70" s="323">
        <f>BM6*BM69/1000</f>
        <v/>
      </c>
      <c r="BN70" s="323">
        <f>BN6*BN69/1000</f>
        <v/>
      </c>
      <c r="BO70" s="323">
        <f>BO6*BO69/1000</f>
        <v/>
      </c>
      <c r="BP70" s="323" t="n"/>
      <c r="BQ70" s="370">
        <f>SUM(D70:BO70)</f>
        <v/>
      </c>
    </row>
    <row r="71">
      <c r="A71" s="4" t="n"/>
      <c r="B71" s="17" t="n"/>
      <c r="BQ71" s="25" t="n"/>
    </row>
    <row r="72">
      <c r="A72" s="4" t="inlineStr">
        <is>
          <t>Longwall Costs</t>
        </is>
      </c>
      <c r="B72" s="17" t="inlineStr">
        <is>
          <t>AUD/LWt</t>
        </is>
      </c>
      <c r="C72" s="393" t="n">
        <v>15</v>
      </c>
      <c r="D72" s="392">
        <f>IF(D8&gt;0,$C$72*(1+$BT$9),0)</f>
        <v/>
      </c>
      <c r="E72" s="392">
        <f>IF(E8&gt;0,$C$72*(1+$BT$9),0)</f>
        <v/>
      </c>
      <c r="F72" s="392">
        <f>IF(F8&gt;0,$C$72*(1+$BT$9),0)</f>
        <v/>
      </c>
      <c r="G72" s="392">
        <f>IF(G8&gt;0,$C$72*(1+$BT$9),0)</f>
        <v/>
      </c>
      <c r="H72" s="392">
        <f>IF(H8&gt;0,$C$72*(1+$BT$9),0)</f>
        <v/>
      </c>
      <c r="I72" s="392">
        <f>IF(I8&gt;0,$C$72*(1+$BT$9),0)</f>
        <v/>
      </c>
      <c r="J72" s="392">
        <f>IF(J8&gt;0,$C$72*(1+$BT$9),0)</f>
        <v/>
      </c>
      <c r="K72" s="392">
        <f>IF(K8&gt;0,$C$72*(1+$BT$9),0)</f>
        <v/>
      </c>
      <c r="L72" s="392">
        <f>IF(L8&gt;0,$C$72*(1+$BT$9),0)</f>
        <v/>
      </c>
      <c r="M72" s="392">
        <f>IF(M8&gt;0,$C$72*(1+$BT$9),0)</f>
        <v/>
      </c>
      <c r="N72" s="392">
        <f>IF(N8&gt;0,$C$72*(1+$BT$9),0)</f>
        <v/>
      </c>
      <c r="O72" s="392">
        <f>IF(O8&gt;0,$C$72*(1+$BT$9),0)</f>
        <v/>
      </c>
      <c r="P72" s="392">
        <f>IF(P8&gt;0,$C$72*(1+$BT$9),0)</f>
        <v/>
      </c>
      <c r="Q72" s="392">
        <f>IF(Q8&gt;0,$C$72*(1+$BT$9),0)</f>
        <v/>
      </c>
      <c r="R72" s="392">
        <f>IF(R8&gt;0,$C$72*(1+$BT$9),0)</f>
        <v/>
      </c>
      <c r="S72" s="392">
        <f>IF(S8&gt;0,$C$72*(1+$BT$9),0)</f>
        <v/>
      </c>
      <c r="T72" s="392">
        <f>IF(T8&gt;0,$C$72*(1+$BT$9),0)</f>
        <v/>
      </c>
      <c r="U72" s="392">
        <f>IF(U8&gt;0,$C$72*(1+$BT$9),0)</f>
        <v/>
      </c>
      <c r="V72" s="392">
        <f>IF(V8&gt;0,$C$72*(1+$BT$9),0)</f>
        <v/>
      </c>
      <c r="W72" s="392">
        <f>IF(W8&gt;0,$C$72*(1+$BT$9),0)</f>
        <v/>
      </c>
      <c r="X72" s="392">
        <f>IF(X8&gt;0,$C$72*(1+$BT$9),0)</f>
        <v/>
      </c>
      <c r="Y72" s="392">
        <f>IF(Y8&gt;0,$C$72*(1+$BT$9),0)</f>
        <v/>
      </c>
      <c r="Z72" s="392">
        <f>IF(Z8&gt;0,$C$72*(1+$BT$9),0)</f>
        <v/>
      </c>
      <c r="AA72" s="392">
        <f>IF(AA8&gt;0,$C$72*(1+$BT$9),0)</f>
        <v/>
      </c>
      <c r="AB72" s="392">
        <f>IF(AB8&gt;0,$C$72*(1+$BT$9),0)</f>
        <v/>
      </c>
      <c r="AC72" s="392">
        <f>IF(AC8&gt;0,$C$72*(1+$BT$9),0)</f>
        <v/>
      </c>
      <c r="AD72" s="392">
        <f>IF(AD8&gt;0,$C$72*(1+$BT$9),0)</f>
        <v/>
      </c>
      <c r="AE72" s="392">
        <f>IF(AE8&gt;0,$C$72*(1+$BT$9),0)</f>
        <v/>
      </c>
      <c r="AF72" s="392">
        <f>IF(AF8&gt;0,$C$72*(1+$BT$9),0)</f>
        <v/>
      </c>
      <c r="AG72" s="392">
        <f>IF(AG8&gt;0,$C$72*(1+$BT$9),0)</f>
        <v/>
      </c>
      <c r="AH72" s="392">
        <f>IF(AH8&gt;0,$C$72*(1+$BT$9),0)</f>
        <v/>
      </c>
      <c r="AI72" s="392">
        <f>IF(AI8&gt;0,$C$72*(1+$BT$9),0)</f>
        <v/>
      </c>
      <c r="AJ72" s="392">
        <f>IF(AJ8&gt;0,$C$72*(1+$BT$9),0)</f>
        <v/>
      </c>
      <c r="AK72" s="392">
        <f>IF(AK8&gt;0,$C$72*(1+$BT$9),0)</f>
        <v/>
      </c>
      <c r="AL72" s="392">
        <f>IF(AL8&gt;0,$C$72*(1+$BT$9),0)</f>
        <v/>
      </c>
      <c r="AM72" s="392">
        <f>IF(AM8&gt;0,$C$72*(1+$BT$9),0)</f>
        <v/>
      </c>
      <c r="AN72" s="392">
        <f>IF(AN8&gt;0,$C$72*(1+$BT$9),0)</f>
        <v/>
      </c>
      <c r="AO72" s="392">
        <f>IF(AO8&gt;0,$C$72*(1+$BT$9),0)</f>
        <v/>
      </c>
      <c r="AP72" s="392">
        <f>IF(AP8&gt;0,$C$72*(1+$BT$9),0)</f>
        <v/>
      </c>
      <c r="AQ72" s="392">
        <f>IF(AQ8&gt;0,$C$72*(1+$BT$9),0)</f>
        <v/>
      </c>
      <c r="AR72" s="392">
        <f>IF(AR8&gt;0,$C$72*(1+$BT$9),0)</f>
        <v/>
      </c>
      <c r="AS72" s="392">
        <f>IF(AS8&gt;0,$C$72*(1+$BT$9),0)</f>
        <v/>
      </c>
      <c r="AT72" s="392">
        <f>IF(AT8&gt;0,$C$72*(1+$BT$9),0)</f>
        <v/>
      </c>
      <c r="AU72" s="392">
        <f>IF(AU8&gt;0,$C$72*(1+$BT$9),0)</f>
        <v/>
      </c>
      <c r="AV72" s="392">
        <f>IF(AV8&gt;0,$C$72*(1+$BT$9),0)</f>
        <v/>
      </c>
      <c r="AW72" s="392">
        <f>IF(AW8&gt;0,$C$72*(1+$BT$9),0)</f>
        <v/>
      </c>
      <c r="AX72" s="392">
        <f>IF(AX8&gt;0,$C$72*(1+$BT$9),0)</f>
        <v/>
      </c>
      <c r="AY72" s="392">
        <f>IF(AY8&gt;0,$C$72*(1+$BT$9),0)</f>
        <v/>
      </c>
      <c r="AZ72" s="392">
        <f>IF(AZ8&gt;0,$C$72*(1+$BT$9),0)</f>
        <v/>
      </c>
      <c r="BA72" s="392">
        <f>IF(BA8&gt;0,$C$72*(1+$BT$9),0)</f>
        <v/>
      </c>
      <c r="BB72" s="392">
        <f>IF(BB8&gt;0,$C$72*(1+$BT$9),0)</f>
        <v/>
      </c>
      <c r="BC72" s="392">
        <f>IF(BC8&gt;0,$C$72*(1+$BT$9),0)</f>
        <v/>
      </c>
      <c r="BD72" s="392">
        <f>IF(BD8&gt;0,$C$72*(1+$BT$9),0)</f>
        <v/>
      </c>
      <c r="BE72" s="392">
        <f>IF(BE8&gt;0,$C$72*(1+$BT$9),0)</f>
        <v/>
      </c>
      <c r="BF72" s="392">
        <f>IF(BF8&gt;0,$C$72*(1+$BT$9),0)</f>
        <v/>
      </c>
      <c r="BG72" s="392">
        <f>IF(BG8&gt;0,$C$72*(1+$BT$9),0)</f>
        <v/>
      </c>
      <c r="BH72" s="392">
        <f>IF(BH8&gt;0,$C$72*(1+$BT$9),0)</f>
        <v/>
      </c>
      <c r="BI72" s="392">
        <f>IF(BI8&gt;0,$C$72*(1+$BT$9),0)</f>
        <v/>
      </c>
      <c r="BJ72" s="392">
        <f>IF(BJ8&gt;0,$C$72*(1+$BT$9),0)</f>
        <v/>
      </c>
      <c r="BK72" s="392">
        <f>IF(BK8&gt;0,$C$72*(1+$BT$9),0)</f>
        <v/>
      </c>
      <c r="BL72" s="392">
        <f>IF(BL8&gt;0,$C$72*(1+$BT$9),0)</f>
        <v/>
      </c>
      <c r="BM72" s="392">
        <f>IF(BM8&gt;0,$C$72*(1+$BT$9),0)</f>
        <v/>
      </c>
      <c r="BN72" s="392">
        <f>IF(BN8&gt;0,$C$72*(1+$BT$9),0)</f>
        <v/>
      </c>
      <c r="BO72" s="392">
        <f>IF(BO8&gt;0,$C$72*(1+$BT$9),0)</f>
        <v/>
      </c>
      <c r="BP72" s="392" t="n"/>
      <c r="BQ72" s="27" t="n"/>
    </row>
    <row r="73">
      <c r="A73" s="4" t="inlineStr">
        <is>
          <t>Total Longwall Costs</t>
        </is>
      </c>
      <c r="B73" s="17" t="inlineStr">
        <is>
          <t>AUDk</t>
        </is>
      </c>
      <c r="D73" s="323">
        <f>D8*D72</f>
        <v/>
      </c>
      <c r="E73" s="323">
        <f>E8*E72</f>
        <v/>
      </c>
      <c r="F73" s="323">
        <f>F8*F72</f>
        <v/>
      </c>
      <c r="G73" s="323">
        <f>G8*G72</f>
        <v/>
      </c>
      <c r="H73" s="323">
        <f>H8*H72</f>
        <v/>
      </c>
      <c r="I73" s="323">
        <f>I8*I72</f>
        <v/>
      </c>
      <c r="J73" s="323">
        <f>J8*J72</f>
        <v/>
      </c>
      <c r="K73" s="323">
        <f>K8*K72</f>
        <v/>
      </c>
      <c r="L73" s="323">
        <f>L8*L72</f>
        <v/>
      </c>
      <c r="M73" s="323">
        <f>M8*M72</f>
        <v/>
      </c>
      <c r="N73" s="323">
        <f>N8*N72</f>
        <v/>
      </c>
      <c r="O73" s="323">
        <f>O8*O72</f>
        <v/>
      </c>
      <c r="P73" s="323">
        <f>P8*P72</f>
        <v/>
      </c>
      <c r="Q73" s="323">
        <f>Q8*Q72</f>
        <v/>
      </c>
      <c r="R73" s="323">
        <f>R8*R72</f>
        <v/>
      </c>
      <c r="S73" s="323">
        <f>S8*S72</f>
        <v/>
      </c>
      <c r="T73" s="323">
        <f>T8*T72</f>
        <v/>
      </c>
      <c r="U73" s="323">
        <f>U8*U72</f>
        <v/>
      </c>
      <c r="V73" s="323">
        <f>V8*V72</f>
        <v/>
      </c>
      <c r="W73" s="323">
        <f>W8*W72</f>
        <v/>
      </c>
      <c r="X73" s="323">
        <f>X8*X72</f>
        <v/>
      </c>
      <c r="Y73" s="323">
        <f>Y8*Y72</f>
        <v/>
      </c>
      <c r="Z73" s="323">
        <f>Z8*Z72</f>
        <v/>
      </c>
      <c r="AA73" s="323">
        <f>AA8*AA72</f>
        <v/>
      </c>
      <c r="AB73" s="323">
        <f>AB8*AB72</f>
        <v/>
      </c>
      <c r="AC73" s="323">
        <f>AC8*AC72</f>
        <v/>
      </c>
      <c r="AD73" s="323">
        <f>AD8*AD72</f>
        <v/>
      </c>
      <c r="AE73" s="323">
        <f>AE8*AE72</f>
        <v/>
      </c>
      <c r="AF73" s="323">
        <f>AF8*AF72</f>
        <v/>
      </c>
      <c r="AG73" s="323">
        <f>AG8*AG72</f>
        <v/>
      </c>
      <c r="AH73" s="323">
        <f>AH8*AH72</f>
        <v/>
      </c>
      <c r="AI73" s="323">
        <f>AI8*AI72</f>
        <v/>
      </c>
      <c r="AJ73" s="323">
        <f>AJ8*AJ72</f>
        <v/>
      </c>
      <c r="AK73" s="323">
        <f>AK8*AK72</f>
        <v/>
      </c>
      <c r="AL73" s="323">
        <f>AL8*AL72</f>
        <v/>
      </c>
      <c r="AM73" s="323">
        <f>AM8*AM72</f>
        <v/>
      </c>
      <c r="AN73" s="323">
        <f>AN8*AN72</f>
        <v/>
      </c>
      <c r="AO73" s="323">
        <f>AO8*AO72</f>
        <v/>
      </c>
      <c r="AP73" s="323">
        <f>AP8*AP72</f>
        <v/>
      </c>
      <c r="AQ73" s="323">
        <f>AQ8*AQ72</f>
        <v/>
      </c>
      <c r="AR73" s="323">
        <f>AR8*AR72</f>
        <v/>
      </c>
      <c r="AS73" s="323">
        <f>AS8*AS72</f>
        <v/>
      </c>
      <c r="AT73" s="323">
        <f>AT8*AT72</f>
        <v/>
      </c>
      <c r="AU73" s="323">
        <f>AU8*AU72</f>
        <v/>
      </c>
      <c r="AV73" s="323">
        <f>AV8*AV72</f>
        <v/>
      </c>
      <c r="AW73" s="323">
        <f>AW8*AW72</f>
        <v/>
      </c>
      <c r="AX73" s="323">
        <f>AX8*AX72</f>
        <v/>
      </c>
      <c r="AY73" s="323">
        <f>AY8*AY72</f>
        <v/>
      </c>
      <c r="AZ73" s="323">
        <f>AZ8*AZ72</f>
        <v/>
      </c>
      <c r="BA73" s="323">
        <f>BA8*BA72</f>
        <v/>
      </c>
      <c r="BB73" s="323">
        <f>BB8*BB72</f>
        <v/>
      </c>
      <c r="BC73" s="323">
        <f>BC8*BC72</f>
        <v/>
      </c>
      <c r="BD73" s="323">
        <f>BD8*BD72</f>
        <v/>
      </c>
      <c r="BE73" s="323">
        <f>BE8*BE72</f>
        <v/>
      </c>
      <c r="BF73" s="323">
        <f>BF8*BF72</f>
        <v/>
      </c>
      <c r="BG73" s="323">
        <f>BG8*BG72</f>
        <v/>
      </c>
      <c r="BH73" s="323">
        <f>BH8*BH72</f>
        <v/>
      </c>
      <c r="BI73" s="323">
        <f>BI8*BI72</f>
        <v/>
      </c>
      <c r="BJ73" s="323">
        <f>BJ8*BJ72</f>
        <v/>
      </c>
      <c r="BK73" s="323">
        <f>BK8*BK72</f>
        <v/>
      </c>
      <c r="BL73" s="323">
        <f>BL8*BL72</f>
        <v/>
      </c>
      <c r="BM73" s="323">
        <f>BM8*BM72</f>
        <v/>
      </c>
      <c r="BN73" s="323">
        <f>BN8*BN72</f>
        <v/>
      </c>
      <c r="BO73" s="323">
        <f>BO8*BO72</f>
        <v/>
      </c>
      <c r="BP73" s="323" t="n"/>
      <c r="BQ73" s="370">
        <f>SUM(D73:BO73)</f>
        <v/>
      </c>
    </row>
    <row r="74">
      <c r="A74" s="4" t="n"/>
      <c r="B74" s="17" t="n"/>
      <c r="BQ74" s="25" t="n"/>
    </row>
    <row r="75">
      <c r="A75" s="4" t="inlineStr">
        <is>
          <t>Total Outbye Costs</t>
        </is>
      </c>
      <c r="B75" s="17" t="inlineStr">
        <is>
          <t>AUDk</t>
        </is>
      </c>
      <c r="C75" s="391" t="n">
        <v>240000</v>
      </c>
      <c r="D75" s="323">
        <f>IF(D9&gt;0,$C$75)*(1+$BT$10)</f>
        <v/>
      </c>
      <c r="E75" s="323">
        <f>IF(E9&gt;0,$C$75)*(1+$BT$10)</f>
        <v/>
      </c>
      <c r="F75" s="323">
        <f>IF(F9&gt;0,$C$75)*(1+$BT$10)</f>
        <v/>
      </c>
      <c r="G75" s="323">
        <f>IF(G9&gt;0,$C$75)*(1+$BT$10)</f>
        <v/>
      </c>
      <c r="H75" s="419">
        <f>IF(H9&gt;0,$C$75)*(1+$BT$10)/10</f>
        <v/>
      </c>
      <c r="I75" s="419">
        <f>IF(I9&gt;0,$C$75)*(1+$BT$10)/10</f>
        <v/>
      </c>
      <c r="J75" s="323">
        <f>IF(J9&gt;0,$C$75)*(1+$BT$10)</f>
        <v/>
      </c>
      <c r="K75" s="323">
        <f>IF(K9&gt;0,$C$75)*(1+$BT$10)</f>
        <v/>
      </c>
      <c r="L75" s="323">
        <f>IF(L9&gt;0,$C$75)*(1+$BT$10)</f>
        <v/>
      </c>
      <c r="M75" s="323">
        <f>IF(M9&gt;0,$C$75)*(1+$BT$10)</f>
        <v/>
      </c>
      <c r="N75" s="323">
        <f>IF(N9&gt;0,$C$75)*(1+$BT$10)</f>
        <v/>
      </c>
      <c r="O75" s="323">
        <f>IF(O9&gt;0,$C$75)*(1+$BT$10)</f>
        <v/>
      </c>
      <c r="P75" s="323">
        <f>IF(P9&gt;0,$C$75)*(1+$BT$10)</f>
        <v/>
      </c>
      <c r="Q75" s="323">
        <f>IF(Q9&gt;0,$C$75)*(1+$BT$10)</f>
        <v/>
      </c>
      <c r="R75" s="323">
        <f>IF(R9&gt;0,$C$75)*(1+$BT$10)</f>
        <v/>
      </c>
      <c r="S75" s="323">
        <f>IF(S9&gt;0,$C$75)*(1+$BT$10)</f>
        <v/>
      </c>
      <c r="T75" s="323">
        <f>IF(T9&gt;0,$C$75)*(1+$BT$10)</f>
        <v/>
      </c>
      <c r="U75" s="323">
        <f>IF(U9&gt;0,$C$75)*(1+$BT$10)</f>
        <v/>
      </c>
      <c r="V75" s="323">
        <f>IF(V9&gt;0,$C$75)*(1+$BT$10)</f>
        <v/>
      </c>
      <c r="W75" s="323">
        <f>IF(W9&gt;0,$C$75)*(1+$BT$10)</f>
        <v/>
      </c>
      <c r="X75" s="323">
        <f>IF(X9&gt;0,$C$75)*(1+$BT$10)</f>
        <v/>
      </c>
      <c r="Y75" s="323">
        <f>IF(Y9&gt;0,$C$75)*(1+$BT$10)</f>
        <v/>
      </c>
      <c r="Z75" s="323">
        <f>IF(Z9&gt;0,$C$75)*(1+$BT$10)</f>
        <v/>
      </c>
      <c r="AA75" s="323">
        <f>IF(AA9&gt;0,$C$75)*(1+$BT$10)</f>
        <v/>
      </c>
      <c r="AB75" s="323">
        <f>IF(AB9&gt;0,$C$75)*(1+$BT$10)</f>
        <v/>
      </c>
      <c r="AC75" s="323">
        <f>IF(AC9&gt;0,$C$75)*(1+$BT$10)</f>
        <v/>
      </c>
      <c r="AD75" s="323">
        <f>IF(AD9&gt;0,$C$75)*(1+$BT$10)</f>
        <v/>
      </c>
      <c r="AE75" s="323">
        <f>IF(AE9&gt;0,$C$75)*(1+$BT$10)</f>
        <v/>
      </c>
      <c r="AF75" s="323">
        <f>IF(AF9&gt;0,$C$75)*(1+$BT$10)</f>
        <v/>
      </c>
      <c r="AG75" s="323">
        <f>IF(AG9&gt;0,$C$75)*(1+$BT$10)</f>
        <v/>
      </c>
      <c r="AH75" s="323">
        <f>IF(AH9&gt;0,$C$75)*(1+$BT$10)</f>
        <v/>
      </c>
      <c r="AI75" s="323">
        <f>IF(AI9&gt;0,$C$75)*(1+$BT$10)</f>
        <v/>
      </c>
      <c r="AJ75" s="323">
        <f>IF(AJ9&gt;0,$C$75)*(1+$BT$10)</f>
        <v/>
      </c>
      <c r="AK75" s="323">
        <f>IF(AK9&gt;0,$C$75)*(1+$BT$10)</f>
        <v/>
      </c>
      <c r="AL75" s="323">
        <f>IF(AL9&gt;0,$C$75)*(1+$BT$10)</f>
        <v/>
      </c>
      <c r="AM75" s="323">
        <f>IF(AM9&gt;0,$C$75)*(1+$BT$10)</f>
        <v/>
      </c>
      <c r="AN75" s="323">
        <f>IF(AN9&gt;0,$C$75)*(1+$BT$10)</f>
        <v/>
      </c>
      <c r="AO75" s="323">
        <f>IF(AO9&gt;0,$C$75)*(1+$BT$10)</f>
        <v/>
      </c>
      <c r="AP75" s="323">
        <f>IF(AP9&gt;0,$C$75)*(1+$BT$10)</f>
        <v/>
      </c>
      <c r="AQ75" s="323">
        <f>IF(AQ9&gt;0,$C$75)*(1+$BT$10)</f>
        <v/>
      </c>
      <c r="AR75" s="323">
        <f>IF(AR9&gt;0,$C$75)*(1+$BT$10)</f>
        <v/>
      </c>
      <c r="AS75" s="323">
        <f>IF(AS9&gt;0,$C$75)*(1+$BT$10)</f>
        <v/>
      </c>
      <c r="AT75" s="323">
        <f>IF(AT9&gt;0,$C$75)*(1+$BT$10)</f>
        <v/>
      </c>
      <c r="AU75" s="323">
        <f>IF(AU9&gt;0,$C$75)*(1+$BT$10)</f>
        <v/>
      </c>
      <c r="AV75" s="323">
        <f>IF(AV9&gt;0,$C$75)*(1+$BT$10)</f>
        <v/>
      </c>
      <c r="AW75" s="323">
        <f>IF(AW9&gt;0,$C$75)*(1+$BT$10)</f>
        <v/>
      </c>
      <c r="AX75" s="323">
        <f>IF(AX9&gt;0,$C$75)*(1+$BT$10)</f>
        <v/>
      </c>
      <c r="AY75" s="323">
        <f>IF(AY9&gt;0,$C$75)*(1+$BT$10)</f>
        <v/>
      </c>
      <c r="AZ75" s="323">
        <f>IF(AZ9&gt;0,$C$75)*(1+$BT$10)</f>
        <v/>
      </c>
      <c r="BA75" s="323">
        <f>IF(BA9&gt;0,$C$75)*(1+$BT$10)</f>
        <v/>
      </c>
      <c r="BB75" s="323">
        <f>IF(BB9&gt;0,$C$75)*(1+$BT$10)</f>
        <v/>
      </c>
      <c r="BC75" s="323">
        <f>IF(BC9&gt;0,$C$75)*(1+$BT$10)</f>
        <v/>
      </c>
      <c r="BD75" s="323">
        <f>IF(BD9&gt;0,$C$75)*(1+$BT$10)</f>
        <v/>
      </c>
      <c r="BE75" s="323">
        <f>IF(BE9&gt;0,$C$75)*(1+$BT$10)</f>
        <v/>
      </c>
      <c r="BF75" s="323">
        <f>IF(BF9&gt;0,$C$75)*(1+$BT$10)</f>
        <v/>
      </c>
      <c r="BG75" s="323">
        <f>IF(BG9&gt;0,$C$75)*(1+$BT$10)</f>
        <v/>
      </c>
      <c r="BH75" s="323">
        <f>IF(BH9&gt;0,$C$75)*(1+$BT$10)</f>
        <v/>
      </c>
      <c r="BI75" s="323">
        <f>IF(BI9&gt;0,$C$75)*(1+$BT$10)</f>
        <v/>
      </c>
      <c r="BJ75" s="323">
        <f>IF(BJ9&gt;0,$C$75)*(1+$BT$10)</f>
        <v/>
      </c>
      <c r="BK75" s="323">
        <f>IF(BK9&gt;0,$C$75)*(1+$BT$10)</f>
        <v/>
      </c>
      <c r="BL75" s="323">
        <f>IF(BL9&gt;0,$C$75)*(1+$BT$10)</f>
        <v/>
      </c>
      <c r="BM75" s="323">
        <f>IF(BM9&gt;0,$C$75)*(1+$BT$10)</f>
        <v/>
      </c>
      <c r="BN75" s="323">
        <f>IF(BN9&gt;0,$C$75)*(1+$BT$10)</f>
        <v/>
      </c>
      <c r="BO75" s="323">
        <f>IF(BO9&gt;0,$C$75)*(1+$BT$10)</f>
        <v/>
      </c>
      <c r="BP75" s="323" t="n"/>
      <c r="BQ75" s="370">
        <f>SUM(D75:BO75)</f>
        <v/>
      </c>
    </row>
    <row r="76">
      <c r="A76" s="4" t="n"/>
      <c r="B76" s="17" t="n"/>
      <c r="C76" s="322" t="n"/>
      <c r="BQ76" s="25" t="n"/>
    </row>
    <row r="77">
      <c r="A77" s="4" t="inlineStr">
        <is>
          <t>Gas Drainage Costs</t>
        </is>
      </c>
      <c r="B77" s="17" t="inlineStr">
        <is>
          <t>AUD/t</t>
        </is>
      </c>
      <c r="C77" s="393" t="n">
        <v>6</v>
      </c>
      <c r="D77" s="392">
        <f>IF(D9&gt;0,$C$77*(1+$BT$11),0)</f>
        <v/>
      </c>
      <c r="E77" s="392">
        <f>IF(E9&gt;0,$C$77*(1+$BT$11),0)</f>
        <v/>
      </c>
      <c r="F77" s="392">
        <f>IF(F9&gt;0,$C$77*(1+$BT$11),0)</f>
        <v/>
      </c>
      <c r="G77" s="392">
        <f>IF(G9&gt;0,$C$77*(1+$BT$11),0)</f>
        <v/>
      </c>
      <c r="H77" s="392">
        <f>IF(H9&gt;0,$C$77*(1+$BT$11),0)</f>
        <v/>
      </c>
      <c r="I77" s="392">
        <f>IF(I9&gt;0,$C$77*(1+$BT$11),0)</f>
        <v/>
      </c>
      <c r="J77" s="392">
        <f>IF(J9&gt;0,$C$77*(1+$BT$11),0)</f>
        <v/>
      </c>
      <c r="K77" s="392">
        <f>IF(K9&gt;0,$C$77*(1+$BT$11),0)</f>
        <v/>
      </c>
      <c r="L77" s="392">
        <f>IF(L9&gt;0,$C$77*(1+$BT$11),0)</f>
        <v/>
      </c>
      <c r="M77" s="392">
        <f>IF(M9&gt;0,$C$77*(1+$BT$11),0)</f>
        <v/>
      </c>
      <c r="N77" s="392">
        <f>IF(N9&gt;0,$C$77*(1+$BT$11),0)</f>
        <v/>
      </c>
      <c r="O77" s="392">
        <f>IF(O9&gt;0,$C$77*(1+$BT$11),0)</f>
        <v/>
      </c>
      <c r="P77" s="392">
        <f>IF(P9&gt;0,$C$77*(1+$BT$11),0)</f>
        <v/>
      </c>
      <c r="Q77" s="392">
        <f>IF(Q9&gt;0,$C$77*(1+$BT$11),0)</f>
        <v/>
      </c>
      <c r="R77" s="392">
        <f>IF(R9&gt;0,$C$77*(1+$BT$11),0)</f>
        <v/>
      </c>
      <c r="S77" s="392">
        <f>IF(S9&gt;0,$C$77*(1+$BT$11),0)</f>
        <v/>
      </c>
      <c r="T77" s="392">
        <f>IF(T9&gt;0,$C$77*(1+$BT$11),0)</f>
        <v/>
      </c>
      <c r="U77" s="392">
        <f>IF(U9&gt;0,$C$77*(1+$BT$11),0)</f>
        <v/>
      </c>
      <c r="V77" s="392">
        <f>IF(V9&gt;0,$C$77*(1+$BT$11),0)</f>
        <v/>
      </c>
      <c r="W77" s="392">
        <f>IF(W9&gt;0,$C$77*(1+$BT$11),0)</f>
        <v/>
      </c>
      <c r="X77" s="392">
        <f>IF(X9&gt;0,$C$77*(1+$BT$11),0)</f>
        <v/>
      </c>
      <c r="Y77" s="392">
        <f>IF(Y9&gt;0,$C$77*(1+$BT$11),0)</f>
        <v/>
      </c>
      <c r="Z77" s="392">
        <f>IF(Z9&gt;0,$C$77*(1+$BT$11),0)</f>
        <v/>
      </c>
      <c r="AA77" s="392">
        <f>IF(AA9&gt;0,$C$77*(1+$BT$11),0)</f>
        <v/>
      </c>
      <c r="AB77" s="392">
        <f>IF(AB9&gt;0,$C$77*(1+$BT$11),0)</f>
        <v/>
      </c>
      <c r="AC77" s="392">
        <f>IF(AC9&gt;0,$C$77*(1+$BT$11),0)</f>
        <v/>
      </c>
      <c r="AD77" s="392">
        <f>IF(AD9&gt;0,$C$77*(1+$BT$11),0)</f>
        <v/>
      </c>
      <c r="AE77" s="392">
        <f>IF(AE9&gt;0,$C$77*(1+$BT$11),0)</f>
        <v/>
      </c>
      <c r="AF77" s="392">
        <f>IF(AF9&gt;0,$C$77*(1+$BT$11),0)</f>
        <v/>
      </c>
      <c r="AG77" s="392">
        <f>IF(AG9&gt;0,$C$77*(1+$BT$11),0)</f>
        <v/>
      </c>
      <c r="AH77" s="392">
        <f>IF(AH9&gt;0,$C$77*(1+$BT$11),0)</f>
        <v/>
      </c>
      <c r="AI77" s="392">
        <f>IF(AI9&gt;0,$C$77*(1+$BT$11),0)</f>
        <v/>
      </c>
      <c r="AJ77" s="392">
        <f>IF(AJ9&gt;0,$C$77*(1+$BT$11),0)</f>
        <v/>
      </c>
      <c r="AK77" s="392">
        <f>IF(AK9&gt;0,$C$77*(1+$BT$11),0)</f>
        <v/>
      </c>
      <c r="AL77" s="392">
        <f>IF(AL9&gt;0,$C$77*(1+$BT$11),0)</f>
        <v/>
      </c>
      <c r="AM77" s="392">
        <f>IF(AM9&gt;0,$C$77*(1+$BT$11),0)</f>
        <v/>
      </c>
      <c r="AN77" s="392">
        <f>IF(AN9&gt;0,$C$77*(1+$BT$11),0)</f>
        <v/>
      </c>
      <c r="AO77" s="392">
        <f>IF(AO9&gt;0,$C$77*(1+$BT$11),0)</f>
        <v/>
      </c>
      <c r="AP77" s="392">
        <f>IF(AP9&gt;0,$C$77*(1+$BT$11),0)</f>
        <v/>
      </c>
      <c r="AQ77" s="392">
        <f>IF(AQ9&gt;0,$C$77*(1+$BT$11),0)</f>
        <v/>
      </c>
      <c r="AR77" s="392">
        <f>IF(AR9&gt;0,$C$77*(1+$BT$11),0)</f>
        <v/>
      </c>
      <c r="AS77" s="392">
        <f>IF(AS9&gt;0,$C$77*(1+$BT$11),0)</f>
        <v/>
      </c>
      <c r="AT77" s="392">
        <f>IF(AT9&gt;0,$C$77*(1+$BT$11),0)</f>
        <v/>
      </c>
      <c r="AU77" s="392">
        <f>IF(AU9&gt;0,$C$77*(1+$BT$11),0)</f>
        <v/>
      </c>
      <c r="AV77" s="392">
        <f>IF(AV9&gt;0,$C$77*(1+$BT$11),0)</f>
        <v/>
      </c>
      <c r="AW77" s="392">
        <f>IF(AW9&gt;0,$C$77*(1+$BT$11),0)</f>
        <v/>
      </c>
      <c r="AX77" s="392">
        <f>IF(AX9&gt;0,$C$77*(1+$BT$11),0)</f>
        <v/>
      </c>
      <c r="AY77" s="392">
        <f>IF(AY9&gt;0,$C$77*(1+$BT$11),0)</f>
        <v/>
      </c>
      <c r="AZ77" s="392">
        <f>IF(AZ9&gt;0,$C$77*(1+$BT$11),0)</f>
        <v/>
      </c>
      <c r="BA77" s="392">
        <f>IF(BA9&gt;0,$C$77*(1+$BT$11),0)</f>
        <v/>
      </c>
      <c r="BB77" s="392">
        <f>IF(BB9&gt;0,$C$77*(1+$BT$11),0)</f>
        <v/>
      </c>
      <c r="BC77" s="392">
        <f>IF(BC9&gt;0,$C$77*(1+$BT$11),0)</f>
        <v/>
      </c>
      <c r="BD77" s="392">
        <f>IF(BD9&gt;0,$C$77*(1+$BT$11),0)</f>
        <v/>
      </c>
      <c r="BE77" s="392">
        <f>IF(BE9&gt;0,$C$77*(1+$BT$11),0)</f>
        <v/>
      </c>
      <c r="BF77" s="392">
        <f>IF(BF9&gt;0,$C$77*(1+$BT$11),0)</f>
        <v/>
      </c>
      <c r="BG77" s="392">
        <f>IF(BG9&gt;0,$C$77*(1+$BT$11),0)</f>
        <v/>
      </c>
      <c r="BH77" s="392">
        <f>IF(BH9&gt;0,$C$77*(1+$BT$11),0)</f>
        <v/>
      </c>
      <c r="BI77" s="392">
        <f>IF(BI9&gt;0,$C$77*(1+$BT$11),0)</f>
        <v/>
      </c>
      <c r="BJ77" s="392">
        <f>IF(BJ9&gt;0,$C$77*(1+$BT$11),0)</f>
        <v/>
      </c>
      <c r="BK77" s="392">
        <f>IF(BK9&gt;0,$C$77*(1+$BT$11),0)</f>
        <v/>
      </c>
      <c r="BL77" s="392">
        <f>IF(BL9&gt;0,$C$77*(1+$BT$11),0)</f>
        <v/>
      </c>
      <c r="BM77" s="392">
        <f>IF(BM9&gt;0,$C$77*(1+$BT$11),0)</f>
        <v/>
      </c>
      <c r="BN77" s="392">
        <f>IF(BN9&gt;0,$C$77*(1+$BT$11),0)</f>
        <v/>
      </c>
      <c r="BO77" s="392">
        <f>IF(BO9&gt;0,$C$77*(1+$BT$11),0)</f>
        <v/>
      </c>
      <c r="BP77" s="392" t="n"/>
      <c r="BQ77" s="27" t="n"/>
    </row>
    <row r="78">
      <c r="A78" s="4" t="inlineStr">
        <is>
          <t>Total Gas Drainage Costs</t>
        </is>
      </c>
      <c r="B78" s="17" t="inlineStr">
        <is>
          <t>AUDk</t>
        </is>
      </c>
      <c r="D78" s="323">
        <f>D77*D9</f>
        <v/>
      </c>
      <c r="E78" s="323">
        <f>E77*E9</f>
        <v/>
      </c>
      <c r="F78" s="323">
        <f>F77*F9</f>
        <v/>
      </c>
      <c r="G78" s="323">
        <f>G77*G9</f>
        <v/>
      </c>
      <c r="H78" s="323">
        <f>H77*H9</f>
        <v/>
      </c>
      <c r="I78" s="323">
        <f>I77*I9</f>
        <v/>
      </c>
      <c r="J78" s="323">
        <f>J77*J9</f>
        <v/>
      </c>
      <c r="K78" s="323">
        <f>K77*K9</f>
        <v/>
      </c>
      <c r="L78" s="323">
        <f>L77*L9</f>
        <v/>
      </c>
      <c r="M78" s="323">
        <f>M77*M9</f>
        <v/>
      </c>
      <c r="N78" s="323">
        <f>N77*N9</f>
        <v/>
      </c>
      <c r="O78" s="323">
        <f>O77*O9</f>
        <v/>
      </c>
      <c r="P78" s="323">
        <f>P77*P9</f>
        <v/>
      </c>
      <c r="Q78" s="323">
        <f>Q77*Q9</f>
        <v/>
      </c>
      <c r="R78" s="323">
        <f>R77*R9</f>
        <v/>
      </c>
      <c r="S78" s="323">
        <f>S77*S9</f>
        <v/>
      </c>
      <c r="T78" s="323">
        <f>T77*T9</f>
        <v/>
      </c>
      <c r="U78" s="323">
        <f>U77*U9</f>
        <v/>
      </c>
      <c r="V78" s="323">
        <f>V77*V9</f>
        <v/>
      </c>
      <c r="W78" s="323">
        <f>W77*W9</f>
        <v/>
      </c>
      <c r="X78" s="323">
        <f>X77*X9</f>
        <v/>
      </c>
      <c r="Y78" s="323">
        <f>Y77*Y9</f>
        <v/>
      </c>
      <c r="Z78" s="323">
        <f>Z77*Z9</f>
        <v/>
      </c>
      <c r="AA78" s="323">
        <f>AA77*AA9</f>
        <v/>
      </c>
      <c r="AB78" s="323">
        <f>AB77*AB9</f>
        <v/>
      </c>
      <c r="AC78" s="323">
        <f>AC77*AC9</f>
        <v/>
      </c>
      <c r="AD78" s="323">
        <f>AD77*AD9</f>
        <v/>
      </c>
      <c r="AE78" s="323">
        <f>AE77*AE9</f>
        <v/>
      </c>
      <c r="AF78" s="323">
        <f>AF77*AF9</f>
        <v/>
      </c>
      <c r="AG78" s="323">
        <f>AG77*AG9</f>
        <v/>
      </c>
      <c r="AH78" s="323">
        <f>AH77*AH9</f>
        <v/>
      </c>
      <c r="AI78" s="323">
        <f>AI77*AI9</f>
        <v/>
      </c>
      <c r="AJ78" s="323">
        <f>AJ77*AJ9</f>
        <v/>
      </c>
      <c r="AK78" s="323">
        <f>AK77*AK9</f>
        <v/>
      </c>
      <c r="AL78" s="323">
        <f>AL77*AL9</f>
        <v/>
      </c>
      <c r="AM78" s="323">
        <f>AM77*AM9</f>
        <v/>
      </c>
      <c r="AN78" s="323">
        <f>AN77*AN9</f>
        <v/>
      </c>
      <c r="AO78" s="323">
        <f>AO77*AO9</f>
        <v/>
      </c>
      <c r="AP78" s="323">
        <f>AP77*AP9</f>
        <v/>
      </c>
      <c r="AQ78" s="323">
        <f>AQ77*AQ9</f>
        <v/>
      </c>
      <c r="AR78" s="323">
        <f>AR77*AR9</f>
        <v/>
      </c>
      <c r="AS78" s="323">
        <f>AS77*AS9</f>
        <v/>
      </c>
      <c r="AT78" s="323">
        <f>AT77*AT9</f>
        <v/>
      </c>
      <c r="AU78" s="323">
        <f>AU77*AU9</f>
        <v/>
      </c>
      <c r="AV78" s="323">
        <f>AV77*AV9</f>
        <v/>
      </c>
      <c r="AW78" s="323">
        <f>AW77*AW9</f>
        <v/>
      </c>
      <c r="AX78" s="323">
        <f>AX77*AX9</f>
        <v/>
      </c>
      <c r="AY78" s="323">
        <f>AY77*AY9</f>
        <v/>
      </c>
      <c r="AZ78" s="323">
        <f>AZ77*AZ9</f>
        <v/>
      </c>
      <c r="BA78" s="323">
        <f>BA77*BA9</f>
        <v/>
      </c>
      <c r="BB78" s="323">
        <f>BB77*BB9</f>
        <v/>
      </c>
      <c r="BC78" s="323">
        <f>BC77*BC9</f>
        <v/>
      </c>
      <c r="BD78" s="323">
        <f>BD77*BD9</f>
        <v/>
      </c>
      <c r="BE78" s="323">
        <f>BE77*BE9</f>
        <v/>
      </c>
      <c r="BF78" s="323">
        <f>BF77*BF9</f>
        <v/>
      </c>
      <c r="BG78" s="323">
        <f>BG77*BG9</f>
        <v/>
      </c>
      <c r="BH78" s="323">
        <f>BH77*BH9</f>
        <v/>
      </c>
      <c r="BI78" s="323">
        <f>BI77*BI9</f>
        <v/>
      </c>
      <c r="BJ78" s="323">
        <f>BJ77*BJ9</f>
        <v/>
      </c>
      <c r="BK78" s="323">
        <f>BK77*BK9</f>
        <v/>
      </c>
      <c r="BL78" s="323">
        <f>BL77*BL9</f>
        <v/>
      </c>
      <c r="BM78" s="323">
        <f>BM77*BM9</f>
        <v/>
      </c>
      <c r="BN78" s="323">
        <f>BN77*BN9</f>
        <v/>
      </c>
      <c r="BO78" s="323">
        <f>BO77*BO9</f>
        <v/>
      </c>
      <c r="BP78" s="323" t="n"/>
      <c r="BQ78" s="370">
        <f>SUM(D78:BO78)</f>
        <v/>
      </c>
    </row>
    <row r="79">
      <c r="A79" s="4" t="n"/>
      <c r="B79" s="17" t="n"/>
      <c r="BQ79" s="25" t="n"/>
    </row>
    <row r="80">
      <c r="A80" s="4" t="inlineStr">
        <is>
          <t>Fixed CHPP Costs</t>
        </is>
      </c>
      <c r="B80" s="17" t="inlineStr">
        <is>
          <t>AUDk</t>
        </is>
      </c>
      <c r="C80" s="391" t="n">
        <v>20000</v>
      </c>
      <c r="D80" s="323">
        <f>IF(D6&gt;0,$C$80,0)</f>
        <v/>
      </c>
      <c r="E80" s="323">
        <f>IF(E6&gt;0,$C$80,0)</f>
        <v/>
      </c>
      <c r="F80" s="323">
        <f>IF(F6&gt;0,$C$80,0)</f>
        <v/>
      </c>
      <c r="G80" s="323">
        <f>IF(G6&gt;0,$C$80,0)</f>
        <v/>
      </c>
      <c r="H80" s="323">
        <f>IF(H6&gt;0,$C$80,0)</f>
        <v/>
      </c>
      <c r="I80" s="323">
        <f>IF(I6&gt;0,$C$80,0)</f>
        <v/>
      </c>
      <c r="J80" s="323">
        <f>IF(J6&gt;0,$C$80,0)</f>
        <v/>
      </c>
      <c r="K80" s="323">
        <f>IF(K6&gt;0,$C$80,0)</f>
        <v/>
      </c>
      <c r="L80" s="323">
        <f>IF(L6&gt;0,$C$80,0)</f>
        <v/>
      </c>
      <c r="M80" s="323">
        <f>IF(M6&gt;0,$C$80,0)</f>
        <v/>
      </c>
      <c r="N80" s="323">
        <f>IF(N6&gt;0,$C$80,0)</f>
        <v/>
      </c>
      <c r="O80" s="323">
        <f>IF(O6&gt;0,$C$80,0)</f>
        <v/>
      </c>
      <c r="P80" s="323">
        <f>IF(P6&gt;0,$C$80,0)</f>
        <v/>
      </c>
      <c r="Q80" s="323">
        <f>IF(Q6&gt;0,$C$80,0)</f>
        <v/>
      </c>
      <c r="R80" s="323">
        <f>IF(R6&gt;0,$C$80,0)</f>
        <v/>
      </c>
      <c r="S80" s="323">
        <f>IF(S6&gt;0,$C$80,0)</f>
        <v/>
      </c>
      <c r="T80" s="323">
        <f>IF(T6&gt;0,$C$80,0)</f>
        <v/>
      </c>
      <c r="U80" s="323">
        <f>IF(U6&gt;0,$C$80,0)</f>
        <v/>
      </c>
      <c r="V80" s="323">
        <f>IF(V6&gt;0,$C$80,0)</f>
        <v/>
      </c>
      <c r="W80" s="323">
        <f>IF(W6&gt;0,$C$80,0)</f>
        <v/>
      </c>
      <c r="X80" s="323">
        <f>IF(X6&gt;0,$C$80,0)</f>
        <v/>
      </c>
      <c r="Y80" s="323">
        <f>IF(Y6&gt;0,$C$80,0)</f>
        <v/>
      </c>
      <c r="Z80" s="323">
        <f>IF(Z6&gt;0,$C$80,0)</f>
        <v/>
      </c>
      <c r="AA80" s="323">
        <f>IF(AA6&gt;0,$C$80,0)</f>
        <v/>
      </c>
      <c r="AB80" s="323">
        <f>IF(AB6&gt;0,$C$80,0)</f>
        <v/>
      </c>
      <c r="AC80" s="323">
        <f>IF(AC6&gt;0,$C$80,0)</f>
        <v/>
      </c>
      <c r="AD80" s="323">
        <f>IF(AD6&gt;0,$C$80,0)</f>
        <v/>
      </c>
      <c r="AE80" s="323">
        <f>IF(AE6&gt;0,$C$80,0)</f>
        <v/>
      </c>
      <c r="AF80" s="323">
        <f>IF(AF6&gt;0,$C$80,0)</f>
        <v/>
      </c>
      <c r="AG80" s="323">
        <f>IF(AG6&gt;0,$C$80,0)</f>
        <v/>
      </c>
      <c r="AH80" s="323">
        <f>IF(AH6&gt;0,$C$80,0)</f>
        <v/>
      </c>
      <c r="AI80" s="323">
        <f>IF(AI6&gt;0,$C$80,0)</f>
        <v/>
      </c>
      <c r="AJ80" s="323">
        <f>IF(AJ6&gt;0,$C$80,0)</f>
        <v/>
      </c>
      <c r="AK80" s="323">
        <f>IF(AK6&gt;0,$C$80,0)</f>
        <v/>
      </c>
      <c r="AL80" s="323">
        <f>IF(AL6&gt;0,$C$80,0)</f>
        <v/>
      </c>
      <c r="AM80" s="323">
        <f>IF(AM6&gt;0,$C$80,0)</f>
        <v/>
      </c>
      <c r="AN80" s="323">
        <f>IF(AN6&gt;0,$C$80,0)</f>
        <v/>
      </c>
      <c r="AO80" s="323">
        <f>IF(AO6&gt;0,$C$80,0)</f>
        <v/>
      </c>
      <c r="AP80" s="323">
        <f>IF(AP6&gt;0,$C$80,0)</f>
        <v/>
      </c>
      <c r="AQ80" s="323">
        <f>IF(AQ6&gt;0,$C$80,0)</f>
        <v/>
      </c>
      <c r="AR80" s="323">
        <f>IF(AR6&gt;0,$C$80,0)</f>
        <v/>
      </c>
      <c r="AS80" s="323">
        <f>IF(AS6&gt;0,$C$80,0)</f>
        <v/>
      </c>
      <c r="AT80" s="323">
        <f>IF(AT6&gt;0,$C$80,0)</f>
        <v/>
      </c>
      <c r="AU80" s="323">
        <f>IF(AU6&gt;0,$C$80,0)</f>
        <v/>
      </c>
      <c r="AV80" s="323">
        <f>IF(AV6&gt;0,$C$80,0)</f>
        <v/>
      </c>
      <c r="AW80" s="323">
        <f>IF(AW6&gt;0,$C$80,0)</f>
        <v/>
      </c>
      <c r="AX80" s="323">
        <f>IF(AX6&gt;0,$C$80,0)</f>
        <v/>
      </c>
      <c r="AY80" s="323">
        <f>IF(AY6&gt;0,$C$80,0)</f>
        <v/>
      </c>
      <c r="AZ80" s="323">
        <f>IF(AZ6&gt;0,$C$80,0)</f>
        <v/>
      </c>
      <c r="BA80" s="323">
        <f>IF(BA6&gt;0,$C$80,0)</f>
        <v/>
      </c>
      <c r="BB80" s="323">
        <f>IF(BB6&gt;0,$C$80,0)</f>
        <v/>
      </c>
      <c r="BC80" s="323">
        <f>IF(BC6&gt;0,$C$80,0)</f>
        <v/>
      </c>
      <c r="BD80" s="323">
        <f>IF(BD6&gt;0,$C$80,0)</f>
        <v/>
      </c>
      <c r="BE80" s="323">
        <f>IF(BE6&gt;0,$C$80,0)</f>
        <v/>
      </c>
      <c r="BF80" s="323">
        <f>IF(BF6&gt;0,$C$80,0)</f>
        <v/>
      </c>
      <c r="BG80" s="323">
        <f>IF(BG6&gt;0,$C$80,0)</f>
        <v/>
      </c>
      <c r="BH80" s="323">
        <f>IF(BH6&gt;0,$C$80,0)</f>
        <v/>
      </c>
      <c r="BI80" s="323">
        <f>IF(BI6&gt;0,$C$80,0)</f>
        <v/>
      </c>
      <c r="BJ80" s="323">
        <f>IF(BJ6&gt;0,$C$80,0)</f>
        <v/>
      </c>
      <c r="BK80" s="323">
        <f>IF(BK6&gt;0,$C$80,0)</f>
        <v/>
      </c>
      <c r="BL80" s="323">
        <f>IF(BL6&gt;0,$C$80,0)</f>
        <v/>
      </c>
      <c r="BM80" s="323">
        <f>IF(BM6&gt;0,$C$80,0)</f>
        <v/>
      </c>
      <c r="BN80" s="323">
        <f>IF(BN6&gt;0,$C$80,0)</f>
        <v/>
      </c>
      <c r="BO80" s="323">
        <f>IF(BO6&gt;0,$C$80,0)</f>
        <v/>
      </c>
      <c r="BQ80" s="25" t="n"/>
    </row>
    <row r="81">
      <c r="A81" s="4" t="inlineStr">
        <is>
          <t>Variable CHPP Costs</t>
        </is>
      </c>
      <c r="B81" s="17" t="inlineStr">
        <is>
          <t>AUD/feedt</t>
        </is>
      </c>
      <c r="C81" s="91" t="n">
        <v>9.5</v>
      </c>
      <c r="D81" s="392">
        <f>IF(D12&gt;0,$C$81*(1+$AI$12),0)</f>
        <v/>
      </c>
      <c r="E81" s="392">
        <f>IF(E12&gt;0,$C$81*(1+$AI$12),0)</f>
        <v/>
      </c>
      <c r="F81" s="392">
        <f>IF(F12&gt;0,$C$81*(1+$AI$12),0)</f>
        <v/>
      </c>
      <c r="G81" s="392">
        <f>IF(G12&gt;0,$C$81*(1+$AI$12),0)</f>
        <v/>
      </c>
      <c r="H81" s="392">
        <f>IF(H12&gt;0,$C$81*(1+$AI$12),0)</f>
        <v/>
      </c>
      <c r="I81" s="392">
        <f>IF(I12&gt;0,$C$81*(1+$AI$12),0)</f>
        <v/>
      </c>
      <c r="J81" s="392">
        <f>IF(J12&gt;0,$C$81*(1+$AI$12),0)</f>
        <v/>
      </c>
      <c r="K81" s="392">
        <f>IF(K12&gt;0,$C$81*(1+$AI$12),0)</f>
        <v/>
      </c>
      <c r="L81" s="392">
        <f>IF(L12&gt;0,$C$81*(1+$AI$12),0)</f>
        <v/>
      </c>
      <c r="M81" s="392">
        <f>IF(M12&gt;0,$C$81*(1+$AI$12),0)</f>
        <v/>
      </c>
      <c r="N81" s="392">
        <f>IF(N12&gt;0,$C$81*(1+$AI$12),0)</f>
        <v/>
      </c>
      <c r="O81" s="392">
        <f>IF(O12&gt;0,$C$81*(1+$AI$12),0)</f>
        <v/>
      </c>
      <c r="P81" s="392">
        <f>IF(P12&gt;0,$C$81*(1+$AI$12),0)</f>
        <v/>
      </c>
      <c r="Q81" s="392">
        <f>IF(Q12&gt;0,$C$81*(1+$AI$12),0)</f>
        <v/>
      </c>
      <c r="R81" s="392">
        <f>IF(R12&gt;0,$C$81*(1+$AI$12),0)</f>
        <v/>
      </c>
      <c r="S81" s="392">
        <f>IF(S12&gt;0,$C$81*(1+$AI$12),0)</f>
        <v/>
      </c>
      <c r="T81" s="392">
        <f>IF(T12&gt;0,$C$81*(1+$AI$12),0)</f>
        <v/>
      </c>
      <c r="U81" s="392">
        <f>IF(U12&gt;0,$C$81*(1+$AI$12),0)</f>
        <v/>
      </c>
      <c r="V81" s="392">
        <f>IF(V12&gt;0,$C$81*(1+$AI$12),0)</f>
        <v/>
      </c>
      <c r="W81" s="392">
        <f>IF(W12&gt;0,$C$81*(1+$AI$12),0)</f>
        <v/>
      </c>
      <c r="X81" s="392">
        <f>IF(X12&gt;0,$C$81*(1+$AI$12),0)</f>
        <v/>
      </c>
      <c r="Y81" s="392">
        <f>IF(Y12&gt;0,$C$81*(1+$AI$12),0)</f>
        <v/>
      </c>
      <c r="Z81" s="392">
        <f>IF(Z12&gt;0,$C$81*(1+$AI$12),0)</f>
        <v/>
      </c>
      <c r="AA81" s="392">
        <f>IF(AA12&gt;0,$C$81*(1+$AI$12),0)</f>
        <v/>
      </c>
      <c r="AB81" s="392">
        <f>IF(AB12&gt;0,$C$81*(1+$AI$12),0)</f>
        <v/>
      </c>
      <c r="AC81" s="392">
        <f>IF(AC12&gt;0,$C$81*(1+$AI$12),0)</f>
        <v/>
      </c>
      <c r="AD81" s="392">
        <f>IF(AD12&gt;0,$C$81*(1+$AI$12),0)</f>
        <v/>
      </c>
      <c r="AE81" s="392">
        <f>IF(AE12&gt;0,$C$81*(1+$AI$12),0)</f>
        <v/>
      </c>
      <c r="AF81" s="392">
        <f>IF(AF12&gt;0,$C$81*(1+$AI$12),0)</f>
        <v/>
      </c>
      <c r="AG81" s="392">
        <f>IF(AG12&gt;0,$C$81*(1+$AI$12),0)</f>
        <v/>
      </c>
      <c r="AH81" s="392">
        <f>IF(AH12&gt;0,$C$81*(1+$AI$12),0)</f>
        <v/>
      </c>
      <c r="AI81" s="392">
        <f>IF(AI12&gt;0,$C$81*(1+$AI$12),0)</f>
        <v/>
      </c>
      <c r="AJ81" s="392">
        <f>IF(AJ12&gt;0,$C$81*(1+$AI$12),0)</f>
        <v/>
      </c>
      <c r="AK81" s="392">
        <f>IF(AK12&gt;0,$C$81*(1+$AI$12),0)</f>
        <v/>
      </c>
      <c r="AL81" s="392">
        <f>IF(AL12&gt;0,$C$81*(1+$AI$12),0)</f>
        <v/>
      </c>
      <c r="AM81" s="392">
        <f>IF(AM12&gt;0,$C$81*(1+$AI$12),0)</f>
        <v/>
      </c>
      <c r="AN81" s="392">
        <f>IF(AN12&gt;0,$C$81*(1+$AI$12),0)</f>
        <v/>
      </c>
      <c r="AO81" s="392">
        <f>IF(AO12&gt;0,$C$81*(1+$AI$12),0)</f>
        <v/>
      </c>
      <c r="AP81" s="392">
        <f>IF(AP12&gt;0,$C$81*(1+$AI$12),0)</f>
        <v/>
      </c>
      <c r="AQ81" s="392">
        <f>IF(AQ12&gt;0,$C$81*(1+$AI$12),0)</f>
        <v/>
      </c>
      <c r="AR81" s="392">
        <f>IF(AR12&gt;0,$C$81*(1+$AI$12),0)</f>
        <v/>
      </c>
      <c r="AS81" s="392">
        <f>IF(AS12&gt;0,$C$81*(1+$AI$12),0)</f>
        <v/>
      </c>
      <c r="AT81" s="392">
        <f>IF(AT12&gt;0,$C$81*(1+$AI$12),0)</f>
        <v/>
      </c>
      <c r="AU81" s="392">
        <f>IF(AU12&gt;0,$C$81*(1+$AI$12),0)</f>
        <v/>
      </c>
      <c r="AV81" s="392">
        <f>IF(AV12&gt;0,$C$81*(1+$AI$12),0)</f>
        <v/>
      </c>
      <c r="AW81" s="392">
        <f>IF(AW12&gt;0,$C$81*(1+$AI$12),0)</f>
        <v/>
      </c>
      <c r="AX81" s="392">
        <f>IF(AX12&gt;0,$C$81*(1+$AI$12),0)</f>
        <v/>
      </c>
      <c r="AY81" s="392">
        <f>IF(AY12&gt;0,$C$81*(1+$AI$12),0)</f>
        <v/>
      </c>
      <c r="AZ81" s="392">
        <f>IF(AZ12&gt;0,$C$81*(1+$AI$12),0)</f>
        <v/>
      </c>
      <c r="BA81" s="392">
        <f>IF(BA12&gt;0,$C$81*(1+$AI$12),0)</f>
        <v/>
      </c>
      <c r="BB81" s="392">
        <f>IF(BB12&gt;0,$C$81*(1+$AI$12),0)</f>
        <v/>
      </c>
      <c r="BC81" s="392">
        <f>IF(BC12&gt;0,$C$81*(1+$AI$12),0)</f>
        <v/>
      </c>
      <c r="BD81" s="392">
        <f>IF(BD12&gt;0,$C$81*(1+$AI$12),0)</f>
        <v/>
      </c>
      <c r="BE81" s="392">
        <f>IF(BE12&gt;0,$C$81*(1+$AI$12),0)</f>
        <v/>
      </c>
      <c r="BF81" s="392">
        <f>IF(BF12&gt;0,$C$81*(1+$AI$12),0)</f>
        <v/>
      </c>
      <c r="BG81" s="392">
        <f>IF(BG12&gt;0,$C$81*(1+$AI$12),0)</f>
        <v/>
      </c>
      <c r="BH81" s="392">
        <f>IF(BH12&gt;0,$C$81*(1+$AI$12),0)</f>
        <v/>
      </c>
      <c r="BI81" s="392">
        <f>IF(BI12&gt;0,$C$81*(1+$AI$12),0)</f>
        <v/>
      </c>
      <c r="BJ81" s="392">
        <f>IF(BJ12&gt;0,$C$81*(1+$AI$12),0)</f>
        <v/>
      </c>
      <c r="BK81" s="392">
        <f>IF(BK12&gt;0,$C$81*(1+$AI$12),0)</f>
        <v/>
      </c>
      <c r="BL81" s="392">
        <f>IF(BL12&gt;0,$C$81*(1+$AI$12),0)</f>
        <v/>
      </c>
      <c r="BM81" s="392">
        <f>IF(BM12&gt;0,$C$81*(1+$AI$12),0)</f>
        <v/>
      </c>
      <c r="BN81" s="392">
        <f>IF(BN12&gt;0,$C$81*(1+$AI$12),0)</f>
        <v/>
      </c>
      <c r="BO81" s="392">
        <f>IF(BO12&gt;0,$C$81*(1+$AI$12),0)</f>
        <v/>
      </c>
      <c r="BP81" s="392" t="n"/>
      <c r="BQ81" s="27" t="n"/>
    </row>
    <row r="82">
      <c r="A82" s="4" t="inlineStr">
        <is>
          <t>Total CHPP Costs</t>
        </is>
      </c>
      <c r="B82" s="17" t="inlineStr">
        <is>
          <t>AUDk</t>
        </is>
      </c>
      <c r="D82" s="323">
        <f>D9*D81+D80</f>
        <v/>
      </c>
      <c r="E82" s="323">
        <f>E9*E81+E80</f>
        <v/>
      </c>
      <c r="F82" s="323">
        <f>F9*F81+F80</f>
        <v/>
      </c>
      <c r="G82" s="323">
        <f>G9*G81+G80</f>
        <v/>
      </c>
      <c r="H82" s="323">
        <f>H9*H81+H80</f>
        <v/>
      </c>
      <c r="I82" s="323">
        <f>I9*I81+I80</f>
        <v/>
      </c>
      <c r="J82" s="323">
        <f>J9*J81+J80</f>
        <v/>
      </c>
      <c r="K82" s="323">
        <f>K9*K81+K80</f>
        <v/>
      </c>
      <c r="L82" s="323">
        <f>L9*L81+L80</f>
        <v/>
      </c>
      <c r="M82" s="323">
        <f>M9*M81+M80</f>
        <v/>
      </c>
      <c r="N82" s="323">
        <f>N9*N81+N80</f>
        <v/>
      </c>
      <c r="O82" s="323">
        <f>O9*O81+O80</f>
        <v/>
      </c>
      <c r="P82" s="323">
        <f>P9*P81+P80</f>
        <v/>
      </c>
      <c r="Q82" s="323">
        <f>Q9*Q81+Q80</f>
        <v/>
      </c>
      <c r="R82" s="323">
        <f>R9*R81+R80</f>
        <v/>
      </c>
      <c r="S82" s="323">
        <f>S9*S81+S80</f>
        <v/>
      </c>
      <c r="T82" s="323">
        <f>T9*T81+T80</f>
        <v/>
      </c>
      <c r="U82" s="323">
        <f>U9*U81+U80</f>
        <v/>
      </c>
      <c r="V82" s="323">
        <f>V9*V81+V80</f>
        <v/>
      </c>
      <c r="W82" s="323">
        <f>W9*W81+W80</f>
        <v/>
      </c>
      <c r="X82" s="323">
        <f>X9*X81+X80</f>
        <v/>
      </c>
      <c r="Y82" s="323">
        <f>Y9*Y81+Y80</f>
        <v/>
      </c>
      <c r="Z82" s="323">
        <f>Z9*Z81+Z80</f>
        <v/>
      </c>
      <c r="AA82" s="323">
        <f>AA9*AA81+AA80</f>
        <v/>
      </c>
      <c r="AB82" s="323">
        <f>AB9*AB81+AB80</f>
        <v/>
      </c>
      <c r="AC82" s="323">
        <f>AC9*AC81+AC80</f>
        <v/>
      </c>
      <c r="AD82" s="323">
        <f>AD9*AD81+AD80</f>
        <v/>
      </c>
      <c r="AE82" s="323">
        <f>AE9*AE81+AE80</f>
        <v/>
      </c>
      <c r="AF82" s="323">
        <f>AF9*AF81+AF80</f>
        <v/>
      </c>
      <c r="AG82" s="323">
        <f>AG9*AG81+AG80</f>
        <v/>
      </c>
      <c r="AH82" s="323">
        <f>AH9*AH81+AH80</f>
        <v/>
      </c>
      <c r="AI82" s="323">
        <f>AI9*AI81+AI80</f>
        <v/>
      </c>
      <c r="AJ82" s="323">
        <f>AJ9*AJ81+AJ80</f>
        <v/>
      </c>
      <c r="AK82" s="323">
        <f>AK9*AK81+AK80</f>
        <v/>
      </c>
      <c r="AL82" s="323">
        <f>AL9*AL81+AL80</f>
        <v/>
      </c>
      <c r="AM82" s="323">
        <f>AM9*AM81+AM80</f>
        <v/>
      </c>
      <c r="AN82" s="323">
        <f>AN9*AN81+AN80</f>
        <v/>
      </c>
      <c r="AO82" s="323">
        <f>AO9*AO81+AO80</f>
        <v/>
      </c>
      <c r="AP82" s="323">
        <f>AP9*AP81+AP80</f>
        <v/>
      </c>
      <c r="AQ82" s="323">
        <f>AQ9*AQ81+AQ80</f>
        <v/>
      </c>
      <c r="AR82" s="323">
        <f>AR9*AR81+AR80</f>
        <v/>
      </c>
      <c r="AS82" s="323">
        <f>AS9*AS81+AS80</f>
        <v/>
      </c>
      <c r="AT82" s="323">
        <f>AT9*AT81+AT80</f>
        <v/>
      </c>
      <c r="AU82" s="323">
        <f>AU9*AU81+AU80</f>
        <v/>
      </c>
      <c r="AV82" s="323">
        <f>AV9*AV81+AV80</f>
        <v/>
      </c>
      <c r="AW82" s="323">
        <f>AW9*AW81+AW80</f>
        <v/>
      </c>
      <c r="AX82" s="323">
        <f>AX9*AX81+AX80</f>
        <v/>
      </c>
      <c r="AY82" s="323">
        <f>AY9*AY81+AY80</f>
        <v/>
      </c>
      <c r="AZ82" s="323">
        <f>AZ9*AZ81+AZ80</f>
        <v/>
      </c>
      <c r="BA82" s="323">
        <f>BA9*BA81+BA80</f>
        <v/>
      </c>
      <c r="BB82" s="323">
        <f>BB9*BB81+BB80</f>
        <v/>
      </c>
      <c r="BC82" s="323">
        <f>BC9*BC81+BC80</f>
        <v/>
      </c>
      <c r="BD82" s="323">
        <f>BD9*BD81+BD80</f>
        <v/>
      </c>
      <c r="BE82" s="323">
        <f>BE9*BE81+BE80</f>
        <v/>
      </c>
      <c r="BF82" s="323">
        <f>BF9*BF81+BF80</f>
        <v/>
      </c>
      <c r="BG82" s="323">
        <f>BG9*BG81+BG80</f>
        <v/>
      </c>
      <c r="BH82" s="323">
        <f>BH9*BH81+BH80</f>
        <v/>
      </c>
      <c r="BI82" s="323">
        <f>BI9*BI81+BI80</f>
        <v/>
      </c>
      <c r="BJ82" s="323">
        <f>BJ9*BJ81+BJ80</f>
        <v/>
      </c>
      <c r="BK82" s="323">
        <f>BK9*BK81+BK80</f>
        <v/>
      </c>
      <c r="BL82" s="323">
        <f>BL9*BL81+BL80</f>
        <v/>
      </c>
      <c r="BM82" s="323">
        <f>BM9*BM81+BM80</f>
        <v/>
      </c>
      <c r="BN82" s="323">
        <f>BN9*BN81+BN80</f>
        <v/>
      </c>
      <c r="BO82" s="323">
        <f>BO9*BO81+BO80</f>
        <v/>
      </c>
      <c r="BP82" s="323" t="n"/>
      <c r="BQ82" s="370">
        <f>SUM(D82:BO82)</f>
        <v/>
      </c>
    </row>
    <row r="83">
      <c r="A83" s="4" t="n"/>
      <c r="B83" s="17" t="n"/>
      <c r="BQ83" s="25" t="n"/>
    </row>
    <row r="84">
      <c r="A84" s="4" t="inlineStr">
        <is>
          <t>Overhead - Site Administration</t>
        </is>
      </c>
      <c r="B84" s="17" t="inlineStr">
        <is>
          <t>AUDk</t>
        </is>
      </c>
      <c r="C84" s="391" t="n">
        <v>45000</v>
      </c>
      <c r="D84" s="323" t="n"/>
      <c r="E84" s="323" t="n"/>
      <c r="F84" s="323" t="n"/>
      <c r="G84" s="323" t="n"/>
      <c r="H84" s="323" t="n"/>
      <c r="I84" s="323">
        <f>IF(I$19&gt;0,$C84,0)</f>
        <v/>
      </c>
      <c r="J84" s="323">
        <f>IF(J$19&gt;0,$C84,0)</f>
        <v/>
      </c>
      <c r="K84" s="323">
        <f>IF(K$19&gt;0,$C84,0)</f>
        <v/>
      </c>
      <c r="L84" s="323">
        <f>IF(L$19&gt;0,$C84,0)</f>
        <v/>
      </c>
      <c r="M84" s="323">
        <f>IF(M$19&gt;0,$C84,0)</f>
        <v/>
      </c>
      <c r="N84" s="323">
        <f>IF(N$19&gt;0,$C84,0)</f>
        <v/>
      </c>
      <c r="O84" s="323">
        <f>IF(O$19&gt;0,$C84,0)</f>
        <v/>
      </c>
      <c r="P84" s="323">
        <f>IF(P$19&gt;0,$C84,0)</f>
        <v/>
      </c>
      <c r="Q84" s="323">
        <f>IF(Q$19&gt;0,$C84,0)</f>
        <v/>
      </c>
      <c r="R84" s="323">
        <f>IF(R$19&gt;0,$C84,0)</f>
        <v/>
      </c>
      <c r="S84" s="323">
        <f>IF(S$19&gt;0,$C84,0)</f>
        <v/>
      </c>
      <c r="T84" s="323">
        <f>IF(T$19&gt;0,$C84,0)</f>
        <v/>
      </c>
      <c r="U84" s="323">
        <f>IF(U$19&gt;0,$C84,0)</f>
        <v/>
      </c>
      <c r="V84" s="323">
        <f>IF(V$19&gt;0,$C84,0)</f>
        <v/>
      </c>
      <c r="W84" s="323">
        <f>IF(W$19&gt;0,$C84,0)</f>
        <v/>
      </c>
      <c r="X84" s="323">
        <f>IF(X$19&gt;0,$C84,0)</f>
        <v/>
      </c>
      <c r="Y84" s="323">
        <f>IF(Y$19&gt;0,$C84,0)</f>
        <v/>
      </c>
      <c r="Z84" s="323">
        <f>IF(Z$19&gt;0,$C84,0)</f>
        <v/>
      </c>
      <c r="AA84" s="323">
        <f>IF(AA$19&gt;0,$C84,0)</f>
        <v/>
      </c>
      <c r="AB84" s="323">
        <f>IF(AB$19&gt;0,$C84,0)</f>
        <v/>
      </c>
      <c r="AC84" s="323">
        <f>IF(AC$19&gt;0,$C84,0)</f>
        <v/>
      </c>
      <c r="AD84" s="323">
        <f>IF(AD$19&gt;0,$C84,0)</f>
        <v/>
      </c>
      <c r="AE84" s="323">
        <f>IF(AE$19&gt;0,$C84,0)</f>
        <v/>
      </c>
      <c r="AF84" s="323">
        <f>IF(AF$19&gt;0,$C84,0)</f>
        <v/>
      </c>
      <c r="AG84" s="323">
        <f>IF(AG$19&gt;0,$C84,0)</f>
        <v/>
      </c>
      <c r="AH84" s="323">
        <f>IF(AH$19&gt;0,$C84,0)</f>
        <v/>
      </c>
      <c r="AI84" s="323">
        <f>IF(AI$19&gt;0,$C84,0)</f>
        <v/>
      </c>
      <c r="AJ84" s="323">
        <f>IF(AJ$19&gt;0,$C84,0)</f>
        <v/>
      </c>
      <c r="AK84" s="323">
        <f>IF(AK$19&gt;0,$C84,0)</f>
        <v/>
      </c>
      <c r="AL84" s="323">
        <f>IF(AL$19&gt;0,$C84,0)</f>
        <v/>
      </c>
      <c r="AM84" s="323">
        <f>IF(AM$19&gt;0,$C84,0)</f>
        <v/>
      </c>
      <c r="AN84" s="323">
        <f>IF(AN$19&gt;0,$C84,0)</f>
        <v/>
      </c>
      <c r="AO84" s="323">
        <f>IF(AO$19&gt;0,$C84,0)</f>
        <v/>
      </c>
      <c r="AP84" s="323">
        <f>IF(AP$19&gt;0,$C84,0)</f>
        <v/>
      </c>
      <c r="AQ84" s="323">
        <f>IF(AQ$19&gt;0,$C84,0)</f>
        <v/>
      </c>
      <c r="AR84" s="323">
        <f>IF(AR$19&gt;0,$C84,0)</f>
        <v/>
      </c>
      <c r="AS84" s="323">
        <f>IF(AS$19&gt;0,$C84,0)</f>
        <v/>
      </c>
      <c r="AT84" s="323">
        <f>IF(AT$19&gt;0,$C84,0)</f>
        <v/>
      </c>
      <c r="AU84" s="323">
        <f>IF(AU$19&gt;0,$C84,0)</f>
        <v/>
      </c>
      <c r="AV84" s="323">
        <f>IF(AV$19&gt;0,$C84,0)</f>
        <v/>
      </c>
      <c r="AW84" s="323">
        <f>IF(AW$19&gt;0,$C84,0)</f>
        <v/>
      </c>
      <c r="AX84" s="323">
        <f>IF(AX$19&gt;0,$C84,0)</f>
        <v/>
      </c>
      <c r="AY84" s="323">
        <f>IF(AY$19&gt;0,$C84,0)</f>
        <v/>
      </c>
      <c r="AZ84" s="323">
        <f>IF(AZ$19&gt;0,$C84,0)</f>
        <v/>
      </c>
      <c r="BA84" s="323">
        <f>IF(BA$19&gt;0,$C84,0)</f>
        <v/>
      </c>
      <c r="BB84" s="323">
        <f>IF(BB$19&gt;0,$C84,0)</f>
        <v/>
      </c>
      <c r="BC84" s="323">
        <f>IF(BC$19&gt;0,$C84,0)</f>
        <v/>
      </c>
      <c r="BD84" s="323">
        <f>IF(BD$19&gt;0,$C84,0)</f>
        <v/>
      </c>
      <c r="BE84" s="323">
        <f>IF(BE$19&gt;0,$C84,0)</f>
        <v/>
      </c>
      <c r="BF84" s="323">
        <f>IF(BF$19&gt;0,$C84,0)</f>
        <v/>
      </c>
      <c r="BG84" s="323">
        <f>IF(BG$19&gt;0,$C84,0)</f>
        <v/>
      </c>
      <c r="BH84" s="323">
        <f>IF(BH$19&gt;0,$C84,0)</f>
        <v/>
      </c>
      <c r="BI84" s="323">
        <f>IF(BI$19&gt;0,$C84,0)</f>
        <v/>
      </c>
      <c r="BJ84" s="323">
        <f>IF(BJ$19&gt;0,$C84,0)</f>
        <v/>
      </c>
      <c r="BK84" s="323">
        <f>IF(BK$19&gt;0,$C84,0)</f>
        <v/>
      </c>
      <c r="BL84" s="323">
        <f>IF(BL$19&gt;0,$C84,0)</f>
        <v/>
      </c>
      <c r="BM84" s="323">
        <f>IF(BM$19&gt;0,$C84,0)</f>
        <v/>
      </c>
      <c r="BN84" s="323">
        <f>IF(BN$19&gt;0,$C84,0)</f>
        <v/>
      </c>
      <c r="BO84" s="323">
        <f>IF(BO$19&gt;0,$C84,0)</f>
        <v/>
      </c>
      <c r="BP84" s="323" t="n"/>
      <c r="BQ84" s="25" t="n"/>
    </row>
    <row r="85">
      <c r="A85" s="4" t="inlineStr">
        <is>
          <t>Overhead - Town Management</t>
        </is>
      </c>
      <c r="B85" s="17" t="inlineStr">
        <is>
          <t>AUDk</t>
        </is>
      </c>
      <c r="C85" s="391" t="n">
        <v>9000</v>
      </c>
      <c r="D85" s="323" t="n"/>
      <c r="E85" s="323" t="n"/>
      <c r="F85" s="323" t="n"/>
      <c r="G85" s="323" t="n"/>
      <c r="H85" s="323" t="n"/>
      <c r="I85" s="323">
        <f>IF(I$19&gt;0,$C85,0)</f>
        <v/>
      </c>
      <c r="J85" s="323">
        <f>IF(J$19&gt;0,$C85,0)</f>
        <v/>
      </c>
      <c r="K85" s="323">
        <f>IF(K$19&gt;0,$C85,0)</f>
        <v/>
      </c>
      <c r="L85" s="323">
        <f>IF(L$19&gt;0,$C85,0)</f>
        <v/>
      </c>
      <c r="M85" s="323">
        <f>IF(M$19&gt;0,$C85,0)</f>
        <v/>
      </c>
      <c r="N85" s="323">
        <f>IF(N$19&gt;0,$C85,0)</f>
        <v/>
      </c>
      <c r="O85" s="323">
        <f>IF(O$19&gt;0,$C85,0)</f>
        <v/>
      </c>
      <c r="P85" s="323">
        <f>IF(P$19&gt;0,$C85,0)</f>
        <v/>
      </c>
      <c r="Q85" s="323">
        <f>IF(Q$19&gt;0,$C85,0)</f>
        <v/>
      </c>
      <c r="R85" s="323">
        <f>IF(R$19&gt;0,$C85,0)</f>
        <v/>
      </c>
      <c r="S85" s="323">
        <f>IF(S$19&gt;0,$C85,0)</f>
        <v/>
      </c>
      <c r="T85" s="323">
        <f>IF(T$19&gt;0,$C85,0)</f>
        <v/>
      </c>
      <c r="U85" s="323">
        <f>IF(U$19&gt;0,$C85,0)</f>
        <v/>
      </c>
      <c r="V85" s="323">
        <f>IF(V$19&gt;0,$C85,0)</f>
        <v/>
      </c>
      <c r="W85" s="323">
        <f>IF(W$19&gt;0,$C85,0)</f>
        <v/>
      </c>
      <c r="X85" s="323">
        <f>IF(X$19&gt;0,$C85,0)</f>
        <v/>
      </c>
      <c r="Y85" s="323">
        <f>IF(Y$19&gt;0,$C85,0)</f>
        <v/>
      </c>
      <c r="Z85" s="323">
        <f>IF(Z$19&gt;0,$C85,0)</f>
        <v/>
      </c>
      <c r="AA85" s="323">
        <f>IF(AA$19&gt;0,$C85,0)</f>
        <v/>
      </c>
      <c r="AB85" s="323">
        <f>IF(AB$19&gt;0,$C85,0)</f>
        <v/>
      </c>
      <c r="AC85" s="323">
        <f>IF(AC$19&gt;0,$C85,0)</f>
        <v/>
      </c>
      <c r="AD85" s="323">
        <f>IF(AD$19&gt;0,$C85,0)</f>
        <v/>
      </c>
      <c r="AE85" s="323">
        <f>IF(AE$19&gt;0,$C85,0)</f>
        <v/>
      </c>
      <c r="AF85" s="323">
        <f>IF(AF$19&gt;0,$C85,0)</f>
        <v/>
      </c>
      <c r="AG85" s="323">
        <f>IF(AG$19&gt;0,$C85,0)</f>
        <v/>
      </c>
      <c r="AH85" s="323">
        <f>IF(AH$19&gt;0,$C85,0)</f>
        <v/>
      </c>
      <c r="AI85" s="323">
        <f>IF(AI$19&gt;0,$C85,0)</f>
        <v/>
      </c>
      <c r="AJ85" s="323">
        <f>IF(AJ$19&gt;0,$C85,0)</f>
        <v/>
      </c>
      <c r="AK85" s="323">
        <f>IF(AK$19&gt;0,$C85,0)</f>
        <v/>
      </c>
      <c r="AL85" s="323">
        <f>IF(AL$19&gt;0,$C85,0)</f>
        <v/>
      </c>
      <c r="AM85" s="323">
        <f>IF(AM$19&gt;0,$C85,0)</f>
        <v/>
      </c>
      <c r="AN85" s="323">
        <f>IF(AN$19&gt;0,$C85,0)</f>
        <v/>
      </c>
      <c r="AO85" s="323">
        <f>IF(AO$19&gt;0,$C85,0)</f>
        <v/>
      </c>
      <c r="AP85" s="323">
        <f>IF(AP$19&gt;0,$C85,0)</f>
        <v/>
      </c>
      <c r="AQ85" s="323">
        <f>IF(AQ$19&gt;0,$C85,0)</f>
        <v/>
      </c>
      <c r="AR85" s="323">
        <f>IF(AR$19&gt;0,$C85,0)</f>
        <v/>
      </c>
      <c r="AS85" s="323">
        <f>IF(AS$19&gt;0,$C85,0)</f>
        <v/>
      </c>
      <c r="AT85" s="323">
        <f>IF(AT$19&gt;0,$C85,0)</f>
        <v/>
      </c>
      <c r="AU85" s="323">
        <f>IF(AU$19&gt;0,$C85,0)</f>
        <v/>
      </c>
      <c r="AV85" s="323">
        <f>IF(AV$19&gt;0,$C85,0)</f>
        <v/>
      </c>
      <c r="AW85" s="323">
        <f>IF(AW$19&gt;0,$C85,0)</f>
        <v/>
      </c>
      <c r="AX85" s="323">
        <f>IF(AX$19&gt;0,$C85,0)</f>
        <v/>
      </c>
      <c r="AY85" s="323">
        <f>IF(AY$19&gt;0,$C85,0)</f>
        <v/>
      </c>
      <c r="AZ85" s="323">
        <f>IF(AZ$19&gt;0,$C85,0)</f>
        <v/>
      </c>
      <c r="BA85" s="323">
        <f>IF(BA$19&gt;0,$C85,0)</f>
        <v/>
      </c>
      <c r="BB85" s="323">
        <f>IF(BB$19&gt;0,$C85,0)</f>
        <v/>
      </c>
      <c r="BC85" s="323">
        <f>IF(BC$19&gt;0,$C85,0)</f>
        <v/>
      </c>
      <c r="BD85" s="323">
        <f>IF(BD$19&gt;0,$C85,0)</f>
        <v/>
      </c>
      <c r="BE85" s="323">
        <f>IF(BE$19&gt;0,$C85,0)</f>
        <v/>
      </c>
      <c r="BF85" s="323">
        <f>IF(BF$19&gt;0,$C85,0)</f>
        <v/>
      </c>
      <c r="BG85" s="323">
        <f>IF(BG$19&gt;0,$C85,0)</f>
        <v/>
      </c>
      <c r="BH85" s="323">
        <f>IF(BH$19&gt;0,$C85,0)</f>
        <v/>
      </c>
      <c r="BI85" s="323">
        <f>IF(BI$19&gt;0,$C85,0)</f>
        <v/>
      </c>
      <c r="BJ85" s="323">
        <f>IF(BJ$19&gt;0,$C85,0)</f>
        <v/>
      </c>
      <c r="BK85" s="323">
        <f>IF(BK$19&gt;0,$C85,0)</f>
        <v/>
      </c>
      <c r="BL85" s="323">
        <f>IF(BL$19&gt;0,$C85,0)</f>
        <v/>
      </c>
      <c r="BM85" s="323">
        <f>IF(BM$19&gt;0,$C85,0)</f>
        <v/>
      </c>
      <c r="BN85" s="323">
        <f>IF(BN$19&gt;0,$C85,0)</f>
        <v/>
      </c>
      <c r="BO85" s="323">
        <f>IF(BO$19&gt;0,$C85,0)</f>
        <v/>
      </c>
      <c r="BP85" s="323" t="n"/>
      <c r="BQ85" s="25" t="n"/>
    </row>
    <row r="86">
      <c r="A86" s="4" t="inlineStr">
        <is>
          <t>Overhead - Corporate Fees</t>
        </is>
      </c>
      <c r="B86" s="17" t="inlineStr">
        <is>
          <t>AUDk</t>
        </is>
      </c>
      <c r="C86" s="391" t="n">
        <v>15000</v>
      </c>
      <c r="D86" s="323" t="n"/>
      <c r="E86" s="323" t="n"/>
      <c r="F86" s="323" t="n"/>
      <c r="G86" s="323" t="n"/>
      <c r="H86" s="323" t="n"/>
      <c r="I86" s="323">
        <f>IF(I$19&gt;0,$C86,0)</f>
        <v/>
      </c>
      <c r="J86" s="323">
        <f>IF(J$19&gt;0,$C86,0)</f>
        <v/>
      </c>
      <c r="K86" s="323">
        <f>IF(K$19&gt;0,$C86,0)</f>
        <v/>
      </c>
      <c r="L86" s="323">
        <f>IF(L$19&gt;0,$C86,0)</f>
        <v/>
      </c>
      <c r="M86" s="323">
        <f>IF(M$19&gt;0,$C86,0)</f>
        <v/>
      </c>
      <c r="N86" s="323">
        <f>IF(N$19&gt;0,$C86,0)</f>
        <v/>
      </c>
      <c r="O86" s="323">
        <f>IF(O$19&gt;0,$C86,0)</f>
        <v/>
      </c>
      <c r="P86" s="323">
        <f>IF(P$19&gt;0,$C86,0)</f>
        <v/>
      </c>
      <c r="Q86" s="323">
        <f>IF(Q$19&gt;0,$C86,0)</f>
        <v/>
      </c>
      <c r="R86" s="323">
        <f>IF(R$19&gt;0,$C86,0)</f>
        <v/>
      </c>
      <c r="S86" s="323">
        <f>IF(S$19&gt;0,$C86,0)</f>
        <v/>
      </c>
      <c r="T86" s="323">
        <f>IF(T$19&gt;0,$C86,0)</f>
        <v/>
      </c>
      <c r="U86" s="323">
        <f>IF(U$19&gt;0,$C86,0)</f>
        <v/>
      </c>
      <c r="V86" s="323">
        <f>IF(V$19&gt;0,$C86,0)</f>
        <v/>
      </c>
      <c r="W86" s="323">
        <f>IF(W$19&gt;0,$C86,0)</f>
        <v/>
      </c>
      <c r="X86" s="323">
        <f>IF(X$19&gt;0,$C86,0)</f>
        <v/>
      </c>
      <c r="Y86" s="323">
        <f>IF(Y$19&gt;0,$C86,0)</f>
        <v/>
      </c>
      <c r="Z86" s="323">
        <f>IF(Z$19&gt;0,$C86,0)</f>
        <v/>
      </c>
      <c r="AA86" s="323">
        <f>IF(AA$19&gt;0,$C86,0)</f>
        <v/>
      </c>
      <c r="AB86" s="323">
        <f>IF(AB$19&gt;0,$C86,0)</f>
        <v/>
      </c>
      <c r="AC86" s="323">
        <f>IF(AC$19&gt;0,$C86,0)</f>
        <v/>
      </c>
      <c r="AD86" s="323">
        <f>IF(AD$19&gt;0,$C86,0)</f>
        <v/>
      </c>
      <c r="AE86" s="323">
        <f>IF(AE$19&gt;0,$C86,0)</f>
        <v/>
      </c>
      <c r="AF86" s="323">
        <f>IF(AF$19&gt;0,$C86,0)</f>
        <v/>
      </c>
      <c r="AG86" s="323">
        <f>IF(AG$19&gt;0,$C86,0)</f>
        <v/>
      </c>
      <c r="AH86" s="323">
        <f>IF(AH$19&gt;0,$C86,0)</f>
        <v/>
      </c>
      <c r="AI86" s="323">
        <f>IF(AI$19&gt;0,$C86,0)</f>
        <v/>
      </c>
      <c r="AJ86" s="323">
        <f>IF(AJ$19&gt;0,$C86,0)</f>
        <v/>
      </c>
      <c r="AK86" s="323">
        <f>IF(AK$19&gt;0,$C86,0)</f>
        <v/>
      </c>
      <c r="AL86" s="323">
        <f>IF(AL$19&gt;0,$C86,0)</f>
        <v/>
      </c>
      <c r="AM86" s="323">
        <f>IF(AM$19&gt;0,$C86,0)</f>
        <v/>
      </c>
      <c r="AN86" s="323">
        <f>IF(AN$19&gt;0,$C86,0)</f>
        <v/>
      </c>
      <c r="AO86" s="323">
        <f>IF(AO$19&gt;0,$C86,0)</f>
        <v/>
      </c>
      <c r="AP86" s="323">
        <f>IF(AP$19&gt;0,$C86,0)</f>
        <v/>
      </c>
      <c r="AQ86" s="323">
        <f>IF(AQ$19&gt;0,$C86,0)</f>
        <v/>
      </c>
      <c r="AR86" s="323">
        <f>IF(AR$19&gt;0,$C86,0)</f>
        <v/>
      </c>
      <c r="AS86" s="323">
        <f>IF(AS$19&gt;0,$C86,0)</f>
        <v/>
      </c>
      <c r="AT86" s="323">
        <f>IF(AT$19&gt;0,$C86,0)</f>
        <v/>
      </c>
      <c r="AU86" s="323">
        <f>IF(AU$19&gt;0,$C86,0)</f>
        <v/>
      </c>
      <c r="AV86" s="323">
        <f>IF(AV$19&gt;0,$C86,0)</f>
        <v/>
      </c>
      <c r="AW86" s="323">
        <f>IF(AW$19&gt;0,$C86,0)</f>
        <v/>
      </c>
      <c r="AX86" s="323">
        <f>IF(AX$19&gt;0,$C86,0)</f>
        <v/>
      </c>
      <c r="AY86" s="323">
        <f>IF(AY$19&gt;0,$C86,0)</f>
        <v/>
      </c>
      <c r="AZ86" s="323">
        <f>IF(AZ$19&gt;0,$C86,0)</f>
        <v/>
      </c>
      <c r="BA86" s="323">
        <f>IF(BA$19&gt;0,$C86,0)</f>
        <v/>
      </c>
      <c r="BB86" s="323">
        <f>IF(BB$19&gt;0,$C86,0)</f>
        <v/>
      </c>
      <c r="BC86" s="323">
        <f>IF(BC$19&gt;0,$C86,0)</f>
        <v/>
      </c>
      <c r="BD86" s="323">
        <f>IF(BD$19&gt;0,$C86,0)</f>
        <v/>
      </c>
      <c r="BE86" s="323">
        <f>IF(BE$19&gt;0,$C86,0)</f>
        <v/>
      </c>
      <c r="BF86" s="323">
        <f>IF(BF$19&gt;0,$C86,0)</f>
        <v/>
      </c>
      <c r="BG86" s="323">
        <f>IF(BG$19&gt;0,$C86,0)</f>
        <v/>
      </c>
      <c r="BH86" s="323">
        <f>IF(BH$19&gt;0,$C86,0)</f>
        <v/>
      </c>
      <c r="BI86" s="323">
        <f>IF(BI$19&gt;0,$C86,0)</f>
        <v/>
      </c>
      <c r="BJ86" s="323">
        <f>IF(BJ$19&gt;0,$C86,0)</f>
        <v/>
      </c>
      <c r="BK86" s="323">
        <f>IF(BK$19&gt;0,$C86,0)</f>
        <v/>
      </c>
      <c r="BL86" s="323">
        <f>IF(BL$19&gt;0,$C86,0)</f>
        <v/>
      </c>
      <c r="BM86" s="323">
        <f>IF(BM$19&gt;0,$C86,0)</f>
        <v/>
      </c>
      <c r="BN86" s="323">
        <f>IF(BN$19&gt;0,$C86,0)</f>
        <v/>
      </c>
      <c r="BO86" s="323">
        <f>IF(BO$19&gt;0,$C86,0)</f>
        <v/>
      </c>
      <c r="BP86" s="323" t="n"/>
      <c r="BQ86" s="25" t="n"/>
    </row>
    <row r="87">
      <c r="A87" s="4" t="inlineStr">
        <is>
          <t>Total Overhead Costs</t>
        </is>
      </c>
      <c r="B87" s="17" t="inlineStr">
        <is>
          <t>AUDk</t>
        </is>
      </c>
      <c r="C87" s="420" t="inlineStr">
        <is>
          <t>Brave Blossom Only</t>
        </is>
      </c>
      <c r="D87" s="394">
        <f>IF(D9&gt;0,SUM(D84:D86)*(1+$BT$13),0)</f>
        <v/>
      </c>
      <c r="E87" s="394">
        <f>IF(E9&gt;0,SUM(E84:E86)*(1+$BT$13),0)</f>
        <v/>
      </c>
      <c r="F87" s="394">
        <f>IF(F9&gt;0,SUM(F84:F86)*(1+$BT$13),0)</f>
        <v/>
      </c>
      <c r="G87" s="394">
        <f>IF(G9&gt;0,SUM(G84:G86)*(1+$BT$13),0)</f>
        <v/>
      </c>
      <c r="H87" s="394">
        <f>IF(H9&gt;0,SUM(H84:H86)*(1+$BT$13),0)</f>
        <v/>
      </c>
      <c r="I87" s="394">
        <f>IF(I9&gt;0,SUM(I84:I86)*(1+$BT$13),0)</f>
        <v/>
      </c>
      <c r="J87" s="394">
        <f>IF(J9&gt;0,SUM(J84:J86)*(1+$BT$13),0)</f>
        <v/>
      </c>
      <c r="K87" s="394">
        <f>IF(K9&gt;0,SUM(K84:K86)*(1+$BT$13),0)</f>
        <v/>
      </c>
      <c r="L87" s="394">
        <f>IF(L9&gt;0,SUM(L84:L86)*(1+$BT$13),0)</f>
        <v/>
      </c>
      <c r="M87" s="394">
        <f>IF(M9&gt;0,SUM(M84:M86)*(1+$BT$13),0)</f>
        <v/>
      </c>
      <c r="N87" s="394">
        <f>IF(N9&gt;0,SUM(N84:N86)*(1+$BT$13),0)</f>
        <v/>
      </c>
      <c r="O87" s="394">
        <f>IF(O9&gt;0,SUM(O84:O86)*(1+$BT$13),0)</f>
        <v/>
      </c>
      <c r="P87" s="394">
        <f>IF(P9&gt;0,SUM(P84:P86)*(1+$BT$13),0)</f>
        <v/>
      </c>
      <c r="Q87" s="394">
        <f>IF(Q9&gt;0,SUM(Q84:Q86)*(1+$BT$13),0)</f>
        <v/>
      </c>
      <c r="R87" s="394">
        <f>IF(R9&gt;0,SUM(R84:R86)*(1+$BT$13),0)</f>
        <v/>
      </c>
      <c r="S87" s="394">
        <f>IF(S9&gt;0,SUM(S84:S86)*(1+$BT$13),0)</f>
        <v/>
      </c>
      <c r="T87" s="394">
        <f>IF(T9&gt;0,SUM(T84:T86)*(1+$BT$13),0)</f>
        <v/>
      </c>
      <c r="U87" s="394">
        <f>IF(U9&gt;0,SUM(U84:U86)*(1+$BT$13),0)</f>
        <v/>
      </c>
      <c r="V87" s="394">
        <f>IF(V9&gt;0,SUM(V84:V86)*(1+$BT$13),0)</f>
        <v/>
      </c>
      <c r="W87" s="394">
        <f>IF(W9&gt;0,SUM(W84:W86)*(1+$BT$13),0)</f>
        <v/>
      </c>
      <c r="X87" s="394">
        <f>IF(X9&gt;0,SUM(X84:X86)*(1+$BT$13),0)</f>
        <v/>
      </c>
      <c r="Y87" s="394">
        <f>IF(Y9&gt;0,SUM(Y84:Y86)*(1+$BT$13),0)</f>
        <v/>
      </c>
      <c r="Z87" s="394">
        <f>IF(Z9&gt;0,SUM(Z84:Z86)*(1+$BT$13),0)</f>
        <v/>
      </c>
      <c r="AA87" s="394">
        <f>IF(AA9&gt;0,SUM(AA84:AA86)*(1+$BT$13),0)</f>
        <v/>
      </c>
      <c r="AB87" s="394">
        <f>IF(AB9&gt;0,SUM(AB84:AB86)*(1+$BT$13),0)</f>
        <v/>
      </c>
      <c r="AC87" s="394">
        <f>IF(AC9&gt;0,SUM(AC84:AC86)*(1+$BT$13),0)</f>
        <v/>
      </c>
      <c r="AD87" s="394">
        <f>IF(AD9&gt;0,SUM(AD84:AD86)*(1+$BT$13),0)</f>
        <v/>
      </c>
      <c r="AE87" s="394">
        <f>IF(AE9&gt;0,SUM(AE84:AE86)*(1+$BT$13),0)</f>
        <v/>
      </c>
      <c r="AF87" s="394">
        <f>IF(AF9&gt;0,SUM(AF84:AF86)*(1+$BT$13),0)</f>
        <v/>
      </c>
      <c r="AG87" s="394">
        <f>IF(AG9&gt;0,SUM(AG84:AG86)*(1+$BT$13),0)</f>
        <v/>
      </c>
      <c r="AH87" s="394">
        <f>IF(AH9&gt;0,SUM(AH84:AH86)*(1+$BT$13),0)</f>
        <v/>
      </c>
      <c r="AI87" s="394">
        <f>IF(AI9&gt;0,SUM(AI84:AI86)*(1+$BT$13),0)</f>
        <v/>
      </c>
      <c r="AJ87" s="394">
        <f>IF(AJ9&gt;0,SUM(AJ84:AJ86)*(1+$BT$13),0)</f>
        <v/>
      </c>
      <c r="AK87" s="394">
        <f>IF(AK9&gt;0,SUM(AK84:AK86)*(1+$BT$13),0)</f>
        <v/>
      </c>
      <c r="AL87" s="394">
        <f>IF(AL9&gt;0,SUM(AL84:AL86)*(1+$BT$13),0)</f>
        <v/>
      </c>
      <c r="AM87" s="394">
        <f>IF(AM9&gt;0,SUM(AM84:AM86)*(1+$BT$13),0)</f>
        <v/>
      </c>
      <c r="AN87" s="394">
        <f>IF(AN9&gt;0,SUM(AN84:AN86)*(1+$BT$13),0)</f>
        <v/>
      </c>
      <c r="AO87" s="394">
        <f>IF(AO9&gt;0,SUM(AO84:AO86)*(1+$BT$13),0)</f>
        <v/>
      </c>
      <c r="AP87" s="394">
        <f>IF(AP9&gt;0,SUM(AP84:AP86)*(1+$BT$13),0)</f>
        <v/>
      </c>
      <c r="AQ87" s="394">
        <f>IF(AQ9&gt;0,SUM(AQ84:AQ86)*(1+$BT$13),0)</f>
        <v/>
      </c>
      <c r="AR87" s="394">
        <f>IF(AR9&gt;0,SUM(AR84:AR86)*(1+$BT$13),0)</f>
        <v/>
      </c>
      <c r="AS87" s="394">
        <f>IF(AS9&gt;0,SUM(AS84:AS86)*(1+$BT$13),0)</f>
        <v/>
      </c>
      <c r="AT87" s="394">
        <f>IF(AT9&gt;0,SUM(AT84:AT86)*(1+$BT$13),0)</f>
        <v/>
      </c>
      <c r="AU87" s="394">
        <f>IF(AU9&gt;0,SUM(AU84:AU86)*(1+$BT$13),0)</f>
        <v/>
      </c>
      <c r="AV87" s="394">
        <f>IF(AV9&gt;0,SUM(AV84:AV86)*(1+$BT$13),0)</f>
        <v/>
      </c>
      <c r="AW87" s="394">
        <f>IF(AW9&gt;0,SUM(AW84:AW86)*(1+$BT$13),0)</f>
        <v/>
      </c>
      <c r="AX87" s="394">
        <f>IF(AX9&gt;0,SUM(AX84:AX86)*(1+$BT$13),0)</f>
        <v/>
      </c>
      <c r="AY87" s="394">
        <f>IF(AY9&gt;0,SUM(AY84:AY86)*(1+$BT$13),0)</f>
        <v/>
      </c>
      <c r="AZ87" s="394">
        <f>IF(AZ9&gt;0,SUM(AZ84:AZ86)*(1+$BT$13),0)</f>
        <v/>
      </c>
      <c r="BA87" s="394">
        <f>IF(BA9&gt;0,SUM(BA84:BA86)*(1+$BT$13),0)</f>
        <v/>
      </c>
      <c r="BB87" s="394">
        <f>IF(BB9&gt;0,SUM(BB84:BB86)*(1+$BT$13),0)</f>
        <v/>
      </c>
      <c r="BC87" s="394">
        <f>IF(BC9&gt;0,SUM(BC84:BC86)*(1+$BT$13),0)</f>
        <v/>
      </c>
      <c r="BD87" s="394">
        <f>IF(BD9&gt;0,SUM(BD84:BD86)*(1+$BT$13),0)</f>
        <v/>
      </c>
      <c r="BE87" s="394">
        <f>IF(BE9&gt;0,SUM(BE84:BE86)*(1+$BT$13),0)</f>
        <v/>
      </c>
      <c r="BF87" s="394">
        <f>IF(BF9&gt;0,SUM(BF84:BF86)*(1+$BT$13),0)</f>
        <v/>
      </c>
      <c r="BG87" s="394">
        <f>IF(BG9&gt;0,SUM(BG84:BG86)*(1+$BT$13),0)</f>
        <v/>
      </c>
      <c r="BH87" s="394">
        <f>IF(BH9&gt;0,SUM(BH84:BH86)*(1+$BT$13),0)</f>
        <v/>
      </c>
      <c r="BI87" s="394">
        <f>IF(BI9&gt;0,SUM(BI84:BI86)*(1+$BT$13),0)</f>
        <v/>
      </c>
      <c r="BJ87" s="394">
        <f>IF(BJ9&gt;0,SUM(BJ84:BJ86)*(1+$BT$13),0)</f>
        <v/>
      </c>
      <c r="BK87" s="394">
        <f>IF(BK9&gt;0,SUM(BK84:BK86)*(1+$BT$13),0)</f>
        <v/>
      </c>
      <c r="BL87" s="394">
        <f>IF(BL9&gt;0,SUM(BL84:BL86)*(1+$BT$13),0)</f>
        <v/>
      </c>
      <c r="BM87" s="394">
        <f>IF(BM9&gt;0,SUM(BM84:BM86)*(1+$BT$13),0)</f>
        <v/>
      </c>
      <c r="BN87" s="394">
        <f>IF(BN9&gt;0,SUM(BN84:BN86)*(1+$BT$13),0)</f>
        <v/>
      </c>
      <c r="BO87" s="394">
        <f>IF(BO9&gt;0,SUM(BO84:BO86)*(1+$BT$13),0)</f>
        <v/>
      </c>
      <c r="BP87" s="394" t="n"/>
      <c r="BQ87" s="395">
        <f>SUM(D87:BO87)</f>
        <v/>
      </c>
    </row>
    <row r="88">
      <c r="A88" s="4" t="n"/>
      <c r="B88" s="17" t="n"/>
      <c r="C88" s="323" t="n"/>
      <c r="D88" s="323" t="n"/>
      <c r="E88" s="323" t="n"/>
      <c r="F88" s="323" t="n"/>
      <c r="G88" s="323" t="n"/>
      <c r="H88" s="323" t="n"/>
      <c r="I88" s="323" t="n"/>
      <c r="J88" s="323" t="n"/>
      <c r="K88" s="323" t="n"/>
      <c r="L88" s="323" t="n"/>
      <c r="M88" s="323" t="n"/>
      <c r="N88" s="323" t="n"/>
      <c r="O88" s="323" t="n"/>
      <c r="P88" s="323" t="n"/>
      <c r="Q88" s="323" t="n"/>
      <c r="R88" s="323" t="n"/>
      <c r="S88" s="323" t="n"/>
      <c r="T88" s="323" t="n"/>
      <c r="U88" s="323" t="n"/>
      <c r="V88" s="323" t="n"/>
      <c r="W88" s="323" t="n"/>
      <c r="X88" s="323" t="n"/>
      <c r="Y88" s="323" t="n"/>
      <c r="Z88" s="323" t="n"/>
      <c r="AA88" s="323" t="n"/>
      <c r="AB88" s="323" t="n"/>
      <c r="AC88" s="323" t="n"/>
      <c r="AD88" s="323" t="n"/>
      <c r="AE88" s="323" t="n"/>
      <c r="AF88" s="323" t="n"/>
      <c r="AG88" s="323" t="n"/>
      <c r="AH88" s="323" t="n"/>
      <c r="AI88" s="323" t="n"/>
      <c r="AJ88" s="323" t="n"/>
      <c r="AK88" s="323" t="n"/>
      <c r="AL88" s="323" t="n"/>
      <c r="AM88" s="323" t="n"/>
      <c r="AN88" s="323" t="n"/>
      <c r="AO88" s="323" t="n"/>
      <c r="AP88" s="323" t="n"/>
      <c r="AQ88" s="323" t="n"/>
      <c r="AR88" s="323" t="n"/>
      <c r="AS88" s="323" t="n"/>
      <c r="AT88" s="323" t="n"/>
      <c r="AU88" s="323" t="n"/>
      <c r="AV88" s="323" t="n"/>
      <c r="AW88" s="323" t="n"/>
      <c r="AX88" s="323" t="n"/>
      <c r="AY88" s="323" t="n"/>
      <c r="AZ88" s="323" t="n"/>
      <c r="BA88" s="323" t="n"/>
      <c r="BB88" s="323" t="n"/>
      <c r="BC88" s="323" t="n"/>
      <c r="BD88" s="323" t="n"/>
      <c r="BE88" s="323" t="n"/>
      <c r="BF88" s="323" t="n"/>
      <c r="BG88" s="323" t="n"/>
      <c r="BH88" s="323" t="n"/>
      <c r="BI88" s="323" t="n"/>
      <c r="BJ88" s="323" t="n"/>
      <c r="BK88" s="323" t="n"/>
      <c r="BL88" s="323" t="n"/>
      <c r="BM88" s="323" t="n"/>
      <c r="BN88" s="323" t="n"/>
      <c r="BO88" s="323" t="n"/>
      <c r="BP88" s="323" t="n"/>
      <c r="BQ88" s="370" t="n"/>
    </row>
    <row r="89">
      <c r="A89" s="28" t="inlineStr">
        <is>
          <t>Total FOR Costs</t>
        </is>
      </c>
      <c r="B89" s="56" t="n"/>
      <c r="C89" s="333" t="n"/>
      <c r="D89" s="333">
        <f>SUM(D70,D73,D75,D78,D82,D87)</f>
        <v/>
      </c>
      <c r="E89" s="333">
        <f>SUM(E70,E73,E75,E78,E82,E87)</f>
        <v/>
      </c>
      <c r="F89" s="333">
        <f>SUM(F70,F73,F75,F78,F82,F87)</f>
        <v/>
      </c>
      <c r="G89" s="333">
        <f>SUM(G70,G73,G75,G78,G82,G87)</f>
        <v/>
      </c>
      <c r="H89" s="333">
        <f>SUM(H70,H73,H75,H78,H82,H87)</f>
        <v/>
      </c>
      <c r="I89" s="333">
        <f>SUM(I70,I73,I75,I78,I82,I87)</f>
        <v/>
      </c>
      <c r="J89" s="333">
        <f>SUM(J70,J73,J75,J78,J82,J87)</f>
        <v/>
      </c>
      <c r="K89" s="333">
        <f>SUM(K70,K73,K75,K78,K82,K87)</f>
        <v/>
      </c>
      <c r="L89" s="333">
        <f>SUM(L70,L73,L75,L78,L82,L87)</f>
        <v/>
      </c>
      <c r="M89" s="333">
        <f>SUM(M70,M73,M75,M78,M82,M87)</f>
        <v/>
      </c>
      <c r="N89" s="333">
        <f>SUM(N70,N73,N75,N78,N82,N87)</f>
        <v/>
      </c>
      <c r="O89" s="333">
        <f>SUM(O70,O73,O75,O78,O82,O87)</f>
        <v/>
      </c>
      <c r="P89" s="333">
        <f>SUM(P70,P73,P75,P78,P82,P87)</f>
        <v/>
      </c>
      <c r="Q89" s="333">
        <f>SUM(Q70,Q73,Q75,Q78,Q82,Q87)</f>
        <v/>
      </c>
      <c r="R89" s="333">
        <f>SUM(R70,R73,R75,R78,R82,R87)</f>
        <v/>
      </c>
      <c r="S89" s="333">
        <f>SUM(S70,S73,S75,S78,S82,S87)</f>
        <v/>
      </c>
      <c r="T89" s="333">
        <f>SUM(T70,T73,T75,T78,T82,T87)</f>
        <v/>
      </c>
      <c r="U89" s="333">
        <f>SUM(U70,U73,U75,U78,U82,U87)</f>
        <v/>
      </c>
      <c r="V89" s="333">
        <f>SUM(V70,V73,V75,V78,V82,V87)</f>
        <v/>
      </c>
      <c r="W89" s="333">
        <f>SUM(W70,W73,W75,W78,W82,W87)</f>
        <v/>
      </c>
      <c r="X89" s="333">
        <f>SUM(X70,X73,X75,X78,X82,X87)</f>
        <v/>
      </c>
      <c r="Y89" s="333">
        <f>SUM(Y70,Y73,Y75,Y78,Y82,Y87)</f>
        <v/>
      </c>
      <c r="Z89" s="333">
        <f>SUM(Z70,Z73,Z75,Z78,Z82,Z87)</f>
        <v/>
      </c>
      <c r="AA89" s="333">
        <f>SUM(AA70,AA73,AA75,AA78,AA82,AA87)</f>
        <v/>
      </c>
      <c r="AB89" s="333">
        <f>SUM(AB70,AB73,AB75,AB78,AB82,AB87)</f>
        <v/>
      </c>
      <c r="AC89" s="333">
        <f>SUM(AC70,AC73,AC75,AC78,AC82,AC87)</f>
        <v/>
      </c>
      <c r="AD89" s="333">
        <f>SUM(AD70,AD73,AD75,AD78,AD82,AD87)</f>
        <v/>
      </c>
      <c r="AE89" s="333">
        <f>SUM(AE70,AE73,AE75,AE78,AE82,AE87)</f>
        <v/>
      </c>
      <c r="AF89" s="333">
        <f>SUM(AF70,AF73,AF75,AF78,AF82,AF87)</f>
        <v/>
      </c>
      <c r="AG89" s="333">
        <f>SUM(AG70,AG73,AG75,AG78,AG82,AG87)</f>
        <v/>
      </c>
      <c r="AH89" s="333">
        <f>SUM(AH70,AH73,AH75,AH78,AH82,AH87)</f>
        <v/>
      </c>
      <c r="AI89" s="333">
        <f>SUM(AI70,AI73,AI75,AI78,AI82,AI87)</f>
        <v/>
      </c>
      <c r="AJ89" s="333">
        <f>SUM(AJ70,AJ73,AJ75,AJ78,AJ82,AJ87)</f>
        <v/>
      </c>
      <c r="AK89" s="333">
        <f>SUM(AK70,AK73,AK75,AK78,AK82,AK87)</f>
        <v/>
      </c>
      <c r="AL89" s="333">
        <f>SUM(AL70,AL73,AL75,AL78,AL82,AL87)</f>
        <v/>
      </c>
      <c r="AM89" s="333">
        <f>SUM(AM70,AM73,AM75,AM78,AM82,AM87)</f>
        <v/>
      </c>
      <c r="AN89" s="333">
        <f>SUM(AN70,AN73,AN75,AN78,AN82,AN87)</f>
        <v/>
      </c>
      <c r="AO89" s="333">
        <f>SUM(AO70,AO73,AO75,AO78,AO82,AO87)</f>
        <v/>
      </c>
      <c r="AP89" s="333">
        <f>SUM(AP70,AP73,AP75,AP78,AP82,AP87)</f>
        <v/>
      </c>
      <c r="AQ89" s="333">
        <f>SUM(AQ70,AQ73,AQ75,AQ78,AQ82,AQ87)</f>
        <v/>
      </c>
      <c r="AR89" s="333">
        <f>SUM(AR70,AR73,AR75,AR78,AR82,AR87)</f>
        <v/>
      </c>
      <c r="AS89" s="333">
        <f>SUM(AS70,AS73,AS75,AS78,AS82,AS87)</f>
        <v/>
      </c>
      <c r="AT89" s="333">
        <f>SUM(AT70,AT73,AT75,AT78,AT82,AT87)</f>
        <v/>
      </c>
      <c r="AU89" s="333">
        <f>SUM(AU70,AU73,AU75,AU78,AU82,AU87)</f>
        <v/>
      </c>
      <c r="AV89" s="333">
        <f>SUM(AV70,AV73,AV75,AV78,AV82,AV87)</f>
        <v/>
      </c>
      <c r="AW89" s="333">
        <f>SUM(AW70,AW73,AW75,AW78,AW82,AW87)</f>
        <v/>
      </c>
      <c r="AX89" s="333">
        <f>SUM(AX70,AX73,AX75,AX78,AX82,AX87)</f>
        <v/>
      </c>
      <c r="AY89" s="333">
        <f>SUM(AY70,AY73,AY75,AY78,AY82,AY87)</f>
        <v/>
      </c>
      <c r="AZ89" s="333">
        <f>SUM(AZ70,AZ73,AZ75,AZ78,AZ82,AZ87)</f>
        <v/>
      </c>
      <c r="BA89" s="333">
        <f>SUM(BA70,BA73,BA75,BA78,BA82,BA87)</f>
        <v/>
      </c>
      <c r="BB89" s="333">
        <f>SUM(BB70,BB73,BB75,BB78,BB82,BB87)</f>
        <v/>
      </c>
      <c r="BC89" s="333">
        <f>SUM(BC70,BC73,BC75,BC78,BC82,BC87)</f>
        <v/>
      </c>
      <c r="BD89" s="333">
        <f>SUM(BD70,BD73,BD75,BD78,BD82,BD87)</f>
        <v/>
      </c>
      <c r="BE89" s="333">
        <f>SUM(BE70,BE73,BE75,BE78,BE82,BE87)</f>
        <v/>
      </c>
      <c r="BF89" s="333">
        <f>SUM(BF70,BF73,BF75,BF78,BF82,BF87)</f>
        <v/>
      </c>
      <c r="BG89" s="333">
        <f>SUM(BG70,BG73,BG75,BG78,BG82,BG87)</f>
        <v/>
      </c>
      <c r="BH89" s="333">
        <f>SUM(BH70,BH73,BH75,BH78,BH82,BH87)</f>
        <v/>
      </c>
      <c r="BI89" s="333">
        <f>SUM(BI70,BI73,BI75,BI78,BI82,BI87)</f>
        <v/>
      </c>
      <c r="BJ89" s="333">
        <f>SUM(BJ70,BJ73,BJ75,BJ78,BJ82,BJ87)</f>
        <v/>
      </c>
      <c r="BK89" s="333">
        <f>SUM(BK70,BK73,BK75,BK78,BK82,BK87)</f>
        <v/>
      </c>
      <c r="BL89" s="333">
        <f>SUM(BL70,BL73,BL75,BL78,BL82,BL87)</f>
        <v/>
      </c>
      <c r="BM89" s="333">
        <f>SUM(BM70,BM73,BM75,BM78,BM82,BM87)</f>
        <v/>
      </c>
      <c r="BN89" s="333">
        <f>SUM(BN70,BN73,BN75,BN78,BN82,BN87)</f>
        <v/>
      </c>
      <c r="BO89" s="333">
        <f>SUM(BO70,BO73,BO75,BO78,BO82,BO87)</f>
        <v/>
      </c>
      <c r="BP89" s="333" t="n"/>
      <c r="BQ89" s="387">
        <f>SUM(D89:BO89)</f>
        <v/>
      </c>
    </row>
    <row r="90">
      <c r="A90" s="28" t="inlineStr">
        <is>
          <t>FOR Cost/t</t>
        </is>
      </c>
      <c r="B90" s="56" t="inlineStr">
        <is>
          <t>AUD/t</t>
        </is>
      </c>
      <c r="C90" s="333" t="n"/>
      <c r="D90" s="386">
        <f>IFERROR(D89/D19,0)</f>
        <v/>
      </c>
      <c r="E90" s="386">
        <f>IFERROR(E89/E19,0)</f>
        <v/>
      </c>
      <c r="F90" s="386">
        <f>IFERROR(F89/F19,0)</f>
        <v/>
      </c>
      <c r="G90" s="386">
        <f>IFERROR(G89/G19,0)</f>
        <v/>
      </c>
      <c r="H90" s="386">
        <f>IFERROR(H89/H19,0)</f>
        <v/>
      </c>
      <c r="I90" s="386">
        <f>IFERROR(I89/I19,0)</f>
        <v/>
      </c>
      <c r="J90" s="386">
        <f>IFERROR(J89/J19,0)</f>
        <v/>
      </c>
      <c r="K90" s="386">
        <f>IFERROR(K89/K19,0)</f>
        <v/>
      </c>
      <c r="L90" s="386">
        <f>IFERROR(L89/L19,0)</f>
        <v/>
      </c>
      <c r="M90" s="386">
        <f>IFERROR(M89/M19,0)</f>
        <v/>
      </c>
      <c r="N90" s="386">
        <f>IFERROR(N89/N19,0)</f>
        <v/>
      </c>
      <c r="O90" s="386">
        <f>IFERROR(O89/O19,0)</f>
        <v/>
      </c>
      <c r="P90" s="386">
        <f>IFERROR(P89/P19,0)</f>
        <v/>
      </c>
      <c r="Q90" s="386">
        <f>IFERROR(Q89/Q19,0)</f>
        <v/>
      </c>
      <c r="R90" s="386">
        <f>IFERROR(R89/R19,0)</f>
        <v/>
      </c>
      <c r="S90" s="386">
        <f>IFERROR(S89/S19,0)</f>
        <v/>
      </c>
      <c r="T90" s="386">
        <f>IFERROR(T89/T19,0)</f>
        <v/>
      </c>
      <c r="U90" s="386">
        <f>IFERROR(U89/U19,0)</f>
        <v/>
      </c>
      <c r="V90" s="386">
        <f>IFERROR(V89/V19,0)</f>
        <v/>
      </c>
      <c r="W90" s="386">
        <f>IFERROR(W89/W19,0)</f>
        <v/>
      </c>
      <c r="X90" s="386">
        <f>IFERROR(X89/X19,0)</f>
        <v/>
      </c>
      <c r="Y90" s="386">
        <f>IFERROR(Y89/Y19,0)</f>
        <v/>
      </c>
      <c r="Z90" s="386">
        <f>IFERROR(Z89/Z19,0)</f>
        <v/>
      </c>
      <c r="AA90" s="386">
        <f>IFERROR(AA89/AA19,0)</f>
        <v/>
      </c>
      <c r="AB90" s="386">
        <f>IFERROR(AB89/AB19,0)</f>
        <v/>
      </c>
      <c r="AC90" s="386">
        <f>IFERROR(AC89/AC19,0)</f>
        <v/>
      </c>
      <c r="AD90" s="386">
        <f>IFERROR(AD89/AD19,0)</f>
        <v/>
      </c>
      <c r="AE90" s="386">
        <f>IFERROR(AE89/AE19,0)</f>
        <v/>
      </c>
      <c r="AF90" s="386">
        <f>IFERROR(AF89/AF19,0)</f>
        <v/>
      </c>
      <c r="AG90" s="386">
        <f>IFERROR(AG89/AG19,0)</f>
        <v/>
      </c>
      <c r="AH90" s="386">
        <f>IFERROR(AH89/AH19,0)</f>
        <v/>
      </c>
      <c r="AI90" s="386">
        <f>IFERROR(AI89/AI19,0)</f>
        <v/>
      </c>
      <c r="AJ90" s="386">
        <f>IFERROR(AJ89/AJ19,0)</f>
        <v/>
      </c>
      <c r="AK90" s="386">
        <f>IFERROR(AK89/AK19,0)</f>
        <v/>
      </c>
      <c r="AL90" s="386">
        <f>IFERROR(AL89/AL19,0)</f>
        <v/>
      </c>
      <c r="AM90" s="386">
        <f>IFERROR(AM89/AM19,0)</f>
        <v/>
      </c>
      <c r="AN90" s="386">
        <f>IFERROR(AN89/AN19,0)</f>
        <v/>
      </c>
      <c r="AO90" s="386">
        <f>IFERROR(AO89/AO19,0)</f>
        <v/>
      </c>
      <c r="AP90" s="386">
        <f>IFERROR(AP89/AP19,0)</f>
        <v/>
      </c>
      <c r="AQ90" s="386">
        <f>IFERROR(AQ89/AQ19,0)</f>
        <v/>
      </c>
      <c r="AR90" s="386">
        <f>IFERROR(AR89/AR19,0)</f>
        <v/>
      </c>
      <c r="AS90" s="386">
        <f>IFERROR(AS89/AS19,0)</f>
        <v/>
      </c>
      <c r="AT90" s="386">
        <f>IFERROR(AT89/AT19,0)</f>
        <v/>
      </c>
      <c r="AU90" s="386">
        <f>IFERROR(AU89/AU19,0)</f>
        <v/>
      </c>
      <c r="AV90" s="386">
        <f>IFERROR(AV89/AV19,0)</f>
        <v/>
      </c>
      <c r="AW90" s="386">
        <f>IFERROR(AW89/AW19,0)</f>
        <v/>
      </c>
      <c r="AX90" s="386">
        <f>IFERROR(AX89/AX19,0)</f>
        <v/>
      </c>
      <c r="AY90" s="386">
        <f>IFERROR(AY89/AY19,0)</f>
        <v/>
      </c>
      <c r="AZ90" s="386">
        <f>IFERROR(AZ89/AZ19,0)</f>
        <v/>
      </c>
      <c r="BA90" s="386">
        <f>IFERROR(BA89/BA19,0)</f>
        <v/>
      </c>
      <c r="BB90" s="386">
        <f>IFERROR(BB89/BB19,0)</f>
        <v/>
      </c>
      <c r="BC90" s="386">
        <f>IFERROR(BC89/BC19,0)</f>
        <v/>
      </c>
      <c r="BD90" s="386">
        <f>IFERROR(BD89/BD19,0)</f>
        <v/>
      </c>
      <c r="BE90" s="386">
        <f>IFERROR(BE89/BE19,0)</f>
        <v/>
      </c>
      <c r="BF90" s="386">
        <f>IFERROR(BF89/BF19,0)</f>
        <v/>
      </c>
      <c r="BG90" s="386">
        <f>IFERROR(BG89/BG19,0)</f>
        <v/>
      </c>
      <c r="BH90" s="386">
        <f>IFERROR(BH89/BH19,0)</f>
        <v/>
      </c>
      <c r="BI90" s="386">
        <f>IFERROR(BI89/BI19,0)</f>
        <v/>
      </c>
      <c r="BJ90" s="386">
        <f>IFERROR(BJ89/BJ19,0)</f>
        <v/>
      </c>
      <c r="BK90" s="386">
        <f>IFERROR(BK89/BK19,0)</f>
        <v/>
      </c>
      <c r="BL90" s="386">
        <f>IFERROR(BL89/BL19,0)</f>
        <v/>
      </c>
      <c r="BM90" s="386">
        <f>IFERROR(BM89/BM19,0)</f>
        <v/>
      </c>
      <c r="BN90" s="386">
        <f>IFERROR(BN89/BN19,0)</f>
        <v/>
      </c>
      <c r="BO90" s="386">
        <f>IFERROR(BO89/BO19,0)</f>
        <v/>
      </c>
      <c r="BP90" s="386" t="n"/>
      <c r="BQ90" s="397">
        <f>IFERROR(BQ89/BQ19,0)</f>
        <v/>
      </c>
    </row>
    <row r="91">
      <c r="A91" s="4" t="n"/>
      <c r="B91" s="17" t="n"/>
      <c r="D91" s="344" t="n"/>
      <c r="BQ91" s="25" t="n"/>
    </row>
    <row r="92">
      <c r="A92" s="28" t="inlineStr">
        <is>
          <t>Direct Selling Expenses</t>
        </is>
      </c>
      <c r="B92" s="17" t="n"/>
      <c r="D92" s="17" t="n"/>
      <c r="E92" s="17" t="n"/>
      <c r="F92" s="17" t="n"/>
      <c r="G92" s="17" t="n"/>
      <c r="H92" s="17" t="n"/>
      <c r="I92" s="17" t="n"/>
      <c r="BQ92" s="25" t="n"/>
    </row>
    <row r="93">
      <c r="A93" s="4" t="inlineStr">
        <is>
          <t>Total Port, Rail and Selling Costs</t>
        </is>
      </c>
      <c r="B93" s="17" t="inlineStr">
        <is>
          <t>AUD/t</t>
        </is>
      </c>
      <c r="C93" s="393" t="n">
        <v>22</v>
      </c>
      <c r="D93" s="323">
        <f>$C$93*D34</f>
        <v/>
      </c>
      <c r="E93" s="323">
        <f>$C$93*E34</f>
        <v/>
      </c>
      <c r="F93" s="323">
        <f>$C$93*F34</f>
        <v/>
      </c>
      <c r="G93" s="323">
        <f>$C$93*G34</f>
        <v/>
      </c>
      <c r="H93" s="323">
        <f>$C$93*H34</f>
        <v/>
      </c>
      <c r="I93" s="323">
        <f>$C$93*I34</f>
        <v/>
      </c>
      <c r="J93" s="323">
        <f>$C$93*J34</f>
        <v/>
      </c>
      <c r="K93" s="323">
        <f>$C$93*K34</f>
        <v/>
      </c>
      <c r="L93" s="323">
        <f>$C$93*L34</f>
        <v/>
      </c>
      <c r="M93" s="323">
        <f>$C$93*M34</f>
        <v/>
      </c>
      <c r="N93" s="323">
        <f>$C$93*N34</f>
        <v/>
      </c>
      <c r="O93" s="323">
        <f>$C$93*O34</f>
        <v/>
      </c>
      <c r="P93" s="323">
        <f>$C$93*P34</f>
        <v/>
      </c>
      <c r="Q93" s="323">
        <f>$C$93*Q34</f>
        <v/>
      </c>
      <c r="R93" s="323">
        <f>$C$93*R34</f>
        <v/>
      </c>
      <c r="S93" s="323">
        <f>$C$93*S34</f>
        <v/>
      </c>
      <c r="T93" s="323">
        <f>$C$93*T34</f>
        <v/>
      </c>
      <c r="U93" s="323">
        <f>$C$93*U34</f>
        <v/>
      </c>
      <c r="V93" s="323">
        <f>$C$93*V34</f>
        <v/>
      </c>
      <c r="W93" s="323">
        <f>$C$93*W34</f>
        <v/>
      </c>
      <c r="X93" s="323">
        <f>$C$93*X34</f>
        <v/>
      </c>
      <c r="Y93" s="323">
        <f>$C$93*Y34</f>
        <v/>
      </c>
      <c r="Z93" s="323">
        <f>$C$93*Z34</f>
        <v/>
      </c>
      <c r="AA93" s="323">
        <f>$C$93*AA34</f>
        <v/>
      </c>
      <c r="AB93" s="323">
        <f>$C$93*AB34</f>
        <v/>
      </c>
      <c r="AC93" s="323">
        <f>$C$93*AC34</f>
        <v/>
      </c>
      <c r="AD93" s="323">
        <f>$C$93*AD34</f>
        <v/>
      </c>
      <c r="AE93" s="323">
        <f>$C$93*AE34</f>
        <v/>
      </c>
      <c r="AF93" s="323">
        <f>$C$93*AF34</f>
        <v/>
      </c>
      <c r="AG93" s="323">
        <f>$C$93*AG34</f>
        <v/>
      </c>
      <c r="AH93" s="323">
        <f>$C$93*AH34</f>
        <v/>
      </c>
      <c r="AI93" s="323">
        <f>$C$93*AI34</f>
        <v/>
      </c>
      <c r="AJ93" s="323">
        <f>$C$93*AJ34</f>
        <v/>
      </c>
      <c r="AK93" s="323">
        <f>$C$93*AK34</f>
        <v/>
      </c>
      <c r="AL93" s="323">
        <f>$C$93*AL34</f>
        <v/>
      </c>
      <c r="AM93" s="323">
        <f>$C$93*AM34</f>
        <v/>
      </c>
      <c r="AN93" s="323">
        <f>$C$93*AN34</f>
        <v/>
      </c>
      <c r="AO93" s="323">
        <f>$C$93*AO34</f>
        <v/>
      </c>
      <c r="AP93" s="323">
        <f>$C$93*AP34</f>
        <v/>
      </c>
      <c r="AQ93" s="323">
        <f>$C$93*AQ34</f>
        <v/>
      </c>
      <c r="AR93" s="323">
        <f>$C$93*AR34</f>
        <v/>
      </c>
      <c r="AS93" s="323">
        <f>$C$93*AS34</f>
        <v/>
      </c>
      <c r="AT93" s="323">
        <f>$C$93*AT34</f>
        <v/>
      </c>
      <c r="AU93" s="323">
        <f>$C$93*AU34</f>
        <v/>
      </c>
      <c r="AV93" s="323">
        <f>$C$93*AV34</f>
        <v/>
      </c>
      <c r="AW93" s="323">
        <f>$C$93*AW34</f>
        <v/>
      </c>
      <c r="AX93" s="323">
        <f>$C$93*AX34</f>
        <v/>
      </c>
      <c r="AY93" s="323">
        <f>$C$93*AY34</f>
        <v/>
      </c>
      <c r="AZ93" s="323">
        <f>$C$93*AZ34</f>
        <v/>
      </c>
      <c r="BA93" s="323">
        <f>$C$93*BA34</f>
        <v/>
      </c>
      <c r="BB93" s="323">
        <f>$C$93*BB34</f>
        <v/>
      </c>
      <c r="BC93" s="323">
        <f>$C$93*BC34</f>
        <v/>
      </c>
      <c r="BD93" s="323">
        <f>$C$93*BD34</f>
        <v/>
      </c>
      <c r="BE93" s="323">
        <f>$C$93*BE34</f>
        <v/>
      </c>
      <c r="BF93" s="323">
        <f>$C$93*BF34</f>
        <v/>
      </c>
      <c r="BG93" s="323">
        <f>$C$93*BG34</f>
        <v/>
      </c>
      <c r="BH93" s="323">
        <f>$C$93*BH34</f>
        <v/>
      </c>
      <c r="BI93" s="323">
        <f>$C$93*BI34</f>
        <v/>
      </c>
      <c r="BJ93" s="323">
        <f>$C$93*BJ34</f>
        <v/>
      </c>
      <c r="BK93" s="323">
        <f>$C$93*BK34</f>
        <v/>
      </c>
      <c r="BL93" s="323">
        <f>$C$93*BL34</f>
        <v/>
      </c>
      <c r="BM93" s="323">
        <f>$C$93*BM34</f>
        <v/>
      </c>
      <c r="BN93" s="323">
        <f>$C$93*BN34</f>
        <v/>
      </c>
      <c r="BO93" s="323">
        <f>$C$93*BO34</f>
        <v/>
      </c>
      <c r="BP93" s="323" t="n"/>
      <c r="BQ93" s="370">
        <f>SUM(D93:BO93)</f>
        <v/>
      </c>
    </row>
    <row r="94">
      <c r="A94" s="4" t="inlineStr">
        <is>
          <t>Additional take or pay liability</t>
        </is>
      </c>
      <c r="B94" s="17" t="inlineStr">
        <is>
          <t>AUD/t</t>
        </is>
      </c>
      <c r="C94" s="393" t="n"/>
      <c r="D94" s="323">
        <f>IF(D$92="Y",$C$94*D34,0)</f>
        <v/>
      </c>
      <c r="E94" s="323">
        <f>IF(E$92="Y",$C$94*E34,0)</f>
        <v/>
      </c>
      <c r="F94" s="323">
        <f>IF(F$92="Y",$C$94*F34,0)</f>
        <v/>
      </c>
      <c r="G94" s="323">
        <f>IF(G$92="Y",$C$94*G34,0)</f>
        <v/>
      </c>
      <c r="H94" s="323">
        <f>IF(H$92="Y",$C$94*H34,0)</f>
        <v/>
      </c>
      <c r="I94" s="323">
        <f>IF(I$92="Y",$C$94*I34,0)</f>
        <v/>
      </c>
      <c r="J94" s="323">
        <f>IF(J$92="Y",$C$94*J34,0)</f>
        <v/>
      </c>
      <c r="K94" s="323">
        <f>IF(K$92="Y",$C$94*K34,0)</f>
        <v/>
      </c>
      <c r="L94" s="323">
        <f>IF(L$92="Y",$C$94*L34,0)</f>
        <v/>
      </c>
      <c r="M94" s="323">
        <f>IF(M$92="Y",$C$94*M34,0)</f>
        <v/>
      </c>
      <c r="N94" s="323">
        <f>IF(N$92="Y",$C$94*N34,0)</f>
        <v/>
      </c>
      <c r="O94" s="323">
        <f>IF(O$92="Y",$C$94*O34,0)</f>
        <v/>
      </c>
      <c r="P94" s="323">
        <f>IF(P$92="Y",$C$94*P34,0)</f>
        <v/>
      </c>
      <c r="Q94" s="323">
        <f>IF(Q$92="Y",$C$94*Q34,0)</f>
        <v/>
      </c>
      <c r="R94" s="323">
        <f>IF(R$92="Y",$C$94*R34,0)</f>
        <v/>
      </c>
      <c r="S94" s="323">
        <f>IF(S$92="Y",$C$94*S34,0)</f>
        <v/>
      </c>
      <c r="T94" s="323">
        <f>IF(T$92="Y",$C$94*T34,0)</f>
        <v/>
      </c>
      <c r="U94" s="323">
        <f>IF(U$92="Y",$C$94*U34,0)</f>
        <v/>
      </c>
      <c r="V94" s="323">
        <f>IF(V$92="Y",$C$94*V34,0)</f>
        <v/>
      </c>
      <c r="W94" s="323">
        <f>IF(W$92="Y",$C$94*W34,0)</f>
        <v/>
      </c>
      <c r="X94" s="323">
        <f>IF(X$92="Y",$C$94*X34,0)</f>
        <v/>
      </c>
      <c r="Y94" s="323">
        <f>IF(Y$92="Y",$C$94*Y34,0)</f>
        <v/>
      </c>
      <c r="Z94" s="323">
        <f>IF(Z$92="Y",$C$94*Z34,0)</f>
        <v/>
      </c>
      <c r="AA94" s="323">
        <f>IF(AA$92="Y",$C$94*AA34,0)</f>
        <v/>
      </c>
      <c r="AB94" s="323">
        <f>IF(AB$92="Y",$C$94*AB34,0)</f>
        <v/>
      </c>
      <c r="AC94" s="323">
        <f>IF(AC$92="Y",$C$94*AC34,0)</f>
        <v/>
      </c>
      <c r="AD94" s="323">
        <f>IF(AD$92="Y",$C$94*AD34,0)</f>
        <v/>
      </c>
      <c r="AE94" s="323">
        <f>IF(AE$92="Y",$C$94*AE34,0)</f>
        <v/>
      </c>
      <c r="AF94" s="323">
        <f>IF(AF$92="Y",$C$94*AF34,0)</f>
        <v/>
      </c>
      <c r="AG94" s="323">
        <f>IF(AG$92="Y",$C$94*AG34,0)</f>
        <v/>
      </c>
      <c r="AH94" s="323">
        <f>IF(AH$92="Y",$C$94*AH34,0)</f>
        <v/>
      </c>
      <c r="AI94" s="323">
        <f>IF(AI$92="Y",$C$94*AI34,0)</f>
        <v/>
      </c>
      <c r="AJ94" s="323">
        <f>IF(AJ$92="Y",$C$94*AJ34,0)</f>
        <v/>
      </c>
      <c r="AK94" s="323">
        <f>IF(AK$92="Y",$C$94*AK34,0)</f>
        <v/>
      </c>
      <c r="AL94" s="323">
        <f>IF(AL$92="Y",$C$94*AL34,0)</f>
        <v/>
      </c>
      <c r="AM94" s="323">
        <f>IF(AM$92="Y",$C$94*AM34,0)</f>
        <v/>
      </c>
      <c r="AN94" s="323">
        <f>IF(AN$92="Y",$C$94*AN34,0)</f>
        <v/>
      </c>
      <c r="AO94" s="323">
        <f>IF(AO$92="Y",$C$94*AO34,0)</f>
        <v/>
      </c>
      <c r="AP94" s="323">
        <f>IF(AP$92="Y",$C$94*AP34,0)</f>
        <v/>
      </c>
      <c r="AQ94" s="323">
        <f>IF(AQ$92="Y",$C$94*AQ34,0)</f>
        <v/>
      </c>
      <c r="AR94" s="323">
        <f>IF(AR$92="Y",$C$94*AR34,0)</f>
        <v/>
      </c>
      <c r="AS94" s="323">
        <f>IF(AS$92="Y",$C$94*AS34,0)</f>
        <v/>
      </c>
      <c r="AT94" s="323">
        <f>IF(AT$92="Y",$C$94*AT34,0)</f>
        <v/>
      </c>
      <c r="AU94" s="323">
        <f>IF(AU$92="Y",$C$94*AU34,0)</f>
        <v/>
      </c>
      <c r="AV94" s="323">
        <f>IF(AV$92="Y",$C$94*AV34,0)</f>
        <v/>
      </c>
      <c r="AW94" s="323">
        <f>IF(AW$92="Y",$C$94*AW34,0)</f>
        <v/>
      </c>
      <c r="AX94" s="323">
        <f>IF(AX$92="Y",$C$94*AX34,0)</f>
        <v/>
      </c>
      <c r="AY94" s="323">
        <f>IF(AY$92="Y",$C$94*AY34,0)</f>
        <v/>
      </c>
      <c r="AZ94" s="323">
        <f>IF(AZ$92="Y",$C$94*AZ34,0)</f>
        <v/>
      </c>
      <c r="BA94" s="323">
        <f>IF(BA$92="Y",$C$94*BA34,0)</f>
        <v/>
      </c>
      <c r="BB94" s="323">
        <f>IF(BB$92="Y",$C$94*BB34,0)</f>
        <v/>
      </c>
      <c r="BC94" s="323">
        <f>IF(BC$92="Y",$C$94*BC34,0)</f>
        <v/>
      </c>
      <c r="BD94" s="323">
        <f>IF(BD$92="Y",$C$94*BD34,0)</f>
        <v/>
      </c>
      <c r="BE94" s="323">
        <f>IF(BE$92="Y",$C$94*BE34,0)</f>
        <v/>
      </c>
      <c r="BF94" s="323">
        <f>IF(BF$92="Y",$C$94*BF34,0)</f>
        <v/>
      </c>
      <c r="BG94" s="323">
        <f>IF(BG$92="Y",$C$94*BG34,0)</f>
        <v/>
      </c>
      <c r="BH94" s="323">
        <f>IF(BH$92="Y",$C$94*BH34,0)</f>
        <v/>
      </c>
      <c r="BI94" s="323">
        <f>IF(BI$92="Y",$C$94*BI34,0)</f>
        <v/>
      </c>
      <c r="BJ94" s="323">
        <f>IF(BJ$92="Y",$C$94*BJ34,0)</f>
        <v/>
      </c>
      <c r="BK94" s="323">
        <f>IF(BK$92="Y",$C$94*BK34,0)</f>
        <v/>
      </c>
      <c r="BL94" s="323">
        <f>IF(BL$92="Y",$C$94*BL34,0)</f>
        <v/>
      </c>
      <c r="BM94" s="323">
        <f>IF(BM$92="Y",$C$94*BM34,0)</f>
        <v/>
      </c>
      <c r="BN94" s="323">
        <f>IF(BN$92="Y",$C$94*BN34,0)</f>
        <v/>
      </c>
      <c r="BO94" s="323">
        <f>IF(BO$92="Y",$C$94*BO34,0)</f>
        <v/>
      </c>
      <c r="BP94" s="323" t="n"/>
      <c r="BQ94" s="370" t="n"/>
    </row>
    <row r="95">
      <c r="A95" s="4" t="inlineStr">
        <is>
          <t>Government Royalty</t>
        </is>
      </c>
      <c r="B95" s="17" t="inlineStr">
        <is>
          <t>AUDk</t>
        </is>
      </c>
      <c r="D95" s="398">
        <f>D148*D34</f>
        <v/>
      </c>
      <c r="E95" s="398">
        <f>E148*E34</f>
        <v/>
      </c>
      <c r="F95" s="398">
        <f>F148*F34</f>
        <v/>
      </c>
      <c r="G95" s="398">
        <f>G148*G34</f>
        <v/>
      </c>
      <c r="H95" s="398">
        <f>H148*H34</f>
        <v/>
      </c>
      <c r="I95" s="398">
        <f>I148*I34</f>
        <v/>
      </c>
      <c r="J95" s="398">
        <f>J148*J34</f>
        <v/>
      </c>
      <c r="K95" s="398">
        <f>K148*K34</f>
        <v/>
      </c>
      <c r="L95" s="398">
        <f>L148*L34</f>
        <v/>
      </c>
      <c r="M95" s="398">
        <f>M148*M34</f>
        <v/>
      </c>
      <c r="N95" s="398">
        <f>N148*N34</f>
        <v/>
      </c>
      <c r="O95" s="398">
        <f>O148*O34</f>
        <v/>
      </c>
      <c r="P95" s="398">
        <f>P148*P34</f>
        <v/>
      </c>
      <c r="Q95" s="398">
        <f>Q148*Q34</f>
        <v/>
      </c>
      <c r="R95" s="398">
        <f>R148*R34</f>
        <v/>
      </c>
      <c r="S95" s="398">
        <f>S148*S34</f>
        <v/>
      </c>
      <c r="T95" s="398">
        <f>T148*T34</f>
        <v/>
      </c>
      <c r="U95" s="398">
        <f>U148*U34</f>
        <v/>
      </c>
      <c r="V95" s="398">
        <f>V148*V34</f>
        <v/>
      </c>
      <c r="W95" s="398">
        <f>W148*W34</f>
        <v/>
      </c>
      <c r="X95" s="398">
        <f>X148*X34</f>
        <v/>
      </c>
      <c r="Y95" s="398">
        <f>Y148*Y34</f>
        <v/>
      </c>
      <c r="Z95" s="398">
        <f>Z148*Z34</f>
        <v/>
      </c>
      <c r="AA95" s="398">
        <f>AA148*AA34</f>
        <v/>
      </c>
      <c r="AB95" s="398">
        <f>AB148*AB34</f>
        <v/>
      </c>
      <c r="AC95" s="398">
        <f>AC148*AC34</f>
        <v/>
      </c>
      <c r="AD95" s="398">
        <f>AD148*AD34</f>
        <v/>
      </c>
      <c r="AE95" s="398">
        <f>AE148*AE34</f>
        <v/>
      </c>
      <c r="AF95" s="398">
        <f>AF148*AF34</f>
        <v/>
      </c>
      <c r="AG95" s="398">
        <f>AG148*AG34</f>
        <v/>
      </c>
      <c r="AH95" s="398">
        <f>AH148*AH34</f>
        <v/>
      </c>
      <c r="AI95" s="398">
        <f>AI148*AI34</f>
        <v/>
      </c>
      <c r="AJ95" s="398">
        <f>AJ148*AJ34</f>
        <v/>
      </c>
      <c r="AK95" s="398">
        <f>AK148*AK34</f>
        <v/>
      </c>
      <c r="AL95" s="398">
        <f>AL148*AL34</f>
        <v/>
      </c>
      <c r="AM95" s="398">
        <f>AM148*AM34</f>
        <v/>
      </c>
      <c r="AN95" s="398">
        <f>AN148*AN34</f>
        <v/>
      </c>
      <c r="AO95" s="398">
        <f>AO148*AO34</f>
        <v/>
      </c>
      <c r="AP95" s="398">
        <f>AP148*AP34</f>
        <v/>
      </c>
      <c r="AQ95" s="398">
        <f>AQ148*AQ34</f>
        <v/>
      </c>
      <c r="AR95" s="398">
        <f>AR148*AR34</f>
        <v/>
      </c>
      <c r="AS95" s="398">
        <f>AS148*AS34</f>
        <v/>
      </c>
      <c r="AT95" s="398">
        <f>AT148*AT34</f>
        <v/>
      </c>
      <c r="AU95" s="398">
        <f>AU148*AU34</f>
        <v/>
      </c>
      <c r="AV95" s="398">
        <f>AV148*AV34</f>
        <v/>
      </c>
      <c r="AW95" s="398">
        <f>AW148*AW34</f>
        <v/>
      </c>
      <c r="AX95" s="398">
        <f>AX148*AX34</f>
        <v/>
      </c>
      <c r="AY95" s="398">
        <f>AY148*AY34</f>
        <v/>
      </c>
      <c r="AZ95" s="398">
        <f>AZ148*AZ34</f>
        <v/>
      </c>
      <c r="BA95" s="398">
        <f>BA148*BA34</f>
        <v/>
      </c>
      <c r="BB95" s="398">
        <f>BB148*BB34</f>
        <v/>
      </c>
      <c r="BC95" s="398">
        <f>BC148*BC34</f>
        <v/>
      </c>
      <c r="BD95" s="398">
        <f>BD148*BD34</f>
        <v/>
      </c>
      <c r="BE95" s="398">
        <f>BE148*BE34</f>
        <v/>
      </c>
      <c r="BF95" s="398">
        <f>BF148*BF34</f>
        <v/>
      </c>
      <c r="BG95" s="398">
        <f>BG148*BG34</f>
        <v/>
      </c>
      <c r="BH95" s="398">
        <f>BH148*BH34</f>
        <v/>
      </c>
      <c r="BI95" s="398">
        <f>BI148*BI34</f>
        <v/>
      </c>
      <c r="BJ95" s="398">
        <f>BJ148*BJ34</f>
        <v/>
      </c>
      <c r="BK95" s="398">
        <f>BK148*BK34</f>
        <v/>
      </c>
      <c r="BL95" s="398">
        <f>BL148*BL34</f>
        <v/>
      </c>
      <c r="BM95" s="398">
        <f>BM148*BM34</f>
        <v/>
      </c>
      <c r="BN95" s="398">
        <f>BN148*BN34</f>
        <v/>
      </c>
      <c r="BO95" s="398">
        <f>BO148*BO34</f>
        <v/>
      </c>
      <c r="BP95" s="398" t="n"/>
      <c r="BQ95" s="370">
        <f>SUM(D95:BO95)</f>
        <v/>
      </c>
    </row>
    <row r="96">
      <c r="A96" s="4" t="inlineStr">
        <is>
          <t>Total Direct Selling Expenses</t>
        </is>
      </c>
      <c r="B96" s="17" t="inlineStr">
        <is>
          <t>AUDk</t>
        </is>
      </c>
      <c r="D96" s="347">
        <f>SUM(D93:D95)</f>
        <v/>
      </c>
      <c r="E96" s="347">
        <f>SUM(E93:E95)</f>
        <v/>
      </c>
      <c r="F96" s="347">
        <f>SUM(F93:F95)</f>
        <v/>
      </c>
      <c r="G96" s="347">
        <f>SUM(G93:G95)</f>
        <v/>
      </c>
      <c r="H96" s="347">
        <f>SUM(H93:H95)</f>
        <v/>
      </c>
      <c r="I96" s="347">
        <f>SUM(I93:I95)</f>
        <v/>
      </c>
      <c r="J96" s="347">
        <f>SUM(J93:J95)</f>
        <v/>
      </c>
      <c r="K96" s="347">
        <f>SUM(K93:K95)</f>
        <v/>
      </c>
      <c r="L96" s="347">
        <f>SUM(L93:L95)</f>
        <v/>
      </c>
      <c r="M96" s="347">
        <f>SUM(M93:M95)</f>
        <v/>
      </c>
      <c r="N96" s="347">
        <f>SUM(N93:N95)</f>
        <v/>
      </c>
      <c r="O96" s="347">
        <f>SUM(O93:O95)</f>
        <v/>
      </c>
      <c r="P96" s="347">
        <f>SUM(P93:P95)</f>
        <v/>
      </c>
      <c r="Q96" s="347">
        <f>SUM(Q93:Q95)</f>
        <v/>
      </c>
      <c r="R96" s="347">
        <f>SUM(R93:R95)</f>
        <v/>
      </c>
      <c r="S96" s="347">
        <f>SUM(S93:S95)</f>
        <v/>
      </c>
      <c r="T96" s="347">
        <f>SUM(T93:T95)</f>
        <v/>
      </c>
      <c r="U96" s="347">
        <f>SUM(U93:U95)</f>
        <v/>
      </c>
      <c r="V96" s="347">
        <f>SUM(V93:V95)</f>
        <v/>
      </c>
      <c r="W96" s="347">
        <f>SUM(W93:W95)</f>
        <v/>
      </c>
      <c r="X96" s="347">
        <f>SUM(X93:X95)</f>
        <v/>
      </c>
      <c r="Y96" s="347">
        <f>SUM(Y93:Y95)</f>
        <v/>
      </c>
      <c r="Z96" s="347">
        <f>SUM(Z93:Z95)</f>
        <v/>
      </c>
      <c r="AA96" s="347">
        <f>SUM(AA93:AA95)</f>
        <v/>
      </c>
      <c r="AB96" s="347">
        <f>SUM(AB93:AB95)</f>
        <v/>
      </c>
      <c r="AC96" s="347">
        <f>SUM(AC93:AC95)</f>
        <v/>
      </c>
      <c r="AD96" s="347">
        <f>SUM(AD93:AD95)</f>
        <v/>
      </c>
      <c r="AE96" s="347">
        <f>SUM(AE93:AE95)</f>
        <v/>
      </c>
      <c r="AF96" s="347">
        <f>SUM(AF93:AF95)</f>
        <v/>
      </c>
      <c r="AG96" s="347">
        <f>SUM(AG93:AG95)</f>
        <v/>
      </c>
      <c r="AH96" s="347">
        <f>SUM(AH93:AH95)</f>
        <v/>
      </c>
      <c r="AI96" s="347">
        <f>SUM(AI93:AI95)</f>
        <v/>
      </c>
      <c r="AJ96" s="347">
        <f>SUM(AJ93:AJ95)</f>
        <v/>
      </c>
      <c r="AK96" s="347">
        <f>SUM(AK93:AK95)</f>
        <v/>
      </c>
      <c r="AL96" s="347">
        <f>SUM(AL93:AL95)</f>
        <v/>
      </c>
      <c r="AM96" s="347">
        <f>SUM(AM93:AM95)</f>
        <v/>
      </c>
      <c r="AN96" s="347">
        <f>SUM(AN93:AN95)</f>
        <v/>
      </c>
      <c r="AO96" s="347">
        <f>SUM(AO93:AO95)</f>
        <v/>
      </c>
      <c r="AP96" s="347">
        <f>SUM(AP93:AP95)</f>
        <v/>
      </c>
      <c r="AQ96" s="347">
        <f>SUM(AQ93:AQ95)</f>
        <v/>
      </c>
      <c r="AR96" s="347">
        <f>SUM(AR93:AR95)</f>
        <v/>
      </c>
      <c r="AS96" s="347">
        <f>SUM(AS93:AS95)</f>
        <v/>
      </c>
      <c r="AT96" s="347">
        <f>SUM(AT93:AT95)</f>
        <v/>
      </c>
      <c r="AU96" s="347">
        <f>SUM(AU93:AU95)</f>
        <v/>
      </c>
      <c r="AV96" s="347">
        <f>SUM(AV93:AV95)</f>
        <v/>
      </c>
      <c r="AW96" s="347">
        <f>SUM(AW93:AW95)</f>
        <v/>
      </c>
      <c r="AX96" s="347">
        <f>SUM(AX93:AX95)</f>
        <v/>
      </c>
      <c r="AY96" s="347">
        <f>SUM(AY93:AY95)</f>
        <v/>
      </c>
      <c r="AZ96" s="347">
        <f>SUM(AZ93:AZ95)</f>
        <v/>
      </c>
      <c r="BA96" s="347">
        <f>SUM(BA93:BA95)</f>
        <v/>
      </c>
      <c r="BB96" s="347">
        <f>SUM(BB93:BB95)</f>
        <v/>
      </c>
      <c r="BC96" s="347">
        <f>SUM(BC93:BC95)</f>
        <v/>
      </c>
      <c r="BD96" s="347">
        <f>SUM(BD93:BD95)</f>
        <v/>
      </c>
      <c r="BE96" s="347">
        <f>SUM(BE93:BE95)</f>
        <v/>
      </c>
      <c r="BF96" s="347">
        <f>SUM(BF93:BF95)</f>
        <v/>
      </c>
      <c r="BG96" s="347">
        <f>SUM(BG93:BG95)</f>
        <v/>
      </c>
      <c r="BH96" s="347">
        <f>SUM(BH93:BH95)</f>
        <v/>
      </c>
      <c r="BI96" s="347">
        <f>SUM(BI93:BI95)</f>
        <v/>
      </c>
      <c r="BJ96" s="347">
        <f>SUM(BJ93:BJ95)</f>
        <v/>
      </c>
      <c r="BK96" s="347">
        <f>SUM(BK93:BK95)</f>
        <v/>
      </c>
      <c r="BL96" s="347">
        <f>SUM(BL93:BL95)</f>
        <v/>
      </c>
      <c r="BM96" s="347">
        <f>SUM(BM93:BM95)</f>
        <v/>
      </c>
      <c r="BN96" s="347">
        <f>SUM(BN93:BN95)</f>
        <v/>
      </c>
      <c r="BO96" s="347">
        <f>SUM(BO93:BO95)</f>
        <v/>
      </c>
      <c r="BP96" s="347" t="n"/>
      <c r="BQ96" s="400">
        <f>SUM(BQ93:BQ95)</f>
        <v/>
      </c>
    </row>
    <row r="97">
      <c r="A97" s="4" t="n"/>
      <c r="B97" s="17" t="n"/>
      <c r="C97" s="323" t="n"/>
      <c r="D97" s="323" t="n"/>
      <c r="E97" s="323" t="n"/>
      <c r="F97" s="323" t="n"/>
      <c r="G97" s="323" t="n"/>
      <c r="H97" s="323" t="n"/>
      <c r="I97" s="323" t="n"/>
      <c r="J97" s="323" t="n"/>
      <c r="K97" s="323" t="n"/>
      <c r="L97" s="323" t="n"/>
      <c r="M97" s="323" t="n"/>
      <c r="N97" s="323" t="n"/>
      <c r="O97" s="323" t="n"/>
      <c r="P97" s="323" t="n"/>
      <c r="Q97" s="323" t="n"/>
      <c r="R97" s="323" t="n"/>
      <c r="S97" s="323" t="n"/>
      <c r="T97" s="323" t="n"/>
      <c r="U97" s="323" t="n"/>
      <c r="V97" s="323" t="n"/>
      <c r="W97" s="323" t="n"/>
      <c r="X97" s="323" t="n"/>
      <c r="Y97" s="323" t="n"/>
      <c r="Z97" s="323" t="n"/>
      <c r="AA97" s="323" t="n"/>
      <c r="AB97" s="323" t="n"/>
      <c r="AC97" s="323" t="n"/>
      <c r="AD97" s="323" t="n"/>
      <c r="AE97" s="323" t="n"/>
      <c r="AF97" s="323" t="n"/>
      <c r="AG97" s="323" t="n"/>
      <c r="AH97" s="323" t="n"/>
      <c r="AI97" s="323" t="n"/>
      <c r="AJ97" s="323" t="n"/>
      <c r="AK97" s="323" t="n"/>
      <c r="AL97" s="323" t="n"/>
      <c r="AM97" s="323" t="n"/>
      <c r="AN97" s="323" t="n"/>
      <c r="AO97" s="323" t="n"/>
      <c r="AP97" s="323" t="n"/>
      <c r="AQ97" s="323" t="n"/>
      <c r="AR97" s="323" t="n"/>
      <c r="AS97" s="323" t="n"/>
      <c r="AT97" s="323" t="n"/>
      <c r="AU97" s="323" t="n"/>
      <c r="AV97" s="323" t="n"/>
      <c r="AW97" s="323" t="n"/>
      <c r="AX97" s="323" t="n"/>
      <c r="AY97" s="323" t="n"/>
      <c r="AZ97" s="323" t="n"/>
      <c r="BA97" s="323" t="n"/>
      <c r="BB97" s="323" t="n"/>
      <c r="BC97" s="323" t="n"/>
      <c r="BD97" s="323" t="n"/>
      <c r="BE97" s="323" t="n"/>
      <c r="BF97" s="323" t="n"/>
      <c r="BG97" s="323" t="n"/>
      <c r="BH97" s="323" t="n"/>
      <c r="BI97" s="323" t="n"/>
      <c r="BJ97" s="323" t="n"/>
      <c r="BK97" s="323" t="n"/>
      <c r="BL97" s="323" t="n"/>
      <c r="BM97" s="323" t="n"/>
      <c r="BN97" s="323" t="n"/>
      <c r="BO97" s="323" t="n"/>
      <c r="BP97" s="323" t="n"/>
      <c r="BQ97" s="370" t="n"/>
    </row>
    <row r="98">
      <c r="A98" s="28" t="inlineStr">
        <is>
          <t>Total FOB Costs</t>
        </is>
      </c>
      <c r="B98" s="56" t="inlineStr">
        <is>
          <t>AUDk</t>
        </is>
      </c>
      <c r="C98" s="333" t="n"/>
      <c r="D98" s="333">
        <f>D89+D96</f>
        <v/>
      </c>
      <c r="E98" s="333">
        <f>E89+E96</f>
        <v/>
      </c>
      <c r="F98" s="333">
        <f>F89+F96</f>
        <v/>
      </c>
      <c r="G98" s="333">
        <f>G89+G96</f>
        <v/>
      </c>
      <c r="H98" s="333">
        <f>H89+H96</f>
        <v/>
      </c>
      <c r="I98" s="333">
        <f>I89+I96</f>
        <v/>
      </c>
      <c r="J98" s="333">
        <f>J89+J96</f>
        <v/>
      </c>
      <c r="K98" s="333">
        <f>K89+K96</f>
        <v/>
      </c>
      <c r="L98" s="333">
        <f>L89+L96</f>
        <v/>
      </c>
      <c r="M98" s="333">
        <f>M89+M96</f>
        <v/>
      </c>
      <c r="N98" s="333">
        <f>N89+N96</f>
        <v/>
      </c>
      <c r="O98" s="333">
        <f>O89+O96</f>
        <v/>
      </c>
      <c r="P98" s="333">
        <f>P89+P96</f>
        <v/>
      </c>
      <c r="Q98" s="333">
        <f>Q89+Q96</f>
        <v/>
      </c>
      <c r="R98" s="333">
        <f>R89+R96</f>
        <v/>
      </c>
      <c r="S98" s="333">
        <f>S89+S96</f>
        <v/>
      </c>
      <c r="T98" s="333">
        <f>T89+T96</f>
        <v/>
      </c>
      <c r="U98" s="333">
        <f>U89+U96</f>
        <v/>
      </c>
      <c r="V98" s="333">
        <f>V89+V96</f>
        <v/>
      </c>
      <c r="W98" s="333">
        <f>W89+W96</f>
        <v/>
      </c>
      <c r="X98" s="333">
        <f>X89+X96</f>
        <v/>
      </c>
      <c r="Y98" s="333">
        <f>Y89+Y96</f>
        <v/>
      </c>
      <c r="Z98" s="333">
        <f>Z89+Z96</f>
        <v/>
      </c>
      <c r="AA98" s="333">
        <f>AA89+AA96</f>
        <v/>
      </c>
      <c r="AB98" s="333">
        <f>AB89+AB96</f>
        <v/>
      </c>
      <c r="AC98" s="333">
        <f>AC89+AC96</f>
        <v/>
      </c>
      <c r="AD98" s="333">
        <f>AD89+AD96</f>
        <v/>
      </c>
      <c r="AE98" s="333">
        <f>AE89+AE96</f>
        <v/>
      </c>
      <c r="AF98" s="333">
        <f>AF89+AF96</f>
        <v/>
      </c>
      <c r="AG98" s="333">
        <f>AG89+AG96</f>
        <v/>
      </c>
      <c r="AH98" s="333">
        <f>AH89+AH96</f>
        <v/>
      </c>
      <c r="AI98" s="333">
        <f>AI89+AI96</f>
        <v/>
      </c>
      <c r="AJ98" s="333">
        <f>AJ89+AJ96</f>
        <v/>
      </c>
      <c r="AK98" s="333">
        <f>AK89+AK96</f>
        <v/>
      </c>
      <c r="AL98" s="333">
        <f>AL89+AL96</f>
        <v/>
      </c>
      <c r="AM98" s="333">
        <f>AM89+AM96</f>
        <v/>
      </c>
      <c r="AN98" s="333">
        <f>AN89+AN96</f>
        <v/>
      </c>
      <c r="AO98" s="333">
        <f>AO89+AO96</f>
        <v/>
      </c>
      <c r="AP98" s="333">
        <f>AP89+AP96</f>
        <v/>
      </c>
      <c r="AQ98" s="333">
        <f>AQ89+AQ96</f>
        <v/>
      </c>
      <c r="AR98" s="333">
        <f>AR89+AR96</f>
        <v/>
      </c>
      <c r="AS98" s="333">
        <f>AS89+AS96</f>
        <v/>
      </c>
      <c r="AT98" s="333">
        <f>AT89+AT96</f>
        <v/>
      </c>
      <c r="AU98" s="333">
        <f>AU89+AU96</f>
        <v/>
      </c>
      <c r="AV98" s="333">
        <f>AV89+AV96</f>
        <v/>
      </c>
      <c r="AW98" s="333">
        <f>AW89+AW96</f>
        <v/>
      </c>
      <c r="AX98" s="333">
        <f>AX89+AX96</f>
        <v/>
      </c>
      <c r="AY98" s="333">
        <f>AY89+AY96</f>
        <v/>
      </c>
      <c r="AZ98" s="333">
        <f>AZ89+AZ96</f>
        <v/>
      </c>
      <c r="BA98" s="333">
        <f>BA89+BA96</f>
        <v/>
      </c>
      <c r="BB98" s="333">
        <f>BB89+BB96</f>
        <v/>
      </c>
      <c r="BC98" s="333">
        <f>BC89+BC96</f>
        <v/>
      </c>
      <c r="BD98" s="333">
        <f>BD89+BD96</f>
        <v/>
      </c>
      <c r="BE98" s="333">
        <f>BE89+BE96</f>
        <v/>
      </c>
      <c r="BF98" s="333">
        <f>BF89+BF96</f>
        <v/>
      </c>
      <c r="BG98" s="333">
        <f>BG89+BG96</f>
        <v/>
      </c>
      <c r="BH98" s="333">
        <f>BH89+BH96</f>
        <v/>
      </c>
      <c r="BI98" s="333">
        <f>BI89+BI96</f>
        <v/>
      </c>
      <c r="BJ98" s="333">
        <f>BJ89+BJ96</f>
        <v/>
      </c>
      <c r="BK98" s="333">
        <f>BK89+BK96</f>
        <v/>
      </c>
      <c r="BL98" s="333">
        <f>BL89+BL96</f>
        <v/>
      </c>
      <c r="BM98" s="333">
        <f>BM89+BM96</f>
        <v/>
      </c>
      <c r="BN98" s="333">
        <f>BN89+BN96</f>
        <v/>
      </c>
      <c r="BO98" s="333">
        <f>BO89+BO96</f>
        <v/>
      </c>
      <c r="BP98" s="333" t="n"/>
      <c r="BQ98" s="387">
        <f>SUM(D98:BO98)</f>
        <v/>
      </c>
    </row>
    <row r="99">
      <c r="A99" s="28" t="inlineStr">
        <is>
          <t>FOB Cost/t</t>
        </is>
      </c>
      <c r="B99" s="56" t="inlineStr">
        <is>
          <t>AUD/t</t>
        </is>
      </c>
      <c r="C99" s="333" t="n"/>
      <c r="D99" s="386">
        <f>IFERROR(D98/D19,0)</f>
        <v/>
      </c>
      <c r="E99" s="386">
        <f>IFERROR(E98/E19,0)</f>
        <v/>
      </c>
      <c r="F99" s="386">
        <f>IFERROR(F98/F19,0)</f>
        <v/>
      </c>
      <c r="G99" s="386">
        <f>IFERROR(G98/G19,0)</f>
        <v/>
      </c>
      <c r="H99" s="386">
        <f>IFERROR(H98/H19,0)</f>
        <v/>
      </c>
      <c r="I99" s="386">
        <f>IFERROR(I98/I19,0)</f>
        <v/>
      </c>
      <c r="J99" s="386">
        <f>IFERROR(J98/J19,0)</f>
        <v/>
      </c>
      <c r="K99" s="386">
        <f>IFERROR(K98/K19,0)</f>
        <v/>
      </c>
      <c r="L99" s="386">
        <f>IFERROR(L98/L19,0)</f>
        <v/>
      </c>
      <c r="M99" s="386">
        <f>IFERROR(M98/M19,0)</f>
        <v/>
      </c>
      <c r="N99" s="386">
        <f>IFERROR(N98/N19,0)</f>
        <v/>
      </c>
      <c r="O99" s="386">
        <f>IFERROR(O98/O19,0)</f>
        <v/>
      </c>
      <c r="P99" s="386">
        <f>IFERROR(P98/P19,0)</f>
        <v/>
      </c>
      <c r="Q99" s="386">
        <f>IFERROR(Q98/Q19,0)</f>
        <v/>
      </c>
      <c r="R99" s="386">
        <f>IFERROR(R98/R19,0)</f>
        <v/>
      </c>
      <c r="S99" s="386">
        <f>IFERROR(S98/S19,0)</f>
        <v/>
      </c>
      <c r="T99" s="386">
        <f>IFERROR(T98/T19,0)</f>
        <v/>
      </c>
      <c r="U99" s="386">
        <f>IFERROR(U98/U19,0)</f>
        <v/>
      </c>
      <c r="V99" s="386">
        <f>IFERROR(V98/V19,0)</f>
        <v/>
      </c>
      <c r="W99" s="386">
        <f>IFERROR(W98/W19,0)</f>
        <v/>
      </c>
      <c r="X99" s="386">
        <f>IFERROR(X98/X19,0)</f>
        <v/>
      </c>
      <c r="Y99" s="386">
        <f>IFERROR(Y98/Y19,0)</f>
        <v/>
      </c>
      <c r="Z99" s="386">
        <f>IFERROR(Z98/Z19,0)</f>
        <v/>
      </c>
      <c r="AA99" s="386">
        <f>IFERROR(AA98/AA19,0)</f>
        <v/>
      </c>
      <c r="AB99" s="386">
        <f>IFERROR(AB98/AB19,0)</f>
        <v/>
      </c>
      <c r="AC99" s="386">
        <f>IFERROR(AC98/AC19,0)</f>
        <v/>
      </c>
      <c r="AD99" s="386">
        <f>IFERROR(AD98/AD19,0)</f>
        <v/>
      </c>
      <c r="AE99" s="386">
        <f>IFERROR(AE98/AE19,0)</f>
        <v/>
      </c>
      <c r="AF99" s="386">
        <f>IFERROR(AF98/AF19,0)</f>
        <v/>
      </c>
      <c r="AG99" s="386">
        <f>IFERROR(AG98/AG19,0)</f>
        <v/>
      </c>
      <c r="AH99" s="386">
        <f>IFERROR(AH98/AH19,0)</f>
        <v/>
      </c>
      <c r="AI99" s="386">
        <f>IFERROR(AI98/AI19,0)</f>
        <v/>
      </c>
      <c r="AJ99" s="386">
        <f>IFERROR(AJ98/AJ19,0)</f>
        <v/>
      </c>
      <c r="AK99" s="386">
        <f>IFERROR(AK98/AK19,0)</f>
        <v/>
      </c>
      <c r="AL99" s="386">
        <f>IFERROR(AL98/AL19,0)</f>
        <v/>
      </c>
      <c r="AM99" s="386">
        <f>IFERROR(AM98/AM19,0)</f>
        <v/>
      </c>
      <c r="AN99" s="386">
        <f>IFERROR(AN98/AN19,0)</f>
        <v/>
      </c>
      <c r="AO99" s="386">
        <f>IFERROR(AO98/AO19,0)</f>
        <v/>
      </c>
      <c r="AP99" s="386">
        <f>IFERROR(AP98/AP19,0)</f>
        <v/>
      </c>
      <c r="AQ99" s="386">
        <f>IFERROR(AQ98/AQ19,0)</f>
        <v/>
      </c>
      <c r="AR99" s="386">
        <f>IFERROR(AR98/AR19,0)</f>
        <v/>
      </c>
      <c r="AS99" s="386">
        <f>IFERROR(AS98/AS19,0)</f>
        <v/>
      </c>
      <c r="AT99" s="386">
        <f>IFERROR(AT98/AT19,0)</f>
        <v/>
      </c>
      <c r="AU99" s="386">
        <f>IFERROR(AU98/AU19,0)</f>
        <v/>
      </c>
      <c r="AV99" s="386">
        <f>IFERROR(AV98/AV19,0)</f>
        <v/>
      </c>
      <c r="AW99" s="386">
        <f>IFERROR(AW98/AW19,0)</f>
        <v/>
      </c>
      <c r="AX99" s="386">
        <f>IFERROR(AX98/AX19,0)</f>
        <v/>
      </c>
      <c r="AY99" s="386">
        <f>IFERROR(AY98/AY19,0)</f>
        <v/>
      </c>
      <c r="AZ99" s="386">
        <f>IFERROR(AZ98/AZ19,0)</f>
        <v/>
      </c>
      <c r="BA99" s="386">
        <f>IFERROR(BA98/BA19,0)</f>
        <v/>
      </c>
      <c r="BB99" s="386">
        <f>IFERROR(BB98/BB19,0)</f>
        <v/>
      </c>
      <c r="BC99" s="386">
        <f>IFERROR(BC98/BC19,0)</f>
        <v/>
      </c>
      <c r="BD99" s="386">
        <f>IFERROR(BD98/BD19,0)</f>
        <v/>
      </c>
      <c r="BE99" s="386">
        <f>IFERROR(BE98/BE19,0)</f>
        <v/>
      </c>
      <c r="BF99" s="386">
        <f>IFERROR(BF98/BF19,0)</f>
        <v/>
      </c>
      <c r="BG99" s="386">
        <f>IFERROR(BG98/BG19,0)</f>
        <v/>
      </c>
      <c r="BH99" s="386">
        <f>IFERROR(BH98/BH19,0)</f>
        <v/>
      </c>
      <c r="BI99" s="386">
        <f>IFERROR(BI98/BI19,0)</f>
        <v/>
      </c>
      <c r="BJ99" s="386">
        <f>IFERROR(BJ98/BJ19,0)</f>
        <v/>
      </c>
      <c r="BK99" s="386">
        <f>IFERROR(BK98/BK19,0)</f>
        <v/>
      </c>
      <c r="BL99" s="386">
        <f>IFERROR(BL98/BL19,0)</f>
        <v/>
      </c>
      <c r="BM99" s="386">
        <f>IFERROR(BM98/BM19,0)</f>
        <v/>
      </c>
      <c r="BN99" s="386">
        <f>IFERROR(BN98/BN19,0)</f>
        <v/>
      </c>
      <c r="BO99" s="386">
        <f>IFERROR(BO98/BO19,0)</f>
        <v/>
      </c>
      <c r="BP99" s="386" t="n"/>
      <c r="BQ99" s="397">
        <f>IFERROR(BQ98/BQ19,0)</f>
        <v/>
      </c>
    </row>
    <row r="100">
      <c r="A100" s="4" t="n"/>
      <c r="B100" s="17" t="n"/>
      <c r="D100" s="344" t="n"/>
      <c r="E100" s="344" t="n"/>
      <c r="F100" s="344" t="n"/>
      <c r="G100" s="344" t="n"/>
      <c r="H100" s="344" t="n"/>
      <c r="I100" s="344" t="n"/>
      <c r="J100" s="344" t="n"/>
      <c r="K100" s="344" t="n"/>
      <c r="L100" s="344" t="n"/>
      <c r="M100" s="344" t="n"/>
      <c r="N100" s="344" t="n"/>
      <c r="O100" s="344" t="n"/>
      <c r="P100" s="344" t="n"/>
      <c r="Q100" s="344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44" t="n"/>
      <c r="AB100" s="344" t="n"/>
      <c r="AC100" s="344" t="n"/>
      <c r="AD100" s="344" t="n"/>
      <c r="AE100" s="344" t="n"/>
      <c r="AF100" s="344" t="n"/>
      <c r="AG100" s="344" t="n"/>
      <c r="AH100" s="344" t="n"/>
      <c r="AI100" s="344" t="n"/>
      <c r="AJ100" s="344" t="n"/>
      <c r="AK100" s="344" t="n"/>
      <c r="AL100" s="344" t="n"/>
      <c r="AM100" s="344" t="n"/>
      <c r="AN100" s="344" t="n"/>
      <c r="AO100" s="344" t="n"/>
      <c r="AP100" s="344" t="n"/>
      <c r="AQ100" s="344" t="n"/>
      <c r="AR100" s="344" t="n"/>
      <c r="AS100" s="344" t="n"/>
      <c r="AT100" s="344" t="n"/>
      <c r="AU100" s="344" t="n"/>
      <c r="AV100" s="344" t="n"/>
      <c r="AW100" s="344" t="n"/>
      <c r="AX100" s="344" t="n"/>
      <c r="AY100" s="344" t="n"/>
      <c r="AZ100" s="344" t="n"/>
      <c r="BA100" s="344" t="n"/>
      <c r="BB100" s="344" t="n"/>
      <c r="BC100" s="344" t="n"/>
      <c r="BD100" s="344" t="n"/>
      <c r="BE100" s="344" t="n"/>
      <c r="BF100" s="344" t="n"/>
      <c r="BG100" s="344" t="n"/>
      <c r="BH100" s="344" t="n"/>
      <c r="BI100" s="344" t="n"/>
      <c r="BJ100" s="344" t="n"/>
      <c r="BK100" s="344" t="n"/>
      <c r="BL100" s="344" t="n"/>
      <c r="BM100" s="344" t="n"/>
      <c r="BN100" s="344" t="n"/>
      <c r="BO100" s="344" t="n"/>
      <c r="BP100" s="344" t="n"/>
      <c r="BQ100" s="401" t="n"/>
    </row>
    <row r="101">
      <c r="A101" s="28" t="inlineStr">
        <is>
          <t>Mine Earnings before Other Costs and Taxes</t>
        </is>
      </c>
      <c r="B101" s="17" t="inlineStr">
        <is>
          <t>AUDk</t>
        </is>
      </c>
      <c r="D101" s="350">
        <f>D62-D98</f>
        <v/>
      </c>
      <c r="E101" s="350">
        <f>E62-E98</f>
        <v/>
      </c>
      <c r="F101" s="350">
        <f>F62-F98</f>
        <v/>
      </c>
      <c r="G101" s="350">
        <f>G62-G98</f>
        <v/>
      </c>
      <c r="H101" s="350">
        <f>H62-H98</f>
        <v/>
      </c>
      <c r="I101" s="350">
        <f>I62-I98</f>
        <v/>
      </c>
      <c r="J101" s="350">
        <f>J62-J98</f>
        <v/>
      </c>
      <c r="K101" s="350">
        <f>K62-K98</f>
        <v/>
      </c>
      <c r="L101" s="350">
        <f>L62-L98</f>
        <v/>
      </c>
      <c r="M101" s="350">
        <f>M62-M98</f>
        <v/>
      </c>
      <c r="N101" s="350">
        <f>N62-N98</f>
        <v/>
      </c>
      <c r="O101" s="350">
        <f>O62-O98</f>
        <v/>
      </c>
      <c r="P101" s="350">
        <f>P62-P98</f>
        <v/>
      </c>
      <c r="Q101" s="350">
        <f>Q62-Q98</f>
        <v/>
      </c>
      <c r="R101" s="350">
        <f>R62-R98</f>
        <v/>
      </c>
      <c r="S101" s="350">
        <f>S62-S98</f>
        <v/>
      </c>
      <c r="T101" s="350">
        <f>T62-T98</f>
        <v/>
      </c>
      <c r="U101" s="350">
        <f>U62-U98</f>
        <v/>
      </c>
      <c r="V101" s="350">
        <f>V62-V98</f>
        <v/>
      </c>
      <c r="W101" s="350">
        <f>W62-W98</f>
        <v/>
      </c>
      <c r="X101" s="350">
        <f>X62-X98</f>
        <v/>
      </c>
      <c r="Y101" s="350">
        <f>Y62-Y98</f>
        <v/>
      </c>
      <c r="Z101" s="350">
        <f>Z62-Z98</f>
        <v/>
      </c>
      <c r="AA101" s="350">
        <f>AA62-AA98</f>
        <v/>
      </c>
      <c r="AB101" s="350">
        <f>AB62-AB98</f>
        <v/>
      </c>
      <c r="AC101" s="350">
        <f>AC62-AC98</f>
        <v/>
      </c>
      <c r="AD101" s="350">
        <f>AD62-AD98</f>
        <v/>
      </c>
      <c r="AE101" s="350">
        <f>AE62-AE98</f>
        <v/>
      </c>
      <c r="AF101" s="350">
        <f>AF62-AF98</f>
        <v/>
      </c>
      <c r="AG101" s="350">
        <f>AG62-AG98</f>
        <v/>
      </c>
      <c r="AH101" s="350">
        <f>AH62-AH98</f>
        <v/>
      </c>
      <c r="AI101" s="350">
        <f>AI62-AI98</f>
        <v/>
      </c>
      <c r="AJ101" s="350">
        <f>AJ62-AJ98</f>
        <v/>
      </c>
      <c r="AK101" s="350">
        <f>AK62-AK98</f>
        <v/>
      </c>
      <c r="AL101" s="350">
        <f>AL62-AL98</f>
        <v/>
      </c>
      <c r="AM101" s="350">
        <f>AM62-AM98</f>
        <v/>
      </c>
      <c r="AN101" s="350">
        <f>AN62-AN98</f>
        <v/>
      </c>
      <c r="AO101" s="350">
        <f>AO62-AO98</f>
        <v/>
      </c>
      <c r="AP101" s="350">
        <f>AP62-AP98</f>
        <v/>
      </c>
      <c r="AQ101" s="350">
        <f>AQ62-AQ98</f>
        <v/>
      </c>
      <c r="AR101" s="350">
        <f>AR62-AR98</f>
        <v/>
      </c>
      <c r="AS101" s="350">
        <f>AS62-AS98</f>
        <v/>
      </c>
      <c r="AT101" s="350">
        <f>AT62-AT98</f>
        <v/>
      </c>
      <c r="AU101" s="350">
        <f>AU62-AU98</f>
        <v/>
      </c>
      <c r="AV101" s="350">
        <f>AV62-AV98</f>
        <v/>
      </c>
      <c r="AW101" s="350">
        <f>AW62-AW98</f>
        <v/>
      </c>
      <c r="AX101" s="350">
        <f>AX62-AX98</f>
        <v/>
      </c>
      <c r="AY101" s="350">
        <f>AY62-AY98</f>
        <v/>
      </c>
      <c r="AZ101" s="350">
        <f>AZ62-AZ98</f>
        <v/>
      </c>
      <c r="BA101" s="350">
        <f>BA62-BA98</f>
        <v/>
      </c>
      <c r="BB101" s="350">
        <f>BB62-BB98</f>
        <v/>
      </c>
      <c r="BC101" s="350">
        <f>BC62-BC98</f>
        <v/>
      </c>
      <c r="BD101" s="350">
        <f>BD62-BD98</f>
        <v/>
      </c>
      <c r="BE101" s="350">
        <f>BE62-BE98</f>
        <v/>
      </c>
      <c r="BF101" s="350">
        <f>BF62-BF98</f>
        <v/>
      </c>
      <c r="BG101" s="350">
        <f>BG62-BG98</f>
        <v/>
      </c>
      <c r="BH101" s="350">
        <f>BH62-BH98</f>
        <v/>
      </c>
      <c r="BI101" s="350">
        <f>BI62-BI98</f>
        <v/>
      </c>
      <c r="BJ101" s="350">
        <f>BJ62-BJ98</f>
        <v/>
      </c>
      <c r="BK101" s="350">
        <f>BK62-BK98</f>
        <v/>
      </c>
      <c r="BL101" s="350">
        <f>BL62-BL98</f>
        <v/>
      </c>
      <c r="BM101" s="350">
        <f>BM62-BM98</f>
        <v/>
      </c>
      <c r="BN101" s="350">
        <f>BN62-BN98</f>
        <v/>
      </c>
      <c r="BO101" s="350">
        <f>BO62-BO98</f>
        <v/>
      </c>
      <c r="BP101" s="350" t="n"/>
      <c r="BQ101" s="402">
        <f>BQ62-BQ98</f>
        <v/>
      </c>
    </row>
    <row r="102">
      <c r="A102" s="4" t="n"/>
      <c r="B102" s="17" t="n"/>
      <c r="BQ102" s="25" t="n"/>
    </row>
    <row r="103">
      <c r="A103" s="28" t="inlineStr">
        <is>
          <t>Other Costs</t>
        </is>
      </c>
      <c r="B103" s="17" t="n"/>
      <c r="BQ103" s="25" t="n"/>
    </row>
    <row r="104">
      <c r="A104" s="4" t="inlineStr">
        <is>
          <t>Progressive Rehabiliation Costs</t>
        </is>
      </c>
      <c r="B104" s="17" t="inlineStr">
        <is>
          <t>AUDk</t>
        </is>
      </c>
      <c r="C104" s="391" t="n">
        <v>2500</v>
      </c>
      <c r="D104" s="323">
        <f>IF(D9&gt;0,$C$104,0)</f>
        <v/>
      </c>
      <c r="E104" s="323">
        <f>IF(E9&gt;0,$C$104,0)</f>
        <v/>
      </c>
      <c r="F104" s="323">
        <f>IF(F9&gt;0,$C$104,0)</f>
        <v/>
      </c>
      <c r="G104" s="323">
        <f>IF(G9&gt;0,$C$104,0)</f>
        <v/>
      </c>
      <c r="H104" s="323">
        <f>IF(H9&gt;0,$C$104,0)</f>
        <v/>
      </c>
      <c r="I104" s="323">
        <f>IF(I9&gt;0,$C$104,0)</f>
        <v/>
      </c>
      <c r="J104" s="323">
        <f>IF(J9&gt;0,$C$104,0)</f>
        <v/>
      </c>
      <c r="K104" s="323">
        <f>IF(K9&gt;0,$C$104,0)</f>
        <v/>
      </c>
      <c r="L104" s="323">
        <f>IF(L9&gt;0,$C$104,0)</f>
        <v/>
      </c>
      <c r="M104" s="323">
        <f>IF(M9&gt;0,$C$104,0)</f>
        <v/>
      </c>
      <c r="N104" s="323">
        <f>IF(N9&gt;0,$C$104,0)</f>
        <v/>
      </c>
      <c r="O104" s="323">
        <f>IF(O9&gt;0,$C$104,0)</f>
        <v/>
      </c>
      <c r="P104" s="323">
        <f>IF(P9&gt;0,$C$104,0)</f>
        <v/>
      </c>
      <c r="Q104" s="323">
        <f>IF(Q9&gt;0,$C$104,0)</f>
        <v/>
      </c>
      <c r="R104" s="323">
        <f>IF(R9&gt;0,$C$104,0)</f>
        <v/>
      </c>
      <c r="S104" s="323">
        <f>IF(S9&gt;0,$C$104,0)</f>
        <v/>
      </c>
      <c r="T104" s="323">
        <f>IF(T9&gt;0,$C$104,0)</f>
        <v/>
      </c>
      <c r="U104" s="323">
        <f>IF(U9&gt;0,$C$104,0)</f>
        <v/>
      </c>
      <c r="V104" s="323">
        <f>IF(V9&gt;0,$C$104,0)</f>
        <v/>
      </c>
      <c r="W104" s="323">
        <f>IF(W9&gt;0,$C$104,0)</f>
        <v/>
      </c>
      <c r="X104" s="323">
        <f>IF(X9&gt;0,$C$104,0)</f>
        <v/>
      </c>
      <c r="Y104" s="323">
        <f>IF(Y9&gt;0,$C$104,0)</f>
        <v/>
      </c>
      <c r="Z104" s="323">
        <f>IF(Z9&gt;0,$C$104,0)</f>
        <v/>
      </c>
      <c r="AA104" s="323">
        <f>IF(AA9&gt;0,$C$104,0)</f>
        <v/>
      </c>
      <c r="AB104" s="323">
        <f>IF(AB9&gt;0,$C$104,0)</f>
        <v/>
      </c>
      <c r="AC104" s="323">
        <f>IF(AC9&gt;0,$C$104,0)</f>
        <v/>
      </c>
      <c r="AD104" s="323">
        <f>IF(AD9&gt;0,$C$104,0)</f>
        <v/>
      </c>
      <c r="AE104" s="323">
        <f>IF(AE9&gt;0,$C$104,0)</f>
        <v/>
      </c>
      <c r="AF104" s="323">
        <f>IF(AF9&gt;0,$C$104,0)</f>
        <v/>
      </c>
      <c r="AG104" s="323">
        <f>IF(AG9&gt;0,$C$104,0)</f>
        <v/>
      </c>
      <c r="AH104" s="323">
        <f>IF(AH9&gt;0,$C$104,0)</f>
        <v/>
      </c>
      <c r="AI104" s="323">
        <f>IF(AI9&gt;0,$C$104,0)</f>
        <v/>
      </c>
      <c r="AJ104" s="323">
        <f>IF(AJ9&gt;0,$C$104,0)</f>
        <v/>
      </c>
      <c r="AK104" s="323">
        <f>IF(AK9&gt;0,$C$104,0)</f>
        <v/>
      </c>
      <c r="AL104" s="323">
        <f>IF(AL9&gt;0,$C$104,0)</f>
        <v/>
      </c>
      <c r="AM104" s="323">
        <f>IF(AM9&gt;0,$C$104,0)</f>
        <v/>
      </c>
      <c r="AN104" s="323">
        <f>IF(AN9&gt;0,$C$104,0)</f>
        <v/>
      </c>
      <c r="AO104" s="323">
        <f>IF(AO9&gt;0,$C$104,0)</f>
        <v/>
      </c>
      <c r="AP104" s="323">
        <f>IF(AP9&gt;0,$C$104,0)</f>
        <v/>
      </c>
      <c r="AQ104" s="323">
        <f>IF(AQ9&gt;0,$C$104,0)</f>
        <v/>
      </c>
      <c r="AR104" s="323">
        <f>IF(AR9&gt;0,$C$104,0)</f>
        <v/>
      </c>
      <c r="AS104" s="323">
        <f>IF(AS9&gt;0,$C$104,0)</f>
        <v/>
      </c>
      <c r="AT104" s="323">
        <f>IF(AT9&gt;0,$C$104,0)</f>
        <v/>
      </c>
      <c r="AU104" s="323">
        <f>IF(AU9&gt;0,$C$104,0)</f>
        <v/>
      </c>
      <c r="AV104" s="323">
        <f>IF(AV9&gt;0,$C$104,0)</f>
        <v/>
      </c>
      <c r="AW104" s="323">
        <f>IF(AW9&gt;0,$C$104,0)</f>
        <v/>
      </c>
      <c r="AX104" s="323">
        <f>IF(AX9&gt;0,$C$104,0)</f>
        <v/>
      </c>
      <c r="AY104" s="323">
        <f>IF(AY9&gt;0,$C$104,0)</f>
        <v/>
      </c>
      <c r="AZ104" s="323">
        <f>IF(AZ9&gt;0,$C$104,0)</f>
        <v/>
      </c>
      <c r="BA104" s="323">
        <f>IF(BA9&gt;0,$C$104,0)</f>
        <v/>
      </c>
      <c r="BB104" s="323">
        <f>IF(BB9&gt;0,$C$104,0)</f>
        <v/>
      </c>
      <c r="BC104" s="323">
        <f>IF(BC9&gt;0,$C$104,0)</f>
        <v/>
      </c>
      <c r="BD104" s="323">
        <f>IF(BD9&gt;0,$C$104,0)</f>
        <v/>
      </c>
      <c r="BE104" s="323">
        <f>IF(BE9&gt;0,$C$104,0)</f>
        <v/>
      </c>
      <c r="BF104" s="323">
        <f>IF(BF9&gt;0,$C$104,0)</f>
        <v/>
      </c>
      <c r="BG104" s="323">
        <f>IF(BG9&gt;0,$C$104,0)</f>
        <v/>
      </c>
      <c r="BH104" s="323">
        <f>IF(BH9&gt;0,$C$104,0)</f>
        <v/>
      </c>
      <c r="BI104" s="323">
        <f>IF(BI9&gt;0,$C$104,0)</f>
        <v/>
      </c>
      <c r="BJ104" s="323">
        <f>IF(BJ9&gt;0,$C$104,0)</f>
        <v/>
      </c>
      <c r="BK104" s="323">
        <f>IF(BK9&gt;0,$C$104,0)</f>
        <v/>
      </c>
      <c r="BL104" s="323">
        <f>IF(BL9&gt;0,$C$104,0)</f>
        <v/>
      </c>
      <c r="BM104" s="323">
        <f>IF(BM9&gt;0,$C$104,0)</f>
        <v/>
      </c>
      <c r="BN104" s="323">
        <f>IF(BN9&gt;0,$C$104,0)</f>
        <v/>
      </c>
      <c r="BO104" s="323">
        <f>IF(BO9&gt;0,$C$104,0)</f>
        <v/>
      </c>
      <c r="BP104" s="323" t="n"/>
      <c r="BQ104" s="370">
        <f>SUM(D104:BO104)</f>
        <v/>
      </c>
    </row>
    <row r="105">
      <c r="A105" s="4" t="inlineStr">
        <is>
          <t>Mine Closure Costs</t>
        </is>
      </c>
      <c r="B105" s="17" t="inlineStr">
        <is>
          <t>AUDk</t>
        </is>
      </c>
      <c r="C105" s="323" t="n">
        <v>150000</v>
      </c>
      <c r="D105" s="323" t="n"/>
      <c r="E105" s="323" t="n"/>
      <c r="F105" s="323" t="n"/>
      <c r="G105" s="323" t="n"/>
      <c r="H105" s="323" t="n"/>
      <c r="I105" s="323" t="n"/>
      <c r="J105" s="323" t="n"/>
      <c r="K105" s="323" t="n"/>
      <c r="L105" s="323" t="n"/>
      <c r="M105" s="323" t="n"/>
      <c r="N105" s="323" t="n"/>
      <c r="O105" s="323" t="n"/>
      <c r="P105" s="323" t="n"/>
      <c r="Q105" s="323" t="n"/>
      <c r="R105" s="323" t="n"/>
      <c r="S105" s="323" t="n"/>
      <c r="T105" s="323" t="n"/>
      <c r="U105" s="323" t="n"/>
      <c r="V105" s="323" t="n"/>
      <c r="W105" s="323" t="n"/>
      <c r="X105" s="323" t="n"/>
      <c r="Y105" s="323" t="n"/>
      <c r="Z105" s="323" t="n"/>
      <c r="AA105" s="323" t="n"/>
      <c r="AB105" s="323" t="n"/>
      <c r="AC105" s="323" t="n"/>
      <c r="AD105" s="323">
        <f>C105</f>
        <v/>
      </c>
      <c r="AE105" s="323" t="n">
        <v>0</v>
      </c>
      <c r="AF105" s="323" t="n">
        <v>0</v>
      </c>
      <c r="AG105" s="323" t="n">
        <v>0</v>
      </c>
      <c r="AH105" s="323" t="n">
        <v>0</v>
      </c>
      <c r="AI105" s="323" t="n">
        <v>0</v>
      </c>
      <c r="AJ105" s="323" t="n">
        <v>0</v>
      </c>
      <c r="AK105" s="323" t="n">
        <v>0</v>
      </c>
      <c r="AL105" s="323" t="n">
        <v>0</v>
      </c>
      <c r="AM105" s="323" t="n">
        <v>0</v>
      </c>
      <c r="AN105" s="323" t="n">
        <v>0</v>
      </c>
      <c r="AO105" s="323" t="n">
        <v>0</v>
      </c>
      <c r="AP105" s="323" t="n">
        <v>0</v>
      </c>
      <c r="AQ105" s="323" t="n">
        <v>0</v>
      </c>
      <c r="AR105" s="323" t="n">
        <v>0</v>
      </c>
      <c r="AS105" s="323" t="n">
        <v>0</v>
      </c>
      <c r="AT105" s="323" t="n">
        <v>0</v>
      </c>
      <c r="AU105" s="323" t="n">
        <v>0</v>
      </c>
      <c r="AV105" s="323" t="n">
        <v>0</v>
      </c>
      <c r="AW105" s="323" t="n">
        <v>0</v>
      </c>
      <c r="AX105" s="323" t="n">
        <v>0</v>
      </c>
      <c r="AY105" s="323" t="n">
        <v>0</v>
      </c>
      <c r="AZ105" s="323" t="n">
        <v>0</v>
      </c>
      <c r="BA105" s="323" t="n">
        <v>0</v>
      </c>
      <c r="BB105" s="323" t="n">
        <v>0</v>
      </c>
      <c r="BC105" s="323" t="n">
        <v>0</v>
      </c>
      <c r="BD105" s="323" t="n">
        <v>0</v>
      </c>
      <c r="BE105" s="323" t="n">
        <v>0</v>
      </c>
      <c r="BF105" s="323" t="n">
        <v>0</v>
      </c>
      <c r="BG105" s="323" t="n">
        <v>0</v>
      </c>
      <c r="BH105" s="323" t="n">
        <v>0</v>
      </c>
      <c r="BI105" s="323" t="n">
        <v>0</v>
      </c>
      <c r="BJ105" s="323" t="n">
        <v>0</v>
      </c>
      <c r="BK105" s="323" t="n">
        <v>0</v>
      </c>
      <c r="BL105" s="323" t="n">
        <v>0</v>
      </c>
      <c r="BM105" s="323" t="n">
        <v>0</v>
      </c>
      <c r="BN105" s="323" t="n">
        <v>0</v>
      </c>
      <c r="BO105" s="323" t="n">
        <v>0</v>
      </c>
      <c r="BP105" s="323" t="n"/>
      <c r="BQ105" s="370">
        <f>SUM(D105:BO105)</f>
        <v/>
      </c>
      <c r="BS105" s="344" t="n"/>
    </row>
    <row r="106">
      <c r="A106" s="4" t="inlineStr">
        <is>
          <t>Carbon Costs</t>
        </is>
      </c>
      <c r="B106" s="17" t="inlineStr">
        <is>
          <t>AUDk</t>
        </is>
      </c>
      <c r="D106" s="323">
        <f>IF(Assumptions!$C$20="Zero Carbon Liability",'Brave Blossom '!D26*Carbon!B2,'Brave Blossom '!D26*Carbon!B3)/1000</f>
        <v/>
      </c>
      <c r="E106" s="323">
        <f>IF(Assumptions!$C$20="Zero Carbon Liability",'Brave Blossom '!E26*Carbon!C2,'Brave Blossom '!E26*Carbon!C3)/1000</f>
        <v/>
      </c>
      <c r="F106" s="323">
        <f>IF(Assumptions!$C$20="Zero Carbon Liability",'Brave Blossom '!F26*Carbon!D2,'Brave Blossom '!F26*Carbon!D3)/1000</f>
        <v/>
      </c>
      <c r="G106" s="323">
        <f>IF(Assumptions!$C$20="Zero Carbon Liability",'Brave Blossom '!G26*Carbon!E2,'Brave Blossom '!G26*Carbon!E3)/1000</f>
        <v/>
      </c>
      <c r="H106" s="323">
        <f>IF(Assumptions!$C$20="Zero Carbon Liability",'Brave Blossom '!H26*Carbon!F2,'Brave Blossom '!H26*Carbon!F3)/1000</f>
        <v/>
      </c>
      <c r="I106" s="323">
        <f>IF(Assumptions!$C$20="Zero Carbon Liability",'Brave Blossom '!I26*Carbon!G2,'Brave Blossom '!I26*Carbon!G3)/1000</f>
        <v/>
      </c>
      <c r="J106" s="323">
        <f>IF(Assumptions!$C$20="Zero Carbon Liability",'Brave Blossom '!J26*Carbon!H2,'Brave Blossom '!J26*Carbon!H3)/1000</f>
        <v/>
      </c>
      <c r="K106" s="323">
        <f>IF(Assumptions!$C$20="Zero Carbon Liability",'Brave Blossom '!K26*Carbon!I2,'Brave Blossom '!K26*Carbon!I3)/1000</f>
        <v/>
      </c>
      <c r="L106" s="323">
        <f>IF(Assumptions!$C$20="Zero Carbon Liability",'Brave Blossom '!L26*Carbon!J2,'Brave Blossom '!L26*Carbon!J3)/1000</f>
        <v/>
      </c>
      <c r="M106" s="323">
        <f>IF(Assumptions!$C$20="Zero Carbon Liability",'Brave Blossom '!M26*Carbon!K2,'Brave Blossom '!M26*Carbon!K3)/1000</f>
        <v/>
      </c>
      <c r="N106" s="323">
        <f>IF(Assumptions!$C$20="Zero Carbon Liability",'Brave Blossom '!N26*Carbon!L2,'Brave Blossom '!N26*Carbon!L3)/1000</f>
        <v/>
      </c>
      <c r="O106" s="323">
        <f>IF(Assumptions!$C$20="Zero Carbon Liability",'Brave Blossom '!O26*Carbon!M2,'Brave Blossom '!O26*Carbon!M3)/1000</f>
        <v/>
      </c>
      <c r="P106" s="323">
        <f>IF(Assumptions!$C$20="Zero Carbon Liability",'Brave Blossom '!P26*Carbon!N2,'Brave Blossom '!P26*Carbon!N3)/1000</f>
        <v/>
      </c>
      <c r="Q106" s="323">
        <f>IF(Assumptions!$C$20="Zero Carbon Liability",'Brave Blossom '!Q26*Carbon!O2,'Brave Blossom '!Q26*Carbon!O3)/1000</f>
        <v/>
      </c>
      <c r="R106" s="323">
        <f>IF(Assumptions!$C$20="Zero Carbon Liability",'Brave Blossom '!R26*Carbon!P2,'Brave Blossom '!R26*Carbon!P3)/1000</f>
        <v/>
      </c>
      <c r="S106" s="323">
        <f>IF(Assumptions!$C$20="Zero Carbon Liability",'Brave Blossom '!S26*Carbon!Q2,'Brave Blossom '!S26*Carbon!Q3)/1000</f>
        <v/>
      </c>
      <c r="T106" s="323">
        <f>IF(Assumptions!$C$20="Zero Carbon Liability",'Brave Blossom '!T26*Carbon!R2,'Brave Blossom '!T26*Carbon!R3)/1000</f>
        <v/>
      </c>
      <c r="U106" s="323">
        <f>IF(Assumptions!$C$20="Zero Carbon Liability",'Brave Blossom '!U26*Carbon!S2,'Brave Blossom '!U26*Carbon!S3)/1000</f>
        <v/>
      </c>
      <c r="V106" s="323">
        <f>IF(Assumptions!$C$20="Zero Carbon Liability",'Brave Blossom '!V26*Carbon!T2,'Brave Blossom '!V26*Carbon!T3)/1000</f>
        <v/>
      </c>
      <c r="W106" s="323">
        <f>IF(Assumptions!$C$20="Zero Carbon Liability",'Brave Blossom '!W26*Carbon!U2,'Brave Blossom '!W26*Carbon!U3)/1000</f>
        <v/>
      </c>
      <c r="X106" s="323">
        <f>IF(Assumptions!$C$20="Zero Carbon Liability",'Brave Blossom '!X26*Carbon!V2,'Brave Blossom '!X26*Carbon!V3)/1000</f>
        <v/>
      </c>
      <c r="Y106" s="323">
        <f>IF(Assumptions!$C$20="Zero Carbon Liability",'Brave Blossom '!Y26*Carbon!W2,'Brave Blossom '!Y26*Carbon!W3)/1000</f>
        <v/>
      </c>
      <c r="Z106" s="323">
        <f>IF(Assumptions!$C$20="Zero Carbon Liability",'Brave Blossom '!Z26*Carbon!X2,'Brave Blossom '!Z26*Carbon!X3)/1000</f>
        <v/>
      </c>
      <c r="AA106" s="323">
        <f>IF(Assumptions!$C$20="Zero Carbon Liability",'Brave Blossom '!AA26*Carbon!Y2,'Brave Blossom '!AA26*Carbon!Y3)/1000</f>
        <v/>
      </c>
      <c r="AB106" s="323">
        <f>IF(Assumptions!$C$20="Zero Carbon Liability",'Brave Blossom '!AB26*Carbon!Z2,'Brave Blossom '!AB26*Carbon!Z3)/1000</f>
        <v/>
      </c>
      <c r="AC106" s="323">
        <f>IF(Assumptions!$C$20="Zero Carbon Liability",'Brave Blossom '!AC26*Carbon!AA2,'Brave Blossom '!AC26*Carbon!AA3)/1000</f>
        <v/>
      </c>
      <c r="AD106" s="323">
        <f>IF(Assumptions!$C$20="Zero Carbon Liability",'Brave Blossom '!AD26*Carbon!AB2,'Brave Blossom '!AD26*Carbon!AB3)/1000</f>
        <v/>
      </c>
      <c r="AE106" s="323">
        <f>IF(Assumptions!$C$20="Zero Carbon Liability",'Brave Blossom '!AE26*Carbon!AC2,'Brave Blossom '!AE26*Carbon!AC3)/1000</f>
        <v/>
      </c>
      <c r="AF106" s="323">
        <f>IF(Assumptions!$C$20="Zero Carbon Liability",'Brave Blossom '!AF26*Carbon!AD2,'Brave Blossom '!AF26*Carbon!AD3)/1000</f>
        <v/>
      </c>
      <c r="AG106" s="323">
        <f>IF(Assumptions!$C$20="Zero Carbon Liability",'Brave Blossom '!AG26*Carbon!AE2,'Brave Blossom '!AG26*Carbon!AE3)/1000</f>
        <v/>
      </c>
      <c r="AH106" s="323">
        <f>IF(Assumptions!$C$20="Zero Carbon Liability",'Brave Blossom '!AH26*Carbon!AF2,'Brave Blossom '!AH26*Carbon!AF3)/1000</f>
        <v/>
      </c>
      <c r="AI106" s="323">
        <f>IF(Assumptions!$C$20="Zero Carbon Liability",'Brave Blossom '!AI26*Carbon!AG2,'Brave Blossom '!AI26*Carbon!AG3)/1000</f>
        <v/>
      </c>
      <c r="AJ106" s="323">
        <f>IF(Assumptions!$C$20="Zero Carbon Liability",'Brave Blossom '!AJ26*Carbon!AH2,'Brave Blossom '!AJ26*Carbon!AH3)/1000</f>
        <v/>
      </c>
      <c r="AK106" s="323">
        <f>IF(Assumptions!$C$20="Zero Carbon Liability",'Brave Blossom '!AK26*Carbon!AI2,'Brave Blossom '!AK26*Carbon!AI3)/1000</f>
        <v/>
      </c>
      <c r="AL106" s="323">
        <f>IF(Assumptions!$C$20="Zero Carbon Liability",'Brave Blossom '!AL26*Carbon!AJ2,'Brave Blossom '!AL26*Carbon!AJ3)/1000</f>
        <v/>
      </c>
      <c r="AM106" s="323">
        <f>IF(Assumptions!$C$20="Zero Carbon Liability",'Brave Blossom '!AM26*Carbon!AK2,'Brave Blossom '!AM26*Carbon!AK3)/1000</f>
        <v/>
      </c>
      <c r="AN106" s="323">
        <f>IF(Assumptions!$C$20="Zero Carbon Liability",'Brave Blossom '!AN26*Carbon!AL2,'Brave Blossom '!AN26*Carbon!AL3)/1000</f>
        <v/>
      </c>
      <c r="AO106" s="323">
        <f>IF(Assumptions!$C$20="Zero Carbon Liability",'Brave Blossom '!AO26*Carbon!AM2,'Brave Blossom '!AO26*Carbon!AM3)/1000</f>
        <v/>
      </c>
      <c r="AP106" s="323">
        <f>IF(Assumptions!$C$20="Zero Carbon Liability",'Brave Blossom '!AP26*Carbon!AN2,'Brave Blossom '!AP26*Carbon!AN3)/1000</f>
        <v/>
      </c>
      <c r="AQ106" s="323">
        <f>IF(Assumptions!$C$20="Zero Carbon Liability",'Brave Blossom '!AQ26*Carbon!AO2,'Brave Blossom '!AQ26*Carbon!AO3)/1000</f>
        <v/>
      </c>
      <c r="AR106" s="323">
        <f>IF(Assumptions!$C$20="Zero Carbon Liability",'Brave Blossom '!AR26*Carbon!AP2,'Brave Blossom '!AR26*Carbon!AP3)/1000</f>
        <v/>
      </c>
      <c r="AS106" s="323">
        <f>IF(Assumptions!$C$20="Zero Carbon Liability",'Brave Blossom '!AS26*Carbon!AQ2,'Brave Blossom '!AS26*Carbon!AQ3)/1000</f>
        <v/>
      </c>
      <c r="AT106" s="323">
        <f>IF(Assumptions!$C$20="Zero Carbon Liability",'Brave Blossom '!AT26*Carbon!AR2,'Brave Blossom '!AT26*Carbon!AR3)/1000</f>
        <v/>
      </c>
      <c r="AU106" s="323">
        <f>IF(Assumptions!$C$20="Zero Carbon Liability",'Brave Blossom '!AU26*Carbon!AS2,'Brave Blossom '!AU26*Carbon!AS3)/1000</f>
        <v/>
      </c>
      <c r="AV106" s="323">
        <f>IF(Assumptions!$C$20="Zero Carbon Liability",'Brave Blossom '!AV26*Carbon!AT2,'Brave Blossom '!AV26*Carbon!AT3)/1000</f>
        <v/>
      </c>
      <c r="AW106" s="323">
        <f>IF(Assumptions!$C$20="Zero Carbon Liability",'Brave Blossom '!AW26*Carbon!AU2,'Brave Blossom '!AW26*Carbon!AU3)/1000</f>
        <v/>
      </c>
      <c r="AX106" s="323">
        <f>IF(Assumptions!$C$20="Zero Carbon Liability",'Brave Blossom '!AX26*Carbon!AV2,'Brave Blossom '!AX26*Carbon!AV3)/1000</f>
        <v/>
      </c>
      <c r="AY106" s="323">
        <f>IF(Assumptions!$C$20="Zero Carbon Liability",'Brave Blossom '!AY26*Carbon!AW2,'Brave Blossom '!AY26*Carbon!AW3)/1000</f>
        <v/>
      </c>
      <c r="AZ106" s="323">
        <f>IF(Assumptions!$C$20="Zero Carbon Liability",'Brave Blossom '!AZ26*Carbon!AX2,'Brave Blossom '!AZ26*Carbon!AX3)/1000</f>
        <v/>
      </c>
      <c r="BA106" s="323">
        <f>IF(Assumptions!$C$20="Zero Carbon Liability",'Brave Blossom '!BA26*Carbon!AY2,'Brave Blossom '!BA26*Carbon!AY3)/1000</f>
        <v/>
      </c>
      <c r="BB106" s="323">
        <f>IF(Assumptions!$C$20="Zero Carbon Liability",'Brave Blossom '!BB26*Carbon!AZ2,'Brave Blossom '!BB26*Carbon!AZ3)/1000</f>
        <v/>
      </c>
      <c r="BC106" s="323">
        <f>IF(Assumptions!$C$20="Zero Carbon Liability",'Brave Blossom '!BC26*Carbon!BA2,'Brave Blossom '!BC26*Carbon!BA3)/1000</f>
        <v/>
      </c>
      <c r="BD106" s="323">
        <f>IF(Assumptions!$C$20="Zero Carbon Liability",'Brave Blossom '!BD26*Carbon!BB2,'Brave Blossom '!BD26*Carbon!BB3)/1000</f>
        <v/>
      </c>
      <c r="BE106" s="323">
        <f>IF(Assumptions!$C$20="Zero Carbon Liability",'Brave Blossom '!BE26*Carbon!BC2,'Brave Blossom '!BE26*Carbon!BC3)/1000</f>
        <v/>
      </c>
      <c r="BF106" s="323">
        <f>IF(Assumptions!$C$20="Zero Carbon Liability",'Brave Blossom '!BF26*Carbon!BD2,'Brave Blossom '!BF26*Carbon!BD3)/1000</f>
        <v/>
      </c>
      <c r="BG106" s="323">
        <f>IF(Assumptions!$C$20="Zero Carbon Liability",'Brave Blossom '!BG26*Carbon!BE2,'Brave Blossom '!BG26*Carbon!BE3)/1000</f>
        <v/>
      </c>
      <c r="BH106" s="323">
        <f>IF(Assumptions!$C$20="Zero Carbon Liability",'Brave Blossom '!BH26*Carbon!BF2,'Brave Blossom '!BH26*Carbon!BF3)/1000</f>
        <v/>
      </c>
      <c r="BI106" s="323">
        <f>IF(Assumptions!$C$20="Zero Carbon Liability",'Brave Blossom '!BI26*Carbon!BG2,'Brave Blossom '!BI26*Carbon!BG3)/1000</f>
        <v/>
      </c>
      <c r="BJ106" s="323">
        <f>IF(Assumptions!$C$20="Zero Carbon Liability",'Brave Blossom '!BJ26*Carbon!BH2,'Brave Blossom '!BJ26*Carbon!BH3)/1000</f>
        <v/>
      </c>
      <c r="BK106" s="323">
        <f>IF(Assumptions!$C$20="Zero Carbon Liability",'Brave Blossom '!BK26*Carbon!BI2,'Brave Blossom '!BK26*Carbon!BI3)/1000</f>
        <v/>
      </c>
      <c r="BL106" s="323">
        <f>IF(Assumptions!$C$20="Zero Carbon Liability",'Brave Blossom '!BL26*Carbon!BJ2,'Brave Blossom '!BL26*Carbon!BJ3)/1000</f>
        <v/>
      </c>
      <c r="BM106" s="323">
        <f>IF(Assumptions!$C$20="Zero Carbon Liability",'Brave Blossom '!BM26*Carbon!BK2,'Brave Blossom '!BM26*Carbon!BK3)/1000</f>
        <v/>
      </c>
      <c r="BN106" s="323">
        <f>IF(Assumptions!$C$20="Zero Carbon Liability",'Brave Blossom '!BN26*Carbon!BL2,'Brave Blossom '!BN26*Carbon!BL3)/1000</f>
        <v/>
      </c>
      <c r="BO106" s="323">
        <f>IF(Assumptions!$C$20="Zero Carbon Liability",'Brave Blossom '!BO26*Carbon!BM2,'Brave Blossom '!BO26*Carbon!BM3)/1000</f>
        <v/>
      </c>
      <c r="BP106" s="323" t="n"/>
      <c r="BQ106" s="370">
        <f>SUM(D106:BO106)</f>
        <v/>
      </c>
    </row>
    <row r="107">
      <c r="A107" s="4" t="inlineStr">
        <is>
          <t>Other Revenue</t>
        </is>
      </c>
      <c r="B107" s="17" t="inlineStr">
        <is>
          <t>AUDk</t>
        </is>
      </c>
      <c r="D107" s="323" t="n">
        <v>0</v>
      </c>
      <c r="E107" s="323" t="n">
        <v>0</v>
      </c>
      <c r="F107" s="323" t="n">
        <v>0</v>
      </c>
      <c r="G107" s="323" t="n">
        <v>0</v>
      </c>
      <c r="H107" s="323" t="n">
        <v>0</v>
      </c>
      <c r="I107" s="323" t="n">
        <v>0</v>
      </c>
      <c r="J107" s="323" t="n">
        <v>0</v>
      </c>
      <c r="K107" s="323" t="n">
        <v>0</v>
      </c>
      <c r="L107" s="323" t="n">
        <v>0</v>
      </c>
      <c r="M107" s="323" t="n">
        <v>0</v>
      </c>
      <c r="N107" s="323" t="n">
        <v>0</v>
      </c>
      <c r="O107" s="323" t="n">
        <v>0</v>
      </c>
      <c r="P107" s="323" t="n">
        <v>0</v>
      </c>
      <c r="Q107" s="323" t="n">
        <v>0</v>
      </c>
      <c r="R107" s="323" t="n">
        <v>0</v>
      </c>
      <c r="S107" s="323" t="n">
        <v>0</v>
      </c>
      <c r="T107" s="323" t="n">
        <v>0</v>
      </c>
      <c r="U107" s="323" t="n">
        <v>0</v>
      </c>
      <c r="V107" s="323" t="n">
        <v>0</v>
      </c>
      <c r="W107" s="323" t="n">
        <v>0</v>
      </c>
      <c r="X107" s="323" t="n">
        <v>0</v>
      </c>
      <c r="Y107" s="323" t="n">
        <v>0</v>
      </c>
      <c r="Z107" s="323" t="n">
        <v>0</v>
      </c>
      <c r="AA107" s="323" t="n">
        <v>0</v>
      </c>
      <c r="AB107" s="323" t="n">
        <v>0</v>
      </c>
      <c r="AC107" s="323" t="n">
        <v>0</v>
      </c>
      <c r="AD107" s="323" t="n">
        <v>0</v>
      </c>
      <c r="AE107" s="323" t="n">
        <v>0</v>
      </c>
      <c r="AF107" s="323" t="n">
        <v>0</v>
      </c>
      <c r="AG107" s="323" t="n">
        <v>0</v>
      </c>
      <c r="AH107" s="323" t="n">
        <v>0</v>
      </c>
      <c r="AI107" s="323" t="n">
        <v>0</v>
      </c>
      <c r="AJ107" s="323" t="n">
        <v>0</v>
      </c>
      <c r="AK107" s="323" t="n">
        <v>0</v>
      </c>
      <c r="AL107" s="323" t="n">
        <v>0</v>
      </c>
      <c r="AM107" s="323" t="n">
        <v>0</v>
      </c>
      <c r="AN107" s="323" t="n">
        <v>0</v>
      </c>
      <c r="AO107" s="323" t="n">
        <v>0</v>
      </c>
      <c r="AP107" s="323" t="n">
        <v>0</v>
      </c>
      <c r="AQ107" s="323" t="n">
        <v>0</v>
      </c>
      <c r="AR107" s="323" t="n">
        <v>0</v>
      </c>
      <c r="AS107" s="323" t="n">
        <v>0</v>
      </c>
      <c r="AT107" s="323" t="n">
        <v>0</v>
      </c>
      <c r="AU107" s="323" t="n">
        <v>0</v>
      </c>
      <c r="AV107" s="323" t="n">
        <v>0</v>
      </c>
      <c r="AW107" s="323" t="n">
        <v>0</v>
      </c>
      <c r="AX107" s="323" t="n">
        <v>0</v>
      </c>
      <c r="AY107" s="323" t="n">
        <v>0</v>
      </c>
      <c r="AZ107" s="323" t="n">
        <v>0</v>
      </c>
      <c r="BA107" s="323" t="n">
        <v>0</v>
      </c>
      <c r="BB107" s="323" t="n">
        <v>0</v>
      </c>
      <c r="BC107" s="323" t="n">
        <v>0</v>
      </c>
      <c r="BD107" s="323" t="n">
        <v>0</v>
      </c>
      <c r="BE107" s="323" t="n">
        <v>0</v>
      </c>
      <c r="BF107" s="323" t="n">
        <v>0</v>
      </c>
      <c r="BG107" s="323" t="n">
        <v>0</v>
      </c>
      <c r="BH107" s="323" t="n">
        <v>0</v>
      </c>
      <c r="BI107" s="323" t="n">
        <v>0</v>
      </c>
      <c r="BJ107" s="323" t="n">
        <v>0</v>
      </c>
      <c r="BK107" s="323" t="n">
        <v>0</v>
      </c>
      <c r="BL107" s="323" t="n">
        <v>0</v>
      </c>
      <c r="BM107" s="323" t="n">
        <v>0</v>
      </c>
      <c r="BN107" s="323" t="n">
        <v>0</v>
      </c>
      <c r="BO107" s="323" t="n">
        <v>0</v>
      </c>
      <c r="BP107" s="323" t="n"/>
      <c r="BQ107" s="370" t="n"/>
    </row>
    <row r="108">
      <c r="A108" s="4" t="inlineStr">
        <is>
          <t>Total Other Costs</t>
        </is>
      </c>
      <c r="B108" s="17" t="inlineStr">
        <is>
          <t>AUDk</t>
        </is>
      </c>
      <c r="D108" s="347">
        <f>SUM(D104:D107)</f>
        <v/>
      </c>
      <c r="E108" s="347">
        <f>SUM(E104:E107)</f>
        <v/>
      </c>
      <c r="F108" s="347">
        <f>SUM(F104:F107)</f>
        <v/>
      </c>
      <c r="G108" s="347">
        <f>SUM(G104:G107)</f>
        <v/>
      </c>
      <c r="H108" s="347">
        <f>SUM(H104:H107)</f>
        <v/>
      </c>
      <c r="I108" s="347">
        <f>SUM(I104:I107)</f>
        <v/>
      </c>
      <c r="J108" s="347">
        <f>SUM(J104:J107)</f>
        <v/>
      </c>
      <c r="K108" s="347">
        <f>SUM(K104:K107)</f>
        <v/>
      </c>
      <c r="L108" s="347">
        <f>SUM(L104:L107)</f>
        <v/>
      </c>
      <c r="M108" s="347">
        <f>SUM(M104:M107)</f>
        <v/>
      </c>
      <c r="N108" s="347">
        <f>SUM(N104:N107)</f>
        <v/>
      </c>
      <c r="O108" s="347">
        <f>SUM(O104:O107)</f>
        <v/>
      </c>
      <c r="P108" s="347">
        <f>SUM(P104:P107)</f>
        <v/>
      </c>
      <c r="Q108" s="347">
        <f>SUM(Q104:Q107)</f>
        <v/>
      </c>
      <c r="R108" s="347">
        <f>SUM(R104:R107)</f>
        <v/>
      </c>
      <c r="S108" s="347">
        <f>SUM(S104:S107)</f>
        <v/>
      </c>
      <c r="T108" s="347">
        <f>SUM(T104:T107)</f>
        <v/>
      </c>
      <c r="U108" s="347">
        <f>SUM(U104:U107)</f>
        <v/>
      </c>
      <c r="V108" s="347">
        <f>SUM(V104:V107)</f>
        <v/>
      </c>
      <c r="W108" s="347">
        <f>SUM(W104:W107)</f>
        <v/>
      </c>
      <c r="X108" s="347">
        <f>SUM(X104:X107)</f>
        <v/>
      </c>
      <c r="Y108" s="347">
        <f>SUM(Y104:Y107)</f>
        <v/>
      </c>
      <c r="Z108" s="347">
        <f>SUM(Z104:Z107)</f>
        <v/>
      </c>
      <c r="AA108" s="347">
        <f>SUM(AA104:AA107)</f>
        <v/>
      </c>
      <c r="AB108" s="347">
        <f>SUM(AB104:AB107)</f>
        <v/>
      </c>
      <c r="AC108" s="347">
        <f>SUM(AC104:AC107)</f>
        <v/>
      </c>
      <c r="AD108" s="347">
        <f>SUM(AD104:AD107)</f>
        <v/>
      </c>
      <c r="AE108" s="347">
        <f>SUM(AE104:AE107)</f>
        <v/>
      </c>
      <c r="AF108" s="347">
        <f>SUM(AF104:AF107)</f>
        <v/>
      </c>
      <c r="AG108" s="347">
        <f>SUM(AG104:AG107)</f>
        <v/>
      </c>
      <c r="AH108" s="347">
        <f>SUM(AH104:AH107)</f>
        <v/>
      </c>
      <c r="AI108" s="347">
        <f>SUM(AI104:AI107)</f>
        <v/>
      </c>
      <c r="AJ108" s="347">
        <f>SUM(AJ104:AJ107)</f>
        <v/>
      </c>
      <c r="AK108" s="347">
        <f>SUM(AK104:AK107)</f>
        <v/>
      </c>
      <c r="AL108" s="347">
        <f>SUM(AL104:AL107)</f>
        <v/>
      </c>
      <c r="AM108" s="347">
        <f>SUM(AM104:AM107)</f>
        <v/>
      </c>
      <c r="AN108" s="347">
        <f>SUM(AN104:AN107)</f>
        <v/>
      </c>
      <c r="AO108" s="347">
        <f>SUM(AO104:AO107)</f>
        <v/>
      </c>
      <c r="AP108" s="347">
        <f>SUM(AP104:AP107)</f>
        <v/>
      </c>
      <c r="AQ108" s="347">
        <f>SUM(AQ104:AQ107)</f>
        <v/>
      </c>
      <c r="AR108" s="347">
        <f>SUM(AR104:AR107)</f>
        <v/>
      </c>
      <c r="AS108" s="347">
        <f>SUM(AS104:AS107)</f>
        <v/>
      </c>
      <c r="AT108" s="347">
        <f>SUM(AT104:AT107)</f>
        <v/>
      </c>
      <c r="AU108" s="347">
        <f>SUM(AU104:AU107)</f>
        <v/>
      </c>
      <c r="AV108" s="347">
        <f>SUM(AV104:AV107)</f>
        <v/>
      </c>
      <c r="AW108" s="347">
        <f>SUM(AW104:AW107)</f>
        <v/>
      </c>
      <c r="AX108" s="347">
        <f>SUM(AX104:AX107)</f>
        <v/>
      </c>
      <c r="AY108" s="347">
        <f>SUM(AY104:AY107)</f>
        <v/>
      </c>
      <c r="AZ108" s="347">
        <f>SUM(AZ104:AZ107)</f>
        <v/>
      </c>
      <c r="BA108" s="347">
        <f>SUM(BA104:BA107)</f>
        <v/>
      </c>
      <c r="BB108" s="347">
        <f>SUM(BB104:BB107)</f>
        <v/>
      </c>
      <c r="BC108" s="347">
        <f>SUM(BC104:BC107)</f>
        <v/>
      </c>
      <c r="BD108" s="347">
        <f>SUM(BD104:BD107)</f>
        <v/>
      </c>
      <c r="BE108" s="347">
        <f>SUM(BE104:BE107)</f>
        <v/>
      </c>
      <c r="BF108" s="347">
        <f>SUM(BF104:BF107)</f>
        <v/>
      </c>
      <c r="BG108" s="347">
        <f>SUM(BG104:BG107)</f>
        <v/>
      </c>
      <c r="BH108" s="347">
        <f>SUM(BH104:BH107)</f>
        <v/>
      </c>
      <c r="BI108" s="347">
        <f>SUM(BI104:BI107)</f>
        <v/>
      </c>
      <c r="BJ108" s="347">
        <f>SUM(BJ104:BJ107)</f>
        <v/>
      </c>
      <c r="BK108" s="347">
        <f>SUM(BK104:BK107)</f>
        <v/>
      </c>
      <c r="BL108" s="347">
        <f>SUM(BL104:BL107)</f>
        <v/>
      </c>
      <c r="BM108" s="347">
        <f>SUM(BM104:BM107)</f>
        <v/>
      </c>
      <c r="BN108" s="347">
        <f>SUM(BN104:BN107)</f>
        <v/>
      </c>
      <c r="BO108" s="347">
        <f>SUM(BO104:BO107)</f>
        <v/>
      </c>
      <c r="BP108" s="347" t="n"/>
      <c r="BQ108" s="400">
        <f>SUM(BQ104:BQ107)</f>
        <v/>
      </c>
    </row>
    <row r="109">
      <c r="A109" s="119" t="inlineStr">
        <is>
          <t>Total other - closure credits</t>
        </is>
      </c>
      <c r="B109" s="17" t="n"/>
      <c r="D109" s="344">
        <f>IF(D105&lt;=0,(D104+D106),D108)</f>
        <v/>
      </c>
      <c r="E109" s="344">
        <f>IF(E105&lt;=0,(E104+E106),E108)</f>
        <v/>
      </c>
      <c r="F109" s="344">
        <f>IF(F105&lt;=0,(F104+F106),F108)</f>
        <v/>
      </c>
      <c r="G109" s="344">
        <f>IF(G105&lt;=0,(G104+G106),G108)</f>
        <v/>
      </c>
      <c r="H109" s="344">
        <f>IF(H105&lt;=0,(H104+H106),H108)</f>
        <v/>
      </c>
      <c r="I109" s="344">
        <f>IF(I105&lt;=0,(I104+I106),I108)</f>
        <v/>
      </c>
      <c r="J109" s="344">
        <f>IF(J105&lt;=0,(J104+J106),J108)</f>
        <v/>
      </c>
      <c r="K109" s="344">
        <f>IF(K105&lt;=0,(K104+K106),K108)</f>
        <v/>
      </c>
      <c r="L109" s="344">
        <f>IF(L105&lt;=0,(L104+L106),L108)</f>
        <v/>
      </c>
      <c r="M109" s="344">
        <f>IF(M105&lt;=0,(M104+M106),M108)</f>
        <v/>
      </c>
      <c r="N109" s="344">
        <f>IF(N105&lt;=0,(N104+N106),N108)</f>
        <v/>
      </c>
      <c r="O109" s="344">
        <f>IF(O105&lt;=0,(O104+O106),O108)</f>
        <v/>
      </c>
      <c r="P109" s="344">
        <f>IF(P105&lt;=0,(P104+P106),P108)</f>
        <v/>
      </c>
      <c r="Q109" s="344">
        <f>IF(Q105&lt;=0,(Q104+Q106),Q108)</f>
        <v/>
      </c>
      <c r="R109" s="344">
        <f>IF(R105&lt;=0,(R104+R106),R108)</f>
        <v/>
      </c>
      <c r="S109" s="344">
        <f>IF(S105&lt;=0,(S104+S106),S108)</f>
        <v/>
      </c>
      <c r="T109" s="344">
        <f>IF(T105&lt;=0,(T104+T106),T108)</f>
        <v/>
      </c>
      <c r="U109" s="344">
        <f>IF(U105&lt;=0,(U104+U106),U108)</f>
        <v/>
      </c>
      <c r="V109" s="344">
        <f>IF(V105&lt;=0,(V104+V106),V108)</f>
        <v/>
      </c>
      <c r="W109" s="344">
        <f>IF(W105&lt;=0,(W104+W106),W108)</f>
        <v/>
      </c>
      <c r="X109" s="344">
        <f>IF(X105&lt;=0,(X104+X106),X108)</f>
        <v/>
      </c>
      <c r="Y109" s="344">
        <f>IF(Y105&lt;=0,(Y104+Y106),Y108)</f>
        <v/>
      </c>
      <c r="Z109" s="344">
        <f>IF(Z105&lt;=0,(Z104+Z106),Z108)</f>
        <v/>
      </c>
      <c r="AA109" s="344">
        <f>IF(AA105&lt;=0,(AA104+AA106),AA108)</f>
        <v/>
      </c>
      <c r="AB109" s="344">
        <f>IF(AB105&lt;=0,(AB104+AB106),AB108)</f>
        <v/>
      </c>
      <c r="AC109" s="344">
        <f>IF(AC105&lt;=0,(AC104+AC106),AC108)</f>
        <v/>
      </c>
      <c r="AD109" s="344">
        <f>IF(AD105&lt;=0,(AD104+AD106),AD108)</f>
        <v/>
      </c>
      <c r="AE109" s="344">
        <f>IF(AE105&lt;=0,(AE104+AE106),AE108)</f>
        <v/>
      </c>
      <c r="AF109" s="344">
        <f>IF(AF105&lt;=0,(AF104+AF106),AF108)</f>
        <v/>
      </c>
      <c r="AG109" s="344">
        <f>IF(AG105&lt;=0,(AG104+AG106),AG108)</f>
        <v/>
      </c>
      <c r="AH109" s="344">
        <f>IF(AH105&lt;=0,(AH104+AH106),AH108)</f>
        <v/>
      </c>
      <c r="AI109" s="344">
        <f>IF(AI105&lt;=0,(AI104+AI106),AI108)</f>
        <v/>
      </c>
      <c r="AJ109" s="344">
        <f>IF(AJ105&lt;=0,(AJ104+AJ106),AJ108)</f>
        <v/>
      </c>
      <c r="AK109" s="344">
        <f>IF(AK105&lt;=0,(AK104+AK106),AK108)</f>
        <v/>
      </c>
      <c r="AL109" s="344">
        <f>IF(AL105&lt;=0,(AL104+AL106),AL108)</f>
        <v/>
      </c>
      <c r="AM109" s="344">
        <f>IF(AM105&lt;=0,(AM104+AM106),AM108)</f>
        <v/>
      </c>
      <c r="AN109" s="344">
        <f>IF(AN105&lt;=0,(AN104+AN106),AN108)</f>
        <v/>
      </c>
      <c r="AO109" s="344">
        <f>IF(AO105&lt;=0,(AO104+AO106),AO108)</f>
        <v/>
      </c>
      <c r="AP109" s="344">
        <f>IF(AP105&lt;=0,(AP104+AP106),AP108)</f>
        <v/>
      </c>
      <c r="AQ109" s="344">
        <f>IF(AQ105&lt;=0,(AQ104+AQ106),AQ108)</f>
        <v/>
      </c>
      <c r="AR109" s="344">
        <f>IF(AR105&lt;=0,(AR104+AR106),AR108)</f>
        <v/>
      </c>
      <c r="AS109" s="344">
        <f>IF(AS105&lt;=0,(AS104+AS106),AS108)</f>
        <v/>
      </c>
      <c r="AT109" s="344">
        <f>IF(AT105&lt;=0,(AT104+AT106),AT108)</f>
        <v/>
      </c>
      <c r="AU109" s="344">
        <f>IF(AU105&lt;=0,(AU104+AU106),AU108)</f>
        <v/>
      </c>
      <c r="AV109" s="344">
        <f>IF(AV105&lt;=0,(AV104+AV106),AV108)</f>
        <v/>
      </c>
      <c r="AW109" s="344">
        <f>IF(AW105&lt;=0,(AW104+AW106),AW108)</f>
        <v/>
      </c>
      <c r="AX109" s="344">
        <f>IF(AX105&lt;=0,(AX104+AX106),AX108)</f>
        <v/>
      </c>
      <c r="AY109" s="344">
        <f>IF(AY105&lt;=0,(AY104+AY106),AY108)</f>
        <v/>
      </c>
      <c r="AZ109" s="344">
        <f>IF(AZ105&lt;=0,(AZ104+AZ106),AZ108)</f>
        <v/>
      </c>
      <c r="BA109" s="344">
        <f>IF(BA105&lt;=0,(BA104+BA106),BA108)</f>
        <v/>
      </c>
      <c r="BB109" s="344">
        <f>IF(BB105&lt;=0,(BB104+BB106),BB108)</f>
        <v/>
      </c>
      <c r="BC109" s="344">
        <f>IF(BC105&lt;=0,(BC104+BC106),BC108)</f>
        <v/>
      </c>
      <c r="BD109" s="344">
        <f>IF(BD105&lt;=0,(BD104+BD106),BD108)</f>
        <v/>
      </c>
      <c r="BE109" s="344">
        <f>IF(BE105&lt;=0,(BE104+BE106),BE108)</f>
        <v/>
      </c>
      <c r="BF109" s="344">
        <f>IF(BF105&lt;=0,(BF104+BF106),BF108)</f>
        <v/>
      </c>
      <c r="BG109" s="344">
        <f>IF(BG105&lt;=0,(BG104+BG106),BG108)</f>
        <v/>
      </c>
      <c r="BH109" s="344">
        <f>IF(BH105&lt;=0,(BH104+BH106),BH108)</f>
        <v/>
      </c>
      <c r="BI109" s="344">
        <f>IF(BI105&lt;=0,(BI104+BI106),BI108)</f>
        <v/>
      </c>
      <c r="BJ109" s="344">
        <f>IF(BJ105&lt;=0,(BJ104+BJ106),BJ108)</f>
        <v/>
      </c>
      <c r="BK109" s="344">
        <f>IF(BK105&lt;=0,(BK104+BK106),BK108)</f>
        <v/>
      </c>
      <c r="BL109" s="344">
        <f>IF(BL105&lt;=0,(BL104+BL106),BL108)</f>
        <v/>
      </c>
      <c r="BM109" s="344">
        <f>IF(BM105&lt;=0,(BM104+BM106),BM108)</f>
        <v/>
      </c>
      <c r="BN109" s="344">
        <f>IF(BN105&lt;=0,(BN104+BN106),BN108)</f>
        <v/>
      </c>
      <c r="BO109" s="344">
        <f>IF(BO105&lt;=0,(BO104+BO106),BO108)</f>
        <v/>
      </c>
      <c r="BP109" s="344" t="n"/>
      <c r="BQ109" s="370">
        <f>SUM(BQ104:BQ107)</f>
        <v/>
      </c>
    </row>
    <row r="110">
      <c r="A110" s="4" t="n"/>
      <c r="B110" s="17" t="n"/>
      <c r="L110" s="344" t="n"/>
      <c r="M110" s="344" t="n"/>
      <c r="N110" s="344" t="n"/>
      <c r="O110" s="344" t="n"/>
      <c r="P110" s="344" t="n"/>
      <c r="Q110" s="344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44" t="n"/>
      <c r="AB110" s="344" t="n"/>
      <c r="AC110" s="344" t="n"/>
      <c r="AD110" s="344" t="n"/>
      <c r="AE110" s="344" t="n"/>
      <c r="AF110" s="344" t="n"/>
      <c r="AG110" s="344" t="n"/>
      <c r="AH110" s="344" t="n"/>
      <c r="AI110" s="344" t="n"/>
      <c r="AJ110" s="344" t="n"/>
      <c r="AK110" s="344" t="n"/>
      <c r="AL110" s="344" t="n"/>
      <c r="AM110" s="344" t="n"/>
      <c r="AN110" s="344" t="n"/>
      <c r="AO110" s="344" t="n"/>
      <c r="AP110" s="344" t="n"/>
      <c r="AQ110" s="344" t="n"/>
      <c r="AR110" s="344" t="n"/>
      <c r="AS110" s="344" t="n"/>
      <c r="AT110" s="344" t="n"/>
      <c r="AU110" s="344" t="n"/>
      <c r="AV110" s="344" t="n"/>
      <c r="AW110" s="344" t="n"/>
      <c r="AX110" s="344" t="n"/>
      <c r="AY110" s="344" t="n"/>
      <c r="AZ110" s="344" t="n"/>
      <c r="BA110" s="344" t="n"/>
      <c r="BB110" s="344" t="n"/>
      <c r="BC110" s="344" t="n"/>
      <c r="BD110" s="344" t="n"/>
      <c r="BE110" s="344" t="n"/>
      <c r="BF110" s="344" t="n"/>
      <c r="BG110" s="344" t="n"/>
      <c r="BH110" s="344" t="n"/>
      <c r="BI110" s="344" t="n"/>
      <c r="BJ110" s="344" t="n"/>
      <c r="BK110" s="344" t="n"/>
      <c r="BL110" s="344" t="n"/>
      <c r="BM110" s="344" t="n"/>
      <c r="BN110" s="344" t="n"/>
      <c r="BO110" s="344" t="n"/>
      <c r="BP110" s="344" t="n"/>
      <c r="BQ110" s="25" t="n"/>
    </row>
    <row r="111">
      <c r="A111" s="28" t="inlineStr">
        <is>
          <t>Capital Costs</t>
        </is>
      </c>
      <c r="B111" s="17" t="n"/>
      <c r="BQ111" s="25" t="n"/>
    </row>
    <row r="112">
      <c r="A112" s="4" t="inlineStr">
        <is>
          <t>Project Capital</t>
        </is>
      </c>
      <c r="B112" s="17" t="inlineStr">
        <is>
          <t>AUDk</t>
        </is>
      </c>
      <c r="D112" s="323" t="n">
        <v>0</v>
      </c>
      <c r="E112" s="323" t="n">
        <v>0</v>
      </c>
      <c r="F112" s="323" t="n">
        <v>0</v>
      </c>
      <c r="G112" s="323" t="n">
        <v>0</v>
      </c>
      <c r="H112" s="323" t="n">
        <v>0</v>
      </c>
      <c r="I112" s="323" t="n">
        <v>0</v>
      </c>
      <c r="J112" s="323" t="n">
        <v>0</v>
      </c>
      <c r="K112" s="323" t="n">
        <v>0</v>
      </c>
      <c r="L112" s="323" t="n">
        <v>0</v>
      </c>
      <c r="M112" s="323" t="n">
        <v>0</v>
      </c>
      <c r="N112" s="323" t="n">
        <v>0</v>
      </c>
      <c r="O112" s="323" t="n">
        <v>0</v>
      </c>
      <c r="P112" s="323" t="n">
        <v>0</v>
      </c>
      <c r="Q112" s="323" t="n">
        <v>0</v>
      </c>
      <c r="R112" s="323" t="n">
        <v>0</v>
      </c>
      <c r="S112" s="323" t="n">
        <v>0</v>
      </c>
      <c r="T112" s="323" t="n">
        <v>0</v>
      </c>
      <c r="U112" s="323" t="n">
        <v>0</v>
      </c>
      <c r="V112" s="323" t="n">
        <v>0</v>
      </c>
      <c r="W112" s="323" t="n">
        <v>0</v>
      </c>
      <c r="X112" s="323" t="n">
        <v>0</v>
      </c>
      <c r="Y112" s="323" t="n">
        <v>0</v>
      </c>
      <c r="Z112" s="323" t="n">
        <v>0</v>
      </c>
      <c r="AA112" s="323" t="n">
        <v>0</v>
      </c>
      <c r="AB112" s="323" t="n">
        <v>0</v>
      </c>
      <c r="AC112" s="323" t="n">
        <v>0</v>
      </c>
      <c r="AD112" s="323" t="n">
        <v>0</v>
      </c>
      <c r="AE112" s="323" t="n">
        <v>0</v>
      </c>
      <c r="AF112" s="323" t="n">
        <v>0</v>
      </c>
      <c r="AG112" s="323" t="n">
        <v>0</v>
      </c>
      <c r="AH112" s="323" t="n">
        <v>0</v>
      </c>
      <c r="AI112" s="323" t="n">
        <v>0</v>
      </c>
      <c r="AJ112" s="323" t="n">
        <v>0</v>
      </c>
      <c r="AK112" s="323" t="n">
        <v>0</v>
      </c>
      <c r="AL112" s="323" t="n">
        <v>0</v>
      </c>
      <c r="AM112" s="323" t="n">
        <v>0</v>
      </c>
      <c r="AN112" s="323" t="n">
        <v>0</v>
      </c>
      <c r="AO112" s="323" t="n">
        <v>0</v>
      </c>
      <c r="AP112" s="323" t="n">
        <v>0</v>
      </c>
      <c r="AQ112" s="323" t="n">
        <v>0</v>
      </c>
      <c r="AR112" s="323" t="n">
        <v>0</v>
      </c>
      <c r="AS112" s="323" t="n">
        <v>0</v>
      </c>
      <c r="AT112" s="323" t="n">
        <v>0</v>
      </c>
      <c r="AU112" s="323" t="n">
        <v>0</v>
      </c>
      <c r="AV112" s="323" t="n">
        <v>0</v>
      </c>
      <c r="AW112" s="323" t="n">
        <v>0</v>
      </c>
      <c r="AX112" s="323" t="n">
        <v>0</v>
      </c>
      <c r="AY112" s="323" t="n">
        <v>0</v>
      </c>
      <c r="AZ112" s="323" t="n">
        <v>0</v>
      </c>
      <c r="BA112" s="323" t="n">
        <v>0</v>
      </c>
      <c r="BB112" s="323" t="n">
        <v>0</v>
      </c>
      <c r="BC112" s="323" t="n">
        <v>0</v>
      </c>
      <c r="BD112" s="323" t="n">
        <v>0</v>
      </c>
      <c r="BE112" s="323" t="n">
        <v>0</v>
      </c>
      <c r="BF112" s="323" t="n">
        <v>0</v>
      </c>
      <c r="BG112" s="323" t="n">
        <v>0</v>
      </c>
      <c r="BH112" s="323" t="n">
        <v>0</v>
      </c>
      <c r="BI112" s="323" t="n">
        <v>0</v>
      </c>
      <c r="BJ112" s="323" t="n">
        <v>0</v>
      </c>
      <c r="BK112" s="323" t="n">
        <v>0</v>
      </c>
      <c r="BL112" s="323" t="n">
        <v>0</v>
      </c>
      <c r="BM112" s="323" t="n">
        <v>0</v>
      </c>
      <c r="BN112" s="323" t="n">
        <v>0</v>
      </c>
      <c r="BO112" s="323" t="n">
        <v>0</v>
      </c>
      <c r="BP112" s="323" t="n"/>
      <c r="BQ112" s="370">
        <f>SUM(D112:BO112)</f>
        <v/>
      </c>
    </row>
    <row r="113">
      <c r="A113" s="4" t="inlineStr">
        <is>
          <t>Mining Equipment/Major Capital</t>
        </is>
      </c>
      <c r="B113" s="17" t="inlineStr">
        <is>
          <t>AUDk</t>
        </is>
      </c>
      <c r="D113" s="323">
        <f>'Brave Blossom Capital'!D57</f>
        <v/>
      </c>
      <c r="E113" s="323">
        <f>'Brave Blossom Capital'!E57</f>
        <v/>
      </c>
      <c r="F113" s="323">
        <f>'Brave Blossom Capital'!F57</f>
        <v/>
      </c>
      <c r="G113" s="323">
        <f>'Brave Blossom Capital'!G57</f>
        <v/>
      </c>
      <c r="H113" s="323">
        <f>'Brave Blossom Capital'!H57</f>
        <v/>
      </c>
      <c r="I113" s="323">
        <f>'Brave Blossom Capital'!I57</f>
        <v/>
      </c>
      <c r="J113" s="323">
        <f>'Brave Blossom Capital'!J57</f>
        <v/>
      </c>
      <c r="K113" s="323">
        <f>'Brave Blossom Capital'!K57</f>
        <v/>
      </c>
      <c r="L113" s="323">
        <f>'Brave Blossom Capital'!L57</f>
        <v/>
      </c>
      <c r="M113" s="323">
        <f>'Brave Blossom Capital'!M57</f>
        <v/>
      </c>
      <c r="N113" s="323">
        <f>'Brave Blossom Capital'!N57</f>
        <v/>
      </c>
      <c r="O113" s="323">
        <f>'Brave Blossom Capital'!O57</f>
        <v/>
      </c>
      <c r="P113" s="323">
        <f>'Brave Blossom Capital'!P57</f>
        <v/>
      </c>
      <c r="Q113" s="323">
        <f>'Brave Blossom Capital'!Q57</f>
        <v/>
      </c>
      <c r="R113" s="323">
        <f>'Brave Blossom Capital'!R57</f>
        <v/>
      </c>
      <c r="S113" s="323">
        <f>'Brave Blossom Capital'!S57</f>
        <v/>
      </c>
      <c r="T113" s="323">
        <f>'Brave Blossom Capital'!T57</f>
        <v/>
      </c>
      <c r="U113" s="323">
        <f>'Brave Blossom Capital'!U57</f>
        <v/>
      </c>
      <c r="V113" s="323">
        <f>'Brave Blossom Capital'!V57</f>
        <v/>
      </c>
      <c r="W113" s="323">
        <f>'Brave Blossom Capital'!W57</f>
        <v/>
      </c>
      <c r="X113" s="323">
        <f>'Brave Blossom Capital'!X57</f>
        <v/>
      </c>
      <c r="Y113" s="323">
        <f>'Brave Blossom Capital'!Y57</f>
        <v/>
      </c>
      <c r="Z113" s="323">
        <f>'Brave Blossom Capital'!Z57</f>
        <v/>
      </c>
      <c r="AA113" s="323">
        <f>'Brave Blossom Capital'!AA57</f>
        <v/>
      </c>
      <c r="AB113" s="323">
        <f>'Brave Blossom Capital'!AB57</f>
        <v/>
      </c>
      <c r="AC113" s="323">
        <f>'Brave Blossom Capital'!AC57</f>
        <v/>
      </c>
      <c r="AD113" s="323">
        <f>'Brave Blossom Capital'!AD57</f>
        <v/>
      </c>
      <c r="AE113" s="323">
        <f>'Brave Blossom Capital'!AD57</f>
        <v/>
      </c>
      <c r="AF113" s="323">
        <f>'Brave Blossom Capital'!AE57</f>
        <v/>
      </c>
      <c r="AG113" s="323">
        <f>'Brave Blossom Capital'!AF57</f>
        <v/>
      </c>
      <c r="AH113" s="323">
        <f>'Brave Blossom Capital'!AG57</f>
        <v/>
      </c>
      <c r="AI113" s="323">
        <f>'Brave Blossom Capital'!AH57</f>
        <v/>
      </c>
      <c r="AJ113" s="323">
        <f>'Brave Blossom Capital'!AI57</f>
        <v/>
      </c>
      <c r="AK113" s="323">
        <f>'Brave Blossom Capital'!AJ57</f>
        <v/>
      </c>
      <c r="AL113" s="323">
        <f>'Brave Blossom Capital'!AK57</f>
        <v/>
      </c>
      <c r="AM113" s="323">
        <f>'Brave Blossom Capital'!AL57</f>
        <v/>
      </c>
      <c r="AN113" s="323">
        <f>'Brave Blossom Capital'!AM57</f>
        <v/>
      </c>
      <c r="AO113" s="323">
        <f>'Brave Blossom Capital'!AN57</f>
        <v/>
      </c>
      <c r="AP113" s="323">
        <f>'Brave Blossom Capital'!AO57</f>
        <v/>
      </c>
      <c r="AQ113" s="323">
        <f>'Brave Blossom Capital'!AP57</f>
        <v/>
      </c>
      <c r="AR113" s="323">
        <f>'Brave Blossom Capital'!AQ57</f>
        <v/>
      </c>
      <c r="AS113" s="323">
        <f>'Brave Blossom Capital'!AR57</f>
        <v/>
      </c>
      <c r="AT113" s="323">
        <f>'Brave Blossom Capital'!AS57</f>
        <v/>
      </c>
      <c r="AU113" s="323">
        <f>'Brave Blossom Capital'!AT57</f>
        <v/>
      </c>
      <c r="AV113" s="323">
        <f>'Brave Blossom Capital'!AU57</f>
        <v/>
      </c>
      <c r="AW113" s="323">
        <f>'Brave Blossom Capital'!AV57</f>
        <v/>
      </c>
      <c r="AX113" s="323">
        <f>'Brave Blossom Capital'!AW57</f>
        <v/>
      </c>
      <c r="AY113" s="323">
        <f>'Brave Blossom Capital'!AX57</f>
        <v/>
      </c>
      <c r="AZ113" s="323">
        <f>'Brave Blossom Capital'!AY57</f>
        <v/>
      </c>
      <c r="BA113" s="323">
        <f>'Brave Blossom Capital'!AZ57</f>
        <v/>
      </c>
      <c r="BB113" s="323">
        <f>'Brave Blossom Capital'!BA57</f>
        <v/>
      </c>
      <c r="BC113" s="323">
        <f>'Brave Blossom Capital'!BB57</f>
        <v/>
      </c>
      <c r="BD113" s="323">
        <f>'Brave Blossom Capital'!BC57</f>
        <v/>
      </c>
      <c r="BE113" s="323">
        <f>'Brave Blossom Capital'!BD57</f>
        <v/>
      </c>
      <c r="BF113" s="323">
        <f>'Brave Blossom Capital'!BE57</f>
        <v/>
      </c>
      <c r="BG113" s="323">
        <f>'Brave Blossom Capital'!BF57</f>
        <v/>
      </c>
      <c r="BH113" s="323">
        <f>'Brave Blossom Capital'!BG57</f>
        <v/>
      </c>
      <c r="BI113" s="323">
        <f>'Brave Blossom Capital'!BH57</f>
        <v/>
      </c>
      <c r="BJ113" s="323">
        <f>'Brave Blossom Capital'!BI57</f>
        <v/>
      </c>
      <c r="BK113" s="323">
        <f>'Brave Blossom Capital'!BJ57</f>
        <v/>
      </c>
      <c r="BL113" s="323">
        <f>'Brave Blossom Capital'!BK57</f>
        <v/>
      </c>
      <c r="BM113" s="323">
        <f>'Brave Blossom Capital'!BL57</f>
        <v/>
      </c>
      <c r="BN113" s="323">
        <f>'Brave Blossom Capital'!BM57</f>
        <v/>
      </c>
      <c r="BO113" s="323">
        <f>'Brave Blossom Capital'!BN57</f>
        <v/>
      </c>
      <c r="BP113" s="323" t="n"/>
      <c r="BQ113" s="370">
        <f>SUM(D113:BO113)</f>
        <v/>
      </c>
    </row>
    <row r="114">
      <c r="A114" s="4" t="inlineStr">
        <is>
          <t>Sustaining Capital</t>
        </is>
      </c>
      <c r="B114" s="17" t="inlineStr">
        <is>
          <t>AUD/ROMt</t>
        </is>
      </c>
      <c r="C114" s="393" t="n">
        <v>6</v>
      </c>
      <c r="D114" s="403">
        <f>$C$114*D9</f>
        <v/>
      </c>
      <c r="E114" s="403">
        <f>$C$114*E9</f>
        <v/>
      </c>
      <c r="F114" s="403">
        <f>$C$114*F9</f>
        <v/>
      </c>
      <c r="G114" s="403">
        <f>$C$114*G9</f>
        <v/>
      </c>
      <c r="H114" s="403">
        <f>$C$114*H9</f>
        <v/>
      </c>
      <c r="I114" s="403">
        <f>$C$114*I9</f>
        <v/>
      </c>
      <c r="J114" s="403">
        <f>$C$114*J9</f>
        <v/>
      </c>
      <c r="K114" s="403">
        <f>$C$114*K9</f>
        <v/>
      </c>
      <c r="L114" s="403">
        <f>$C$114*L9</f>
        <v/>
      </c>
      <c r="M114" s="403">
        <f>$C$114*M9</f>
        <v/>
      </c>
      <c r="N114" s="403">
        <f>$C$114*N9</f>
        <v/>
      </c>
      <c r="O114" s="403">
        <f>$C$114*O9</f>
        <v/>
      </c>
      <c r="P114" s="403">
        <f>$C$114*P9</f>
        <v/>
      </c>
      <c r="Q114" s="403">
        <f>$C$114*Q9</f>
        <v/>
      </c>
      <c r="R114" s="403">
        <f>$C$114*R9</f>
        <v/>
      </c>
      <c r="S114" s="403">
        <f>$C$114*S9</f>
        <v/>
      </c>
      <c r="T114" s="403">
        <f>$C$114*T9</f>
        <v/>
      </c>
      <c r="U114" s="403">
        <f>$C$114*U9</f>
        <v/>
      </c>
      <c r="V114" s="403">
        <f>$C$114*V9</f>
        <v/>
      </c>
      <c r="W114" s="403">
        <f>$C$114*W9</f>
        <v/>
      </c>
      <c r="X114" s="403">
        <f>$C$114*X9</f>
        <v/>
      </c>
      <c r="Y114" s="403">
        <f>$C$114*Y9</f>
        <v/>
      </c>
      <c r="Z114" s="403">
        <f>$C$114*Z9</f>
        <v/>
      </c>
      <c r="AA114" s="403">
        <f>$C$114*AA9</f>
        <v/>
      </c>
      <c r="AB114" s="403">
        <f>$C$114*AB9</f>
        <v/>
      </c>
      <c r="AC114" s="403">
        <f>$C$114*AC9</f>
        <v/>
      </c>
      <c r="AD114" s="403">
        <f>$C$114*AD9</f>
        <v/>
      </c>
      <c r="AE114" s="403">
        <f>$C$114*AE9</f>
        <v/>
      </c>
      <c r="AF114" s="403">
        <f>$C$114*AF9</f>
        <v/>
      </c>
      <c r="AG114" s="403">
        <f>$C$114*AG9</f>
        <v/>
      </c>
      <c r="AH114" s="403">
        <f>$C$114*AH9</f>
        <v/>
      </c>
      <c r="AI114" s="403">
        <f>$C$114*AI9</f>
        <v/>
      </c>
      <c r="AJ114" s="403">
        <f>$C$114*AJ9</f>
        <v/>
      </c>
      <c r="AK114" s="403">
        <f>$C$114*AK9</f>
        <v/>
      </c>
      <c r="AL114" s="403">
        <f>$C$114*AL9</f>
        <v/>
      </c>
      <c r="AM114" s="403">
        <f>$C$114*AM9</f>
        <v/>
      </c>
      <c r="AN114" s="403">
        <f>$C$114*AN9</f>
        <v/>
      </c>
      <c r="AO114" s="403">
        <f>$C$114*AO9</f>
        <v/>
      </c>
      <c r="AP114" s="403">
        <f>$C$114*AP9</f>
        <v/>
      </c>
      <c r="AQ114" s="403">
        <f>$C$114*AQ9</f>
        <v/>
      </c>
      <c r="AR114" s="403">
        <f>$C$114*AR9</f>
        <v/>
      </c>
      <c r="AS114" s="403">
        <f>$C$114*AS9</f>
        <v/>
      </c>
      <c r="AT114" s="403">
        <f>$C$114*AT9</f>
        <v/>
      </c>
      <c r="AU114" s="403">
        <f>$C$114*AU9</f>
        <v/>
      </c>
      <c r="AV114" s="403">
        <f>$C$114*AV9</f>
        <v/>
      </c>
      <c r="AW114" s="403">
        <f>$C$114*AW9</f>
        <v/>
      </c>
      <c r="AX114" s="403">
        <f>$C$114*AX9</f>
        <v/>
      </c>
      <c r="AY114" s="403">
        <f>$C$114*AY9</f>
        <v/>
      </c>
      <c r="AZ114" s="403">
        <f>$C$114*AZ9</f>
        <v/>
      </c>
      <c r="BA114" s="403">
        <f>$C$114*BA9</f>
        <v/>
      </c>
      <c r="BB114" s="403">
        <f>$C$114*BB9</f>
        <v/>
      </c>
      <c r="BC114" s="403">
        <f>$C$114*BC9</f>
        <v/>
      </c>
      <c r="BD114" s="403">
        <f>$C$114*BD9</f>
        <v/>
      </c>
      <c r="BE114" s="403">
        <f>$C$114*BE9</f>
        <v/>
      </c>
      <c r="BF114" s="403">
        <f>$C$114*BF9</f>
        <v/>
      </c>
      <c r="BG114" s="403">
        <f>$C$114*BG9</f>
        <v/>
      </c>
      <c r="BH114" s="403">
        <f>$C$114*BH9</f>
        <v/>
      </c>
      <c r="BI114" s="403">
        <f>$C$114*BI9</f>
        <v/>
      </c>
      <c r="BJ114" s="403">
        <f>$C$114*BJ9</f>
        <v/>
      </c>
      <c r="BK114" s="403">
        <f>$C$114*BK9</f>
        <v/>
      </c>
      <c r="BL114" s="403">
        <f>$C$114*BL9</f>
        <v/>
      </c>
      <c r="BM114" s="403">
        <f>$C$114*BM9</f>
        <v/>
      </c>
      <c r="BN114" s="403">
        <f>$C$114*BN9</f>
        <v/>
      </c>
      <c r="BO114" s="403">
        <f>$C$114*BO9</f>
        <v/>
      </c>
      <c r="BP114" s="403" t="n"/>
      <c r="BQ114" s="383">
        <f>SUM(D114:BO114)</f>
        <v/>
      </c>
    </row>
    <row r="115">
      <c r="A115" s="4" t="inlineStr">
        <is>
          <t>Total Capital</t>
        </is>
      </c>
      <c r="B115" s="17" t="inlineStr">
        <is>
          <t>AUDk</t>
        </is>
      </c>
      <c r="D115" s="344">
        <f>SUM(D112:D114)*(1+$BT$14)</f>
        <v/>
      </c>
      <c r="E115" s="344">
        <f>SUM(E112:E114)*(1+$BT$14)</f>
        <v/>
      </c>
      <c r="F115" s="344">
        <f>SUM(F112:F114)*(1+$BT$14)</f>
        <v/>
      </c>
      <c r="G115" s="344">
        <f>SUM(G112:G114)*(1+$BT$14)</f>
        <v/>
      </c>
      <c r="H115" s="344">
        <f>SUM(H112:H114)*(1+$BT$14)</f>
        <v/>
      </c>
      <c r="I115" s="344">
        <f>SUM(I112:I114)*(1+$BT$14)</f>
        <v/>
      </c>
      <c r="J115" s="344">
        <f>SUM(J112:J114)*(1+$BT$14)</f>
        <v/>
      </c>
      <c r="K115" s="344">
        <f>SUM(K112:K114)*(1+$BT$14)</f>
        <v/>
      </c>
      <c r="L115" s="344">
        <f>SUM(L112:L114)*(1+$BT$14)</f>
        <v/>
      </c>
      <c r="M115" s="344">
        <f>SUM(M112:M114)*(1+$BT$14)</f>
        <v/>
      </c>
      <c r="N115" s="344">
        <f>SUM(N112:N114)*(1+$BT$14)</f>
        <v/>
      </c>
      <c r="O115" s="344">
        <f>SUM(O112:O114)*(1+$BT$14)</f>
        <v/>
      </c>
      <c r="P115" s="344">
        <f>SUM(P112:P114)*(1+$BT$14)</f>
        <v/>
      </c>
      <c r="Q115" s="344">
        <f>SUM(Q112:Q114)*(1+$BT$14)</f>
        <v/>
      </c>
      <c r="R115" s="344">
        <f>SUM(R112:R114)*(1+$BT$14)</f>
        <v/>
      </c>
      <c r="S115" s="344">
        <f>SUM(S112:S114)*(1+$BT$14)</f>
        <v/>
      </c>
      <c r="T115" s="344">
        <f>SUM(T112:T114)*(1+$BT$14)</f>
        <v/>
      </c>
      <c r="U115" s="344">
        <f>SUM(U112:U114)*(1+$BT$14)</f>
        <v/>
      </c>
      <c r="V115" s="344">
        <f>SUM(V112:V114)*(1+$BT$14)</f>
        <v/>
      </c>
      <c r="W115" s="344">
        <f>SUM(W112:W114)*(1+$BT$14)</f>
        <v/>
      </c>
      <c r="X115" s="344">
        <f>SUM(X112:X114)*(1+$BT$14)</f>
        <v/>
      </c>
      <c r="Y115" s="344">
        <f>SUM(Y112:Y114)*(1+$BT$14)</f>
        <v/>
      </c>
      <c r="Z115" s="344">
        <f>SUM(Z112:Z114)*(1+$BT$14)</f>
        <v/>
      </c>
      <c r="AA115" s="344">
        <f>SUM(AA112:AA114)*(1+$BT$14)</f>
        <v/>
      </c>
      <c r="AB115" s="344">
        <f>SUM(AB112:AB114)*(1+$BT$14)</f>
        <v/>
      </c>
      <c r="AC115" s="344">
        <f>SUM(AC112:AC114)*(1+$BT$14)</f>
        <v/>
      </c>
      <c r="AD115" s="344">
        <f>SUM(AD112:AD114)*(1+$BT$14)</f>
        <v/>
      </c>
      <c r="AE115" s="344">
        <f>SUM(AE112:AE114)*(1+$BT$14)</f>
        <v/>
      </c>
      <c r="AF115" s="344">
        <f>SUM(AF112:AF114)*(1+$BT$14)</f>
        <v/>
      </c>
      <c r="AG115" s="344">
        <f>SUM(AG112:AG114)*(1+$BT$14)</f>
        <v/>
      </c>
      <c r="AH115" s="344">
        <f>SUM(AH112:AH114)*(1+$BT$14)</f>
        <v/>
      </c>
      <c r="AI115" s="344">
        <f>SUM(AI112:AI114)*(1+$BT$14)</f>
        <v/>
      </c>
      <c r="AJ115" s="344">
        <f>SUM(AJ112:AJ114)*(1+$BT$14)</f>
        <v/>
      </c>
      <c r="AK115" s="344">
        <f>SUM(AK112:AK114)*(1+$BT$14)</f>
        <v/>
      </c>
      <c r="AL115" s="344">
        <f>SUM(AL112:AL114)*(1+$BT$14)</f>
        <v/>
      </c>
      <c r="AM115" s="344">
        <f>SUM(AM112:AM114)*(1+$BT$14)</f>
        <v/>
      </c>
      <c r="AN115" s="344">
        <f>SUM(AN112:AN114)*(1+$BT$14)</f>
        <v/>
      </c>
      <c r="AO115" s="344">
        <f>SUM(AO112:AO114)*(1+$BT$14)</f>
        <v/>
      </c>
      <c r="AP115" s="344">
        <f>SUM(AP112:AP114)*(1+$BT$14)</f>
        <v/>
      </c>
      <c r="AQ115" s="344">
        <f>SUM(AQ112:AQ114)*(1+$BT$14)</f>
        <v/>
      </c>
      <c r="AR115" s="344">
        <f>SUM(AR112:AR114)*(1+$BT$14)</f>
        <v/>
      </c>
      <c r="AS115" s="344">
        <f>SUM(AS112:AS114)*(1+$BT$14)</f>
        <v/>
      </c>
      <c r="AT115" s="344">
        <f>SUM(AT112:AT114)*(1+$BT$14)</f>
        <v/>
      </c>
      <c r="AU115" s="344">
        <f>SUM(AU112:AU114)*(1+$BT$14)</f>
        <v/>
      </c>
      <c r="AV115" s="344">
        <f>SUM(AV112:AV114)*(1+$BT$14)</f>
        <v/>
      </c>
      <c r="AW115" s="344">
        <f>SUM(AW112:AW114)*(1+$BT$14)</f>
        <v/>
      </c>
      <c r="AX115" s="344">
        <f>SUM(AX112:AX114)*(1+$BT$14)</f>
        <v/>
      </c>
      <c r="AY115" s="344">
        <f>SUM(AY112:AY114)*(1+$BT$14)</f>
        <v/>
      </c>
      <c r="AZ115" s="344">
        <f>SUM(AZ112:AZ114)*(1+$BT$14)</f>
        <v/>
      </c>
      <c r="BA115" s="344">
        <f>SUM(BA112:BA114)*(1+$BT$14)</f>
        <v/>
      </c>
      <c r="BB115" s="344">
        <f>SUM(BB112:BB114)*(1+$BT$14)</f>
        <v/>
      </c>
      <c r="BC115" s="344">
        <f>SUM(BC112:BC114)*(1+$BT$14)</f>
        <v/>
      </c>
      <c r="BD115" s="344">
        <f>SUM(BD112:BD114)*(1+$BT$14)</f>
        <v/>
      </c>
      <c r="BE115" s="344">
        <f>SUM(BE112:BE114)*(1+$BT$14)</f>
        <v/>
      </c>
      <c r="BF115" s="344">
        <f>SUM(BF112:BF114)*(1+$BT$14)</f>
        <v/>
      </c>
      <c r="BG115" s="344">
        <f>SUM(BG112:BG114)*(1+$BT$14)</f>
        <v/>
      </c>
      <c r="BH115" s="344">
        <f>SUM(BH112:BH114)*(1+$BT$14)</f>
        <v/>
      </c>
      <c r="BI115" s="344">
        <f>SUM(BI112:BI114)*(1+$BT$14)</f>
        <v/>
      </c>
      <c r="BJ115" s="344">
        <f>SUM(BJ112:BJ114)*(1+$BT$14)</f>
        <v/>
      </c>
      <c r="BK115" s="344">
        <f>SUM(BK112:BK114)*(1+$BT$14)</f>
        <v/>
      </c>
      <c r="BL115" s="344">
        <f>SUM(BL112:BL114)*(1+$BT$14)</f>
        <v/>
      </c>
      <c r="BM115" s="344">
        <f>SUM(BM112:BM114)*(1+$BT$14)</f>
        <v/>
      </c>
      <c r="BN115" s="344">
        <f>SUM(BN112:BN114)*(1+$BT$14)</f>
        <v/>
      </c>
      <c r="BO115" s="344">
        <f>SUM(BO112:BO114)*(1+$BT$14)</f>
        <v/>
      </c>
      <c r="BP115" s="344" t="n"/>
      <c r="BQ115" s="370">
        <f>SUM(D115:BO115)</f>
        <v/>
      </c>
    </row>
    <row r="116">
      <c r="A116" s="4" t="inlineStr">
        <is>
          <t>Depreciation</t>
        </is>
      </c>
      <c r="B116" s="17" t="inlineStr">
        <is>
          <t>AUDk</t>
        </is>
      </c>
      <c r="D116" s="344">
        <f>D132</f>
        <v/>
      </c>
      <c r="E116" s="344">
        <f>E132</f>
        <v/>
      </c>
      <c r="F116" s="344">
        <f>F132</f>
        <v/>
      </c>
      <c r="G116" s="344">
        <f>G132</f>
        <v/>
      </c>
      <c r="H116" s="344">
        <f>H132</f>
        <v/>
      </c>
      <c r="I116" s="344">
        <f>I132</f>
        <v/>
      </c>
      <c r="J116" s="344">
        <f>J132</f>
        <v/>
      </c>
      <c r="K116" s="344">
        <f>K132</f>
        <v/>
      </c>
      <c r="L116" s="344">
        <f>L132</f>
        <v/>
      </c>
      <c r="M116" s="344">
        <f>M132</f>
        <v/>
      </c>
      <c r="N116" s="344">
        <f>N132</f>
        <v/>
      </c>
      <c r="O116" s="344">
        <f>O132</f>
        <v/>
      </c>
      <c r="P116" s="344">
        <f>P132</f>
        <v/>
      </c>
      <c r="Q116" s="344">
        <f>Q132</f>
        <v/>
      </c>
      <c r="R116" s="344">
        <f>R132</f>
        <v/>
      </c>
      <c r="S116" s="344">
        <f>S132</f>
        <v/>
      </c>
      <c r="T116" s="344">
        <f>T132</f>
        <v/>
      </c>
      <c r="U116" s="344">
        <f>U132</f>
        <v/>
      </c>
      <c r="V116" s="344">
        <f>V132</f>
        <v/>
      </c>
      <c r="W116" s="344">
        <f>W132</f>
        <v/>
      </c>
      <c r="X116" s="344">
        <f>X132</f>
        <v/>
      </c>
      <c r="Y116" s="344">
        <f>Y132</f>
        <v/>
      </c>
      <c r="Z116" s="344">
        <f>Z132</f>
        <v/>
      </c>
      <c r="AA116" s="344">
        <f>AA132</f>
        <v/>
      </c>
      <c r="AB116" s="344">
        <f>AB132</f>
        <v/>
      </c>
      <c r="AC116" s="344">
        <f>AC132</f>
        <v/>
      </c>
      <c r="AD116" s="344">
        <f>AD132</f>
        <v/>
      </c>
      <c r="AE116" s="344">
        <f>AE132</f>
        <v/>
      </c>
      <c r="AF116" s="344">
        <f>AF132</f>
        <v/>
      </c>
      <c r="AG116" s="344">
        <f>AG132</f>
        <v/>
      </c>
      <c r="AH116" s="344">
        <f>AH132</f>
        <v/>
      </c>
      <c r="AI116" s="344">
        <f>AI132</f>
        <v/>
      </c>
      <c r="AJ116" s="344">
        <f>AJ132</f>
        <v/>
      </c>
      <c r="AK116" s="344">
        <f>AK132</f>
        <v/>
      </c>
      <c r="AL116" s="344">
        <f>AL132</f>
        <v/>
      </c>
      <c r="AM116" s="344">
        <f>AM132</f>
        <v/>
      </c>
      <c r="AN116" s="344">
        <f>AN132</f>
        <v/>
      </c>
      <c r="AO116" s="344">
        <f>AO132</f>
        <v/>
      </c>
      <c r="AP116" s="344">
        <f>AP132</f>
        <v/>
      </c>
      <c r="AQ116" s="344">
        <f>AQ132</f>
        <v/>
      </c>
      <c r="AR116" s="344">
        <f>AR132</f>
        <v/>
      </c>
      <c r="AS116" s="344">
        <f>AS132</f>
        <v/>
      </c>
      <c r="AT116" s="344">
        <f>AT132</f>
        <v/>
      </c>
      <c r="AU116" s="344">
        <f>AU132</f>
        <v/>
      </c>
      <c r="AV116" s="344">
        <f>AV132</f>
        <v/>
      </c>
      <c r="AW116" s="344">
        <f>AW132</f>
        <v/>
      </c>
      <c r="AX116" s="344">
        <f>AX132</f>
        <v/>
      </c>
      <c r="AY116" s="344">
        <f>AY132</f>
        <v/>
      </c>
      <c r="AZ116" s="344">
        <f>AZ132</f>
        <v/>
      </c>
      <c r="BA116" s="344">
        <f>BA132</f>
        <v/>
      </c>
      <c r="BB116" s="344">
        <f>BB132</f>
        <v/>
      </c>
      <c r="BC116" s="344">
        <f>BC132</f>
        <v/>
      </c>
      <c r="BD116" s="344">
        <f>BD132</f>
        <v/>
      </c>
      <c r="BE116" s="344">
        <f>BE132</f>
        <v/>
      </c>
      <c r="BF116" s="344">
        <f>BF132</f>
        <v/>
      </c>
      <c r="BG116" s="344">
        <f>BG132</f>
        <v/>
      </c>
      <c r="BH116" s="344">
        <f>BH132</f>
        <v/>
      </c>
      <c r="BI116" s="344">
        <f>BI132</f>
        <v/>
      </c>
      <c r="BJ116" s="344">
        <f>BJ132</f>
        <v/>
      </c>
      <c r="BK116" s="344">
        <f>BK132</f>
        <v/>
      </c>
      <c r="BL116" s="344">
        <f>BL132</f>
        <v/>
      </c>
      <c r="BM116" s="344">
        <f>BM132</f>
        <v/>
      </c>
      <c r="BN116" s="344">
        <f>BN132</f>
        <v/>
      </c>
      <c r="BO116" s="344">
        <f>BO132</f>
        <v/>
      </c>
      <c r="BP116" s="344" t="n"/>
      <c r="BQ116" s="370" t="n"/>
    </row>
    <row r="117">
      <c r="A117" s="4" t="n"/>
      <c r="B117" s="17" t="n"/>
      <c r="D117" s="344" t="n"/>
      <c r="E117" s="344" t="n"/>
      <c r="F117" s="344" t="n"/>
      <c r="G117" s="344" t="n"/>
      <c r="H117" s="344" t="n"/>
      <c r="I117" s="344" t="n"/>
      <c r="J117" s="344" t="n"/>
      <c r="K117" s="344" t="n"/>
      <c r="L117" s="344" t="n"/>
      <c r="M117" s="344" t="n"/>
      <c r="N117" s="344" t="n"/>
      <c r="O117" s="344" t="n"/>
      <c r="P117" s="344" t="n"/>
      <c r="Q117" s="344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44" t="n"/>
      <c r="AB117" s="344" t="n"/>
      <c r="AC117" s="344" t="n"/>
      <c r="AD117" s="344" t="n"/>
      <c r="AE117" s="344" t="n"/>
      <c r="AF117" s="344" t="n"/>
      <c r="AG117" s="344" t="n"/>
      <c r="AH117" s="344" t="n"/>
      <c r="AI117" s="344" t="n"/>
      <c r="AJ117" s="344" t="n"/>
      <c r="AK117" s="344" t="n"/>
      <c r="AL117" s="344" t="n"/>
      <c r="AM117" s="344" t="n"/>
      <c r="AN117" s="344" t="n"/>
      <c r="AO117" s="344" t="n"/>
      <c r="AP117" s="344" t="n"/>
      <c r="AQ117" s="344" t="n"/>
      <c r="AR117" s="344" t="n"/>
      <c r="AS117" s="344" t="n"/>
      <c r="AT117" s="344" t="n"/>
      <c r="AU117" s="344" t="n"/>
      <c r="AV117" s="344" t="n"/>
      <c r="AW117" s="344" t="n"/>
      <c r="AX117" s="344" t="n"/>
      <c r="AY117" s="344" t="n"/>
      <c r="AZ117" s="344" t="n"/>
      <c r="BA117" s="344" t="n"/>
      <c r="BB117" s="344" t="n"/>
      <c r="BC117" s="344" t="n"/>
      <c r="BD117" s="344" t="n"/>
      <c r="BE117" s="344" t="n"/>
      <c r="BF117" s="344" t="n"/>
      <c r="BG117" s="344" t="n"/>
      <c r="BH117" s="344" t="n"/>
      <c r="BI117" s="344" t="n"/>
      <c r="BJ117" s="344" t="n"/>
      <c r="BK117" s="344" t="n"/>
      <c r="BL117" s="344" t="n"/>
      <c r="BM117" s="344" t="n"/>
      <c r="BN117" s="344" t="n"/>
      <c r="BO117" s="344" t="n"/>
      <c r="BP117" s="344" t="n"/>
      <c r="BQ117" s="370" t="n"/>
    </row>
    <row r="118">
      <c r="A118" s="28" t="inlineStr">
        <is>
          <t>Net Cashflow Before Tax</t>
        </is>
      </c>
      <c r="B118" s="56" t="inlineStr">
        <is>
          <t>AUDk</t>
        </is>
      </c>
      <c r="C118" s="1" t="n"/>
      <c r="D118" s="404">
        <f>D101-D108-D115</f>
        <v/>
      </c>
      <c r="E118" s="404">
        <f>E101-E108-E115</f>
        <v/>
      </c>
      <c r="F118" s="404">
        <f>F101-F108-F115</f>
        <v/>
      </c>
      <c r="G118" s="404">
        <f>G101-G108-G115</f>
        <v/>
      </c>
      <c r="H118" s="404">
        <f>H101-H108-H115</f>
        <v/>
      </c>
      <c r="I118" s="404">
        <f>I101-I108-I115</f>
        <v/>
      </c>
      <c r="J118" s="404">
        <f>J101-J108-J115</f>
        <v/>
      </c>
      <c r="K118" s="404">
        <f>K101-K108-K115</f>
        <v/>
      </c>
      <c r="L118" s="404">
        <f>L101-L108-L115</f>
        <v/>
      </c>
      <c r="M118" s="404">
        <f>M101-M108-M115</f>
        <v/>
      </c>
      <c r="N118" s="404">
        <f>N101-N108-N115</f>
        <v/>
      </c>
      <c r="O118" s="404">
        <f>O101-O108-O115</f>
        <v/>
      </c>
      <c r="P118" s="404">
        <f>P101-P108-P115</f>
        <v/>
      </c>
      <c r="Q118" s="404">
        <f>Q101-Q108-Q115</f>
        <v/>
      </c>
      <c r="R118" s="404">
        <f>R101-R108-R115</f>
        <v/>
      </c>
      <c r="S118" s="404">
        <f>S101-S108-S115</f>
        <v/>
      </c>
      <c r="T118" s="404">
        <f>T101-T108-T115</f>
        <v/>
      </c>
      <c r="U118" s="404">
        <f>U101-U108-U115</f>
        <v/>
      </c>
      <c r="V118" s="404">
        <f>V101-V108-V115</f>
        <v/>
      </c>
      <c r="W118" s="404">
        <f>W101-W108-W115</f>
        <v/>
      </c>
      <c r="X118" s="404">
        <f>X101-X108-X115</f>
        <v/>
      </c>
      <c r="Y118" s="404">
        <f>Y101-Y108-Y115</f>
        <v/>
      </c>
      <c r="Z118" s="404">
        <f>Z101-Z108-Z115</f>
        <v/>
      </c>
      <c r="AA118" s="404">
        <f>AA101-AA108-AA115</f>
        <v/>
      </c>
      <c r="AB118" s="404">
        <f>AB101-AB108-AB115</f>
        <v/>
      </c>
      <c r="AC118" s="404">
        <f>AC101-AC108-AC115</f>
        <v/>
      </c>
      <c r="AD118" s="404">
        <f>AD101-AD108-AD115</f>
        <v/>
      </c>
      <c r="AE118" s="404">
        <f>AE101-AE108-AE115</f>
        <v/>
      </c>
      <c r="AF118" s="404">
        <f>AF101-AF108-AF115</f>
        <v/>
      </c>
      <c r="AG118" s="404">
        <f>AG101-AG108-AG115</f>
        <v/>
      </c>
      <c r="AH118" s="404">
        <f>AH101-AH108-AH115</f>
        <v/>
      </c>
      <c r="AI118" s="404">
        <f>AI101-AI108-AI115</f>
        <v/>
      </c>
      <c r="AJ118" s="404">
        <f>AJ101-AJ108-AJ115</f>
        <v/>
      </c>
      <c r="AK118" s="404">
        <f>AK101-AK108-AK115</f>
        <v/>
      </c>
      <c r="AL118" s="404">
        <f>AL101-AL108-AL115</f>
        <v/>
      </c>
      <c r="AM118" s="404">
        <f>AM101-AM108-AM115</f>
        <v/>
      </c>
      <c r="AN118" s="404">
        <f>AN101-AN108-AN115</f>
        <v/>
      </c>
      <c r="AO118" s="404">
        <f>AO101-AO108-AO115</f>
        <v/>
      </c>
      <c r="AP118" s="404">
        <f>AP101-AP108-AP115</f>
        <v/>
      </c>
      <c r="AQ118" s="404">
        <f>AQ101-AQ108-AQ115</f>
        <v/>
      </c>
      <c r="AR118" s="404">
        <f>AR101-AR108-AR115</f>
        <v/>
      </c>
      <c r="AS118" s="404">
        <f>AS101-AS108-AS115</f>
        <v/>
      </c>
      <c r="AT118" s="404">
        <f>AT101-AT108-AT115</f>
        <v/>
      </c>
      <c r="AU118" s="404">
        <f>AU101-AU108-AU115</f>
        <v/>
      </c>
      <c r="AV118" s="404">
        <f>AV101-AV108-AV115</f>
        <v/>
      </c>
      <c r="AW118" s="404">
        <f>AW101-AW108-AW115</f>
        <v/>
      </c>
      <c r="AX118" s="404">
        <f>AX101-AX108-AX115</f>
        <v/>
      </c>
      <c r="AY118" s="404">
        <f>AY101-AY108-AY115</f>
        <v/>
      </c>
      <c r="AZ118" s="404">
        <f>AZ101-AZ108-AZ115</f>
        <v/>
      </c>
      <c r="BA118" s="404">
        <f>BA101-BA108-BA115</f>
        <v/>
      </c>
      <c r="BB118" s="404">
        <f>BB101-BB108-BB115</f>
        <v/>
      </c>
      <c r="BC118" s="404">
        <f>BC101-BC108-BC115</f>
        <v/>
      </c>
      <c r="BD118" s="404">
        <f>BD101-BD108-BD115</f>
        <v/>
      </c>
      <c r="BE118" s="404">
        <f>BE101-BE108-BE115</f>
        <v/>
      </c>
      <c r="BF118" s="404">
        <f>BF101-BF108-BF115</f>
        <v/>
      </c>
      <c r="BG118" s="404">
        <f>BG101-BG108-BG115</f>
        <v/>
      </c>
      <c r="BH118" s="404">
        <f>BH101-BH108-BH115</f>
        <v/>
      </c>
      <c r="BI118" s="404">
        <f>BI101-BI108-BI115</f>
        <v/>
      </c>
      <c r="BJ118" s="404">
        <f>BJ101-BJ108-BJ115</f>
        <v/>
      </c>
      <c r="BK118" s="404">
        <f>BK101-BK108-BK115</f>
        <v/>
      </c>
      <c r="BL118" s="404">
        <f>BL101-BL108-BL115</f>
        <v/>
      </c>
      <c r="BM118" s="404">
        <f>BM101-BM108-BM115</f>
        <v/>
      </c>
      <c r="BN118" s="404">
        <f>BN101-BN108-BN115</f>
        <v/>
      </c>
      <c r="BO118" s="404">
        <f>BO101-BO108-BO115</f>
        <v/>
      </c>
      <c r="BP118" s="404" t="n"/>
      <c r="BQ118" s="402">
        <f>BQ101-BQ108-BQ115</f>
        <v/>
      </c>
    </row>
    <row r="119">
      <c r="A119" s="4" t="inlineStr">
        <is>
          <t>Tax Paid</t>
        </is>
      </c>
      <c r="B119" s="17" t="inlineStr">
        <is>
          <t>AUDk</t>
        </is>
      </c>
      <c r="C119" s="43" t="n">
        <v>0.3</v>
      </c>
      <c r="D119" s="323">
        <f>IF((D101-D109-D116)*$C$119&gt;0,(D101-D109-D116)*$C$119,0)</f>
        <v/>
      </c>
      <c r="E119" s="323">
        <f>IF((E101-E109-E116)*$C$119&gt;0,(E101-E109-E116)*$C$119,0)</f>
        <v/>
      </c>
      <c r="F119" s="323">
        <f>IF((F101-F109-F116)*$C$119&gt;0,(F101-F109-F116)*$C$119,0)</f>
        <v/>
      </c>
      <c r="G119" s="323">
        <f>IF((G101-G109-G116)*$C$119&gt;0,(G101-G109-G116)*$C$119,0)</f>
        <v/>
      </c>
      <c r="H119" s="323">
        <f>IF((H101-H109-H116)*$C$119&gt;0,(H101-H109-H116)*$C$119,0)</f>
        <v/>
      </c>
      <c r="I119" s="323">
        <f>IF((I101-I109-I116)*$C$119&gt;0,(I101-I109-I116)*$C$119,0)</f>
        <v/>
      </c>
      <c r="J119" s="323">
        <f>IF((J101-J109-J116)*$C$119&gt;0,(J101-J109-J116)*$C$119,0)</f>
        <v/>
      </c>
      <c r="K119" s="323">
        <f>IF((K101-K109-K116)*$C$119&gt;0,(K101-K109-K116)*$C$119,0)</f>
        <v/>
      </c>
      <c r="L119" s="323">
        <f>IF((L101-L109-L116)*$C$119&gt;0,(L101-L109-L116)*$C$119,0)</f>
        <v/>
      </c>
      <c r="M119" s="323">
        <f>IF((M101-M109-M116)*$C$119&gt;0,(M101-M109-M116)*$C$119,0)</f>
        <v/>
      </c>
      <c r="N119" s="323">
        <f>IF((N101-N109-N116)*$C$119&gt;0,(N101-N109-N116)*$C$119,0)</f>
        <v/>
      </c>
      <c r="O119" s="323">
        <f>IF((O101-O109-O116)*$C$119&gt;0,(O101-O109-O116)*$C$119,0)</f>
        <v/>
      </c>
      <c r="P119" s="323">
        <f>IF((P101-P109-P116)*$C$119&gt;0,(P101-P109-P116)*$C$119,0)</f>
        <v/>
      </c>
      <c r="Q119" s="323">
        <f>IF((Q101-Q109-Q116)*$C$119&gt;0,(Q101-Q109-Q116)*$C$119,0)</f>
        <v/>
      </c>
      <c r="R119" s="323">
        <f>IF((R101-R109-R116)*$C$119&gt;0,(R101-R109-R116)*$C$119,0)</f>
        <v/>
      </c>
      <c r="S119" s="323">
        <f>IF((S101-S109-S116)*$C$119&gt;0,(S101-S109-S116)*$C$119,0)</f>
        <v/>
      </c>
      <c r="T119" s="323">
        <f>IF((T101-T109-T116)*$C$119&gt;0,(T101-T109-T116)*$C$119,0)</f>
        <v/>
      </c>
      <c r="U119" s="323">
        <f>IF((U101-U109-U116)*$C$119&gt;0,(U101-U109-U116)*$C$119,0)</f>
        <v/>
      </c>
      <c r="V119" s="323">
        <f>IF((V101-V109-V116)*$C$119&gt;0,(V101-V109-V116)*$C$119,0)</f>
        <v/>
      </c>
      <c r="W119" s="323">
        <f>IF((W101-W109-W116)*$C$119&gt;0,(W101-W109-W116)*$C$119,0)</f>
        <v/>
      </c>
      <c r="X119" s="323">
        <f>IF((X101-X109-X116)*$C$119&gt;0,(X101-X109-X116)*$C$119,0)</f>
        <v/>
      </c>
      <c r="Y119" s="323">
        <f>IF((Y101-Y109-Y116)*$C$119&gt;0,(Y101-Y109-Y116)*$C$119,0)</f>
        <v/>
      </c>
      <c r="Z119" s="323">
        <f>IF((Z101-Z109-Z116)*$C$119&gt;0,(Z101-Z109-Z116)*$C$119,0)</f>
        <v/>
      </c>
      <c r="AA119" s="323">
        <f>IF((AA101-AA109-AA116)*$C$119&gt;0,(AA101-AA109-AA116)*$C$119,0)</f>
        <v/>
      </c>
      <c r="AB119" s="323">
        <f>IF((AB101-AB109-AB116)*$C$119&gt;0,(AB101-AB109-AB116)*$C$119,0)</f>
        <v/>
      </c>
      <c r="AC119" s="323">
        <f>IF((AC101-AC109-AC116)*$C$119&gt;0,(AC101-AC109-AC116)*$C$119,0)</f>
        <v/>
      </c>
      <c r="AD119" s="323">
        <f>IF((AD101-AD109-AD116)*$C$119&gt;0,(AD101-AD109-AD116)*$C$119,0)</f>
        <v/>
      </c>
      <c r="AE119" s="323">
        <f>IF((AE101-AE109-AE116)*$C$119&gt;0,(AE101-AE109-AE116)*$C$119,0)</f>
        <v/>
      </c>
      <c r="AF119" s="323">
        <f>IF((AF101-AF109-AF116)*$C$119&gt;0,(AF101-AF109-AF116)*$C$119,0)</f>
        <v/>
      </c>
      <c r="AG119" s="323">
        <f>IF((AG101-AG109-AG116)*$C$119&gt;0,(AG101-AG109-AG116)*$C$119,0)</f>
        <v/>
      </c>
      <c r="AH119" s="323">
        <f>IF((AH101-AH109-AH116)*$C$119&gt;0,(AH101-AH109-AH116)*$C$119,0)</f>
        <v/>
      </c>
      <c r="AI119" s="323">
        <f>IF((AI101-AI109-AI116)*$C$119&gt;0,(AI101-AI109-AI116)*$C$119,0)</f>
        <v/>
      </c>
      <c r="AJ119" s="323">
        <f>IF((AJ101-AJ109-AJ116)*$C$119&gt;0,(AJ101-AJ109-AJ116)*$C$119,0)</f>
        <v/>
      </c>
      <c r="AK119" s="323">
        <f>IF((AK101-AK109-AK116)*$C$119&gt;0,(AK101-AK109-AK116)*$C$119,0)</f>
        <v/>
      </c>
      <c r="AL119" s="323">
        <f>IF((AL101-AL109-AL116)*$C$119&gt;0,(AL101-AL109-AL116)*$C$119,0)</f>
        <v/>
      </c>
      <c r="AM119" s="323">
        <f>IF((AM101-AM109-AM116)*$C$119&gt;0,(AM101-AM109-AM116)*$C$119,0)</f>
        <v/>
      </c>
      <c r="AN119" s="323">
        <f>IF((AN101-AN109-AN116)*$C$119&gt;0,(AN101-AN109-AN116)*$C$119,0)</f>
        <v/>
      </c>
      <c r="AO119" s="323">
        <f>IF((AO101-AO109-AO116)*$C$119&gt;0,(AO101-AO109-AO116)*$C$119,0)</f>
        <v/>
      </c>
      <c r="AP119" s="323">
        <f>IF((AP101-AP109-AP116)*$C$119&gt;0,(AP101-AP109-AP116)*$C$119,0)</f>
        <v/>
      </c>
      <c r="AQ119" s="323">
        <f>IF((AQ101-AQ109-AQ116)*$C$119&gt;0,(AQ101-AQ109-AQ116)*$C$119,0)</f>
        <v/>
      </c>
      <c r="AR119" s="323">
        <f>IF((AR101-AR109-AR116)*$C$119&gt;0,(AR101-AR109-AR116)*$C$119,0)</f>
        <v/>
      </c>
      <c r="AS119" s="323">
        <f>IF((AS101-AS109-AS116)*$C$119&gt;0,(AS101-AS109-AS116)*$C$119,0)</f>
        <v/>
      </c>
      <c r="AT119" s="323">
        <f>IF((AT101-AT109-AT116)*$C$119&gt;0,(AT101-AT109-AT116)*$C$119,0)</f>
        <v/>
      </c>
      <c r="AU119" s="323">
        <f>IF((AU101-AU109-AU116)*$C$119&gt;0,(AU101-AU109-AU116)*$C$119,0)</f>
        <v/>
      </c>
      <c r="AV119" s="323">
        <f>IF((AV101-AV109-AV116)*$C$119&gt;0,(AV101-AV109-AV116)*$C$119,0)</f>
        <v/>
      </c>
      <c r="AW119" s="323">
        <f>IF((AW101-AW109-AW116)*$C$119&gt;0,(AW101-AW109-AW116)*$C$119,0)</f>
        <v/>
      </c>
      <c r="AX119" s="323">
        <f>IF((AX101-AX109-AX116)*$C$119&gt;0,(AX101-AX109-AX116)*$C$119,0)</f>
        <v/>
      </c>
      <c r="AY119" s="323">
        <f>IF((AY101-AY109-AY116)*$C$119&gt;0,(AY101-AY109-AY116)*$C$119,0)</f>
        <v/>
      </c>
      <c r="AZ119" s="323">
        <f>IF((AZ101-AZ109-AZ116)*$C$119&gt;0,(AZ101-AZ109-AZ116)*$C$119,0)</f>
        <v/>
      </c>
      <c r="BA119" s="323">
        <f>IF((BA101-BA109-BA116)*$C$119&gt;0,(BA101-BA109-BA116)*$C$119,0)</f>
        <v/>
      </c>
      <c r="BB119" s="323">
        <f>IF((BB101-BB109-BB116)*$C$119&gt;0,(BB101-BB109-BB116)*$C$119,0)</f>
        <v/>
      </c>
      <c r="BC119" s="323">
        <f>IF((BC101-BC109-BC116)*$C$119&gt;0,(BC101-BC109-BC116)*$C$119,0)</f>
        <v/>
      </c>
      <c r="BD119" s="323">
        <f>IF((BD101-BD109-BD116)*$C$119&gt;0,(BD101-BD109-BD116)*$C$119,0)</f>
        <v/>
      </c>
      <c r="BE119" s="323">
        <f>IF((BE101-BE109-BE116)*$C$119&gt;0,(BE101-BE109-BE116)*$C$119,0)</f>
        <v/>
      </c>
      <c r="BF119" s="323">
        <f>IF((BF101-BF109-BF116)*$C$119&gt;0,(BF101-BF109-BF116)*$C$119,0)</f>
        <v/>
      </c>
      <c r="BG119" s="323">
        <f>IF((BG101-BG109-BG116)*$C$119&gt;0,(BG101-BG109-BG116)*$C$119,0)</f>
        <v/>
      </c>
      <c r="BH119" s="323">
        <f>IF((BH101-BH109-BH116)*$C$119&gt;0,(BH101-BH109-BH116)*$C$119,0)</f>
        <v/>
      </c>
      <c r="BI119" s="323">
        <f>IF((BI101-BI109-BI116)*$C$119&gt;0,(BI101-BI109-BI116)*$C$119,0)</f>
        <v/>
      </c>
      <c r="BJ119" s="323">
        <f>IF((BJ101-BJ109-BJ116)*$C$119&gt;0,(BJ101-BJ109-BJ116)*$C$119,0)</f>
        <v/>
      </c>
      <c r="BK119" s="323">
        <f>IF((BK101-BK109-BK116)*$C$119&gt;0,(BK101-BK109-BK116)*$C$119,0)</f>
        <v/>
      </c>
      <c r="BL119" s="323">
        <f>IF((BL101-BL109-BL116)*$C$119&gt;0,(BL101-BL109-BL116)*$C$119,0)</f>
        <v/>
      </c>
      <c r="BM119" s="323">
        <f>IF((BM101-BM109-BM116)*$C$119&gt;0,(BM101-BM109-BM116)*$C$119,0)</f>
        <v/>
      </c>
      <c r="BN119" s="323">
        <f>IF((BN101-BN109-BN116)*$C$119&gt;0,(BN101-BN109-BN116)*$C$119,0)</f>
        <v/>
      </c>
      <c r="BO119" s="323">
        <f>IF((BO101-BO109-BO116)*$C$119&gt;0,(BO101-BO109-BO116)*$C$119,0)</f>
        <v/>
      </c>
      <c r="BP119" s="323" t="n"/>
      <c r="BQ119" s="370">
        <f>SUM(D119:BO119)</f>
        <v/>
      </c>
    </row>
    <row r="120" hidden="1">
      <c r="A120" s="4" t="n"/>
      <c r="B120" s="17" t="n"/>
      <c r="D120" s="344" t="n">
        <v>1</v>
      </c>
      <c r="E120" s="344" t="n">
        <v>1</v>
      </c>
      <c r="F120" s="344" t="n">
        <v>1</v>
      </c>
      <c r="G120" s="344" t="n">
        <v>1</v>
      </c>
      <c r="H120" s="344" t="n">
        <v>1</v>
      </c>
      <c r="I120" s="344" t="n">
        <v>1</v>
      </c>
      <c r="J120" s="344" t="n">
        <v>1</v>
      </c>
      <c r="K120" s="344" t="n">
        <v>1</v>
      </c>
      <c r="L120" s="344" t="n">
        <v>1</v>
      </c>
      <c r="M120" s="344" t="n">
        <v>1</v>
      </c>
      <c r="N120" s="344" t="n">
        <v>1</v>
      </c>
      <c r="O120" s="344" t="n">
        <v>1</v>
      </c>
      <c r="P120" s="344" t="n">
        <v>1</v>
      </c>
      <c r="Q120" s="344" t="n">
        <v>1</v>
      </c>
      <c r="R120" s="344" t="n">
        <v>1</v>
      </c>
      <c r="S120" s="344" t="n">
        <v>1</v>
      </c>
      <c r="T120" s="344" t="n">
        <v>1</v>
      </c>
      <c r="U120" s="344" t="n">
        <v>1</v>
      </c>
      <c r="V120" s="344" t="n">
        <v>1</v>
      </c>
      <c r="W120" s="344" t="n">
        <v>1</v>
      </c>
      <c r="X120" s="344" t="n">
        <v>1</v>
      </c>
      <c r="Y120" s="344" t="n">
        <v>1</v>
      </c>
      <c r="Z120" s="344" t="n">
        <v>1</v>
      </c>
      <c r="AA120" s="344" t="n">
        <v>1</v>
      </c>
      <c r="AB120" s="344" t="n">
        <v>1</v>
      </c>
      <c r="AC120" s="344" t="n">
        <v>1</v>
      </c>
      <c r="AD120" s="344" t="n">
        <v>1</v>
      </c>
      <c r="AE120" s="344" t="n">
        <v>1</v>
      </c>
      <c r="AF120" s="344" t="n">
        <v>1</v>
      </c>
      <c r="AG120" s="344" t="n">
        <v>1</v>
      </c>
      <c r="AH120" s="344" t="n">
        <v>1</v>
      </c>
      <c r="AI120" s="344" t="n">
        <v>1</v>
      </c>
      <c r="AJ120" s="344" t="n">
        <v>1</v>
      </c>
      <c r="AK120" s="344" t="n">
        <v>1</v>
      </c>
      <c r="AL120" s="344" t="n">
        <v>1</v>
      </c>
      <c r="AM120" s="344" t="n">
        <v>1</v>
      </c>
      <c r="AN120" s="344" t="n">
        <v>1</v>
      </c>
      <c r="AO120" s="344" t="n">
        <v>1</v>
      </c>
      <c r="AP120" s="344" t="n">
        <v>1</v>
      </c>
      <c r="AQ120" s="344" t="n">
        <v>1</v>
      </c>
      <c r="AR120" s="344" t="n">
        <v>1</v>
      </c>
      <c r="AS120" s="344" t="n">
        <v>1</v>
      </c>
      <c r="AT120" s="344" t="n">
        <v>1</v>
      </c>
      <c r="AU120" s="344" t="n">
        <v>1</v>
      </c>
      <c r="AV120" s="344" t="n">
        <v>1</v>
      </c>
      <c r="AW120" s="344" t="n">
        <v>1</v>
      </c>
      <c r="AX120" s="344" t="n">
        <v>1</v>
      </c>
      <c r="AY120" s="344" t="n">
        <v>1</v>
      </c>
      <c r="AZ120" s="344" t="n">
        <v>1</v>
      </c>
      <c r="BA120" s="344" t="n">
        <v>1</v>
      </c>
      <c r="BB120" s="344" t="n">
        <v>1</v>
      </c>
      <c r="BC120" s="344" t="n">
        <v>1</v>
      </c>
      <c r="BD120" s="344" t="n">
        <v>1</v>
      </c>
      <c r="BE120" s="344" t="n">
        <v>1</v>
      </c>
      <c r="BF120" s="344" t="n">
        <v>1</v>
      </c>
      <c r="BG120" s="344" t="n">
        <v>1</v>
      </c>
      <c r="BH120" s="344" t="n">
        <v>1</v>
      </c>
      <c r="BI120" s="344" t="n">
        <v>1</v>
      </c>
      <c r="BJ120" s="344" t="n">
        <v>1</v>
      </c>
      <c r="BK120" s="344" t="n">
        <v>1</v>
      </c>
      <c r="BL120" s="344" t="n">
        <v>1</v>
      </c>
      <c r="BM120" s="344" t="n">
        <v>1</v>
      </c>
      <c r="BN120" s="344" t="n">
        <v>1</v>
      </c>
      <c r="BO120" s="344" t="n">
        <v>1</v>
      </c>
      <c r="BP120" s="344" t="n"/>
      <c r="BQ120" s="370" t="n"/>
    </row>
    <row r="121">
      <c r="A121" s="4" t="n"/>
      <c r="B121" s="17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344" t="n"/>
      <c r="Q121" s="344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44" t="n"/>
      <c r="AB121" s="344" t="n"/>
      <c r="AC121" s="344" t="n"/>
      <c r="AD121" s="344" t="n"/>
      <c r="AE121" s="344" t="n"/>
      <c r="AF121" s="344" t="n"/>
      <c r="AG121" s="344" t="n"/>
      <c r="AH121" s="344" t="n"/>
      <c r="AI121" s="344" t="n"/>
      <c r="AJ121" s="344" t="n"/>
      <c r="AK121" s="344" t="n"/>
      <c r="AL121" s="344" t="n"/>
      <c r="AM121" s="344" t="n"/>
      <c r="AN121" s="344" t="n"/>
      <c r="AO121" s="344" t="n"/>
      <c r="AP121" s="344" t="n"/>
      <c r="AQ121" s="344" t="n"/>
      <c r="AR121" s="344" t="n"/>
      <c r="AS121" s="344" t="n"/>
      <c r="AT121" s="344" t="n"/>
      <c r="AU121" s="344" t="n"/>
      <c r="AV121" s="344" t="n"/>
      <c r="AW121" s="344" t="n"/>
      <c r="AX121" s="344" t="n"/>
      <c r="AY121" s="344" t="n"/>
      <c r="AZ121" s="344" t="n"/>
      <c r="BA121" s="344" t="n"/>
      <c r="BB121" s="344" t="n"/>
      <c r="BC121" s="344" t="n"/>
      <c r="BD121" s="344" t="n"/>
      <c r="BE121" s="344" t="n"/>
      <c r="BF121" s="344" t="n"/>
      <c r="BG121" s="344" t="n"/>
      <c r="BH121" s="344" t="n"/>
      <c r="BI121" s="344" t="n"/>
      <c r="BJ121" s="344" t="n"/>
      <c r="BK121" s="344" t="n"/>
      <c r="BL121" s="344" t="n"/>
      <c r="BM121" s="344" t="n"/>
      <c r="BN121" s="344" t="n"/>
      <c r="BO121" s="344" t="n"/>
      <c r="BP121" s="344" t="n"/>
      <c r="BQ121" s="370" t="n"/>
    </row>
    <row r="122">
      <c r="A122" s="28" t="inlineStr">
        <is>
          <t>Cashflows After Tax</t>
        </is>
      </c>
      <c r="B122" s="56" t="inlineStr">
        <is>
          <t>AUDk</t>
        </is>
      </c>
      <c r="C122" s="1" t="n"/>
      <c r="D122" s="404">
        <f>D118-D119</f>
        <v/>
      </c>
      <c r="E122" s="404">
        <f>E118-E119</f>
        <v/>
      </c>
      <c r="F122" s="404">
        <f>F118-F119</f>
        <v/>
      </c>
      <c r="G122" s="404">
        <f>G118-G119</f>
        <v/>
      </c>
      <c r="H122" s="404">
        <f>H118-H119</f>
        <v/>
      </c>
      <c r="I122" s="404">
        <f>I118-I119</f>
        <v/>
      </c>
      <c r="J122" s="404">
        <f>J118-J119</f>
        <v/>
      </c>
      <c r="K122" s="404">
        <f>K118-K119</f>
        <v/>
      </c>
      <c r="L122" s="404">
        <f>L118-L119</f>
        <v/>
      </c>
      <c r="M122" s="404">
        <f>M118-M119</f>
        <v/>
      </c>
      <c r="N122" s="404">
        <f>N118-N119</f>
        <v/>
      </c>
      <c r="O122" s="404">
        <f>O118-O119</f>
        <v/>
      </c>
      <c r="P122" s="404">
        <f>P118-P119</f>
        <v/>
      </c>
      <c r="Q122" s="404">
        <f>Q118-Q119</f>
        <v/>
      </c>
      <c r="R122" s="404">
        <f>R118-R119</f>
        <v/>
      </c>
      <c r="S122" s="404">
        <f>S118-S119</f>
        <v/>
      </c>
      <c r="T122" s="404">
        <f>T118-T119</f>
        <v/>
      </c>
      <c r="U122" s="404">
        <f>U118-U119</f>
        <v/>
      </c>
      <c r="V122" s="404">
        <f>V118-V119</f>
        <v/>
      </c>
      <c r="W122" s="404">
        <f>W118-W119</f>
        <v/>
      </c>
      <c r="X122" s="404">
        <f>X118-X119</f>
        <v/>
      </c>
      <c r="Y122" s="404">
        <f>Y118-Y119</f>
        <v/>
      </c>
      <c r="Z122" s="404">
        <f>Z118-Z119</f>
        <v/>
      </c>
      <c r="AA122" s="404">
        <f>AA118-AA119</f>
        <v/>
      </c>
      <c r="AB122" s="404">
        <f>AB118-AB119</f>
        <v/>
      </c>
      <c r="AC122" s="404">
        <f>AC118-AC119</f>
        <v/>
      </c>
      <c r="AD122" s="404">
        <f>AD118-AD119</f>
        <v/>
      </c>
      <c r="AE122" s="404">
        <f>AE118-AE119</f>
        <v/>
      </c>
      <c r="AF122" s="404">
        <f>AF118-AF119</f>
        <v/>
      </c>
      <c r="AG122" s="404">
        <f>AG118-AG119</f>
        <v/>
      </c>
      <c r="AH122" s="404">
        <f>AH118-AH119</f>
        <v/>
      </c>
      <c r="AI122" s="404">
        <f>AI118-AI119</f>
        <v/>
      </c>
      <c r="AJ122" s="404">
        <f>AJ118-AJ119</f>
        <v/>
      </c>
      <c r="AK122" s="404">
        <f>AK118-AK119</f>
        <v/>
      </c>
      <c r="AL122" s="404">
        <f>AL118-AL119</f>
        <v/>
      </c>
      <c r="AM122" s="404">
        <f>AM118-AM119</f>
        <v/>
      </c>
      <c r="AN122" s="404">
        <f>AN118-AN119</f>
        <v/>
      </c>
      <c r="AO122" s="404">
        <f>AO118-AO119</f>
        <v/>
      </c>
      <c r="AP122" s="404">
        <f>AP118-AP119</f>
        <v/>
      </c>
      <c r="AQ122" s="404">
        <f>AQ118-AQ119</f>
        <v/>
      </c>
      <c r="AR122" s="404">
        <f>AR118-AR119</f>
        <v/>
      </c>
      <c r="AS122" s="404">
        <f>AS118-AS119</f>
        <v/>
      </c>
      <c r="AT122" s="404">
        <f>AT118-AT119</f>
        <v/>
      </c>
      <c r="AU122" s="404">
        <f>AU118-AU119</f>
        <v/>
      </c>
      <c r="AV122" s="404">
        <f>AV118-AV119</f>
        <v/>
      </c>
      <c r="AW122" s="404">
        <f>AW118-AW119</f>
        <v/>
      </c>
      <c r="AX122" s="404">
        <f>AX118-AX119</f>
        <v/>
      </c>
      <c r="AY122" s="404">
        <f>AY118-AY119</f>
        <v/>
      </c>
      <c r="AZ122" s="404">
        <f>AZ118-AZ119</f>
        <v/>
      </c>
      <c r="BA122" s="404">
        <f>BA118-BA119</f>
        <v/>
      </c>
      <c r="BB122" s="404">
        <f>BB118-BB119</f>
        <v/>
      </c>
      <c r="BC122" s="404">
        <f>BC118-BC119</f>
        <v/>
      </c>
      <c r="BD122" s="404">
        <f>BD118-BD119</f>
        <v/>
      </c>
      <c r="BE122" s="404">
        <f>BE118-BE119</f>
        <v/>
      </c>
      <c r="BF122" s="404">
        <f>BF118-BF119</f>
        <v/>
      </c>
      <c r="BG122" s="404">
        <f>BG118-BG119</f>
        <v/>
      </c>
      <c r="BH122" s="404">
        <f>BH118-BH119</f>
        <v/>
      </c>
      <c r="BI122" s="404">
        <f>BI118-BI119</f>
        <v/>
      </c>
      <c r="BJ122" s="404">
        <f>BJ118-BJ119</f>
        <v/>
      </c>
      <c r="BK122" s="404">
        <f>BK118-BK119</f>
        <v/>
      </c>
      <c r="BL122" s="404">
        <f>BL118-BL119</f>
        <v/>
      </c>
      <c r="BM122" s="404">
        <f>BM118-BM119</f>
        <v/>
      </c>
      <c r="BN122" s="404">
        <f>BN118-BN119</f>
        <v/>
      </c>
      <c r="BO122" s="404">
        <f>BO118-BO119</f>
        <v/>
      </c>
      <c r="BP122" s="404" t="n"/>
      <c r="BQ122" s="405">
        <f>BQ118-BQ119</f>
        <v/>
      </c>
    </row>
    <row r="123">
      <c r="A123" s="28" t="inlineStr">
        <is>
          <t>Attributable Cashflow After Tax (60%)</t>
        </is>
      </c>
      <c r="B123" s="56" t="inlineStr">
        <is>
          <t>AUDk</t>
        </is>
      </c>
      <c r="C123" s="141" t="n">
        <v>0.6</v>
      </c>
      <c r="D123" s="404">
        <f>IFERROR(D122*$C$123,0)</f>
        <v/>
      </c>
      <c r="E123" s="404">
        <f>IFERROR(E122*$C$123,0)</f>
        <v/>
      </c>
      <c r="F123" s="404">
        <f>IFERROR(F122*$C$123,0)</f>
        <v/>
      </c>
      <c r="G123" s="404">
        <f>IFERROR(G122*$C$123,0)</f>
        <v/>
      </c>
      <c r="H123" s="404">
        <f>IFERROR(H122*$C$123,0)</f>
        <v/>
      </c>
      <c r="I123" s="404">
        <f>IFERROR(I122*$C$123,0)</f>
        <v/>
      </c>
      <c r="J123" s="404">
        <f>IFERROR(J122*$C$123,0)</f>
        <v/>
      </c>
      <c r="K123" s="404">
        <f>IFERROR(K122*$C$123,0)</f>
        <v/>
      </c>
      <c r="L123" s="404">
        <f>IFERROR(L122*$C$123,0)</f>
        <v/>
      </c>
      <c r="M123" s="404">
        <f>IFERROR(M122*$C$123,0)</f>
        <v/>
      </c>
      <c r="N123" s="404">
        <f>IFERROR(N122*$C$123,0)</f>
        <v/>
      </c>
      <c r="O123" s="404">
        <f>IFERROR(O122*$C$123,0)</f>
        <v/>
      </c>
      <c r="P123" s="404">
        <f>IFERROR(P122*$C$123,0)</f>
        <v/>
      </c>
      <c r="Q123" s="404">
        <f>IFERROR(Q122*$C$123,0)</f>
        <v/>
      </c>
      <c r="R123" s="404">
        <f>IFERROR(R122*$C$123,0)</f>
        <v/>
      </c>
      <c r="S123" s="404">
        <f>IFERROR(S122*$C$123,0)</f>
        <v/>
      </c>
      <c r="T123" s="404">
        <f>IFERROR(T122*$C$123,0)</f>
        <v/>
      </c>
      <c r="U123" s="404">
        <f>IFERROR(U122*$C$123,0)</f>
        <v/>
      </c>
      <c r="V123" s="404">
        <f>IFERROR(V122*$C$123,0)</f>
        <v/>
      </c>
      <c r="W123" s="404">
        <f>IFERROR(W122*$C$123,0)</f>
        <v/>
      </c>
      <c r="X123" s="404">
        <f>IFERROR(X122*$C$123,0)</f>
        <v/>
      </c>
      <c r="Y123" s="404">
        <f>IFERROR(Y122*$C$123,0)</f>
        <v/>
      </c>
      <c r="Z123" s="404">
        <f>IFERROR(Z122*$C$123,0)</f>
        <v/>
      </c>
      <c r="AA123" s="404">
        <f>IFERROR(AA122*$C$123,0)</f>
        <v/>
      </c>
      <c r="AB123" s="404">
        <f>IFERROR(AB122*$C$123,0)</f>
        <v/>
      </c>
      <c r="AC123" s="404">
        <f>IFERROR(AC122*$C$123,0)</f>
        <v/>
      </c>
      <c r="AD123" s="404">
        <f>IFERROR(AD122*$C$123,0)</f>
        <v/>
      </c>
      <c r="AE123" s="404">
        <f>IFERROR(AE122*$C$123,0)</f>
        <v/>
      </c>
      <c r="AF123" s="404">
        <f>IFERROR(AF122*$C$123,0)</f>
        <v/>
      </c>
      <c r="AG123" s="404">
        <f>IFERROR(AG122*$C$123,0)</f>
        <v/>
      </c>
      <c r="AH123" s="404">
        <f>IFERROR(AH122*$C$123,0)</f>
        <v/>
      </c>
      <c r="AI123" s="404">
        <f>IFERROR(AI122*$C$123,0)</f>
        <v/>
      </c>
      <c r="AJ123" s="404">
        <f>IFERROR(AJ122*$C$123,0)</f>
        <v/>
      </c>
      <c r="AK123" s="404">
        <f>IFERROR(AK122*$C$123,0)</f>
        <v/>
      </c>
      <c r="AL123" s="404">
        <f>IFERROR(AL122*$C$123,0)</f>
        <v/>
      </c>
      <c r="AM123" s="404">
        <f>IFERROR(AM122*$C$123,0)</f>
        <v/>
      </c>
      <c r="AN123" s="404">
        <f>IFERROR(AN122*$C$123,0)</f>
        <v/>
      </c>
      <c r="AO123" s="404">
        <f>IFERROR(AO122*$C$123,0)</f>
        <v/>
      </c>
      <c r="AP123" s="404">
        <f>IFERROR(AP122*$C$123,0)</f>
        <v/>
      </c>
      <c r="AQ123" s="404">
        <f>IFERROR(AQ122*$C$123,0)</f>
        <v/>
      </c>
      <c r="AR123" s="404">
        <f>IFERROR(AR122*$C$123,0)</f>
        <v/>
      </c>
      <c r="AS123" s="404">
        <f>IFERROR(AS122*$C$123,0)</f>
        <v/>
      </c>
      <c r="AT123" s="404">
        <f>IFERROR(AT122*$C$123,0)</f>
        <v/>
      </c>
      <c r="AU123" s="404">
        <f>IFERROR(AU122*$C$123,0)</f>
        <v/>
      </c>
      <c r="AV123" s="404">
        <f>IFERROR(AV122*$C$123,0)</f>
        <v/>
      </c>
      <c r="AW123" s="404">
        <f>IFERROR(AW122*$C$123,0)</f>
        <v/>
      </c>
      <c r="AX123" s="404">
        <f>IFERROR(AX122*$C$123,0)</f>
        <v/>
      </c>
      <c r="AY123" s="404">
        <f>IFERROR(AY122*$C$123,0)</f>
        <v/>
      </c>
      <c r="AZ123" s="404">
        <f>IFERROR(AZ122*$C$123,0)</f>
        <v/>
      </c>
      <c r="BA123" s="404">
        <f>IFERROR(BA122*$C$123,0)</f>
        <v/>
      </c>
      <c r="BB123" s="404">
        <f>IFERROR(BB122*$C$123,0)</f>
        <v/>
      </c>
      <c r="BC123" s="404">
        <f>IFERROR(BC122*$C$123,0)</f>
        <v/>
      </c>
      <c r="BD123" s="404">
        <f>IFERROR(BD122*$C$123,0)</f>
        <v/>
      </c>
      <c r="BE123" s="404">
        <f>IFERROR(BE122*$C$123,0)</f>
        <v/>
      </c>
      <c r="BF123" s="404">
        <f>IFERROR(BF122*$C$123,0)</f>
        <v/>
      </c>
      <c r="BG123" s="404">
        <f>IFERROR(BG122*$C$123,0)</f>
        <v/>
      </c>
      <c r="BH123" s="404">
        <f>IFERROR(BH122*$C$123,0)</f>
        <v/>
      </c>
      <c r="BI123" s="404">
        <f>IFERROR(BI122*$C$123,0)</f>
        <v/>
      </c>
      <c r="BJ123" s="404">
        <f>IFERROR(BJ122*$C$123,0)</f>
        <v/>
      </c>
      <c r="BK123" s="404">
        <f>IFERROR(BK122*$C$123,0)</f>
        <v/>
      </c>
      <c r="BL123" s="404">
        <f>IFERROR(BL122*$C$123,0)</f>
        <v/>
      </c>
      <c r="BM123" s="404">
        <f>IFERROR(BM122*$C$123,0)</f>
        <v/>
      </c>
      <c r="BN123" s="404">
        <f>IFERROR(BN122*$C$123,0)</f>
        <v/>
      </c>
      <c r="BO123" s="404">
        <f>IFERROR(BO122*$C$123,0)</f>
        <v/>
      </c>
      <c r="BP123" s="404" t="n"/>
      <c r="BQ123" s="387">
        <f>SUM(D123:BO123)</f>
        <v/>
      </c>
    </row>
    <row r="124">
      <c r="A124" s="28" t="inlineStr">
        <is>
          <t>Discounted Cashflows</t>
        </is>
      </c>
      <c r="B124" s="56" t="inlineStr">
        <is>
          <t>AUDk</t>
        </is>
      </c>
      <c r="C124" s="1" t="n"/>
      <c r="D124" s="404">
        <f>D123*Assumptions!I2</f>
        <v/>
      </c>
      <c r="E124" s="404">
        <f>E122*Assumptions!J2</f>
        <v/>
      </c>
      <c r="F124" s="404">
        <f>F122*Assumptions!K2</f>
        <v/>
      </c>
      <c r="G124" s="404">
        <f>G122*Assumptions!L2</f>
        <v/>
      </c>
      <c r="H124" s="404">
        <f>H122*Assumptions!M2</f>
        <v/>
      </c>
      <c r="I124" s="404">
        <f>I122*Assumptions!N2</f>
        <v/>
      </c>
      <c r="J124" s="404">
        <f>J122*Assumptions!O2</f>
        <v/>
      </c>
      <c r="K124" s="404">
        <f>K122*Assumptions!P2</f>
        <v/>
      </c>
      <c r="L124" s="404">
        <f>L122*Assumptions!Q2</f>
        <v/>
      </c>
      <c r="M124" s="404">
        <f>M122*Assumptions!R2</f>
        <v/>
      </c>
      <c r="N124" s="404">
        <f>N122*Assumptions!S2</f>
        <v/>
      </c>
      <c r="O124" s="404">
        <f>O122*Assumptions!T2</f>
        <v/>
      </c>
      <c r="P124" s="404">
        <f>P122*Assumptions!U2</f>
        <v/>
      </c>
      <c r="Q124" s="404">
        <f>Q122*Assumptions!V2</f>
        <v/>
      </c>
      <c r="R124" s="404">
        <f>R122*Assumptions!W2</f>
        <v/>
      </c>
      <c r="S124" s="404">
        <f>S122*Assumptions!X2</f>
        <v/>
      </c>
      <c r="T124" s="404">
        <f>T122*Assumptions!Y2</f>
        <v/>
      </c>
      <c r="U124" s="404">
        <f>U122*Assumptions!Z2</f>
        <v/>
      </c>
      <c r="V124" s="404">
        <f>V122*Assumptions!AA2</f>
        <v/>
      </c>
      <c r="W124" s="404">
        <f>W122*Assumptions!AB2</f>
        <v/>
      </c>
      <c r="X124" s="404">
        <f>X122*Assumptions!AC2</f>
        <v/>
      </c>
      <c r="Y124" s="404">
        <f>Y122*Assumptions!AD2</f>
        <v/>
      </c>
      <c r="Z124" s="404">
        <f>Z122*Assumptions!AE2</f>
        <v/>
      </c>
      <c r="AA124" s="404">
        <f>AA122*Assumptions!AF2</f>
        <v/>
      </c>
      <c r="AB124" s="404">
        <f>AB122*Assumptions!AG2</f>
        <v/>
      </c>
      <c r="AC124" s="404">
        <f>AC122*Assumptions!AH2</f>
        <v/>
      </c>
      <c r="AD124" s="404">
        <f>AD122*Assumptions!AI2</f>
        <v/>
      </c>
      <c r="AE124" s="404">
        <f>AE122*Assumptions!AI2</f>
        <v/>
      </c>
      <c r="AF124" s="404">
        <f>AF122*Assumptions!AJ2</f>
        <v/>
      </c>
      <c r="AG124" s="404">
        <f>AG122*Assumptions!AK2</f>
        <v/>
      </c>
      <c r="AH124" s="404">
        <f>AH122*Assumptions!AL2</f>
        <v/>
      </c>
      <c r="AI124" s="404">
        <f>AI122*Assumptions!AM2</f>
        <v/>
      </c>
      <c r="AJ124" s="404">
        <f>AJ122*Assumptions!AN2</f>
        <v/>
      </c>
      <c r="AK124" s="404">
        <f>AK122*Assumptions!AO2</f>
        <v/>
      </c>
      <c r="AL124" s="404">
        <f>AL122*Assumptions!AP2</f>
        <v/>
      </c>
      <c r="AM124" s="404">
        <f>AM122*Assumptions!AQ2</f>
        <v/>
      </c>
      <c r="AN124" s="404">
        <f>AN122*Assumptions!AR2</f>
        <v/>
      </c>
      <c r="AO124" s="404">
        <f>AO122*Assumptions!AS2</f>
        <v/>
      </c>
      <c r="AP124" s="404">
        <f>AP122*Assumptions!AT2</f>
        <v/>
      </c>
      <c r="AQ124" s="404">
        <f>AQ122*Assumptions!AU2</f>
        <v/>
      </c>
      <c r="AR124" s="404">
        <f>AR122*Assumptions!AV2</f>
        <v/>
      </c>
      <c r="AS124" s="404">
        <f>AS122*Assumptions!AW2</f>
        <v/>
      </c>
      <c r="AT124" s="404">
        <f>AT122*Assumptions!AX2</f>
        <v/>
      </c>
      <c r="AU124" s="404">
        <f>AU122*Assumptions!AY2</f>
        <v/>
      </c>
      <c r="AV124" s="404">
        <f>AV122*Assumptions!AZ2</f>
        <v/>
      </c>
      <c r="AW124" s="404">
        <f>AW122*Assumptions!BA2</f>
        <v/>
      </c>
      <c r="AX124" s="404">
        <f>AX122*Assumptions!BB2</f>
        <v/>
      </c>
      <c r="AY124" s="404">
        <f>AY122*Assumptions!BC2</f>
        <v/>
      </c>
      <c r="AZ124" s="404">
        <f>AZ122*Assumptions!BD2</f>
        <v/>
      </c>
      <c r="BA124" s="404">
        <f>BA122*Assumptions!BE2</f>
        <v/>
      </c>
      <c r="BB124" s="404">
        <f>BB122*Assumptions!BF2</f>
        <v/>
      </c>
      <c r="BC124" s="404">
        <f>BC122*Assumptions!BG2</f>
        <v/>
      </c>
      <c r="BD124" s="404">
        <f>BD122*Assumptions!BH2</f>
        <v/>
      </c>
      <c r="BE124" s="404">
        <f>BE122*Assumptions!BI2</f>
        <v/>
      </c>
      <c r="BF124" s="404">
        <f>BF122*Assumptions!BJ2</f>
        <v/>
      </c>
      <c r="BG124" s="404">
        <f>BG122*Assumptions!BK2</f>
        <v/>
      </c>
      <c r="BH124" s="404">
        <f>BH122*Assumptions!BL2</f>
        <v/>
      </c>
      <c r="BI124" s="404">
        <f>BI122*Assumptions!BM2</f>
        <v/>
      </c>
      <c r="BJ124" s="404">
        <f>BJ122*Assumptions!BN2</f>
        <v/>
      </c>
      <c r="BK124" s="404">
        <f>BK122*Assumptions!BO2</f>
        <v/>
      </c>
      <c r="BL124" s="404">
        <f>BL122*Assumptions!BP2</f>
        <v/>
      </c>
      <c r="BM124" s="404">
        <f>BM122*Assumptions!BQ2</f>
        <v/>
      </c>
      <c r="BN124" s="404">
        <f>BN122*Assumptions!BR2</f>
        <v/>
      </c>
      <c r="BO124" s="404">
        <f>BO122*Assumptions!BS2</f>
        <v/>
      </c>
      <c r="BP124" s="404" t="n"/>
      <c r="BQ124" s="387">
        <f>SUM(D124:BO124)</f>
        <v/>
      </c>
    </row>
    <row r="125" hidden="1">
      <c r="A125" s="28" t="inlineStr">
        <is>
          <t>Payback Calculation</t>
        </is>
      </c>
      <c r="B125" s="56" t="n"/>
      <c r="C125" s="1" t="n"/>
      <c r="D125" s="404">
        <f>IFERROR(IF(SUM($D$122:D122)/ABS(D122)&gt;1,0,IF(SUM($D$122:D122)&lt;=0,1*D120,1-(SUM($D$122:D122)/D122)*D120)),0)</f>
        <v/>
      </c>
      <c r="E125" s="404">
        <f>IFERROR(IF(SUM($D$122:E122)/ABS(E122)&gt;1,0,IF(SUM($D$122:E122)&lt;=0,1*E120,1-(SUM($D$122:E122)/E122)*E120)),0)</f>
        <v/>
      </c>
      <c r="F125" s="404">
        <f>IFERROR(IF(SUM($D$122:F122)/ABS(F122)&gt;1,0,IF(SUM($D$122:F122)&lt;=0,1*F120,1-(SUM($D$122:F122)/F122)*F120)),0)</f>
        <v/>
      </c>
      <c r="G125" s="404">
        <f>IFERROR(IF(SUM($D$122:G122)/ABS(G122)&gt;1,0,IF(SUM($D$122:G122)&lt;=0,1*G120,1-(SUM($D$122:G122)/G122)*G120)),0)</f>
        <v/>
      </c>
      <c r="H125" s="404">
        <f>IFERROR(IF(SUM($D$122:H122)/ABS(H122)&gt;1,0,IF(SUM($D$122:H122)&lt;=0,1*H120,1-(SUM($D$122:H122)/H122)*H120)),0)</f>
        <v/>
      </c>
      <c r="I125" s="404">
        <f>IFERROR(IF(SUM($D$122:I122)/ABS(I122)&gt;1,0,IF(SUM($D$122:I122)&lt;=0,1*I120,1-(SUM($D$122:I122)/I122)*I120)),0)</f>
        <v/>
      </c>
      <c r="J125" s="404">
        <f>IFERROR(IF(SUM($D$122:J122)/ABS(J122)&gt;1,0,IF(SUM($D$122:J122)&lt;=0,1*J120,1-(SUM($D$122:J122)/J122)*J120)),0)</f>
        <v/>
      </c>
      <c r="K125" s="404">
        <f>IFERROR(IF(SUM($D$122:K122)/ABS(K122)&gt;1,0,IF(SUM($D$122:K122)&lt;=0,1*K120,1-(SUM($D$122:K122)/K122)*K120)),0)</f>
        <v/>
      </c>
      <c r="L125" s="404">
        <f>IFERROR(IF(SUM($D$122:L122)/ABS(L122)&gt;1,0,IF(SUM($D$122:L122)&lt;=0,1*L120,1-(SUM($D$122:L122)/L122)*L120)),0)</f>
        <v/>
      </c>
      <c r="M125" s="404">
        <f>IFERROR(IF(SUM($D$122:M122)/ABS(M122)&gt;1,0,IF(SUM($D$122:M122)&lt;=0,1*M120,1-(SUM($D$122:M122)/M122)*M120)),0)</f>
        <v/>
      </c>
      <c r="N125" s="404">
        <f>IFERROR(IF(SUM($D$122:N122)/ABS(N122)&gt;1,0,IF(SUM($D$122:N122)&lt;=0,1*N120,1-(SUM($D$122:N122)/N122)*N120)),0)</f>
        <v/>
      </c>
      <c r="O125" s="404">
        <f>IFERROR(IF(SUM($D$122:O122)/ABS(O122)&gt;1,0,IF(SUM($D$122:O122)&lt;=0,1*O120,1-(SUM($D$122:O122)/O122)*O120)),0)</f>
        <v/>
      </c>
      <c r="P125" s="404">
        <f>IFERROR(IF(SUM($D$122:P122)/ABS(P122)&gt;1,0,IF(SUM($D$122:P122)&lt;=0,1*P120,1-(SUM($D$122:P122)/P122)*P120)),0)</f>
        <v/>
      </c>
      <c r="Q125" s="404">
        <f>IFERROR(IF(SUM($D$122:Q122)/ABS(Q122)&gt;1,0,IF(SUM($D$122:Q122)&lt;=0,1*Q120,1-(SUM($D$122:Q122)/Q122)*Q120)),0)</f>
        <v/>
      </c>
      <c r="R125" s="404">
        <f>IFERROR(IF(SUM($D$122:R122)/ABS(R122)&gt;1,0,IF(SUM($D$122:R122)&lt;=0,1*R120,1-(SUM($D$122:R122)/R122)*R120)),0)</f>
        <v/>
      </c>
      <c r="S125" s="404">
        <f>IFERROR(IF(SUM($D$122:S122)/ABS(S122)&gt;1,0,IF(SUM($D$122:S122)&lt;=0,1*S120,1-(SUM($D$122:S122)/S122)*S120)),0)</f>
        <v/>
      </c>
      <c r="T125" s="404">
        <f>IFERROR(IF(SUM($D$122:T122)/ABS(T122)&gt;1,0,IF(SUM($D$122:T122)&lt;=0,1*T120,1-(SUM($D$122:T122)/T122)*T120)),0)</f>
        <v/>
      </c>
      <c r="U125" s="404">
        <f>IFERROR(IF(SUM($D$122:U122)/ABS(U122)&gt;1,0,IF(SUM($D$122:U122)&lt;=0,1*U120,1-(SUM($D$122:U122)/U122)*U120)),0)</f>
        <v/>
      </c>
      <c r="V125" s="404">
        <f>IFERROR(IF(SUM($D$122:V122)/ABS(V122)&gt;1,0,IF(SUM($D$122:V122)&lt;=0,1*V120,1-(SUM($D$122:V122)/V122)*V120)),0)</f>
        <v/>
      </c>
      <c r="W125" s="404">
        <f>IFERROR(IF(SUM($D$122:W122)/ABS(W122)&gt;1,0,IF(SUM($D$122:W122)&lt;=0,1*W120,1-(SUM($D$122:W122)/W122)*W120)),0)</f>
        <v/>
      </c>
      <c r="X125" s="404">
        <f>IFERROR(IF(SUM($D$122:X122)/ABS(X122)&gt;1,0,IF(SUM($D$122:X122)&lt;=0,1*X120,1-(SUM($D$122:X122)/X122)*X120)),0)</f>
        <v/>
      </c>
      <c r="Y125" s="404">
        <f>IFERROR(IF(SUM($D$122:Y122)/ABS(Y122)&gt;1,0,IF(SUM($D$122:Y122)&lt;=0,1*Y120,1-(SUM($D$122:Y122)/Y122)*Y120)),0)</f>
        <v/>
      </c>
      <c r="Z125" s="404">
        <f>IFERROR(IF(SUM($D$122:Z122)/ABS(Z122)&gt;1,0,IF(SUM($D$122:Z122)&lt;=0,1*Z120,1-(SUM($D$122:Z122)/Z122)*Z120)),0)</f>
        <v/>
      </c>
      <c r="AA125" s="404">
        <f>IFERROR(IF(SUM($D$122:AA122)/ABS(AA122)&gt;1,0,IF(SUM($D$122:AA122)&lt;=0,1*AA120,1-(SUM($D$122:AA122)/AA122)*AA120)),0)</f>
        <v/>
      </c>
      <c r="AB125" s="404">
        <f>IFERROR(IF(SUM($D$122:AB122)/ABS(AB122)&gt;1,0,IF(SUM($D$122:AB122)&lt;=0,1*AB120,1-(SUM($D$122:AB122)/AB122)*AB120)),0)</f>
        <v/>
      </c>
      <c r="AC125" s="404">
        <f>IFERROR(IF(SUM($D$122:AC122)/ABS(AC122)&gt;1,0,IF(SUM($D$122:AC122)&lt;=0,1*AC120,1-(SUM($D$122:AC122)/AC122)*AC120)),0)</f>
        <v/>
      </c>
      <c r="AD125" s="404">
        <f>IFERROR(IF(SUM($D$122:AD122)/ABS(AD122)&gt;1,0,IF(SUM($D$122:AD122)&lt;=0,1*AD120,1-(SUM($D$122:AD122)/AD122)*AD120)),0)</f>
        <v/>
      </c>
      <c r="AE125" s="404">
        <f>IFERROR(IF(SUM($D$122:AE122)/ABS(AE122)&gt;1,0,IF(SUM($D$122:AE122)&lt;=0,1*AE120,1-(SUM($D$122:AE122)/AE122)*AE120)),0)</f>
        <v/>
      </c>
      <c r="AF125" s="404">
        <f>IFERROR(IF(SUM($D$122:AF122)/ABS(AF122)&gt;1,0,IF(SUM($D$122:AF122)&lt;=0,1*AF120,1-(SUM($D$122:AF122)/AF122)*AF120)),0)</f>
        <v/>
      </c>
      <c r="AG125" s="404">
        <f>IFERROR(IF(SUM($D$122:AG122)/ABS(AG122)&gt;1,0,IF(SUM($D$122:AG122)&lt;=0,1*AG120,1-(SUM($D$122:AG122)/AG122)*AG120)),0)</f>
        <v/>
      </c>
      <c r="AH125" s="404">
        <f>IFERROR(IF(SUM($D$122:AH122)/ABS(AH122)&gt;1,0,IF(SUM($D$122:AH122)&lt;=0,1*AH120,1-(SUM($D$122:AH122)/AH122)*AH120)),0)</f>
        <v/>
      </c>
      <c r="AI125" s="404">
        <f>IFERROR(IF(SUM($D$122:AI122)/ABS(AI122)&gt;1,0,IF(SUM($D$122:AI122)&lt;=0,1*AI120,1-(SUM($D$122:AI122)/AI122)*AI120)),0)</f>
        <v/>
      </c>
      <c r="AJ125" s="404">
        <f>IFERROR(IF(SUM($D$122:AJ122)/ABS(AJ122)&gt;1,0,IF(SUM($D$122:AJ122)&lt;=0,1*AJ120,1-(SUM($D$122:AJ122)/AJ122)*AJ120)),0)</f>
        <v/>
      </c>
      <c r="AK125" s="404">
        <f>IFERROR(IF(SUM($D$122:AK122)/ABS(AK122)&gt;1,0,IF(SUM($D$122:AK122)&lt;=0,1*AK120,1-(SUM($D$122:AK122)/AK122)*AK120)),0)</f>
        <v/>
      </c>
      <c r="AL125" s="404">
        <f>IFERROR(IF(SUM($D$122:AL122)/ABS(AL122)&gt;1,0,IF(SUM($D$122:AL122)&lt;=0,1*AL120,1-(SUM($D$122:AL122)/AL122)*AL120)),0)</f>
        <v/>
      </c>
      <c r="AM125" s="404">
        <f>IFERROR(IF(SUM($D$122:AM122)/ABS(AM122)&gt;1,0,IF(SUM($D$122:AM122)&lt;=0,1*AM120,1-(SUM($D$122:AM122)/AM122)*AM120)),0)</f>
        <v/>
      </c>
      <c r="AN125" s="404">
        <f>IFERROR(IF(SUM($D$122:AN122)/ABS(AN122)&gt;1,0,IF(SUM($D$122:AN122)&lt;=0,1*AN120,1-(SUM($D$122:AN122)/AN122)*AN120)),0)</f>
        <v/>
      </c>
      <c r="AO125" s="404">
        <f>IFERROR(IF(SUM($D$122:AO122)/ABS(AO122)&gt;1,0,IF(SUM($D$122:AO122)&lt;=0,1*AO120,1-(SUM($D$122:AO122)/AO122)*AO120)),0)</f>
        <v/>
      </c>
      <c r="AP125" s="404">
        <f>IFERROR(IF(SUM($D$122:AP122)/ABS(AP122)&gt;1,0,IF(SUM($D$122:AP122)&lt;=0,1*AP120,1-(SUM($D$122:AP122)/AP122)*AP120)),0)</f>
        <v/>
      </c>
      <c r="AQ125" s="404">
        <f>IFERROR(IF(SUM($D$122:AQ122)/ABS(AQ122)&gt;1,0,IF(SUM($D$122:AQ122)&lt;=0,1*AQ120,1-(SUM($D$122:AQ122)/AQ122)*AQ120)),0)</f>
        <v/>
      </c>
      <c r="AR125" s="404">
        <f>IFERROR(IF(SUM($D$122:AR122)/ABS(AR122)&gt;1,0,IF(SUM($D$122:AR122)&lt;=0,1*AR120,1-(SUM($D$122:AR122)/AR122)*AR120)),0)</f>
        <v/>
      </c>
      <c r="AS125" s="404">
        <f>IFERROR(IF(SUM($D$122:AS122)/ABS(AS122)&gt;1,0,IF(SUM($D$122:AS122)&lt;=0,1*AS120,1-(SUM($D$122:AS122)/AS122)*AS120)),0)</f>
        <v/>
      </c>
      <c r="AT125" s="404">
        <f>IFERROR(IF(SUM($D$122:AT122)/ABS(AT122)&gt;1,0,IF(SUM($D$122:AT122)&lt;=0,1*AT120,1-(SUM($D$122:AT122)/AT122)*AT120)),0)</f>
        <v/>
      </c>
      <c r="AU125" s="404">
        <f>IFERROR(IF(SUM($D$122:AU122)/ABS(AU122)&gt;1,0,IF(SUM($D$122:AU122)&lt;=0,1*AU120,1-(SUM($D$122:AU122)/AU122)*AU120)),0)</f>
        <v/>
      </c>
      <c r="AV125" s="404">
        <f>IFERROR(IF(SUM($D$122:AV122)/ABS(AV122)&gt;1,0,IF(SUM($D$122:AV122)&lt;=0,1*AV120,1-(SUM($D$122:AV122)/AV122)*AV120)),0)</f>
        <v/>
      </c>
      <c r="AW125" s="404">
        <f>IFERROR(IF(SUM($D$122:AW122)/ABS(AW122)&gt;1,0,IF(SUM($D$122:AW122)&lt;=0,1*AW120,1-(SUM($D$122:AW122)/AW122)*AW120)),0)</f>
        <v/>
      </c>
      <c r="AX125" s="404">
        <f>IFERROR(IF(SUM($D$122:AX122)/ABS(AX122)&gt;1,0,IF(SUM($D$122:AX122)&lt;=0,1*AX120,1-(SUM($D$122:AX122)/AX122)*AX120)),0)</f>
        <v/>
      </c>
      <c r="AY125" s="404">
        <f>IFERROR(IF(SUM($D$122:AY122)/ABS(AY122)&gt;1,0,IF(SUM($D$122:AY122)&lt;=0,1*AY120,1-(SUM($D$122:AY122)/AY122)*AY120)),0)</f>
        <v/>
      </c>
      <c r="AZ125" s="404">
        <f>IFERROR(IF(SUM($D$122:AZ122)/ABS(AZ122)&gt;1,0,IF(SUM($D$122:AZ122)&lt;=0,1*AZ120,1-(SUM($D$122:AZ122)/AZ122)*AZ120)),0)</f>
        <v/>
      </c>
      <c r="BA125" s="404">
        <f>IFERROR(IF(SUM($D$122:BA122)/ABS(BA122)&gt;1,0,IF(SUM($D$122:BA122)&lt;=0,1*BA120,1-(SUM($D$122:BA122)/BA122)*BA120)),0)</f>
        <v/>
      </c>
      <c r="BB125" s="404">
        <f>IFERROR(IF(SUM($D$122:BB122)/ABS(BB122)&gt;1,0,IF(SUM($D$122:BB122)&lt;=0,1*BB120,1-(SUM($D$122:BB122)/BB122)*BB120)),0)</f>
        <v/>
      </c>
      <c r="BC125" s="404">
        <f>IFERROR(IF(SUM($D$122:BC122)/ABS(BC122)&gt;1,0,IF(SUM($D$122:BC122)&lt;=0,1*BC120,1-(SUM($D$122:BC122)/BC122)*BC120)),0)</f>
        <v/>
      </c>
      <c r="BD125" s="404">
        <f>IFERROR(IF(SUM($D$122:BD122)/ABS(BD122)&gt;1,0,IF(SUM($D$122:BD122)&lt;=0,1*BD120,1-(SUM($D$122:BD122)/BD122)*BD120)),0)</f>
        <v/>
      </c>
      <c r="BE125" s="404">
        <f>IFERROR(IF(SUM($D$122:BE122)/ABS(BE122)&gt;1,0,IF(SUM($D$122:BE122)&lt;=0,1*BE120,1-(SUM($D$122:BE122)/BE122)*BE120)),0)</f>
        <v/>
      </c>
      <c r="BF125" s="404">
        <f>IFERROR(IF(SUM($D$122:BF122)/ABS(BF122)&gt;1,0,IF(SUM($D$122:BF122)&lt;=0,1*BF120,1-(SUM($D$122:BF122)/BF122)*BF120)),0)</f>
        <v/>
      </c>
      <c r="BG125" s="404">
        <f>IFERROR(IF(SUM($D$122:BG122)/ABS(BG122)&gt;1,0,IF(SUM($D$122:BG122)&lt;=0,1*BG120,1-(SUM($D$122:BG122)/BG122)*BG120)),0)</f>
        <v/>
      </c>
      <c r="BH125" s="404">
        <f>IFERROR(IF(SUM($D$122:BH122)/ABS(BH122)&gt;1,0,IF(SUM($D$122:BH122)&lt;=0,1*BH120,1-(SUM($D$122:BH122)/BH122)*BH120)),0)</f>
        <v/>
      </c>
      <c r="BI125" s="404">
        <f>IFERROR(IF(SUM($D$122:BI122)/ABS(BI122)&gt;1,0,IF(SUM($D$122:BI122)&lt;=0,1*BI120,1-(SUM($D$122:BI122)/BI122)*BI120)),0)</f>
        <v/>
      </c>
      <c r="BJ125" s="404">
        <f>IFERROR(IF(SUM($D$122:BJ122)/ABS(BJ122)&gt;1,0,IF(SUM($D$122:BJ122)&lt;=0,1*BJ120,1-(SUM($D$122:BJ122)/BJ122)*BJ120)),0)</f>
        <v/>
      </c>
      <c r="BK125" s="404">
        <f>IFERROR(IF(SUM($D$122:BK122)/ABS(BK122)&gt;1,0,IF(SUM($D$122:BK122)&lt;=0,1*BK120,1-(SUM($D$122:BK122)/BK122)*BK120)),0)</f>
        <v/>
      </c>
      <c r="BL125" s="404">
        <f>IFERROR(IF(SUM($D$122:BL122)/ABS(BL122)&gt;1,0,IF(SUM($D$122:BL122)&lt;=0,1*BL120,1-(SUM($D$122:BL122)/BL122)*BL120)),0)</f>
        <v/>
      </c>
      <c r="BM125" s="404">
        <f>IFERROR(IF(SUM($D$122:BM122)/ABS(BM122)&gt;1,0,IF(SUM($D$122:BM122)&lt;=0,1*BM120,1-(SUM($D$122:BM122)/BM122)*BM120)),0)</f>
        <v/>
      </c>
      <c r="BN125" s="404">
        <f>IFERROR(IF(SUM($D$122:BN122)/ABS(BN122)&gt;1,0,IF(SUM($D$122:BN122)&lt;=0,1*BN120,1-(SUM($D$122:BN122)/BN122)*BN120)),0)</f>
        <v/>
      </c>
      <c r="BO125" s="404">
        <f>IFERROR(IF(SUM($D$122:BO122)/ABS(BO122)&gt;1,0,IF(SUM($D$122:BO122)&lt;=0,1*BO120,1-(SUM($D$122:BO122)/BO122)*BO120)),0)</f>
        <v/>
      </c>
      <c r="BP125" s="404" t="n"/>
      <c r="BQ125" s="387" t="n"/>
    </row>
    <row r="126">
      <c r="A126" s="28" t="inlineStr">
        <is>
          <t>Net Present Value</t>
        </is>
      </c>
      <c r="B126" s="56" t="inlineStr">
        <is>
          <t>AUDk</t>
        </is>
      </c>
      <c r="C126" s="404">
        <f>SUM(D124:BO124)</f>
        <v/>
      </c>
      <c r="D126" s="404" t="n"/>
      <c r="E126" s="404" t="n"/>
      <c r="F126" s="404" t="n"/>
      <c r="G126" s="404" t="n"/>
      <c r="H126" s="404" t="n"/>
      <c r="I126" s="404" t="n"/>
      <c r="J126" s="404" t="n"/>
      <c r="K126" s="404" t="n"/>
      <c r="L126" s="404" t="n"/>
      <c r="M126" s="404" t="n"/>
      <c r="N126" s="404" t="n"/>
      <c r="O126" s="404" t="n"/>
      <c r="P126" s="404" t="n"/>
      <c r="Q126" s="404" t="n"/>
      <c r="R126" s="404" t="n"/>
      <c r="S126" s="404" t="n"/>
      <c r="T126" s="404" t="n"/>
      <c r="U126" s="404" t="n"/>
      <c r="V126" s="404" t="n"/>
      <c r="W126" s="404" t="n"/>
      <c r="X126" s="404" t="n"/>
      <c r="Y126" s="404" t="n"/>
      <c r="Z126" s="404" t="n"/>
      <c r="AA126" s="404" t="n"/>
      <c r="AB126" s="404" t="n"/>
      <c r="AC126" s="404" t="n"/>
      <c r="AD126" s="404" t="n"/>
      <c r="AE126" s="404" t="n"/>
      <c r="AF126" s="404" t="n"/>
      <c r="AG126" s="404" t="n"/>
      <c r="AH126" s="404" t="n"/>
      <c r="AI126" s="404" t="n"/>
      <c r="AJ126" s="404" t="n"/>
      <c r="AK126" s="404" t="n"/>
      <c r="AL126" s="404" t="n"/>
      <c r="AM126" s="404" t="n"/>
      <c r="AN126" s="404" t="n"/>
      <c r="AO126" s="404" t="n"/>
      <c r="AP126" s="404" t="n"/>
      <c r="AQ126" s="404" t="n"/>
      <c r="AR126" s="404" t="n"/>
      <c r="AS126" s="404" t="n"/>
      <c r="AT126" s="404" t="n"/>
      <c r="AU126" s="404" t="n"/>
      <c r="AV126" s="404" t="n"/>
      <c r="AW126" s="404" t="n"/>
      <c r="AX126" s="404" t="n"/>
      <c r="AY126" s="404" t="n"/>
      <c r="AZ126" s="404" t="n"/>
      <c r="BA126" s="404" t="n"/>
      <c r="BB126" s="404" t="n"/>
      <c r="BC126" s="404" t="n"/>
      <c r="BD126" s="404" t="n"/>
      <c r="BE126" s="404" t="n"/>
      <c r="BF126" s="404" t="n"/>
      <c r="BG126" s="404" t="n"/>
      <c r="BH126" s="404" t="n"/>
      <c r="BI126" s="404" t="n"/>
      <c r="BJ126" s="404" t="n"/>
      <c r="BK126" s="404" t="n"/>
      <c r="BL126" s="404" t="n"/>
      <c r="BM126" s="404" t="n"/>
      <c r="BN126" s="404" t="n"/>
      <c r="BO126" s="404" t="n"/>
      <c r="BP126" s="404" t="n"/>
      <c r="BQ126" s="405" t="n"/>
    </row>
    <row r="127">
      <c r="A127" s="28" t="inlineStr">
        <is>
          <t>Simple Payback</t>
        </is>
      </c>
      <c r="B127" s="56" t="inlineStr">
        <is>
          <t>years</t>
        </is>
      </c>
      <c r="C127" s="406">
        <f>SUM(D125:BO125)</f>
        <v/>
      </c>
      <c r="D127" s="404" t="n"/>
      <c r="E127" s="404" t="n"/>
      <c r="F127" s="404" t="n"/>
      <c r="G127" s="404" t="n"/>
      <c r="H127" s="404" t="n"/>
      <c r="I127" s="404" t="n"/>
      <c r="J127" s="404" t="n"/>
      <c r="K127" s="404" t="n"/>
      <c r="L127" s="404" t="n"/>
      <c r="M127" s="404" t="n"/>
      <c r="N127" s="404" t="n"/>
      <c r="O127" s="404" t="n"/>
      <c r="P127" s="404" t="n"/>
      <c r="Q127" s="404" t="n"/>
      <c r="R127" s="404" t="n"/>
      <c r="S127" s="404" t="n"/>
      <c r="T127" s="404" t="n"/>
      <c r="U127" s="404" t="n"/>
      <c r="V127" s="404" t="n"/>
      <c r="W127" s="404" t="n"/>
      <c r="X127" s="404" t="n"/>
      <c r="Y127" s="404" t="n"/>
      <c r="Z127" s="404" t="n"/>
      <c r="AA127" s="404" t="n"/>
      <c r="AB127" s="404" t="n"/>
      <c r="AC127" s="404" t="n"/>
      <c r="AD127" s="404" t="n"/>
      <c r="AE127" s="404" t="n"/>
      <c r="AF127" s="404" t="n"/>
      <c r="AG127" s="404" t="n"/>
      <c r="AH127" s="404" t="n"/>
      <c r="AI127" s="404" t="n"/>
      <c r="AJ127" s="404" t="n"/>
      <c r="AK127" s="404" t="n"/>
      <c r="AL127" s="404" t="n"/>
      <c r="AM127" s="404" t="n"/>
      <c r="AN127" s="404" t="n"/>
      <c r="AO127" s="404" t="n"/>
      <c r="AP127" s="404" t="n"/>
      <c r="AQ127" s="404" t="n"/>
      <c r="AR127" s="404" t="n"/>
      <c r="AS127" s="404" t="n"/>
      <c r="AT127" s="404" t="n"/>
      <c r="AU127" s="404" t="n"/>
      <c r="AV127" s="404" t="n"/>
      <c r="AW127" s="404" t="n"/>
      <c r="AX127" s="404" t="n"/>
      <c r="AY127" s="404" t="n"/>
      <c r="AZ127" s="404" t="n"/>
      <c r="BA127" s="404" t="n"/>
      <c r="BB127" s="404" t="n"/>
      <c r="BC127" s="404" t="n"/>
      <c r="BD127" s="404" t="n"/>
      <c r="BE127" s="404" t="n"/>
      <c r="BF127" s="404" t="n"/>
      <c r="BG127" s="404" t="n"/>
      <c r="BH127" s="404" t="n"/>
      <c r="BI127" s="404" t="n"/>
      <c r="BJ127" s="404" t="n"/>
      <c r="BK127" s="404" t="n"/>
      <c r="BL127" s="404" t="n"/>
      <c r="BM127" s="404" t="n"/>
      <c r="BN127" s="404" t="n"/>
      <c r="BO127" s="404" t="n"/>
      <c r="BP127" s="404" t="n"/>
      <c r="BQ127" s="405" t="n"/>
    </row>
    <row r="128">
      <c r="A128" s="71" t="inlineStr">
        <is>
          <t>IRR</t>
        </is>
      </c>
      <c r="B128" s="92" t="inlineStr">
        <is>
          <t>%</t>
        </is>
      </c>
      <c r="C128" s="302">
        <f>IRR(D124:BO124)</f>
        <v/>
      </c>
      <c r="D128" s="407" t="n"/>
      <c r="E128" s="407" t="n"/>
      <c r="F128" s="407" t="n"/>
      <c r="G128" s="407" t="n"/>
      <c r="H128" s="407" t="n"/>
      <c r="I128" s="407" t="n"/>
      <c r="J128" s="407" t="n"/>
      <c r="K128" s="407" t="n"/>
      <c r="L128" s="407" t="n"/>
      <c r="M128" s="407" t="n"/>
      <c r="N128" s="407" t="n"/>
      <c r="O128" s="407" t="n"/>
      <c r="P128" s="407" t="n"/>
      <c r="Q128" s="407" t="n"/>
      <c r="R128" s="407" t="n"/>
      <c r="S128" s="407" t="n"/>
      <c r="T128" s="407" t="n"/>
      <c r="U128" s="407" t="n"/>
      <c r="V128" s="407" t="n"/>
      <c r="W128" s="407" t="n"/>
      <c r="X128" s="407" t="n"/>
      <c r="Y128" s="407" t="n"/>
      <c r="Z128" s="407" t="n"/>
      <c r="AA128" s="407" t="n"/>
      <c r="AB128" s="407" t="n"/>
      <c r="AC128" s="407" t="n"/>
      <c r="AD128" s="407" t="n"/>
      <c r="AE128" s="407" t="n"/>
      <c r="AF128" s="407" t="n"/>
      <c r="AG128" s="407" t="n"/>
      <c r="AH128" s="407" t="n"/>
      <c r="AI128" s="407" t="n"/>
      <c r="AJ128" s="407" t="n"/>
      <c r="AK128" s="407" t="n"/>
      <c r="AL128" s="407" t="n"/>
      <c r="AM128" s="407" t="n"/>
      <c r="AN128" s="407" t="n"/>
      <c r="AO128" s="407" t="n"/>
      <c r="AP128" s="407" t="n"/>
      <c r="AQ128" s="407" t="n"/>
      <c r="AR128" s="407" t="n"/>
      <c r="AS128" s="407" t="n"/>
      <c r="AT128" s="407" t="n"/>
      <c r="AU128" s="407" t="n"/>
      <c r="AV128" s="407" t="n"/>
      <c r="AW128" s="407" t="n"/>
      <c r="AX128" s="407" t="n"/>
      <c r="AY128" s="407" t="n"/>
      <c r="AZ128" s="407" t="n"/>
      <c r="BA128" s="407" t="n"/>
      <c r="BB128" s="407" t="n"/>
      <c r="BC128" s="407" t="n"/>
      <c r="BD128" s="407" t="n"/>
      <c r="BE128" s="407" t="n"/>
      <c r="BF128" s="407" t="n"/>
      <c r="BG128" s="407" t="n"/>
      <c r="BH128" s="407" t="n"/>
      <c r="BI128" s="407" t="n"/>
      <c r="BJ128" s="407" t="n"/>
      <c r="BK128" s="407" t="n"/>
      <c r="BL128" s="407" t="n"/>
      <c r="BM128" s="407" t="n"/>
      <c r="BN128" s="407" t="n"/>
      <c r="BO128" s="407" t="n"/>
      <c r="BP128" s="407" t="n"/>
      <c r="BQ128" s="383" t="n"/>
    </row>
    <row r="129">
      <c r="A129" s="2" t="inlineStr">
        <is>
          <t>Depreciation Summary</t>
        </is>
      </c>
      <c r="B129" s="36" t="n"/>
      <c r="C129" s="36" t="n"/>
      <c r="D129" s="347" t="n"/>
      <c r="E129" s="347" t="n"/>
      <c r="F129" s="347" t="n"/>
      <c r="G129" s="347" t="n"/>
      <c r="H129" s="347" t="n"/>
      <c r="I129" s="347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7" t="n"/>
      <c r="S129" s="347" t="n"/>
      <c r="T129" s="347" t="n"/>
      <c r="U129" s="347" t="n"/>
      <c r="V129" s="347" t="n"/>
      <c r="W129" s="347" t="n"/>
      <c r="X129" s="347" t="n"/>
      <c r="Y129" s="347" t="n"/>
      <c r="Z129" s="347" t="n"/>
      <c r="AA129" s="347" t="n"/>
      <c r="AB129" s="347" t="n"/>
      <c r="AC129" s="347" t="n"/>
      <c r="AD129" s="347" t="n"/>
      <c r="AE129" s="347" t="n"/>
      <c r="AF129" s="347" t="n"/>
      <c r="AG129" s="347" t="n"/>
      <c r="AH129" s="347" t="n"/>
      <c r="AI129" s="347" t="n"/>
      <c r="AJ129" s="347" t="n"/>
      <c r="AK129" s="347" t="n"/>
      <c r="AL129" s="347" t="n"/>
      <c r="AM129" s="347" t="n"/>
      <c r="AN129" s="347" t="n"/>
      <c r="AO129" s="347" t="n"/>
      <c r="AP129" s="347" t="n"/>
      <c r="AQ129" s="347" t="n"/>
      <c r="AR129" s="347" t="n"/>
      <c r="AS129" s="347" t="n"/>
      <c r="AT129" s="347" t="n"/>
      <c r="AU129" s="347" t="n"/>
      <c r="AV129" s="347" t="n"/>
      <c r="AW129" s="347" t="n"/>
      <c r="AX129" s="347" t="n"/>
      <c r="AY129" s="347" t="n"/>
      <c r="AZ129" s="347" t="n"/>
      <c r="BA129" s="347" t="n"/>
      <c r="BB129" s="347" t="n"/>
      <c r="BC129" s="347" t="n"/>
      <c r="BD129" s="347" t="n"/>
      <c r="BE129" s="347" t="n"/>
      <c r="BF129" s="347" t="n"/>
      <c r="BG129" s="347" t="n"/>
      <c r="BH129" s="347" t="n"/>
      <c r="BI129" s="347" t="n"/>
      <c r="BJ129" s="347" t="n"/>
      <c r="BK129" s="347" t="n"/>
      <c r="BL129" s="347" t="n"/>
      <c r="BM129" s="347" t="n"/>
      <c r="BN129" s="347" t="n"/>
      <c r="BO129" s="347" t="n"/>
      <c r="BP129" s="347" t="n"/>
      <c r="BQ129" s="395" t="n"/>
    </row>
    <row r="130">
      <c r="A130" s="4" t="inlineStr">
        <is>
          <t>Opening Balance</t>
        </is>
      </c>
      <c r="B130" s="17" t="inlineStr">
        <is>
          <t>AUDk</t>
        </is>
      </c>
      <c r="D130" s="408" t="n">
        <v>0</v>
      </c>
      <c r="E130" s="323">
        <f>D133</f>
        <v/>
      </c>
      <c r="F130" s="323">
        <f>E133</f>
        <v/>
      </c>
      <c r="G130" s="323">
        <f>F133</f>
        <v/>
      </c>
      <c r="H130" s="323">
        <f>G133</f>
        <v/>
      </c>
      <c r="I130" s="323">
        <f>H133</f>
        <v/>
      </c>
      <c r="J130" s="323">
        <f>I133</f>
        <v/>
      </c>
      <c r="K130" s="323">
        <f>J133</f>
        <v/>
      </c>
      <c r="L130" s="323">
        <f>K133</f>
        <v/>
      </c>
      <c r="M130" s="323">
        <f>L133</f>
        <v/>
      </c>
      <c r="N130" s="323">
        <f>M133</f>
        <v/>
      </c>
      <c r="O130" s="323">
        <f>N133</f>
        <v/>
      </c>
      <c r="P130" s="323">
        <f>O133</f>
        <v/>
      </c>
      <c r="Q130" s="323">
        <f>P133</f>
        <v/>
      </c>
      <c r="R130" s="323">
        <f>Q133</f>
        <v/>
      </c>
      <c r="S130" s="323">
        <f>R133</f>
        <v/>
      </c>
      <c r="T130" s="323">
        <f>S133</f>
        <v/>
      </c>
      <c r="U130" s="323">
        <f>T133</f>
        <v/>
      </c>
      <c r="V130" s="323">
        <f>U133</f>
        <v/>
      </c>
      <c r="W130" s="323">
        <f>V133</f>
        <v/>
      </c>
      <c r="X130" s="323">
        <f>W133</f>
        <v/>
      </c>
      <c r="Y130" s="323">
        <f>X133</f>
        <v/>
      </c>
      <c r="Z130" s="323">
        <f>Y133</f>
        <v/>
      </c>
      <c r="AA130" s="323">
        <f>Z133</f>
        <v/>
      </c>
      <c r="AB130" s="323">
        <f>AA133</f>
        <v/>
      </c>
      <c r="AC130" s="323">
        <f>AB133</f>
        <v/>
      </c>
      <c r="AD130" s="323">
        <f>AC133</f>
        <v/>
      </c>
      <c r="AE130" s="323">
        <f>AC133</f>
        <v/>
      </c>
      <c r="AF130" s="323">
        <f>AD133</f>
        <v/>
      </c>
      <c r="AG130" s="323">
        <f>AE133</f>
        <v/>
      </c>
      <c r="AH130" s="323">
        <f>AF133</f>
        <v/>
      </c>
      <c r="AI130" s="323">
        <f>AG133</f>
        <v/>
      </c>
      <c r="AJ130" s="323">
        <f>AH133</f>
        <v/>
      </c>
      <c r="AK130" s="323">
        <f>AI133</f>
        <v/>
      </c>
      <c r="AL130" s="323">
        <f>AJ133</f>
        <v/>
      </c>
      <c r="AM130" s="323">
        <f>AK133</f>
        <v/>
      </c>
      <c r="AN130" s="323">
        <f>AL133</f>
        <v/>
      </c>
      <c r="AO130" s="323">
        <f>AM133</f>
        <v/>
      </c>
      <c r="AP130" s="323">
        <f>AN133</f>
        <v/>
      </c>
      <c r="AQ130" s="323">
        <f>AO133</f>
        <v/>
      </c>
      <c r="AR130" s="323">
        <f>AP133</f>
        <v/>
      </c>
      <c r="AS130" s="323">
        <f>AQ133</f>
        <v/>
      </c>
      <c r="AT130" s="323">
        <f>AR133</f>
        <v/>
      </c>
      <c r="AU130" s="323">
        <f>AS133</f>
        <v/>
      </c>
      <c r="AV130" s="323">
        <f>AT133</f>
        <v/>
      </c>
      <c r="AW130" s="323">
        <f>AU133</f>
        <v/>
      </c>
      <c r="AX130" s="323">
        <f>AV133</f>
        <v/>
      </c>
      <c r="AY130" s="323">
        <f>AW133</f>
        <v/>
      </c>
      <c r="AZ130" s="323">
        <f>AX133</f>
        <v/>
      </c>
      <c r="BA130" s="323">
        <f>AY133</f>
        <v/>
      </c>
      <c r="BB130" s="323">
        <f>AZ133</f>
        <v/>
      </c>
      <c r="BC130" s="323">
        <f>BA133</f>
        <v/>
      </c>
      <c r="BD130" s="323">
        <f>BB133</f>
        <v/>
      </c>
      <c r="BE130" s="323">
        <f>BC133</f>
        <v/>
      </c>
      <c r="BF130" s="323">
        <f>BD133</f>
        <v/>
      </c>
      <c r="BG130" s="323">
        <f>BE133</f>
        <v/>
      </c>
      <c r="BH130" s="323">
        <f>BF133</f>
        <v/>
      </c>
      <c r="BI130" s="323">
        <f>BG133</f>
        <v/>
      </c>
      <c r="BJ130" s="323">
        <f>BH133</f>
        <v/>
      </c>
      <c r="BK130" s="323">
        <f>BI133</f>
        <v/>
      </c>
      <c r="BL130" s="323">
        <f>BJ133</f>
        <v/>
      </c>
      <c r="BM130" s="323">
        <f>BK133</f>
        <v/>
      </c>
      <c r="BN130" s="323">
        <f>BL133</f>
        <v/>
      </c>
      <c r="BO130" s="323">
        <f>BM133</f>
        <v/>
      </c>
      <c r="BP130" s="323" t="n"/>
      <c r="BQ130" s="370" t="n"/>
    </row>
    <row r="131">
      <c r="A131" s="4" t="inlineStr">
        <is>
          <t>Add: Capital Purchases</t>
        </is>
      </c>
      <c r="B131" s="17" t="inlineStr">
        <is>
          <t>AUDk</t>
        </is>
      </c>
      <c r="D131" s="323">
        <f>D115</f>
        <v/>
      </c>
      <c r="E131" s="323">
        <f>E115</f>
        <v/>
      </c>
      <c r="F131" s="323">
        <f>F115</f>
        <v/>
      </c>
      <c r="G131" s="323">
        <f>G115</f>
        <v/>
      </c>
      <c r="H131" s="323">
        <f>H115</f>
        <v/>
      </c>
      <c r="I131" s="323">
        <f>I115</f>
        <v/>
      </c>
      <c r="J131" s="323">
        <f>J115</f>
        <v/>
      </c>
      <c r="K131" s="323">
        <f>K115</f>
        <v/>
      </c>
      <c r="L131" s="323">
        <f>L115</f>
        <v/>
      </c>
      <c r="M131" s="323">
        <f>M115</f>
        <v/>
      </c>
      <c r="N131" s="323">
        <f>N115</f>
        <v/>
      </c>
      <c r="O131" s="323">
        <f>O115</f>
        <v/>
      </c>
      <c r="P131" s="323">
        <f>P115</f>
        <v/>
      </c>
      <c r="Q131" s="323">
        <f>Q115</f>
        <v/>
      </c>
      <c r="R131" s="323">
        <f>R115</f>
        <v/>
      </c>
      <c r="S131" s="323">
        <f>S115</f>
        <v/>
      </c>
      <c r="T131" s="323">
        <f>T115</f>
        <v/>
      </c>
      <c r="U131" s="323">
        <f>U115</f>
        <v/>
      </c>
      <c r="V131" s="323">
        <f>V115</f>
        <v/>
      </c>
      <c r="W131" s="323">
        <f>W115</f>
        <v/>
      </c>
      <c r="X131" s="323">
        <f>X115</f>
        <v/>
      </c>
      <c r="Y131" s="323">
        <f>Y115</f>
        <v/>
      </c>
      <c r="Z131" s="323">
        <f>Z115</f>
        <v/>
      </c>
      <c r="AA131" s="323">
        <f>AA115</f>
        <v/>
      </c>
      <c r="AB131" s="323">
        <f>AB115</f>
        <v/>
      </c>
      <c r="AC131" s="323">
        <f>AC115</f>
        <v/>
      </c>
      <c r="AD131" s="323">
        <f>AD115</f>
        <v/>
      </c>
      <c r="AE131" s="323">
        <f>AE115</f>
        <v/>
      </c>
      <c r="AF131" s="323">
        <f>AF115</f>
        <v/>
      </c>
      <c r="AG131" s="323">
        <f>AG115</f>
        <v/>
      </c>
      <c r="AH131" s="323">
        <f>AH115</f>
        <v/>
      </c>
      <c r="AI131" s="323">
        <f>AI115</f>
        <v/>
      </c>
      <c r="AJ131" s="323">
        <f>AJ115</f>
        <v/>
      </c>
      <c r="AK131" s="323">
        <f>AK115</f>
        <v/>
      </c>
      <c r="AL131" s="323">
        <f>AL115</f>
        <v/>
      </c>
      <c r="AM131" s="323">
        <f>AM115</f>
        <v/>
      </c>
      <c r="AN131" s="323">
        <f>AN115</f>
        <v/>
      </c>
      <c r="AO131" s="323">
        <f>AO115</f>
        <v/>
      </c>
      <c r="AP131" s="323">
        <f>AP115</f>
        <v/>
      </c>
      <c r="AQ131" s="323">
        <f>AQ115</f>
        <v/>
      </c>
      <c r="AR131" s="323">
        <f>AR115</f>
        <v/>
      </c>
      <c r="AS131" s="323">
        <f>AS115</f>
        <v/>
      </c>
      <c r="AT131" s="323">
        <f>AT115</f>
        <v/>
      </c>
      <c r="AU131" s="323">
        <f>AU115</f>
        <v/>
      </c>
      <c r="AV131" s="323">
        <f>AV115</f>
        <v/>
      </c>
      <c r="AW131" s="323">
        <f>AW115</f>
        <v/>
      </c>
      <c r="AX131" s="323">
        <f>AX115</f>
        <v/>
      </c>
      <c r="AY131" s="323">
        <f>AY115</f>
        <v/>
      </c>
      <c r="AZ131" s="323">
        <f>AZ115</f>
        <v/>
      </c>
      <c r="BA131" s="323">
        <f>BA115</f>
        <v/>
      </c>
      <c r="BB131" s="323">
        <f>BB115</f>
        <v/>
      </c>
      <c r="BC131" s="323">
        <f>BC115</f>
        <v/>
      </c>
      <c r="BD131" s="323">
        <f>BD115</f>
        <v/>
      </c>
      <c r="BE131" s="323">
        <f>BE115</f>
        <v/>
      </c>
      <c r="BF131" s="323">
        <f>BF115</f>
        <v/>
      </c>
      <c r="BG131" s="323">
        <f>BG115</f>
        <v/>
      </c>
      <c r="BH131" s="323">
        <f>BH115</f>
        <v/>
      </c>
      <c r="BI131" s="323">
        <f>BI115</f>
        <v/>
      </c>
      <c r="BJ131" s="323">
        <f>BJ115</f>
        <v/>
      </c>
      <c r="BK131" s="323">
        <f>BK115</f>
        <v/>
      </c>
      <c r="BL131" s="323">
        <f>BL115</f>
        <v/>
      </c>
      <c r="BM131" s="323">
        <f>BM115</f>
        <v/>
      </c>
      <c r="BN131" s="323">
        <f>BN115</f>
        <v/>
      </c>
      <c r="BO131" s="323">
        <f>BO115</f>
        <v/>
      </c>
      <c r="BP131" s="323" t="n"/>
      <c r="BQ131" s="370" t="n"/>
    </row>
    <row r="132">
      <c r="A132" s="4" t="inlineStr">
        <is>
          <t>Less: Depreciation</t>
        </is>
      </c>
      <c r="B132" s="17" t="inlineStr">
        <is>
          <t>AUDk</t>
        </is>
      </c>
      <c r="D132" s="398">
        <f>IF(D2=$B$135,D130+D131,(D130+D131)/($B$135-1-D2))</f>
        <v/>
      </c>
      <c r="E132" s="323">
        <f>IFERROR(IF(E2=$B$135,E130+E131,E130/($B$135+1-E2)),0)</f>
        <v/>
      </c>
      <c r="F132" s="323">
        <f>IFERROR(IF(F2=$B$135,F130+F131,F130/($B$135+1-F2)),0)</f>
        <v/>
      </c>
      <c r="G132" s="323">
        <f>IFERROR(IF(G2=$B$135,G130+G131,G130/($B$135+1-G2)),0)</f>
        <v/>
      </c>
      <c r="H132" s="323">
        <f>IFERROR(IF(H2=$B$135,H130+H131,H130/($B$135+1-H2)),0)</f>
        <v/>
      </c>
      <c r="I132" s="323">
        <f>IFERROR(IF(I2=$B$135,I130+I131,I130/($B$135+1-I2)),0)</f>
        <v/>
      </c>
      <c r="J132" s="323">
        <f>IFERROR(IF(J2=$B$135,J130+J131,J130/($B$135+1-J2)),0)</f>
        <v/>
      </c>
      <c r="K132" s="323">
        <f>IFERROR(IF(K2=$B$135,K130+K131,K130/($B$135+1-K2)),0)</f>
        <v/>
      </c>
      <c r="L132" s="323">
        <f>IFERROR(IF(L2=$B$135,L130+L131,L130/($B$135+1-L2)),0)</f>
        <v/>
      </c>
      <c r="M132" s="323">
        <f>IFERROR(IF(M2=$B$135,M130+M131,M130/($B$135+1-M2)),0)</f>
        <v/>
      </c>
      <c r="N132" s="323">
        <f>IFERROR(IF(N2=$B$135,N130+N131,N130/($B$135+1-N2)),0)</f>
        <v/>
      </c>
      <c r="O132" s="323">
        <f>IFERROR(IF(O2=$B$135,O130+O131,O130/($B$135+1-O2)),0)</f>
        <v/>
      </c>
      <c r="P132" s="323">
        <f>IFERROR(IF(P2=$B$135,P130+P131,P130/($B$135+1-P2)),0)</f>
        <v/>
      </c>
      <c r="Q132" s="323">
        <f>IFERROR(IF(Q2=$B$135,Q130+Q131,Q130/($B$135+1-Q2)),0)</f>
        <v/>
      </c>
      <c r="R132" s="323">
        <f>IFERROR(IF(R2=$B$135,R130+R131,R130/($B$135+1-R2)),0)</f>
        <v/>
      </c>
      <c r="S132" s="323">
        <f>IFERROR(IF(S2=$B$135,S130+S131,S130/($B$135+1-S2)),0)</f>
        <v/>
      </c>
      <c r="T132" s="323">
        <f>IFERROR(IF(T2=$B$135,T130+T131,T130/($B$135+1-T2)),0)</f>
        <v/>
      </c>
      <c r="U132" s="323">
        <f>IFERROR(IF(U2=$B$135,U130+U131,U130/($B$135+1-U2)),0)</f>
        <v/>
      </c>
      <c r="V132" s="323">
        <f>IFERROR(IF(V2=$B$135,V130+V131,V130/($B$135+1-V2)),0)</f>
        <v/>
      </c>
      <c r="W132" s="323">
        <f>IFERROR(IF(W2=$B$135,W130+W131,W130/($B$135+1-W2)),0)</f>
        <v/>
      </c>
      <c r="X132" s="323">
        <f>IFERROR(IF(X2=$B$135,X130+X131,X130/($B$135+1-X2)),0)</f>
        <v/>
      </c>
      <c r="Y132" s="323">
        <f>IFERROR(IF(Y2=$B$135,Y130+Y131,Y130/($B$135+1-Y2)),0)</f>
        <v/>
      </c>
      <c r="Z132" s="323">
        <f>IFERROR(IF(Z2=$B$135,Z130+Z131,Z130/($B$135+1-Z2)),0)</f>
        <v/>
      </c>
      <c r="AA132" s="323">
        <f>IFERROR(IF(AA2=$B$135,AA130+AA131,AA130/($B$135+1-AA2)),0)</f>
        <v/>
      </c>
      <c r="AB132" s="323">
        <f>IFERROR(IF(AB2=$B$135,AB130+AB131,AB130/($B$135+1-AB2)),0)</f>
        <v/>
      </c>
      <c r="AC132" s="323">
        <f>IFERROR(IF(AC2=$B$135,AC130+AC131,AC130/($B$135+1-AC2)),0)</f>
        <v/>
      </c>
      <c r="AD132" s="323">
        <f>IFERROR(IF(AD2=$B$135,AD130+AD131,AD130/($B$135+1-AD2)),0)</f>
        <v/>
      </c>
      <c r="AE132" s="323">
        <f>IFERROR(IF(AE2=$B$135,AE130+AE131,AE130/($B$135+1-AE2)),0)</f>
        <v/>
      </c>
      <c r="AF132" s="323">
        <f>IFERROR(IF(AF2=$B$135,AF130+AF131,AF130/($B$135+1-AF2)),0)</f>
        <v/>
      </c>
      <c r="AG132" s="323">
        <f>IFERROR(IF(AG2=$B$135,AG130+AG131,AG130/($B$135+1-AG2)),0)</f>
        <v/>
      </c>
      <c r="AH132" s="323">
        <f>IFERROR(IF(AH2=$B$135,AH130+AH131,AH130/($B$135+1-AH2)),0)</f>
        <v/>
      </c>
      <c r="AI132" s="323">
        <f>IFERROR(IF(AI2=$B$135,AI130+AI131,AI130/($B$135+1-AI2)),0)</f>
        <v/>
      </c>
      <c r="AJ132" s="323">
        <f>IFERROR(IF(AJ2=$B$135,AJ130+AJ131,AJ130/($B$135+1-AJ2)),0)</f>
        <v/>
      </c>
      <c r="AK132" s="323">
        <f>IFERROR(IF(AK2=$B$135,AK130+AK131,AK130/($B$135+1-AK2)),0)</f>
        <v/>
      </c>
      <c r="AL132" s="323">
        <f>IFERROR(IF(AL2=$B$135,AL130+AL131,AL130/($B$135+1-AL2)),0)</f>
        <v/>
      </c>
      <c r="AM132" s="323">
        <f>IFERROR(IF(AM2=$B$135,AM130+AM131,AM130/($B$135+1-AM2)),0)</f>
        <v/>
      </c>
      <c r="AN132" s="323">
        <f>IFERROR(IF(AN2=$B$135,AN130+AN131,AN130/($B$135+1-AN2)),0)</f>
        <v/>
      </c>
      <c r="AO132" s="323">
        <f>IFERROR(IF(AO2=$B$135,AO130+AO131,AO130/($B$135+1-AO2)),0)</f>
        <v/>
      </c>
      <c r="AP132" s="323">
        <f>IFERROR(IF(AP2=$B$135,AP130+AP131,AP130/($B$135+1-AP2)),0)</f>
        <v/>
      </c>
      <c r="AQ132" s="323">
        <f>IFERROR(IF(AQ2=$B$135,AQ130+AQ131,AQ130/($B$135+1-AQ2)),0)</f>
        <v/>
      </c>
      <c r="AR132" s="323">
        <f>IFERROR(IF(AR2=$B$135,AR130+AR131,AR130/($B$135+1-AR2)),0)</f>
        <v/>
      </c>
      <c r="AS132" s="323">
        <f>IFERROR(IF(AS2=$B$135,AS130+AS131,AS130/($B$135+1-AS2)),0)</f>
        <v/>
      </c>
      <c r="AT132" s="323">
        <f>IFERROR(IF(AT2=$B$135,AT130+AT131,AT130/($B$135+1-AT2)),0)</f>
        <v/>
      </c>
      <c r="AU132" s="323">
        <f>IFERROR(IF(AU2=$B$135,AU130+AU131,AU130/($B$135+1-AU2)),0)</f>
        <v/>
      </c>
      <c r="AV132" s="323">
        <f>IFERROR(IF(AV2=$B$135,AV130+AV131,AV130/($B$135+1-AV2)),0)</f>
        <v/>
      </c>
      <c r="AW132" s="323">
        <f>IFERROR(IF(AW2=$B$135,AW130+AW131,AW130/($B$135+1-AW2)),0)</f>
        <v/>
      </c>
      <c r="AX132" s="323">
        <f>IFERROR(IF(AX2=$B$135,AX130+AX131,AX130/($B$135+1-AX2)),0)</f>
        <v/>
      </c>
      <c r="AY132" s="323">
        <f>IFERROR(IF(AY2=$B$135,AY130+AY131,AY130/($B$135+1-AY2)),0)</f>
        <v/>
      </c>
      <c r="AZ132" s="323">
        <f>IFERROR(IF(AZ2=$B$135,AZ130+AZ131,AZ130/($B$135+1-AZ2)),0)</f>
        <v/>
      </c>
      <c r="BA132" s="323">
        <f>IFERROR(IF(BA2=$B$135,BA130+BA131,BA130/($B$135+1-BA2)),0)</f>
        <v/>
      </c>
      <c r="BB132" s="323">
        <f>IFERROR(IF(BB2=$B$135,BB130+BB131,BB130/($B$135+1-BB2)),0)</f>
        <v/>
      </c>
      <c r="BC132" s="323">
        <f>IFERROR(IF(BC2=$B$135,BC130+BC131,BC130/($B$135+1-BC2)),0)</f>
        <v/>
      </c>
      <c r="BD132" s="323">
        <f>IFERROR(IF(BD2=$B$135,BD130+BD131,BD130/($B$135+1-BD2)),0)</f>
        <v/>
      </c>
      <c r="BE132" s="323">
        <f>IFERROR(IF(BE2=$B$135,BE130+BE131,BE130/($B$135+1-BE2)),0)</f>
        <v/>
      </c>
      <c r="BF132" s="323">
        <f>IFERROR(IF(BF2=$B$135,BF130+BF131,BF130/($B$135+1-BF2)),0)</f>
        <v/>
      </c>
      <c r="BG132" s="323">
        <f>IFERROR(IF(BG2=$B$135,BG130+BG131,BG130/($B$135+1-BG2)),0)</f>
        <v/>
      </c>
      <c r="BH132" s="323">
        <f>IFERROR(IF(BH2=$B$135,BH130+BH131,BH130/($B$135+1-BH2)),0)</f>
        <v/>
      </c>
      <c r="BI132" s="323">
        <f>IFERROR(IF(BI2=$B$135,BI130+BI131,BI130/($B$135+1-BI2)),0)</f>
        <v/>
      </c>
      <c r="BJ132" s="323">
        <f>IFERROR(IF(BJ2=$B$135,BJ130+BJ131,BJ130/($B$135+1-BJ2)),0)</f>
        <v/>
      </c>
      <c r="BK132" s="323">
        <f>IFERROR(IF(BK2=$B$135,BK130+BK131,BK130/($B$135+1-BK2)),0)</f>
        <v/>
      </c>
      <c r="BL132" s="323">
        <f>IFERROR(IF(BL2=$B$135,BL130+BL131,BL130/($B$135+1-BL2)),0)</f>
        <v/>
      </c>
      <c r="BM132" s="323">
        <f>IFERROR(IF(BM2=$B$135,BM130+BM131,BM130/($B$135+1-BM2)),0)</f>
        <v/>
      </c>
      <c r="BN132" s="323">
        <f>IFERROR(IF(BN2=$B$135,BN130+BN131,BN130/($B$135+1-BN2)),0)</f>
        <v/>
      </c>
      <c r="BO132" s="323">
        <f>IFERROR(IF(BO2=$B$135,BO130+BO131,BO130/($B$135+1-BO2)),0)</f>
        <v/>
      </c>
      <c r="BP132" s="323" t="n"/>
      <c r="BQ132" s="370" t="n"/>
    </row>
    <row r="133">
      <c r="A133" s="4" t="inlineStr">
        <is>
          <t>Closing Balance</t>
        </is>
      </c>
      <c r="B133" s="17" t="inlineStr">
        <is>
          <t>AUDk</t>
        </is>
      </c>
      <c r="D133" s="323">
        <f>D130+D131-D132</f>
        <v/>
      </c>
      <c r="E133" s="323">
        <f>E130+E131-E132</f>
        <v/>
      </c>
      <c r="F133" s="323">
        <f>F130+F131-F132</f>
        <v/>
      </c>
      <c r="G133" s="323">
        <f>G130+G131-G132</f>
        <v/>
      </c>
      <c r="H133" s="323">
        <f>H130+H131-H132</f>
        <v/>
      </c>
      <c r="I133" s="323">
        <f>I130+I131-I132</f>
        <v/>
      </c>
      <c r="J133" s="323">
        <f>J130+J131-J132</f>
        <v/>
      </c>
      <c r="K133" s="323">
        <f>K130+K131-K132</f>
        <v/>
      </c>
      <c r="L133" s="323">
        <f>L130+L131-L132</f>
        <v/>
      </c>
      <c r="M133" s="323">
        <f>M130+M131-M132</f>
        <v/>
      </c>
      <c r="N133" s="323">
        <f>N130+N131-N132</f>
        <v/>
      </c>
      <c r="O133" s="323">
        <f>O130+O131-O132</f>
        <v/>
      </c>
      <c r="P133" s="323">
        <f>P130+P131-P132</f>
        <v/>
      </c>
      <c r="Q133" s="323">
        <f>Q130+Q131-Q132</f>
        <v/>
      </c>
      <c r="R133" s="323">
        <f>R130+R131-R132</f>
        <v/>
      </c>
      <c r="S133" s="323">
        <f>S130+S131-S132</f>
        <v/>
      </c>
      <c r="T133" s="323">
        <f>T130+T131-T132</f>
        <v/>
      </c>
      <c r="U133" s="323">
        <f>U130+U131-U132</f>
        <v/>
      </c>
      <c r="V133" s="323">
        <f>V130+V131-V132</f>
        <v/>
      </c>
      <c r="W133" s="323">
        <f>W130+W131-W132</f>
        <v/>
      </c>
      <c r="X133" s="323">
        <f>X130+X131-X132</f>
        <v/>
      </c>
      <c r="Y133" s="323">
        <f>Y130+Y131-Y132</f>
        <v/>
      </c>
      <c r="Z133" s="323">
        <f>Z130+Z131-Z132</f>
        <v/>
      </c>
      <c r="AA133" s="323">
        <f>AA130+AA131-AA132</f>
        <v/>
      </c>
      <c r="AB133" s="323">
        <f>AB130+AB131-AB132</f>
        <v/>
      </c>
      <c r="AC133" s="323">
        <f>AC130+AC131-AC132</f>
        <v/>
      </c>
      <c r="AD133" s="323">
        <f>AD130+AD131-AD132</f>
        <v/>
      </c>
      <c r="AE133" s="323">
        <f>AE130+AE131-AE132</f>
        <v/>
      </c>
      <c r="AF133" s="323">
        <f>AF130+AF131-AF132</f>
        <v/>
      </c>
      <c r="AG133" s="323">
        <f>AG130+AG131-AG132</f>
        <v/>
      </c>
      <c r="AH133" s="323">
        <f>AH130+AH131-AH132</f>
        <v/>
      </c>
      <c r="AI133" s="323">
        <f>AI130+AI131-AI132</f>
        <v/>
      </c>
      <c r="AJ133" s="323">
        <f>AJ130+AJ131-AJ132</f>
        <v/>
      </c>
      <c r="AK133" s="323">
        <f>AK130+AK131-AK132</f>
        <v/>
      </c>
      <c r="AL133" s="323">
        <f>AL130+AL131-AL132</f>
        <v/>
      </c>
      <c r="AM133" s="323">
        <f>AM130+AM131-AM132</f>
        <v/>
      </c>
      <c r="AN133" s="323">
        <f>AN130+AN131-AN132</f>
        <v/>
      </c>
      <c r="AO133" s="323">
        <f>AO130+AO131-AO132</f>
        <v/>
      </c>
      <c r="AP133" s="323">
        <f>AP130+AP131-AP132</f>
        <v/>
      </c>
      <c r="AQ133" s="323">
        <f>AQ130+AQ131-AQ132</f>
        <v/>
      </c>
      <c r="AR133" s="323">
        <f>AR130+AR131-AR132</f>
        <v/>
      </c>
      <c r="AS133" s="323">
        <f>AS130+AS131-AS132</f>
        <v/>
      </c>
      <c r="AT133" s="323">
        <f>AT130+AT131-AT132</f>
        <v/>
      </c>
      <c r="AU133" s="323">
        <f>AU130+AU131-AU132</f>
        <v/>
      </c>
      <c r="AV133" s="323">
        <f>AV130+AV131-AV132</f>
        <v/>
      </c>
      <c r="AW133" s="323">
        <f>AW130+AW131-AW132</f>
        <v/>
      </c>
      <c r="AX133" s="323">
        <f>AX130+AX131-AX132</f>
        <v/>
      </c>
      <c r="AY133" s="323">
        <f>AY130+AY131-AY132</f>
        <v/>
      </c>
      <c r="AZ133" s="323">
        <f>AZ130+AZ131-AZ132</f>
        <v/>
      </c>
      <c r="BA133" s="323">
        <f>BA130+BA131-BA132</f>
        <v/>
      </c>
      <c r="BB133" s="323">
        <f>BB130+BB131-BB132</f>
        <v/>
      </c>
      <c r="BC133" s="323">
        <f>BC130+BC131-BC132</f>
        <v/>
      </c>
      <c r="BD133" s="323">
        <f>BD130+BD131-BD132</f>
        <v/>
      </c>
      <c r="BE133" s="323">
        <f>BE130+BE131-BE132</f>
        <v/>
      </c>
      <c r="BF133" s="323">
        <f>BF130+BF131-BF132</f>
        <v/>
      </c>
      <c r="BG133" s="323">
        <f>BG130+BG131-BG132</f>
        <v/>
      </c>
      <c r="BH133" s="323">
        <f>BH130+BH131-BH132</f>
        <v/>
      </c>
      <c r="BI133" s="323">
        <f>BI130+BI131-BI132</f>
        <v/>
      </c>
      <c r="BJ133" s="323">
        <f>BJ130+BJ131-BJ132</f>
        <v/>
      </c>
      <c r="BK133" s="323">
        <f>BK130+BK131-BK132</f>
        <v/>
      </c>
      <c r="BL133" s="323">
        <f>BL130+BL131-BL132</f>
        <v/>
      </c>
      <c r="BM133" s="323">
        <f>BM130+BM131-BM132</f>
        <v/>
      </c>
      <c r="BN133" s="323">
        <f>BN130+BN131-BN132</f>
        <v/>
      </c>
      <c r="BO133" s="323">
        <f>BO130+BO131-BO132</f>
        <v/>
      </c>
      <c r="BP133" s="323" t="n"/>
      <c r="BQ133" s="370" t="n"/>
    </row>
    <row r="134">
      <c r="A134" s="4" t="n"/>
      <c r="D134" s="323" t="n"/>
      <c r="E134" s="323" t="n"/>
      <c r="F134" s="323" t="n"/>
      <c r="G134" s="323" t="n"/>
      <c r="H134" s="323" t="n"/>
      <c r="I134" s="323" t="n"/>
      <c r="J134" s="323" t="n"/>
      <c r="K134" s="323" t="n"/>
      <c r="L134" s="323" t="n"/>
      <c r="M134" s="323" t="n"/>
      <c r="N134" s="323" t="n"/>
      <c r="O134" s="323" t="n"/>
      <c r="P134" s="323" t="n"/>
      <c r="Q134" s="323" t="n"/>
      <c r="R134" s="323" t="n"/>
      <c r="S134" s="323" t="n"/>
      <c r="T134" s="323" t="n"/>
      <c r="U134" s="323" t="n"/>
      <c r="V134" s="323" t="n"/>
      <c r="W134" s="323" t="n"/>
      <c r="X134" s="323" t="n"/>
      <c r="Y134" s="323" t="n"/>
      <c r="Z134" s="323" t="n"/>
      <c r="AA134" s="323" t="n"/>
      <c r="AB134" s="323" t="n"/>
      <c r="AC134" s="323" t="n"/>
      <c r="AD134" s="323" t="n"/>
      <c r="AE134" s="323" t="n"/>
      <c r="AF134" s="323" t="n"/>
      <c r="AG134" s="323" t="n"/>
      <c r="AH134" s="323" t="n"/>
      <c r="AI134" s="323" t="n"/>
      <c r="AJ134" s="323" t="n"/>
      <c r="AK134" s="323" t="n"/>
      <c r="AL134" s="323" t="n"/>
      <c r="AM134" s="323" t="n"/>
      <c r="AN134" s="323" t="n"/>
      <c r="AO134" s="323" t="n"/>
      <c r="AP134" s="323" t="n"/>
      <c r="AQ134" s="323" t="n"/>
      <c r="AR134" s="323" t="n"/>
      <c r="AS134" s="323" t="n"/>
      <c r="AT134" s="323" t="n"/>
      <c r="AU134" s="323" t="n"/>
      <c r="AV134" s="323" t="n"/>
      <c r="AW134" s="323" t="n"/>
      <c r="AX134" s="323" t="n"/>
      <c r="AY134" s="323" t="n"/>
      <c r="AZ134" s="323" t="n"/>
      <c r="BA134" s="323" t="n"/>
      <c r="BB134" s="323" t="n"/>
      <c r="BC134" s="323" t="n"/>
      <c r="BD134" s="323" t="n"/>
      <c r="BE134" s="323" t="n"/>
      <c r="BF134" s="323" t="n"/>
      <c r="BG134" s="323" t="n"/>
      <c r="BH134" s="323" t="n"/>
      <c r="BI134" s="323" t="n"/>
      <c r="BJ134" s="323" t="n"/>
      <c r="BK134" s="323" t="n"/>
      <c r="BL134" s="323" t="n"/>
      <c r="BM134" s="323" t="n"/>
      <c r="BN134" s="323" t="n"/>
      <c r="BO134" s="323" t="n"/>
      <c r="BP134" s="323" t="n"/>
      <c r="BQ134" s="370" t="n"/>
    </row>
    <row r="135">
      <c r="A135" s="66" t="inlineStr">
        <is>
          <t>Last year of mining</t>
        </is>
      </c>
      <c r="B135" s="17" t="n">
        <v>2052</v>
      </c>
      <c r="C135" s="17" t="n"/>
      <c r="D135" s="323" t="n"/>
      <c r="E135" s="323" t="n"/>
      <c r="F135" s="323" t="n"/>
      <c r="G135" s="323" t="n"/>
      <c r="H135" s="323" t="n"/>
      <c r="I135" s="323" t="n"/>
      <c r="J135" s="323" t="n"/>
      <c r="K135" s="323" t="n"/>
      <c r="L135" s="323" t="n"/>
      <c r="M135" s="323" t="n"/>
      <c r="N135" s="323" t="n"/>
      <c r="O135" s="323" t="n"/>
      <c r="P135" s="323" t="n"/>
      <c r="Q135" s="323" t="n"/>
      <c r="R135" s="323" t="n"/>
      <c r="S135" s="323" t="n"/>
      <c r="T135" s="323" t="n"/>
      <c r="U135" s="323" t="n"/>
      <c r="V135" s="323" t="n"/>
      <c r="W135" s="323" t="n"/>
      <c r="X135" s="323" t="n"/>
      <c r="Y135" s="323" t="n"/>
      <c r="Z135" s="323" t="n"/>
      <c r="AA135" s="323" t="n"/>
      <c r="AB135" s="323" t="n"/>
      <c r="AC135" s="323" t="n"/>
      <c r="AD135" s="323" t="n"/>
      <c r="AE135" s="323" t="n"/>
      <c r="AF135" s="323" t="n"/>
      <c r="AG135" s="323" t="n"/>
      <c r="AH135" s="323" t="n"/>
      <c r="AI135" s="323" t="n"/>
      <c r="AJ135" s="323" t="n"/>
      <c r="AK135" s="323" t="n"/>
      <c r="AL135" s="323" t="n"/>
      <c r="AM135" s="323" t="n"/>
      <c r="AN135" s="323" t="n"/>
      <c r="AO135" s="323" t="n"/>
      <c r="AP135" s="323" t="n"/>
      <c r="AQ135" s="323" t="n"/>
      <c r="AR135" s="323" t="n"/>
      <c r="AS135" s="323" t="n"/>
      <c r="AT135" s="323" t="n"/>
      <c r="AU135" s="323" t="n"/>
      <c r="AV135" s="323" t="n"/>
      <c r="AW135" s="323" t="n"/>
      <c r="AX135" s="323" t="n"/>
      <c r="AY135" s="323" t="n"/>
      <c r="AZ135" s="323" t="n"/>
      <c r="BA135" s="323" t="n"/>
      <c r="BB135" s="323" t="n"/>
      <c r="BC135" s="323" t="n"/>
      <c r="BD135" s="323" t="n"/>
      <c r="BE135" s="323" t="n"/>
      <c r="BF135" s="323" t="n"/>
      <c r="BG135" s="323" t="n"/>
      <c r="BH135" s="323" t="n"/>
      <c r="BI135" s="323" t="n"/>
      <c r="BJ135" s="323" t="n"/>
      <c r="BK135" s="323" t="n"/>
      <c r="BL135" s="323" t="n"/>
      <c r="BM135" s="323" t="n"/>
      <c r="BN135" s="323" t="n"/>
      <c r="BO135" s="323" t="n"/>
      <c r="BP135" s="323" t="n"/>
      <c r="BQ135" s="370" t="n"/>
    </row>
    <row r="136">
      <c r="A136" s="8" t="n"/>
      <c r="B136" s="26" t="n"/>
      <c r="C136" s="21" t="n"/>
      <c r="D136" s="403" t="n"/>
      <c r="E136" s="403" t="n"/>
      <c r="F136" s="403" t="n"/>
      <c r="G136" s="403" t="n"/>
      <c r="H136" s="403" t="n"/>
      <c r="I136" s="403" t="n"/>
      <c r="J136" s="403" t="n"/>
      <c r="K136" s="403" t="n"/>
      <c r="L136" s="403" t="n"/>
      <c r="M136" s="403" t="n"/>
      <c r="N136" s="403" t="n"/>
      <c r="O136" s="403" t="n"/>
      <c r="P136" s="403" t="n"/>
      <c r="Q136" s="403" t="n"/>
      <c r="R136" s="403" t="n"/>
      <c r="S136" s="403" t="n"/>
      <c r="T136" s="403" t="n"/>
      <c r="U136" s="403" t="n"/>
      <c r="V136" s="403" t="n"/>
      <c r="W136" s="403" t="n"/>
      <c r="X136" s="403" t="n"/>
      <c r="Y136" s="403" t="n"/>
      <c r="Z136" s="403" t="n"/>
      <c r="AA136" s="403" t="n"/>
      <c r="AB136" s="403" t="n"/>
      <c r="AC136" s="403" t="n"/>
      <c r="AD136" s="403" t="n"/>
      <c r="AE136" s="403" t="n"/>
      <c r="AF136" s="403" t="n"/>
      <c r="AG136" s="403" t="n"/>
      <c r="AH136" s="403" t="n"/>
      <c r="AI136" s="403" t="n"/>
      <c r="AJ136" s="403" t="n"/>
      <c r="AK136" s="403" t="n"/>
      <c r="AL136" s="403" t="n"/>
      <c r="AM136" s="403" t="n"/>
      <c r="AN136" s="403" t="n"/>
      <c r="AO136" s="403" t="n"/>
      <c r="AP136" s="403" t="n"/>
      <c r="AQ136" s="403" t="n"/>
      <c r="AR136" s="403" t="n"/>
      <c r="AS136" s="403" t="n"/>
      <c r="AT136" s="403" t="n"/>
      <c r="AU136" s="403" t="n"/>
      <c r="AV136" s="403" t="n"/>
      <c r="AW136" s="403" t="n"/>
      <c r="AX136" s="403" t="n"/>
      <c r="AY136" s="403" t="n"/>
      <c r="AZ136" s="403" t="n"/>
      <c r="BA136" s="403" t="n"/>
      <c r="BB136" s="403" t="n"/>
      <c r="BC136" s="403" t="n"/>
      <c r="BD136" s="403" t="n"/>
      <c r="BE136" s="403" t="n"/>
      <c r="BF136" s="403" t="n"/>
      <c r="BG136" s="403" t="n"/>
      <c r="BH136" s="403" t="n"/>
      <c r="BI136" s="403" t="n"/>
      <c r="BJ136" s="403" t="n"/>
      <c r="BK136" s="403" t="n"/>
      <c r="BL136" s="403" t="n"/>
      <c r="BM136" s="403" t="n"/>
      <c r="BN136" s="403" t="n"/>
      <c r="BO136" s="403" t="n"/>
      <c r="BP136" s="403" t="n"/>
      <c r="BQ136" s="383" t="n"/>
    </row>
    <row r="137">
      <c r="C137" s="17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  <c r="O137" s="323" t="n"/>
      <c r="P137" s="323" t="n"/>
      <c r="Q137" s="323" t="n"/>
      <c r="R137" s="323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3" t="n"/>
      <c r="AC137" s="323" t="n"/>
      <c r="AD137" s="323" t="n"/>
      <c r="AE137" s="323" t="n"/>
      <c r="AF137" s="323" t="n"/>
      <c r="AG137" s="323" t="n"/>
      <c r="AH137" s="323" t="n"/>
      <c r="AI137" s="323" t="n"/>
      <c r="AJ137" s="323" t="n"/>
      <c r="AK137" s="323" t="n"/>
      <c r="AL137" s="323" t="n"/>
      <c r="AM137" s="323" t="n"/>
      <c r="AN137" s="323" t="n"/>
      <c r="AO137" s="323" t="n"/>
      <c r="AP137" s="323" t="n"/>
      <c r="AQ137" s="323" t="n"/>
      <c r="AR137" s="323" t="n"/>
      <c r="AS137" s="323" t="n"/>
      <c r="AT137" s="323" t="n"/>
      <c r="AU137" s="323" t="n"/>
      <c r="AV137" s="323" t="n"/>
      <c r="AW137" s="323" t="n"/>
      <c r="AX137" s="323" t="n"/>
      <c r="AY137" s="323" t="n"/>
      <c r="AZ137" s="323" t="n"/>
      <c r="BA137" s="323" t="n"/>
      <c r="BB137" s="323" t="n"/>
      <c r="BC137" s="323" t="n"/>
      <c r="BD137" s="323" t="n"/>
      <c r="BE137" s="323" t="n"/>
      <c r="BF137" s="323" t="n"/>
      <c r="BG137" s="323" t="n"/>
      <c r="BH137" s="323" t="n"/>
      <c r="BI137" s="323" t="n"/>
      <c r="BJ137" s="323" t="n"/>
      <c r="BK137" s="323" t="n"/>
      <c r="BL137" s="323" t="n"/>
      <c r="BM137" s="323" t="n"/>
      <c r="BN137" s="323" t="n"/>
      <c r="BO137" s="323" t="n"/>
      <c r="BP137" s="323" t="n"/>
      <c r="BQ137" s="323" t="n"/>
    </row>
    <row r="138">
      <c r="C138" s="17" t="n"/>
      <c r="D138" s="323" t="n"/>
      <c r="E138" s="323" t="n"/>
      <c r="F138" s="323" t="n"/>
      <c r="G138" s="323" t="n"/>
      <c r="H138" s="323" t="n"/>
      <c r="I138" s="323" t="n"/>
      <c r="J138" s="323" t="n"/>
      <c r="K138" s="323" t="n"/>
      <c r="L138" s="323" t="n"/>
      <c r="M138" s="323" t="n"/>
      <c r="N138" s="323" t="n"/>
      <c r="O138" s="323" t="n"/>
      <c r="P138" s="323" t="n"/>
      <c r="Q138" s="323" t="n"/>
      <c r="R138" s="323" t="n"/>
      <c r="S138" s="323" t="n"/>
      <c r="T138" s="323" t="n"/>
      <c r="U138" s="323" t="n"/>
      <c r="V138" s="323" t="n"/>
      <c r="W138" s="323" t="n"/>
      <c r="X138" s="323" t="n"/>
      <c r="Y138" s="323" t="n"/>
      <c r="Z138" s="323" t="n"/>
      <c r="AA138" s="323" t="n"/>
      <c r="AB138" s="323" t="n"/>
      <c r="AC138" s="323" t="n"/>
      <c r="AD138" s="323" t="n"/>
      <c r="AE138" s="323" t="n"/>
      <c r="AF138" s="323" t="n"/>
      <c r="AG138" s="323" t="n"/>
      <c r="AH138" s="323" t="n"/>
      <c r="AI138" s="323" t="n"/>
      <c r="AJ138" s="323" t="n"/>
      <c r="AK138" s="323" t="n"/>
      <c r="AL138" s="323" t="n"/>
      <c r="AM138" s="323" t="n"/>
      <c r="AN138" s="323" t="n"/>
      <c r="AO138" s="323" t="n"/>
      <c r="AP138" s="323" t="n"/>
      <c r="AQ138" s="323" t="n"/>
      <c r="AR138" s="323" t="n"/>
      <c r="AS138" s="323" t="n"/>
      <c r="AT138" s="323" t="n"/>
      <c r="AU138" s="323" t="n"/>
      <c r="AV138" s="323" t="n"/>
      <c r="AW138" s="323" t="n"/>
      <c r="AX138" s="323" t="n"/>
      <c r="AY138" s="323" t="n"/>
      <c r="AZ138" s="323" t="n"/>
      <c r="BA138" s="323" t="n"/>
      <c r="BB138" s="323" t="n"/>
      <c r="BC138" s="323" t="n"/>
      <c r="BD138" s="323" t="n"/>
      <c r="BE138" s="323" t="n"/>
      <c r="BF138" s="323" t="n"/>
      <c r="BG138" s="323" t="n"/>
      <c r="BH138" s="323" t="n"/>
      <c r="BI138" s="323" t="n"/>
      <c r="BJ138" s="323" t="n"/>
      <c r="BK138" s="323" t="n"/>
      <c r="BL138" s="323" t="n"/>
      <c r="BM138" s="323" t="n"/>
      <c r="BN138" s="323" t="n"/>
      <c r="BO138" s="323" t="n"/>
      <c r="BP138" s="323" t="n"/>
      <c r="BQ138" s="323" t="n"/>
    </row>
    <row r="139">
      <c r="C139" s="17" t="n"/>
    </row>
    <row r="140">
      <c r="A140" t="inlineStr">
        <is>
          <t>QLD Royalty Calculation</t>
        </is>
      </c>
      <c r="C140" s="17" t="n"/>
    </row>
    <row r="141">
      <c r="C141" s="17" t="n"/>
    </row>
    <row r="142" hidden="1" outlineLevel="1">
      <c r="A142" t="inlineStr">
        <is>
          <t>AUD CPI inflator</t>
        </is>
      </c>
      <c r="C142" s="17" t="n"/>
      <c r="D142" s="324" t="n">
        <v>1</v>
      </c>
      <c r="E142" s="324">
        <f>D142*(1+Assumptions!J49)</f>
        <v/>
      </c>
      <c r="F142" s="324">
        <f>E142*(1+Assumptions!K49)</f>
        <v/>
      </c>
      <c r="G142" s="324">
        <f>F142*(1+Assumptions!L49)</f>
        <v/>
      </c>
      <c r="H142" s="324">
        <f>G142*(1+Assumptions!M49)</f>
        <v/>
      </c>
      <c r="I142" s="324">
        <f>H142*(1+Assumptions!N49)</f>
        <v/>
      </c>
      <c r="J142" s="324">
        <f>I142*(1+Assumptions!O49)</f>
        <v/>
      </c>
      <c r="K142" s="324">
        <f>J142*(1+Assumptions!P49)</f>
        <v/>
      </c>
      <c r="L142" s="324">
        <f>K142*(1+Assumptions!Q49)</f>
        <v/>
      </c>
      <c r="M142" s="324">
        <f>L142*(1+Assumptions!R49)</f>
        <v/>
      </c>
      <c r="N142" s="324">
        <f>M142*(1+Assumptions!S49)</f>
        <v/>
      </c>
      <c r="O142" s="324">
        <f>N142*(1+Assumptions!T49)</f>
        <v/>
      </c>
      <c r="P142" s="324">
        <f>O142*(1+Assumptions!U49)</f>
        <v/>
      </c>
      <c r="Q142" s="324">
        <f>P142*(1+Assumptions!V49)</f>
        <v/>
      </c>
      <c r="R142" s="324">
        <f>Q142*(1+Assumptions!W49)</f>
        <v/>
      </c>
      <c r="S142" s="324">
        <f>R142*(1+Assumptions!X49)</f>
        <v/>
      </c>
      <c r="T142" s="324">
        <f>S142*(1+Assumptions!Y49)</f>
        <v/>
      </c>
      <c r="U142" s="324">
        <f>T142*(1+Assumptions!Z49)</f>
        <v/>
      </c>
      <c r="V142" s="324">
        <f>U142*(1+Assumptions!AA49)</f>
        <v/>
      </c>
      <c r="W142" s="324">
        <f>V142*(1+Assumptions!AB49)</f>
        <v/>
      </c>
      <c r="X142" s="324">
        <f>W142*(1+Assumptions!AC49)</f>
        <v/>
      </c>
      <c r="Y142" s="324">
        <f>X142*(1+Assumptions!AD49)</f>
        <v/>
      </c>
      <c r="Z142" s="324">
        <f>Y142*(1+Assumptions!AE49)</f>
        <v/>
      </c>
      <c r="AA142" s="324">
        <f>Z142*(1+Assumptions!AF49)</f>
        <v/>
      </c>
      <c r="AB142" s="324">
        <f>AA142*(1+Assumptions!AG49)</f>
        <v/>
      </c>
      <c r="AC142" s="324">
        <f>AB142*(1+Assumptions!AH49)</f>
        <v/>
      </c>
      <c r="AD142" s="324">
        <f>AC142*(1+Assumptions!AI49)</f>
        <v/>
      </c>
      <c r="AE142" s="324">
        <f>AC142*(1+Assumptions!AI49)</f>
        <v/>
      </c>
      <c r="AF142" s="324">
        <f>AD142*(1+Assumptions!AJ49)</f>
        <v/>
      </c>
      <c r="AG142" s="324">
        <f>AE142*(1+Assumptions!AK49)</f>
        <v/>
      </c>
      <c r="AH142" s="324">
        <f>AF142*(1+Assumptions!AL49)</f>
        <v/>
      </c>
      <c r="AI142" s="324">
        <f>AG142*(1+Assumptions!AM49)</f>
        <v/>
      </c>
      <c r="AJ142" s="324">
        <f>AH142*(1+Assumptions!AN49)</f>
        <v/>
      </c>
      <c r="AK142" s="324">
        <f>AI142*(1+Assumptions!AO49)</f>
        <v/>
      </c>
      <c r="AL142" s="324">
        <f>AJ142*(1+Assumptions!AP49)</f>
        <v/>
      </c>
      <c r="AM142" s="324">
        <f>AK142*(1+Assumptions!AQ49)</f>
        <v/>
      </c>
      <c r="AN142" s="324">
        <f>AL142*(1+Assumptions!AR49)</f>
        <v/>
      </c>
      <c r="AO142" s="324">
        <f>AM142*(1+Assumptions!AS49)</f>
        <v/>
      </c>
      <c r="AP142" s="324">
        <f>AN142*(1+Assumptions!AT49)</f>
        <v/>
      </c>
      <c r="AQ142" s="324">
        <f>AO142*(1+Assumptions!AU49)</f>
        <v/>
      </c>
      <c r="AR142" s="324">
        <f>AP142*(1+Assumptions!AV49)</f>
        <v/>
      </c>
      <c r="AS142" s="324">
        <f>AQ142*(1+Assumptions!AW49)</f>
        <v/>
      </c>
      <c r="AT142" s="324">
        <f>AR142*(1+Assumptions!AX49)</f>
        <v/>
      </c>
      <c r="AU142" s="324">
        <f>AS142*(1+Assumptions!AY49)</f>
        <v/>
      </c>
      <c r="AV142" s="324">
        <f>AT142*(1+Assumptions!AZ49)</f>
        <v/>
      </c>
      <c r="AW142" s="324">
        <f>AU142*(1+Assumptions!BA49)</f>
        <v/>
      </c>
      <c r="AX142" s="324">
        <f>AV142*(1+Assumptions!BB49)</f>
        <v/>
      </c>
      <c r="AY142" s="324">
        <f>AW142*(1+Assumptions!BC49)</f>
        <v/>
      </c>
      <c r="AZ142" s="324">
        <f>AX142*(1+Assumptions!BD49)</f>
        <v/>
      </c>
      <c r="BA142" s="324">
        <f>AY142*(1+Assumptions!BE49)</f>
        <v/>
      </c>
      <c r="BB142" s="324">
        <f>AZ142*(1+Assumptions!BF49)</f>
        <v/>
      </c>
      <c r="BC142" s="324">
        <f>BA142*(1+Assumptions!BG49)</f>
        <v/>
      </c>
      <c r="BD142" s="324">
        <f>BB142*(1+Assumptions!BH49)</f>
        <v/>
      </c>
      <c r="BE142" s="324">
        <f>BC142*(1+Assumptions!BI49)</f>
        <v/>
      </c>
      <c r="BF142" s="324">
        <f>BD142*(1+Assumptions!BJ49)</f>
        <v/>
      </c>
      <c r="BG142" s="324">
        <f>BE142*(1+Assumptions!BK49)</f>
        <v/>
      </c>
      <c r="BH142" s="324">
        <f>BF142*(1+Assumptions!BL49)</f>
        <v/>
      </c>
      <c r="BI142" s="324">
        <f>BG142*(1+Assumptions!BM49)</f>
        <v/>
      </c>
      <c r="BJ142" s="324">
        <f>BH142*(1+Assumptions!BN49)</f>
        <v/>
      </c>
      <c r="BK142" s="324">
        <f>BI142*(1+Assumptions!BO49)</f>
        <v/>
      </c>
      <c r="BL142" s="324">
        <f>BJ142*(1+Assumptions!BP49)</f>
        <v/>
      </c>
      <c r="BM142" s="324">
        <f>BK142*(1+Assumptions!BQ49)</f>
        <v/>
      </c>
      <c r="BN142" s="324">
        <f>BL142*(1+Assumptions!BR49)</f>
        <v/>
      </c>
      <c r="BO142" s="324">
        <f>BM142*(1+Assumptions!BS49)</f>
        <v/>
      </c>
      <c r="BP142" s="324" t="n"/>
    </row>
    <row r="143" hidden="1" outlineLevel="1">
      <c r="A143" t="inlineStr">
        <is>
          <t>Export sales</t>
        </is>
      </c>
    </row>
    <row r="144" hidden="1" outlineLevel="1">
      <c r="A144" t="inlineStr">
        <is>
          <t>Nominal realised price</t>
        </is>
      </c>
      <c r="B144" t="inlineStr">
        <is>
          <t xml:space="preserve">A$/t  </t>
        </is>
      </c>
      <c r="D144" s="369">
        <f>D142*D63</f>
        <v/>
      </c>
      <c r="E144" s="369">
        <f>E142*E63</f>
        <v/>
      </c>
      <c r="F144" s="369">
        <f>F142*F63</f>
        <v/>
      </c>
      <c r="G144" s="369">
        <f>G142*G63</f>
        <v/>
      </c>
      <c r="H144" s="369">
        <f>H142*H63</f>
        <v/>
      </c>
      <c r="I144" s="369">
        <f>I142*I63</f>
        <v/>
      </c>
      <c r="J144" s="369">
        <f>J142*J63</f>
        <v/>
      </c>
      <c r="K144" s="369">
        <f>K142*K63</f>
        <v/>
      </c>
      <c r="L144" s="369">
        <f>L142*L63</f>
        <v/>
      </c>
      <c r="M144" s="369">
        <f>M142*M63</f>
        <v/>
      </c>
      <c r="N144" s="369">
        <f>N142*N63</f>
        <v/>
      </c>
      <c r="O144" s="369">
        <f>O142*O63</f>
        <v/>
      </c>
      <c r="P144" s="369">
        <f>P142*P63</f>
        <v/>
      </c>
      <c r="Q144" s="369">
        <f>Q142*Q63</f>
        <v/>
      </c>
      <c r="R144" s="369">
        <f>R142*R63</f>
        <v/>
      </c>
      <c r="S144" s="369">
        <f>S142*S63</f>
        <v/>
      </c>
      <c r="T144" s="369">
        <f>T142*T63</f>
        <v/>
      </c>
      <c r="U144" s="369">
        <f>U142*U63</f>
        <v/>
      </c>
      <c r="V144" s="369">
        <f>V142*V63</f>
        <v/>
      </c>
      <c r="W144" s="369">
        <f>W142*W63</f>
        <v/>
      </c>
      <c r="X144" s="369">
        <f>X142*X63</f>
        <v/>
      </c>
      <c r="Y144" s="369">
        <f>Y142*Y63</f>
        <v/>
      </c>
      <c r="Z144" s="369">
        <f>Z142*Z63</f>
        <v/>
      </c>
      <c r="AA144" s="369">
        <f>AA142*AA63</f>
        <v/>
      </c>
      <c r="AB144" s="369">
        <f>AB142*AB63</f>
        <v/>
      </c>
      <c r="AC144" s="369">
        <f>AC142*AC63</f>
        <v/>
      </c>
      <c r="AD144" s="369">
        <f>AD142*AD63</f>
        <v/>
      </c>
      <c r="AE144" s="369">
        <f>AE142*AE63</f>
        <v/>
      </c>
      <c r="AF144" s="369">
        <f>AF142*AF63</f>
        <v/>
      </c>
      <c r="AG144" s="369">
        <f>AG142*AG63</f>
        <v/>
      </c>
      <c r="AH144" s="369">
        <f>AH142*AH63</f>
        <v/>
      </c>
      <c r="AI144" s="369">
        <f>AI142*AI63</f>
        <v/>
      </c>
      <c r="AJ144" s="369">
        <f>AJ142*AJ63</f>
        <v/>
      </c>
      <c r="AK144" s="369">
        <f>AK142*AK63</f>
        <v/>
      </c>
      <c r="AL144" s="369">
        <f>AL142*AL63</f>
        <v/>
      </c>
      <c r="AM144" s="369">
        <f>AM142*AM63</f>
        <v/>
      </c>
      <c r="AN144" s="369">
        <f>AN142*AN63</f>
        <v/>
      </c>
      <c r="AO144" s="369">
        <f>AO142*AO63</f>
        <v/>
      </c>
      <c r="AP144" s="369">
        <f>AP142*AP63</f>
        <v/>
      </c>
      <c r="AQ144" s="369">
        <f>AQ142*AQ63</f>
        <v/>
      </c>
      <c r="AR144" s="369">
        <f>AR142*AR63</f>
        <v/>
      </c>
      <c r="AS144" s="369">
        <f>AS142*AS63</f>
        <v/>
      </c>
      <c r="AT144" s="369">
        <f>AT142*AT63</f>
        <v/>
      </c>
      <c r="AU144" s="369">
        <f>AU142*AU63</f>
        <v/>
      </c>
      <c r="AV144" s="369">
        <f>AV142*AV63</f>
        <v/>
      </c>
      <c r="AW144" s="369">
        <f>AW142*AW63</f>
        <v/>
      </c>
      <c r="AX144" s="369">
        <f>AX142*AX63</f>
        <v/>
      </c>
      <c r="AY144" s="369">
        <f>AY142*AY63</f>
        <v/>
      </c>
      <c r="AZ144" s="369">
        <f>AZ142*AZ63</f>
        <v/>
      </c>
      <c r="BA144" s="369">
        <f>BA142*BA63</f>
        <v/>
      </c>
      <c r="BB144" s="369">
        <f>BB142*BB63</f>
        <v/>
      </c>
      <c r="BC144" s="369">
        <f>BC142*BC63</f>
        <v/>
      </c>
      <c r="BD144" s="369">
        <f>BD142*BD63</f>
        <v/>
      </c>
      <c r="BE144" s="369">
        <f>BE142*BE63</f>
        <v/>
      </c>
      <c r="BF144" s="369">
        <f>BF142*BF63</f>
        <v/>
      </c>
      <c r="BG144" s="369">
        <f>BG142*BG63</f>
        <v/>
      </c>
      <c r="BH144" s="369">
        <f>BH142*BH63</f>
        <v/>
      </c>
      <c r="BI144" s="369">
        <f>BI142*BI63</f>
        <v/>
      </c>
      <c r="BJ144" s="369">
        <f>BJ142*BJ63</f>
        <v/>
      </c>
      <c r="BK144" s="369">
        <f>BK142*BK63</f>
        <v/>
      </c>
      <c r="BL144" s="369">
        <f>BL142*BL63</f>
        <v/>
      </c>
      <c r="BM144" s="369">
        <f>BM142*BM63</f>
        <v/>
      </c>
      <c r="BN144" s="369">
        <f>BN142*BN63</f>
        <v/>
      </c>
      <c r="BO144" s="369">
        <f>BO142*BO63</f>
        <v/>
      </c>
      <c r="BP144" s="369" t="n"/>
    </row>
    <row r="145" hidden="1" outlineLevel="1">
      <c r="A145" t="inlineStr">
        <is>
          <t>Royalty rate</t>
        </is>
      </c>
      <c r="B145" t="inlineStr">
        <is>
          <t>%</t>
        </is>
      </c>
      <c r="D145" s="296">
        <f>IF(D144&lt;Assumptions!I$29,Assumptions!I$35,IF(D144&lt;Assumptions!I$30,(Assumptions!I$42+(D144-Assumptions!I$29)*Assumptions!I$36)/D144,IF(D144&lt;Assumptions!I$31,(Assumptions!I$43+(D144-Assumptions!I$30)*Assumptions!I$37)/D144,IF(D144&lt;Assumptions!I$32,(Assumptions!I$44+(D144-Assumptions!I$31)*Assumptions!I$38)/D144,IF(D144&lt;Assumptions!I$33,(Assumptions!I$45+(D144-Assumptions!I$32)*Assumptions!I$39)/D144,(Assumptions!I$46+(D144-Assumptions!I$33)*Assumptions!I$40)/D144)))))</f>
        <v/>
      </c>
      <c r="E145" s="296">
        <f>IF(E144&lt;Assumptions!J$29,Assumptions!J$35,IF(E144&lt;Assumptions!J$30,(Assumptions!J$42+(E144-Assumptions!J$29)*Assumptions!J$36)/E144,IF(E144&lt;Assumptions!J$31,(Assumptions!J$43+(E144-Assumptions!J$30)*Assumptions!J$37)/E144,IF(E144&lt;Assumptions!J$32,(Assumptions!J$44+(E144-Assumptions!J$31)*Assumptions!J$38)/E144,IF(E144&lt;Assumptions!J$33,(Assumptions!J$45+(E144-Assumptions!J$32)*Assumptions!J$39)/E144,(Assumptions!J$46+(E144-Assumptions!J$33)*Assumptions!J$40)/E144)))))</f>
        <v/>
      </c>
      <c r="F145" s="296">
        <f>IF(F144&lt;Assumptions!K$29,Assumptions!K$35,IF(F144&lt;Assumptions!K$30,(Assumptions!K$42+(F144-Assumptions!K$29)*Assumptions!K$36)/F144,IF(F144&lt;Assumptions!K$31,(Assumptions!K$43+(F144-Assumptions!K$30)*Assumptions!K$37)/F144,IF(F144&lt;Assumptions!K$32,(Assumptions!K$44+(F144-Assumptions!K$31)*Assumptions!K$38)/F144,IF(F144&lt;Assumptions!K$33,(Assumptions!K$45+(F144-Assumptions!K$32)*Assumptions!K$39)/F144,(Assumptions!K$46+(F144-Assumptions!K$33)*Assumptions!K$40)/F144)))))</f>
        <v/>
      </c>
      <c r="G145" s="296">
        <f>IF(G144&lt;Assumptions!L$29,Assumptions!L$35,IF(G144&lt;Assumptions!L$30,(Assumptions!L$42+(G144-Assumptions!L$29)*Assumptions!L$36)/G144,IF(G144&lt;Assumptions!L$31,(Assumptions!L$43+(G144-Assumptions!L$30)*Assumptions!L$37)/G144,IF(G144&lt;Assumptions!L$32,(Assumptions!L$44+(G144-Assumptions!L$31)*Assumptions!L$38)/G144,IF(G144&lt;Assumptions!L$33,(Assumptions!L$45+(G144-Assumptions!L$32)*Assumptions!L$39)/G144,(Assumptions!L$46+(G144-Assumptions!L$33)*Assumptions!L$40)/G144)))))</f>
        <v/>
      </c>
      <c r="H145" s="296">
        <f>IF(H144&lt;Assumptions!M$29,Assumptions!M$35,IF(H144&lt;Assumptions!M$30,(Assumptions!M$42+(H144-Assumptions!M$29)*Assumptions!M$36)/H144,IF(H144&lt;Assumptions!M$31,(Assumptions!M$43+(H144-Assumptions!M$30)*Assumptions!M$37)/H144,IF(H144&lt;Assumptions!M$32,(Assumptions!M$44+(H144-Assumptions!M$31)*Assumptions!M$38)/H144,IF(H144&lt;Assumptions!M$33,(Assumptions!M$45+(H144-Assumptions!M$32)*Assumptions!M$39)/H144,(Assumptions!M$46+(H144-Assumptions!M$33)*Assumptions!M$40)/H144)))))</f>
        <v/>
      </c>
      <c r="I145" s="296">
        <f>IF(I144&lt;Assumptions!N$29,Assumptions!N$35,IF(I144&lt;Assumptions!N$30,(Assumptions!N$42+(I144-Assumptions!N$29)*Assumptions!N$36)/I144,IF(I144&lt;Assumptions!N$31,(Assumptions!N$43+(I144-Assumptions!N$30)*Assumptions!N$37)/I144,IF(I144&lt;Assumptions!N$32,(Assumptions!N$44+(I144-Assumptions!N$31)*Assumptions!N$38)/I144,IF(I144&lt;Assumptions!N$33,(Assumptions!N$45+(I144-Assumptions!N$32)*Assumptions!N$39)/I144,(Assumptions!N$46+(I144-Assumptions!N$33)*Assumptions!N$40)/I144)))))</f>
        <v/>
      </c>
      <c r="J145" s="296">
        <f>IF(J144&lt;Assumptions!O$29,Assumptions!O$35,IF(J144&lt;Assumptions!O$30,(Assumptions!O$42+(J144-Assumptions!O$29)*Assumptions!O$36)/J144,IF(J144&lt;Assumptions!O$31,(Assumptions!O$43+(J144-Assumptions!O$30)*Assumptions!O$37)/J144,IF(J144&lt;Assumptions!O$32,(Assumptions!O$44+(J144-Assumptions!O$31)*Assumptions!O$38)/J144,IF(J144&lt;Assumptions!O$33,(Assumptions!O$45+(J144-Assumptions!O$32)*Assumptions!O$39)/J144,(Assumptions!O$46+(J144-Assumptions!O$33)*Assumptions!O$40)/J144)))))</f>
        <v/>
      </c>
      <c r="K145" s="296">
        <f>IF(K144&lt;Assumptions!P$29,Assumptions!P$35,IF(K144&lt;Assumptions!P$30,(Assumptions!P$42+(K144-Assumptions!P$29)*Assumptions!P$36)/K144,IF(K144&lt;Assumptions!P$31,(Assumptions!P$43+(K144-Assumptions!P$30)*Assumptions!P$37)/K144,IF(K144&lt;Assumptions!P$32,(Assumptions!P$44+(K144-Assumptions!P$31)*Assumptions!P$38)/K144,IF(K144&lt;Assumptions!P$33,(Assumptions!P$45+(K144-Assumptions!P$32)*Assumptions!P$39)/K144,(Assumptions!P$46+(K144-Assumptions!P$33)*Assumptions!P$40)/K144)))))</f>
        <v/>
      </c>
      <c r="L145" s="296">
        <f>IF(L144&lt;Assumptions!Q$29,Assumptions!Q$35,IF(L144&lt;Assumptions!Q$30,(Assumptions!Q$42+(L144-Assumptions!Q$29)*Assumptions!Q$36)/L144,IF(L144&lt;Assumptions!Q$31,(Assumptions!Q$43+(L144-Assumptions!Q$30)*Assumptions!Q$37)/L144,IF(L144&lt;Assumptions!Q$32,(Assumptions!Q$44+(L144-Assumptions!Q$31)*Assumptions!Q$38)/L144,IF(L144&lt;Assumptions!Q$33,(Assumptions!Q$45+(L144-Assumptions!Q$32)*Assumptions!Q$39)/L144,(Assumptions!Q$46+(L144-Assumptions!Q$33)*Assumptions!Q$40)/L144)))))</f>
        <v/>
      </c>
      <c r="M145" s="296">
        <f>IF(M144&lt;Assumptions!R$29,Assumptions!R$35,IF(M144&lt;Assumptions!R$30,(Assumptions!R$42+(M144-Assumptions!R$29)*Assumptions!R$36)/M144,IF(M144&lt;Assumptions!R$31,(Assumptions!R$43+(M144-Assumptions!R$30)*Assumptions!R$37)/M144,IF(M144&lt;Assumptions!R$32,(Assumptions!R$44+(M144-Assumptions!R$31)*Assumptions!R$38)/M144,IF(M144&lt;Assumptions!R$33,(Assumptions!R$45+(M144-Assumptions!R$32)*Assumptions!R$39)/M144,(Assumptions!R$46+(M144-Assumptions!R$33)*Assumptions!R$40)/M144)))))</f>
        <v/>
      </c>
      <c r="N145" s="296">
        <f>IF(N144&lt;Assumptions!S$29,Assumptions!S$35,IF(N144&lt;Assumptions!S$30,(Assumptions!S$42+(N144-Assumptions!S$29)*Assumptions!S$36)/N144,IF(N144&lt;Assumptions!S$31,(Assumptions!S$43+(N144-Assumptions!S$30)*Assumptions!S$37)/N144,IF(N144&lt;Assumptions!S$32,(Assumptions!S$44+(N144-Assumptions!S$31)*Assumptions!S$38)/N144,IF(N144&lt;Assumptions!S$33,(Assumptions!S$45+(N144-Assumptions!S$32)*Assumptions!S$39)/N144,(Assumptions!S$46+(N144-Assumptions!S$33)*Assumptions!S$40)/N144)))))</f>
        <v/>
      </c>
      <c r="O145" s="296">
        <f>IF(O144&lt;Assumptions!T$29,Assumptions!T$35,IF(O144&lt;Assumptions!T$30,(Assumptions!T$42+(O144-Assumptions!T$29)*Assumptions!T$36)/O144,IF(O144&lt;Assumptions!T$31,(Assumptions!T$43+(O144-Assumptions!T$30)*Assumptions!T$37)/O144,IF(O144&lt;Assumptions!T$32,(Assumptions!T$44+(O144-Assumptions!T$31)*Assumptions!T$38)/O144,IF(O144&lt;Assumptions!T$33,(Assumptions!T$45+(O144-Assumptions!T$32)*Assumptions!T$39)/O144,(Assumptions!T$46+(O144-Assumptions!T$33)*Assumptions!T$40)/O144)))))</f>
        <v/>
      </c>
      <c r="P145" s="296">
        <f>IF(P144&lt;Assumptions!U$29,Assumptions!U$35,IF(P144&lt;Assumptions!U$30,(Assumptions!U$42+(P144-Assumptions!U$29)*Assumptions!U$36)/P144,IF(P144&lt;Assumptions!U$31,(Assumptions!U$43+(P144-Assumptions!U$30)*Assumptions!U$37)/P144,IF(P144&lt;Assumptions!U$32,(Assumptions!U$44+(P144-Assumptions!U$31)*Assumptions!U$38)/P144,IF(P144&lt;Assumptions!U$33,(Assumptions!U$45+(P144-Assumptions!U$32)*Assumptions!U$39)/P144,(Assumptions!U$46+(P144-Assumptions!U$33)*Assumptions!U$40)/P144)))))</f>
        <v/>
      </c>
      <c r="Q145" s="296">
        <f>IF(Q144&lt;Assumptions!V$29,Assumptions!V$35,IF(Q144&lt;Assumptions!V$30,(Assumptions!V$42+(Q144-Assumptions!V$29)*Assumptions!V$36)/Q144,IF(Q144&lt;Assumptions!V$31,(Assumptions!V$43+(Q144-Assumptions!V$30)*Assumptions!V$37)/Q144,IF(Q144&lt;Assumptions!V$32,(Assumptions!V$44+(Q144-Assumptions!V$31)*Assumptions!V$38)/Q144,IF(Q144&lt;Assumptions!V$33,(Assumptions!V$45+(Q144-Assumptions!V$32)*Assumptions!V$39)/Q144,(Assumptions!V$46+(Q144-Assumptions!V$33)*Assumptions!V$40)/Q144)))))</f>
        <v/>
      </c>
      <c r="R145" s="296">
        <f>IF(R144&lt;Assumptions!W$29,Assumptions!W$35,IF(R144&lt;Assumptions!W$30,(Assumptions!W$42+(R144-Assumptions!W$29)*Assumptions!W$36)/R144,IF(R144&lt;Assumptions!W$31,(Assumptions!W$43+(R144-Assumptions!W$30)*Assumptions!W$37)/R144,IF(R144&lt;Assumptions!W$32,(Assumptions!W$44+(R144-Assumptions!W$31)*Assumptions!W$38)/R144,IF(R144&lt;Assumptions!W$33,(Assumptions!W$45+(R144-Assumptions!W$32)*Assumptions!W$39)/R144,(Assumptions!W$46+(R144-Assumptions!W$33)*Assumptions!W$40)/R144)))))</f>
        <v/>
      </c>
      <c r="S145" s="296">
        <f>IF(S144&lt;Assumptions!X$29,Assumptions!X$35,IF(S144&lt;Assumptions!X$30,(Assumptions!X$42+(S144-Assumptions!X$29)*Assumptions!X$36)/S144,IF(S144&lt;Assumptions!X$31,(Assumptions!X$43+(S144-Assumptions!X$30)*Assumptions!X$37)/S144,IF(S144&lt;Assumptions!X$32,(Assumptions!X$44+(S144-Assumptions!X$31)*Assumptions!X$38)/S144,IF(S144&lt;Assumptions!X$33,(Assumptions!X$45+(S144-Assumptions!X$32)*Assumptions!X$39)/S144,(Assumptions!X$46+(S144-Assumptions!X$33)*Assumptions!X$40)/S144)))))</f>
        <v/>
      </c>
      <c r="T145" s="296">
        <f>IF(T144&lt;Assumptions!Y$29,Assumptions!Y$35,IF(T144&lt;Assumptions!Y$30,(Assumptions!Y$42+(T144-Assumptions!Y$29)*Assumptions!Y$36)/T144,IF(T144&lt;Assumptions!Y$31,(Assumptions!Y$43+(T144-Assumptions!Y$30)*Assumptions!Y$37)/T144,IF(T144&lt;Assumptions!Y$32,(Assumptions!Y$44+(T144-Assumptions!Y$31)*Assumptions!Y$38)/T144,IF(T144&lt;Assumptions!Y$33,(Assumptions!Y$45+(T144-Assumptions!Y$32)*Assumptions!Y$39)/T144,(Assumptions!Y$46+(T144-Assumptions!Y$33)*Assumptions!Y$40)/T144)))))</f>
        <v/>
      </c>
      <c r="U145" s="296">
        <f>IF(U144&lt;Assumptions!Z$29,Assumptions!Z$35,IF(U144&lt;Assumptions!Z$30,(Assumptions!Z$42+(U144-Assumptions!Z$29)*Assumptions!Z$36)/U144,IF(U144&lt;Assumptions!Z$31,(Assumptions!Z$43+(U144-Assumptions!Z$30)*Assumptions!Z$37)/U144,IF(U144&lt;Assumptions!Z$32,(Assumptions!Z$44+(U144-Assumptions!Z$31)*Assumptions!Z$38)/U144,IF(U144&lt;Assumptions!Z$33,(Assumptions!Z$45+(U144-Assumptions!Z$32)*Assumptions!Z$39)/U144,(Assumptions!Z$46+(U144-Assumptions!Z$33)*Assumptions!Z$40)/U144)))))</f>
        <v/>
      </c>
      <c r="V145" s="296">
        <f>IF(V144&lt;Assumptions!AA$29,Assumptions!AA$35,IF(V144&lt;Assumptions!AA$30,(Assumptions!AA$42+(V144-Assumptions!AA$29)*Assumptions!AA$36)/V144,IF(V144&lt;Assumptions!AA$31,(Assumptions!AA$43+(V144-Assumptions!AA$30)*Assumptions!AA$37)/V144,IF(V144&lt;Assumptions!AA$32,(Assumptions!AA$44+(V144-Assumptions!AA$31)*Assumptions!AA$38)/V144,IF(V144&lt;Assumptions!AA$33,(Assumptions!AA$45+(V144-Assumptions!AA$32)*Assumptions!AA$39)/V144,(Assumptions!AA$46+(V144-Assumptions!AA$33)*Assumptions!AA$40)/V144)))))</f>
        <v/>
      </c>
      <c r="W145" s="296">
        <f>IF(W144&lt;Assumptions!AB$29,Assumptions!AB$35,IF(W144&lt;Assumptions!AB$30,(Assumptions!AB$42+(W144-Assumptions!AB$29)*Assumptions!AB$36)/W144,IF(W144&lt;Assumptions!AB$31,(Assumptions!AB$43+(W144-Assumptions!AB$30)*Assumptions!AB$37)/W144,IF(W144&lt;Assumptions!AB$32,(Assumptions!AB$44+(W144-Assumptions!AB$31)*Assumptions!AB$38)/W144,IF(W144&lt;Assumptions!AB$33,(Assumptions!AB$45+(W144-Assumptions!AB$32)*Assumptions!AB$39)/W144,(Assumptions!AB$46+(W144-Assumptions!AB$33)*Assumptions!AB$40)/W144)))))</f>
        <v/>
      </c>
      <c r="X145" s="296">
        <f>IF(X144&lt;Assumptions!AC$29,Assumptions!AC$35,IF(X144&lt;Assumptions!AC$30,(Assumptions!AC$42+(X144-Assumptions!AC$29)*Assumptions!AC$36)/X144,IF(X144&lt;Assumptions!AC$31,(Assumptions!AC$43+(X144-Assumptions!AC$30)*Assumptions!AC$37)/X144,IF(X144&lt;Assumptions!AC$32,(Assumptions!AC$44+(X144-Assumptions!AC$31)*Assumptions!AC$38)/X144,IF(X144&lt;Assumptions!AC$33,(Assumptions!AC$45+(X144-Assumptions!AC$32)*Assumptions!AC$39)/X144,(Assumptions!AC$46+(X144-Assumptions!AC$33)*Assumptions!AC$40)/X144)))))</f>
        <v/>
      </c>
      <c r="Y145" s="296">
        <f>IF(Y144&lt;Assumptions!AD$29,Assumptions!AD$35,IF(Y144&lt;Assumptions!AD$30,(Assumptions!AD$42+(Y144-Assumptions!AD$29)*Assumptions!AD$36)/Y144,IF(Y144&lt;Assumptions!AD$31,(Assumptions!AD$43+(Y144-Assumptions!AD$30)*Assumptions!AD$37)/Y144,IF(Y144&lt;Assumptions!AD$32,(Assumptions!AD$44+(Y144-Assumptions!AD$31)*Assumptions!AD$38)/Y144,IF(Y144&lt;Assumptions!AD$33,(Assumptions!AD$45+(Y144-Assumptions!AD$32)*Assumptions!AD$39)/Y144,(Assumptions!AD$46+(Y144-Assumptions!AD$33)*Assumptions!AD$40)/Y144)))))</f>
        <v/>
      </c>
      <c r="Z145" s="296">
        <f>IF(Z144&lt;Assumptions!AE$29,Assumptions!AE$35,IF(Z144&lt;Assumptions!AE$30,(Assumptions!AE$42+(Z144-Assumptions!AE$29)*Assumptions!AE$36)/Z144,IF(Z144&lt;Assumptions!AE$31,(Assumptions!AE$43+(Z144-Assumptions!AE$30)*Assumptions!AE$37)/Z144,IF(Z144&lt;Assumptions!AE$32,(Assumptions!AE$44+(Z144-Assumptions!AE$31)*Assumptions!AE$38)/Z144,IF(Z144&lt;Assumptions!AE$33,(Assumptions!AE$45+(Z144-Assumptions!AE$32)*Assumptions!AE$39)/Z144,(Assumptions!AE$46+(Z144-Assumptions!AE$33)*Assumptions!AE$40)/Z144)))))</f>
        <v/>
      </c>
      <c r="AA145" s="296">
        <f>IF(AA144&lt;Assumptions!AF$29,Assumptions!AF$35,IF(AA144&lt;Assumptions!AF$30,(Assumptions!AF$42+(AA144-Assumptions!AF$29)*Assumptions!AF$36)/AA144,IF(AA144&lt;Assumptions!AF$31,(Assumptions!AF$43+(AA144-Assumptions!AF$30)*Assumptions!AF$37)/AA144,IF(AA144&lt;Assumptions!AF$32,(Assumptions!AF$44+(AA144-Assumptions!AF$31)*Assumptions!AF$38)/AA144,IF(AA144&lt;Assumptions!AF$33,(Assumptions!AF$45+(AA144-Assumptions!AF$32)*Assumptions!AF$39)/AA144,(Assumptions!AF$46+(AA144-Assumptions!AF$33)*Assumptions!AF$40)/AA144)))))</f>
        <v/>
      </c>
      <c r="AB145" s="296">
        <f>IF(AB144&lt;Assumptions!AG$29,Assumptions!AG$35,IF(AB144&lt;Assumptions!AG$30,(Assumptions!AG$42+(AB144-Assumptions!AG$29)*Assumptions!AG$36)/AB144,IF(AB144&lt;Assumptions!AG$31,(Assumptions!AG$43+(AB144-Assumptions!AG$30)*Assumptions!AG$37)/AB144,IF(AB144&lt;Assumptions!AG$32,(Assumptions!AG$44+(AB144-Assumptions!AG$31)*Assumptions!AG$38)/AB144,IF(AB144&lt;Assumptions!AG$33,(Assumptions!AG$45+(AB144-Assumptions!AG$32)*Assumptions!AG$39)/AB144,(Assumptions!AG$46+(AB144-Assumptions!AG$33)*Assumptions!AG$40)/AB144)))))</f>
        <v/>
      </c>
      <c r="AC145" s="296">
        <f>IF(AC144&lt;Assumptions!AH$29,Assumptions!AH$35,IF(AC144&lt;Assumptions!AH$30,(Assumptions!AH$42+(AC144-Assumptions!AH$29)*Assumptions!AH$36)/AC144,IF(AC144&lt;Assumptions!AH$31,(Assumptions!AH$43+(AC144-Assumptions!AH$30)*Assumptions!AH$37)/AC144,IF(AC144&lt;Assumptions!AH$32,(Assumptions!AH$44+(AC144-Assumptions!AH$31)*Assumptions!AH$38)/AC144,IF(AC144&lt;Assumptions!AH$33,(Assumptions!AH$45+(AC144-Assumptions!AH$32)*Assumptions!AH$39)/AC144,(Assumptions!AH$46+(AC144-Assumptions!AH$33)*Assumptions!AH$40)/AC144)))))</f>
        <v/>
      </c>
      <c r="AD145" s="296">
        <f>IF(AD144&lt;Assumptions!AI$29,Assumptions!AI$35,IF(AD144&lt;Assumptions!AI$30,(Assumptions!AI$42+(AD144-Assumptions!AI$29)*Assumptions!AI$36)/AD144,IF(AD144&lt;Assumptions!AI$31,(Assumptions!AI$43+(AD144-Assumptions!AI$30)*Assumptions!AI$37)/AD144,IF(AD144&lt;Assumptions!AI$32,(Assumptions!AI$44+(AD144-Assumptions!AI$31)*Assumptions!AI$38)/AD144,IF(AD144&lt;Assumptions!AI$33,(Assumptions!AI$45+(AD144-Assumptions!AI$32)*Assumptions!AI$39)/AD144,(Assumptions!AI$46+(AD144-Assumptions!AI$33)*Assumptions!AI$40)/AD144)))))</f>
        <v/>
      </c>
      <c r="AE145" s="296">
        <f>IF(AE144&lt;Assumptions!AI$29,Assumptions!AI$35,IF(AE144&lt;Assumptions!AI$30,(Assumptions!AI$42+(AE144-Assumptions!AI$29)*Assumptions!AI$36)/AE144,IF(AE144&lt;Assumptions!AI$31,(Assumptions!AI$43+(AE144-Assumptions!AI$30)*Assumptions!AI$37)/AE144,IF(AE144&lt;Assumptions!AI$32,(Assumptions!AI$44+(AE144-Assumptions!AI$31)*Assumptions!AI$38)/AE144,IF(AE144&lt;Assumptions!AI$33,(Assumptions!AI$45+(AE144-Assumptions!AI$32)*Assumptions!AI$39)/AE144,(Assumptions!AI$46+(AE144-Assumptions!AI$33)*Assumptions!AI$40)/AE144)))))</f>
        <v/>
      </c>
      <c r="AF145" s="296">
        <f>IF(AF144&lt;Assumptions!AJ$29,Assumptions!AJ$35,IF(AF144&lt;Assumptions!AJ$30,(Assumptions!AJ$42+(AF144-Assumptions!AJ$29)*Assumptions!AJ$36)/AF144,IF(AF144&lt;Assumptions!AJ$31,(Assumptions!AJ$43+(AF144-Assumptions!AJ$30)*Assumptions!AJ$37)/AF144,IF(AF144&lt;Assumptions!AJ$32,(Assumptions!AJ$44+(AF144-Assumptions!AJ$31)*Assumptions!AJ$38)/AF144,IF(AF144&lt;Assumptions!AJ$33,(Assumptions!AJ$45+(AF144-Assumptions!AJ$32)*Assumptions!AJ$39)/AF144,(Assumptions!AJ$46+(AF144-Assumptions!AJ$33)*Assumptions!AJ$40)/AF144)))))</f>
        <v/>
      </c>
      <c r="AG145" s="296">
        <f>IF(AG144&lt;Assumptions!AK$29,Assumptions!AK$35,IF(AG144&lt;Assumptions!AK$30,(Assumptions!AK$42+(AG144-Assumptions!AK$29)*Assumptions!AK$36)/AG144,IF(AG144&lt;Assumptions!AK$31,(Assumptions!AK$43+(AG144-Assumptions!AK$30)*Assumptions!AK$37)/AG144,IF(AG144&lt;Assumptions!AK$32,(Assumptions!AK$44+(AG144-Assumptions!AK$31)*Assumptions!AK$38)/AG144,IF(AG144&lt;Assumptions!AK$33,(Assumptions!AK$45+(AG144-Assumptions!AK$32)*Assumptions!AK$39)/AG144,(Assumptions!AK$46+(AG144-Assumptions!AK$33)*Assumptions!AK$40)/AG144)))))</f>
        <v/>
      </c>
      <c r="AH145" s="296">
        <f>IF(AH144&lt;Assumptions!AL$29,Assumptions!AL$35,IF(AH144&lt;Assumptions!AL$30,(Assumptions!AL$42+(AH144-Assumptions!AL$29)*Assumptions!AL$36)/AH144,IF(AH144&lt;Assumptions!AL$31,(Assumptions!AL$43+(AH144-Assumptions!AL$30)*Assumptions!AL$37)/AH144,IF(AH144&lt;Assumptions!AL$32,(Assumptions!AL$44+(AH144-Assumptions!AL$31)*Assumptions!AL$38)/AH144,IF(AH144&lt;Assumptions!AL$33,(Assumptions!AL$45+(AH144-Assumptions!AL$32)*Assumptions!AL$39)/AH144,(Assumptions!AL$46+(AH144-Assumptions!AL$33)*Assumptions!AL$40)/AH144)))))</f>
        <v/>
      </c>
      <c r="AI145" s="296">
        <f>IF(AI144&lt;Assumptions!AM$29,Assumptions!AM$35,IF(AI144&lt;Assumptions!AM$30,(Assumptions!AM$42+(AI144-Assumptions!AM$29)*Assumptions!AM$36)/AI144,IF(AI144&lt;Assumptions!AM$31,(Assumptions!AM$43+(AI144-Assumptions!AM$30)*Assumptions!AM$37)/AI144,IF(AI144&lt;Assumptions!AM$32,(Assumptions!AM$44+(AI144-Assumptions!AM$31)*Assumptions!AM$38)/AI144,IF(AI144&lt;Assumptions!AM$33,(Assumptions!AM$45+(AI144-Assumptions!AM$32)*Assumptions!AM$39)/AI144,(Assumptions!AM$46+(AI144-Assumptions!AM$33)*Assumptions!AM$40)/AI144)))))</f>
        <v/>
      </c>
      <c r="AJ145" s="296">
        <f>IF(AJ144&lt;Assumptions!AN$29,Assumptions!AN$35,IF(AJ144&lt;Assumptions!AN$30,(Assumptions!AN$42+(AJ144-Assumptions!AN$29)*Assumptions!AN$36)/AJ144,IF(AJ144&lt;Assumptions!AN$31,(Assumptions!AN$43+(AJ144-Assumptions!AN$30)*Assumptions!AN$37)/AJ144,IF(AJ144&lt;Assumptions!AN$32,(Assumptions!AN$44+(AJ144-Assumptions!AN$31)*Assumptions!AN$38)/AJ144,IF(AJ144&lt;Assumptions!AN$33,(Assumptions!AN$45+(AJ144-Assumptions!AN$32)*Assumptions!AN$39)/AJ144,(Assumptions!AN$46+(AJ144-Assumptions!AN$33)*Assumptions!AN$40)/AJ144)))))</f>
        <v/>
      </c>
      <c r="AK145" s="296">
        <f>IF(AK144&lt;Assumptions!AO$29,Assumptions!AO$35,IF(AK144&lt;Assumptions!AO$30,(Assumptions!AO$42+(AK144-Assumptions!AO$29)*Assumptions!AO$36)/AK144,IF(AK144&lt;Assumptions!AO$31,(Assumptions!AO$43+(AK144-Assumptions!AO$30)*Assumptions!AO$37)/AK144,IF(AK144&lt;Assumptions!AO$32,(Assumptions!AO$44+(AK144-Assumptions!AO$31)*Assumptions!AO$38)/AK144,IF(AK144&lt;Assumptions!AO$33,(Assumptions!AO$45+(AK144-Assumptions!AO$32)*Assumptions!AO$39)/AK144,(Assumptions!AO$46+(AK144-Assumptions!AO$33)*Assumptions!AO$40)/AK144)))))</f>
        <v/>
      </c>
      <c r="AL145" s="296">
        <f>IF(AL144&lt;Assumptions!AP$29,Assumptions!AP$35,IF(AL144&lt;Assumptions!AP$30,(Assumptions!AP$42+(AL144-Assumptions!AP$29)*Assumptions!AP$36)/AL144,IF(AL144&lt;Assumptions!AP$31,(Assumptions!AP$43+(AL144-Assumptions!AP$30)*Assumptions!AP$37)/AL144,IF(AL144&lt;Assumptions!AP$32,(Assumptions!AP$44+(AL144-Assumptions!AP$31)*Assumptions!AP$38)/AL144,IF(AL144&lt;Assumptions!AP$33,(Assumptions!AP$45+(AL144-Assumptions!AP$32)*Assumptions!AP$39)/AL144,(Assumptions!AP$46+(AL144-Assumptions!AP$33)*Assumptions!AP$40)/AL144)))))</f>
        <v/>
      </c>
      <c r="AM145" s="296">
        <f>IF(AM144&lt;Assumptions!AQ$29,Assumptions!AQ$35,IF(AM144&lt;Assumptions!AQ$30,(Assumptions!AQ$42+(AM144-Assumptions!AQ$29)*Assumptions!AQ$36)/AM144,IF(AM144&lt;Assumptions!AQ$31,(Assumptions!AQ$43+(AM144-Assumptions!AQ$30)*Assumptions!AQ$37)/AM144,IF(AM144&lt;Assumptions!AQ$32,(Assumptions!AQ$44+(AM144-Assumptions!AQ$31)*Assumptions!AQ$38)/AM144,IF(AM144&lt;Assumptions!AQ$33,(Assumptions!AQ$45+(AM144-Assumptions!AQ$32)*Assumptions!AQ$39)/AM144,(Assumptions!AQ$46+(AM144-Assumptions!AQ$33)*Assumptions!AQ$40)/AM144)))))</f>
        <v/>
      </c>
      <c r="AN145" s="296">
        <f>IF(AN144&lt;Assumptions!AR$29,Assumptions!AR$35,IF(AN144&lt;Assumptions!AR$30,(Assumptions!AR$42+(AN144-Assumptions!AR$29)*Assumptions!AR$36)/AN144,IF(AN144&lt;Assumptions!AR$31,(Assumptions!AR$43+(AN144-Assumptions!AR$30)*Assumptions!AR$37)/AN144,IF(AN144&lt;Assumptions!AR$32,(Assumptions!AR$44+(AN144-Assumptions!AR$31)*Assumptions!AR$38)/AN144,IF(AN144&lt;Assumptions!AR$33,(Assumptions!AR$45+(AN144-Assumptions!AR$32)*Assumptions!AR$39)/AN144,(Assumptions!AR$46+(AN144-Assumptions!AR$33)*Assumptions!AR$40)/AN144)))))</f>
        <v/>
      </c>
      <c r="AO145" s="296">
        <f>IF(AO144&lt;Assumptions!AS$29,Assumptions!AS$35,IF(AO144&lt;Assumptions!AS$30,(Assumptions!AS$42+(AO144-Assumptions!AS$29)*Assumptions!AS$36)/AO144,IF(AO144&lt;Assumptions!AS$31,(Assumptions!AS$43+(AO144-Assumptions!AS$30)*Assumptions!AS$37)/AO144,IF(AO144&lt;Assumptions!AS$32,(Assumptions!AS$44+(AO144-Assumptions!AS$31)*Assumptions!AS$38)/AO144,IF(AO144&lt;Assumptions!AS$33,(Assumptions!AS$45+(AO144-Assumptions!AS$32)*Assumptions!AS$39)/AO144,(Assumptions!AS$46+(AO144-Assumptions!AS$33)*Assumptions!AS$40)/AO144)))))</f>
        <v/>
      </c>
      <c r="AP145" s="296">
        <f>IF(AP144&lt;Assumptions!AT$29,Assumptions!AT$35,IF(AP144&lt;Assumptions!AT$30,(Assumptions!AT$42+(AP144-Assumptions!AT$29)*Assumptions!AT$36)/AP144,IF(AP144&lt;Assumptions!AT$31,(Assumptions!AT$43+(AP144-Assumptions!AT$30)*Assumptions!AT$37)/AP144,IF(AP144&lt;Assumptions!AT$32,(Assumptions!AT$44+(AP144-Assumptions!AT$31)*Assumptions!AT$38)/AP144,IF(AP144&lt;Assumptions!AT$33,(Assumptions!AT$45+(AP144-Assumptions!AT$32)*Assumptions!AT$39)/AP144,(Assumptions!AT$46+(AP144-Assumptions!AT$33)*Assumptions!AT$40)/AP144)))))</f>
        <v/>
      </c>
      <c r="AQ145" s="296">
        <f>IF(AQ144&lt;Assumptions!AU$29,Assumptions!AU$35,IF(AQ144&lt;Assumptions!AU$30,(Assumptions!AU$42+(AQ144-Assumptions!AU$29)*Assumptions!AU$36)/AQ144,IF(AQ144&lt;Assumptions!AU$31,(Assumptions!AU$43+(AQ144-Assumptions!AU$30)*Assumptions!AU$37)/AQ144,IF(AQ144&lt;Assumptions!AU$32,(Assumptions!AU$44+(AQ144-Assumptions!AU$31)*Assumptions!AU$38)/AQ144,IF(AQ144&lt;Assumptions!AU$33,(Assumptions!AU$45+(AQ144-Assumptions!AU$32)*Assumptions!AU$39)/AQ144,(Assumptions!AU$46+(AQ144-Assumptions!AU$33)*Assumptions!AU$40)/AQ144)))))</f>
        <v/>
      </c>
      <c r="AR145" s="296">
        <f>IF(AR144&lt;Assumptions!AV$29,Assumptions!AV$35,IF(AR144&lt;Assumptions!AV$30,(Assumptions!AV$42+(AR144-Assumptions!AV$29)*Assumptions!AV$36)/AR144,IF(AR144&lt;Assumptions!AV$31,(Assumptions!AV$43+(AR144-Assumptions!AV$30)*Assumptions!AV$37)/AR144,IF(AR144&lt;Assumptions!AV$32,(Assumptions!AV$44+(AR144-Assumptions!AV$31)*Assumptions!AV$38)/AR144,IF(AR144&lt;Assumptions!AV$33,(Assumptions!AV$45+(AR144-Assumptions!AV$32)*Assumptions!AV$39)/AR144,(Assumptions!AV$46+(AR144-Assumptions!AV$33)*Assumptions!AV$40)/AR144)))))</f>
        <v/>
      </c>
      <c r="AS145" s="296">
        <f>IF(AS144&lt;Assumptions!AW$29,Assumptions!AW$35,IF(AS144&lt;Assumptions!AW$30,(Assumptions!AW$42+(AS144-Assumptions!AW$29)*Assumptions!AW$36)/AS144,IF(AS144&lt;Assumptions!AW$31,(Assumptions!AW$43+(AS144-Assumptions!AW$30)*Assumptions!AW$37)/AS144,IF(AS144&lt;Assumptions!AW$32,(Assumptions!AW$44+(AS144-Assumptions!AW$31)*Assumptions!AW$38)/AS144,IF(AS144&lt;Assumptions!AW$33,(Assumptions!AW$45+(AS144-Assumptions!AW$32)*Assumptions!AW$39)/AS144,(Assumptions!AW$46+(AS144-Assumptions!AW$33)*Assumptions!AW$40)/AS144)))))</f>
        <v/>
      </c>
      <c r="AT145" s="296">
        <f>IF(AT144&lt;Assumptions!AX$29,Assumptions!AX$35,IF(AT144&lt;Assumptions!AX$30,(Assumptions!AX$42+(AT144-Assumptions!AX$29)*Assumptions!AX$36)/AT144,IF(AT144&lt;Assumptions!AX$31,(Assumptions!AX$43+(AT144-Assumptions!AX$30)*Assumptions!AX$37)/AT144,IF(AT144&lt;Assumptions!AX$32,(Assumptions!AX$44+(AT144-Assumptions!AX$31)*Assumptions!AX$38)/AT144,IF(AT144&lt;Assumptions!AX$33,(Assumptions!AX$45+(AT144-Assumptions!AX$32)*Assumptions!AX$39)/AT144,(Assumptions!AX$46+(AT144-Assumptions!AX$33)*Assumptions!AX$40)/AT144)))))</f>
        <v/>
      </c>
      <c r="AU145" s="296">
        <f>IF(AU144&lt;Assumptions!AY$29,Assumptions!AY$35,IF(AU144&lt;Assumptions!AY$30,(Assumptions!AY$42+(AU144-Assumptions!AY$29)*Assumptions!AY$36)/AU144,IF(AU144&lt;Assumptions!AY$31,(Assumptions!AY$43+(AU144-Assumptions!AY$30)*Assumptions!AY$37)/AU144,IF(AU144&lt;Assumptions!AY$32,(Assumptions!AY$44+(AU144-Assumptions!AY$31)*Assumptions!AY$38)/AU144,IF(AU144&lt;Assumptions!AY$33,(Assumptions!AY$45+(AU144-Assumptions!AY$32)*Assumptions!AY$39)/AU144,(Assumptions!AY$46+(AU144-Assumptions!AY$33)*Assumptions!AY$40)/AU144)))))</f>
        <v/>
      </c>
      <c r="AV145" s="296">
        <f>IF(AV144&lt;Assumptions!AZ$29,Assumptions!AZ$35,IF(AV144&lt;Assumptions!AZ$30,(Assumptions!AZ$42+(AV144-Assumptions!AZ$29)*Assumptions!AZ$36)/AV144,IF(AV144&lt;Assumptions!AZ$31,(Assumptions!AZ$43+(AV144-Assumptions!AZ$30)*Assumptions!AZ$37)/AV144,IF(AV144&lt;Assumptions!AZ$32,(Assumptions!AZ$44+(AV144-Assumptions!AZ$31)*Assumptions!AZ$38)/AV144,IF(AV144&lt;Assumptions!AZ$33,(Assumptions!AZ$45+(AV144-Assumptions!AZ$32)*Assumptions!AZ$39)/AV144,(Assumptions!AZ$46+(AV144-Assumptions!AZ$33)*Assumptions!AZ$40)/AV144)))))</f>
        <v/>
      </c>
      <c r="AW145" s="296">
        <f>IF(AW144&lt;Assumptions!BA$29,Assumptions!BA$35,IF(AW144&lt;Assumptions!BA$30,(Assumptions!BA$42+(AW144-Assumptions!BA$29)*Assumptions!BA$36)/AW144,IF(AW144&lt;Assumptions!BA$31,(Assumptions!BA$43+(AW144-Assumptions!BA$30)*Assumptions!BA$37)/AW144,IF(AW144&lt;Assumptions!BA$32,(Assumptions!BA$44+(AW144-Assumptions!BA$31)*Assumptions!BA$38)/AW144,IF(AW144&lt;Assumptions!BA$33,(Assumptions!BA$45+(AW144-Assumptions!BA$32)*Assumptions!BA$39)/AW144,(Assumptions!BA$46+(AW144-Assumptions!BA$33)*Assumptions!BA$40)/AW144)))))</f>
        <v/>
      </c>
      <c r="AX145" s="296">
        <f>IF(AX144&lt;Assumptions!BB$29,Assumptions!BB$35,IF(AX144&lt;Assumptions!BB$30,(Assumptions!BB$42+(AX144-Assumptions!BB$29)*Assumptions!BB$36)/AX144,IF(AX144&lt;Assumptions!BB$31,(Assumptions!BB$43+(AX144-Assumptions!BB$30)*Assumptions!BB$37)/AX144,IF(AX144&lt;Assumptions!BB$32,(Assumptions!BB$44+(AX144-Assumptions!BB$31)*Assumptions!BB$38)/AX144,IF(AX144&lt;Assumptions!BB$33,(Assumptions!BB$45+(AX144-Assumptions!BB$32)*Assumptions!BB$39)/AX144,(Assumptions!BB$46+(AX144-Assumptions!BB$33)*Assumptions!BB$40)/AX144)))))</f>
        <v/>
      </c>
      <c r="AY145" s="296">
        <f>IF(AY144&lt;Assumptions!BC$29,Assumptions!BC$35,IF(AY144&lt;Assumptions!BC$30,(Assumptions!BC$42+(AY144-Assumptions!BC$29)*Assumptions!BC$36)/AY144,IF(AY144&lt;Assumptions!BC$31,(Assumptions!BC$43+(AY144-Assumptions!BC$30)*Assumptions!BC$37)/AY144,IF(AY144&lt;Assumptions!BC$32,(Assumptions!BC$44+(AY144-Assumptions!BC$31)*Assumptions!BC$38)/AY144,IF(AY144&lt;Assumptions!BC$33,(Assumptions!BC$45+(AY144-Assumptions!BC$32)*Assumptions!BC$39)/AY144,(Assumptions!BC$46+(AY144-Assumptions!BC$33)*Assumptions!BC$40)/AY144)))))</f>
        <v/>
      </c>
      <c r="AZ145" s="296">
        <f>IF(AZ144&lt;Assumptions!BD$29,Assumptions!BD$35,IF(AZ144&lt;Assumptions!BD$30,(Assumptions!BD$42+(AZ144-Assumptions!BD$29)*Assumptions!BD$36)/AZ144,IF(AZ144&lt;Assumptions!BD$31,(Assumptions!BD$43+(AZ144-Assumptions!BD$30)*Assumptions!BD$37)/AZ144,IF(AZ144&lt;Assumptions!BD$32,(Assumptions!BD$44+(AZ144-Assumptions!BD$31)*Assumptions!BD$38)/AZ144,IF(AZ144&lt;Assumptions!BD$33,(Assumptions!BD$45+(AZ144-Assumptions!BD$32)*Assumptions!BD$39)/AZ144,(Assumptions!BD$46+(AZ144-Assumptions!BD$33)*Assumptions!BD$40)/AZ144)))))</f>
        <v/>
      </c>
      <c r="BA145" s="296">
        <f>IF(BA144&lt;Assumptions!BE$29,Assumptions!BE$35,IF(BA144&lt;Assumptions!BE$30,(Assumptions!BE$42+(BA144-Assumptions!BE$29)*Assumptions!BE$36)/BA144,IF(BA144&lt;Assumptions!BE$31,(Assumptions!BE$43+(BA144-Assumptions!BE$30)*Assumptions!BE$37)/BA144,IF(BA144&lt;Assumptions!BE$32,(Assumptions!BE$44+(BA144-Assumptions!BE$31)*Assumptions!BE$38)/BA144,IF(BA144&lt;Assumptions!BE$33,(Assumptions!BE$45+(BA144-Assumptions!BE$32)*Assumptions!BE$39)/BA144,(Assumptions!BE$46+(BA144-Assumptions!BE$33)*Assumptions!BE$40)/BA144)))))</f>
        <v/>
      </c>
      <c r="BB145" s="296">
        <f>IF(BB144&lt;Assumptions!BF$29,Assumptions!BF$35,IF(BB144&lt;Assumptions!BF$30,(Assumptions!BF$42+(BB144-Assumptions!BF$29)*Assumptions!BF$36)/BB144,IF(BB144&lt;Assumptions!BF$31,(Assumptions!BF$43+(BB144-Assumptions!BF$30)*Assumptions!BF$37)/BB144,IF(BB144&lt;Assumptions!BF$32,(Assumptions!BF$44+(BB144-Assumptions!BF$31)*Assumptions!BF$38)/BB144,IF(BB144&lt;Assumptions!BF$33,(Assumptions!BF$45+(BB144-Assumptions!BF$32)*Assumptions!BF$39)/BB144,(Assumptions!BF$46+(BB144-Assumptions!BF$33)*Assumptions!BF$40)/BB144)))))</f>
        <v/>
      </c>
      <c r="BC145" s="296">
        <f>IF(BC144&lt;Assumptions!BG$29,Assumptions!BG$35,IF(BC144&lt;Assumptions!BG$30,(Assumptions!BG$42+(BC144-Assumptions!BG$29)*Assumptions!BG$36)/BC144,IF(BC144&lt;Assumptions!BG$31,(Assumptions!BG$43+(BC144-Assumptions!BG$30)*Assumptions!BG$37)/BC144,IF(BC144&lt;Assumptions!BG$32,(Assumptions!BG$44+(BC144-Assumptions!BG$31)*Assumptions!BG$38)/BC144,IF(BC144&lt;Assumptions!BG$33,(Assumptions!BG$45+(BC144-Assumptions!BG$32)*Assumptions!BG$39)/BC144,(Assumptions!BG$46+(BC144-Assumptions!BG$33)*Assumptions!BG$40)/BC144)))))</f>
        <v/>
      </c>
      <c r="BD145" s="296">
        <f>IF(BD144&lt;Assumptions!BH$29,Assumptions!BH$35,IF(BD144&lt;Assumptions!BH$30,(Assumptions!BH$42+(BD144-Assumptions!BH$29)*Assumptions!BH$36)/BD144,IF(BD144&lt;Assumptions!BH$31,(Assumptions!BH$43+(BD144-Assumptions!BH$30)*Assumptions!BH$37)/BD144,IF(BD144&lt;Assumptions!BH$32,(Assumptions!BH$44+(BD144-Assumptions!BH$31)*Assumptions!BH$38)/BD144,IF(BD144&lt;Assumptions!BH$33,(Assumptions!BH$45+(BD144-Assumptions!BH$32)*Assumptions!BH$39)/BD144,(Assumptions!BH$46+(BD144-Assumptions!BH$33)*Assumptions!BH$40)/BD144)))))</f>
        <v/>
      </c>
      <c r="BE145" s="296">
        <f>IF(BE144&lt;Assumptions!BI$29,Assumptions!BI$35,IF(BE144&lt;Assumptions!BI$30,(Assumptions!BI$42+(BE144-Assumptions!BI$29)*Assumptions!BI$36)/BE144,IF(BE144&lt;Assumptions!BI$31,(Assumptions!BI$43+(BE144-Assumptions!BI$30)*Assumptions!BI$37)/BE144,IF(BE144&lt;Assumptions!BI$32,(Assumptions!BI$44+(BE144-Assumptions!BI$31)*Assumptions!BI$38)/BE144,IF(BE144&lt;Assumptions!BI$33,(Assumptions!BI$45+(BE144-Assumptions!BI$32)*Assumptions!BI$39)/BE144,(Assumptions!BI$46+(BE144-Assumptions!BI$33)*Assumptions!BI$40)/BE144)))))</f>
        <v/>
      </c>
      <c r="BF145" s="296">
        <f>IF(BF144&lt;Assumptions!BJ$29,Assumptions!BJ$35,IF(BF144&lt;Assumptions!BJ$30,(Assumptions!BJ$42+(BF144-Assumptions!BJ$29)*Assumptions!BJ$36)/BF144,IF(BF144&lt;Assumptions!BJ$31,(Assumptions!BJ$43+(BF144-Assumptions!BJ$30)*Assumptions!BJ$37)/BF144,IF(BF144&lt;Assumptions!BJ$32,(Assumptions!BJ$44+(BF144-Assumptions!BJ$31)*Assumptions!BJ$38)/BF144,IF(BF144&lt;Assumptions!BJ$33,(Assumptions!BJ$45+(BF144-Assumptions!BJ$32)*Assumptions!BJ$39)/BF144,(Assumptions!BJ$46+(BF144-Assumptions!BJ$33)*Assumptions!BJ$40)/BF144)))))</f>
        <v/>
      </c>
      <c r="BG145" s="296">
        <f>IF(BG144&lt;Assumptions!BK$29,Assumptions!BK$35,IF(BG144&lt;Assumptions!BK$30,(Assumptions!BK$42+(BG144-Assumptions!BK$29)*Assumptions!BK$36)/BG144,IF(BG144&lt;Assumptions!BK$31,(Assumptions!BK$43+(BG144-Assumptions!BK$30)*Assumptions!BK$37)/BG144,IF(BG144&lt;Assumptions!BK$32,(Assumptions!BK$44+(BG144-Assumptions!BK$31)*Assumptions!BK$38)/BG144,IF(BG144&lt;Assumptions!BK$33,(Assumptions!BK$45+(BG144-Assumptions!BK$32)*Assumptions!BK$39)/BG144,(Assumptions!BK$46+(BG144-Assumptions!BK$33)*Assumptions!BK$40)/BG144)))))</f>
        <v/>
      </c>
      <c r="BH145" s="296">
        <f>IF(BH144&lt;Assumptions!BL$29,Assumptions!BL$35,IF(BH144&lt;Assumptions!BL$30,(Assumptions!BL$42+(BH144-Assumptions!BL$29)*Assumptions!BL$36)/BH144,IF(BH144&lt;Assumptions!BL$31,(Assumptions!BL$43+(BH144-Assumptions!BL$30)*Assumptions!BL$37)/BH144,IF(BH144&lt;Assumptions!BL$32,(Assumptions!BL$44+(BH144-Assumptions!BL$31)*Assumptions!BL$38)/BH144,IF(BH144&lt;Assumptions!BL$33,(Assumptions!BL$45+(BH144-Assumptions!BL$32)*Assumptions!BL$39)/BH144,(Assumptions!BL$46+(BH144-Assumptions!BL$33)*Assumptions!BL$40)/BH144)))))</f>
        <v/>
      </c>
      <c r="BI145" s="296">
        <f>IF(BI144&lt;Assumptions!BM$29,Assumptions!BM$35,IF(BI144&lt;Assumptions!BM$30,(Assumptions!BM$42+(BI144-Assumptions!BM$29)*Assumptions!BM$36)/BI144,IF(BI144&lt;Assumptions!BM$31,(Assumptions!BM$43+(BI144-Assumptions!BM$30)*Assumptions!BM$37)/BI144,IF(BI144&lt;Assumptions!BM$32,(Assumptions!BM$44+(BI144-Assumptions!BM$31)*Assumptions!BM$38)/BI144,IF(BI144&lt;Assumptions!BM$33,(Assumptions!BM$45+(BI144-Assumptions!BM$32)*Assumptions!BM$39)/BI144,(Assumptions!BM$46+(BI144-Assumptions!BM$33)*Assumptions!BM$40)/BI144)))))</f>
        <v/>
      </c>
      <c r="BJ145" s="296">
        <f>IF(BJ144&lt;Assumptions!BN$29,Assumptions!BN$35,IF(BJ144&lt;Assumptions!BN$30,(Assumptions!BN$42+(BJ144-Assumptions!BN$29)*Assumptions!BN$36)/BJ144,IF(BJ144&lt;Assumptions!BN$31,(Assumptions!BN$43+(BJ144-Assumptions!BN$30)*Assumptions!BN$37)/BJ144,IF(BJ144&lt;Assumptions!BN$32,(Assumptions!BN$44+(BJ144-Assumptions!BN$31)*Assumptions!BN$38)/BJ144,IF(BJ144&lt;Assumptions!BN$33,(Assumptions!BN$45+(BJ144-Assumptions!BN$32)*Assumptions!BN$39)/BJ144,(Assumptions!BN$46+(BJ144-Assumptions!BN$33)*Assumptions!BN$40)/BJ144)))))</f>
        <v/>
      </c>
      <c r="BK145" s="296">
        <f>IF(BK144&lt;Assumptions!BO$29,Assumptions!BO$35,IF(BK144&lt;Assumptions!BO$30,(Assumptions!BO$42+(BK144-Assumptions!BO$29)*Assumptions!BO$36)/BK144,IF(BK144&lt;Assumptions!BO$31,(Assumptions!BO$43+(BK144-Assumptions!BO$30)*Assumptions!BO$37)/BK144,IF(BK144&lt;Assumptions!BO$32,(Assumptions!BO$44+(BK144-Assumptions!BO$31)*Assumptions!BO$38)/BK144,IF(BK144&lt;Assumptions!BO$33,(Assumptions!BO$45+(BK144-Assumptions!BO$32)*Assumptions!BO$39)/BK144,(Assumptions!BO$46+(BK144-Assumptions!BO$33)*Assumptions!BO$40)/BK144)))))</f>
        <v/>
      </c>
      <c r="BL145" s="296">
        <f>IF(BL144&lt;Assumptions!BP$29,Assumptions!BP$35,IF(BL144&lt;Assumptions!BP$30,(Assumptions!BP$42+(BL144-Assumptions!BP$29)*Assumptions!BP$36)/BL144,IF(BL144&lt;Assumptions!BP$31,(Assumptions!BP$43+(BL144-Assumptions!BP$30)*Assumptions!BP$37)/BL144,IF(BL144&lt;Assumptions!BP$32,(Assumptions!BP$44+(BL144-Assumptions!BP$31)*Assumptions!BP$38)/BL144,IF(BL144&lt;Assumptions!BP$33,(Assumptions!BP$45+(BL144-Assumptions!BP$32)*Assumptions!BP$39)/BL144,(Assumptions!BP$46+(BL144-Assumptions!BP$33)*Assumptions!BP$40)/BL144)))))</f>
        <v/>
      </c>
      <c r="BM145" s="296">
        <f>IF(BM144&lt;Assumptions!BQ$29,Assumptions!BQ$35,IF(BM144&lt;Assumptions!BQ$30,(Assumptions!BQ$42+(BM144-Assumptions!BQ$29)*Assumptions!BQ$36)/BM144,IF(BM144&lt;Assumptions!BQ$31,(Assumptions!BQ$43+(BM144-Assumptions!BQ$30)*Assumptions!BQ$37)/BM144,IF(BM144&lt;Assumptions!BQ$32,(Assumptions!BQ$44+(BM144-Assumptions!BQ$31)*Assumptions!BQ$38)/BM144,IF(BM144&lt;Assumptions!BQ$33,(Assumptions!BQ$45+(BM144-Assumptions!BQ$32)*Assumptions!BQ$39)/BM144,(Assumptions!BQ$46+(BM144-Assumptions!BQ$33)*Assumptions!BQ$40)/BM144)))))</f>
        <v/>
      </c>
      <c r="BN145" s="296">
        <f>IF(BN144&lt;Assumptions!BR$29,Assumptions!BR$35,IF(BN144&lt;Assumptions!BR$30,(Assumptions!BR$42+(BN144-Assumptions!BR$29)*Assumptions!BR$36)/BN144,IF(BN144&lt;Assumptions!BR$31,(Assumptions!BR$43+(BN144-Assumptions!BR$30)*Assumptions!BR$37)/BN144,IF(BN144&lt;Assumptions!BR$32,(Assumptions!BR$44+(BN144-Assumptions!BR$31)*Assumptions!BR$38)/BN144,IF(BN144&lt;Assumptions!BR$33,(Assumptions!BR$45+(BN144-Assumptions!BR$32)*Assumptions!BR$39)/BN144,(Assumptions!BR$46+(BN144-Assumptions!BR$33)*Assumptions!BR$40)/BN144)))))</f>
        <v/>
      </c>
      <c r="BO145" s="296">
        <f>IF(BO144&lt;Assumptions!BS$29,Assumptions!BS$35,IF(BO144&lt;Assumptions!BS$30,(Assumptions!BS$42+(BO144-Assumptions!BS$29)*Assumptions!BS$36)/BO144,IF(BO144&lt;Assumptions!BS$31,(Assumptions!BS$43+(BO144-Assumptions!BS$30)*Assumptions!BS$37)/BO144,IF(BO144&lt;Assumptions!BS$32,(Assumptions!BS$44+(BO144-Assumptions!BS$31)*Assumptions!BS$38)/BO144,IF(BO144&lt;Assumptions!BS$33,(Assumptions!BS$45+(BO144-Assumptions!BS$32)*Assumptions!BS$39)/BO144,(Assumptions!BS$46+(BO144-Assumptions!BS$33)*Assumptions!BS$40)/BO144)))))</f>
        <v/>
      </c>
      <c r="BP145" s="296" t="n"/>
    </row>
    <row r="146" hidden="1" outlineLevel="1">
      <c r="A146" t="inlineStr">
        <is>
          <t>Nominal deduction</t>
        </is>
      </c>
      <c r="B146" t="inlineStr">
        <is>
          <t xml:space="preserve">A$/t  </t>
        </is>
      </c>
      <c r="D146">
        <f>IFERROR((D93+D94)/D34,0)</f>
        <v/>
      </c>
      <c r="E146">
        <f>IFERROR((E93+E94)/E34,0)</f>
        <v/>
      </c>
      <c r="F146">
        <f>IFERROR((F93+F94)/F34,0)</f>
        <v/>
      </c>
      <c r="G146">
        <f>IFERROR((G93+G94)/G34,0)</f>
        <v/>
      </c>
      <c r="H146">
        <f>IFERROR((H93+H94)/H34,0)</f>
        <v/>
      </c>
      <c r="I146">
        <f>IFERROR((I93+I94)/I34,0)</f>
        <v/>
      </c>
      <c r="J146">
        <f>IFERROR((J93+J94)/J34,0)</f>
        <v/>
      </c>
      <c r="K146">
        <f>IFERROR((K93+K94)/K34,0)</f>
        <v/>
      </c>
      <c r="L146">
        <f>IFERROR((L93+L94)/L34,0)</f>
        <v/>
      </c>
      <c r="M146">
        <f>IFERROR((M93+M94)/M34,0)</f>
        <v/>
      </c>
      <c r="N146">
        <f>IFERROR((N93+N94)/N34,0)</f>
        <v/>
      </c>
      <c r="O146">
        <f>IFERROR((O93+O94)/O34,0)</f>
        <v/>
      </c>
      <c r="P146">
        <f>IFERROR((P93+P94)/P34,0)</f>
        <v/>
      </c>
      <c r="Q146">
        <f>IFERROR((Q93+Q94)/Q34,0)</f>
        <v/>
      </c>
      <c r="R146">
        <f>IFERROR((R93+R94)/R34,0)</f>
        <v/>
      </c>
      <c r="S146">
        <f>IFERROR((S93+S94)/S34,0)</f>
        <v/>
      </c>
      <c r="T146">
        <f>IFERROR((T93+T94)/T34,0)</f>
        <v/>
      </c>
      <c r="U146">
        <f>IFERROR((U93+U94)/U34,0)</f>
        <v/>
      </c>
      <c r="V146">
        <f>IFERROR((V93+V94)/V34,0)</f>
        <v/>
      </c>
      <c r="W146">
        <f>IFERROR((W93+W94)/W34,0)</f>
        <v/>
      </c>
      <c r="X146">
        <f>IFERROR((X93+X94)/X34,0)</f>
        <v/>
      </c>
      <c r="Y146">
        <f>IFERROR((Y93+Y94)/Y34,0)</f>
        <v/>
      </c>
      <c r="Z146">
        <f>IFERROR((Z93+Z94)/Z34,0)</f>
        <v/>
      </c>
      <c r="AA146">
        <f>IFERROR((AA93+AA94)/AA34,0)</f>
        <v/>
      </c>
      <c r="AB146">
        <f>IFERROR((AB93+AB94)/AB34,0)</f>
        <v/>
      </c>
      <c r="AC146">
        <f>IFERROR((AC93+AC94)/AC34,0)</f>
        <v/>
      </c>
      <c r="AD146">
        <f>IFERROR((AD93+AD94)/AD34,0)</f>
        <v/>
      </c>
      <c r="AE146">
        <f>IFERROR((AE93+AE94)/AE34,0)</f>
        <v/>
      </c>
      <c r="AF146">
        <f>IFERROR((AF93+AF94)/AF34,0)</f>
        <v/>
      </c>
      <c r="AG146">
        <f>IFERROR((AG93+AG94)/AG34,0)</f>
        <v/>
      </c>
      <c r="AH146">
        <f>IFERROR((AH93+AH94)/AH34,0)</f>
        <v/>
      </c>
      <c r="AI146">
        <f>IFERROR((AI93+AI94)/AI34,0)</f>
        <v/>
      </c>
      <c r="AJ146">
        <f>IFERROR((AJ93+AJ94)/AJ34,0)</f>
        <v/>
      </c>
      <c r="AK146">
        <f>IFERROR((AK93+AK94)/AK34,0)</f>
        <v/>
      </c>
      <c r="AL146">
        <f>IFERROR((AL93+AL94)/AL34,0)</f>
        <v/>
      </c>
      <c r="AM146">
        <f>IFERROR((AM93+AM94)/AM34,0)</f>
        <v/>
      </c>
      <c r="AN146">
        <f>IFERROR((AN93+AN94)/AN34,0)</f>
        <v/>
      </c>
      <c r="AO146">
        <f>IFERROR((AO93+AO94)/AO34,0)</f>
        <v/>
      </c>
      <c r="AP146">
        <f>IFERROR((AP93+AP94)/AP34,0)</f>
        <v/>
      </c>
      <c r="AQ146">
        <f>IFERROR((AQ93+AQ94)/AQ34,0)</f>
        <v/>
      </c>
      <c r="AR146">
        <f>IFERROR((AR93+AR94)/AR34,0)</f>
        <v/>
      </c>
      <c r="AS146">
        <f>IFERROR((AS93+AS94)/AS34,0)</f>
        <v/>
      </c>
      <c r="AT146">
        <f>IFERROR((AT93+AT94)/AT34,0)</f>
        <v/>
      </c>
      <c r="AU146">
        <f>IFERROR((AU93+AU94)/AU34,0)</f>
        <v/>
      </c>
      <c r="AV146">
        <f>IFERROR((AV93+AV94)/AV34,0)</f>
        <v/>
      </c>
      <c r="AW146">
        <f>IFERROR((AW93+AW94)/AW34,0)</f>
        <v/>
      </c>
      <c r="AX146">
        <f>IFERROR((AX93+AX94)/AX34,0)</f>
        <v/>
      </c>
      <c r="AY146">
        <f>IFERROR((AY93+AY94)/AY34,0)</f>
        <v/>
      </c>
      <c r="AZ146">
        <f>IFERROR((AZ93+AZ94)/AZ34,0)</f>
        <v/>
      </c>
      <c r="BA146">
        <f>IFERROR((BA93+BA94)/BA34,0)</f>
        <v/>
      </c>
      <c r="BB146">
        <f>IFERROR((BB93+BB94)/BB34,0)</f>
        <v/>
      </c>
      <c r="BC146">
        <f>IFERROR((BC93+BC94)/BC34,0)</f>
        <v/>
      </c>
      <c r="BD146">
        <f>IFERROR((BD93+BD94)/BD34,0)</f>
        <v/>
      </c>
      <c r="BE146">
        <f>IFERROR((BE93+BE94)/BE34,0)</f>
        <v/>
      </c>
      <c r="BF146">
        <f>IFERROR((BF93+BF94)/BF34,0)</f>
        <v/>
      </c>
      <c r="BG146">
        <f>IFERROR((BG93+BG94)/BG34,0)</f>
        <v/>
      </c>
      <c r="BH146">
        <f>IFERROR((BH93+BH94)/BH34,0)</f>
        <v/>
      </c>
      <c r="BI146">
        <f>IFERROR((BI93+BI94)/BI34,0)</f>
        <v/>
      </c>
      <c r="BJ146">
        <f>IFERROR((BJ93+BJ94)/BJ34,0)</f>
        <v/>
      </c>
      <c r="BK146">
        <f>IFERROR((BK93+BK94)/BK34,0)</f>
        <v/>
      </c>
      <c r="BL146">
        <f>IFERROR((BL93+BL94)/BL34,0)</f>
        <v/>
      </c>
      <c r="BM146">
        <f>IFERROR((BM93+BM94)/BM34,0)</f>
        <v/>
      </c>
      <c r="BN146">
        <f>IFERROR((BN93+BN94)/BN34,0)</f>
        <v/>
      </c>
      <c r="BO146">
        <f>IFERROR((BO93+BO94)/BO34,0)</f>
        <v/>
      </c>
    </row>
    <row r="147" hidden="1" outlineLevel="1">
      <c r="A147" t="inlineStr">
        <is>
          <t>Nominal royalty payable</t>
        </is>
      </c>
      <c r="B147" t="inlineStr">
        <is>
          <t xml:space="preserve">A$/t  </t>
        </is>
      </c>
      <c r="D147" s="363">
        <f>(D144-D146)*D145</f>
        <v/>
      </c>
      <c r="E147" s="363">
        <f>(E144-E146)*E145</f>
        <v/>
      </c>
      <c r="F147" s="363">
        <f>(F144-F146)*F145</f>
        <v/>
      </c>
      <c r="G147" s="363">
        <f>(G144-G146)*G145</f>
        <v/>
      </c>
      <c r="H147" s="363">
        <f>(H144-H146)*H145</f>
        <v/>
      </c>
      <c r="I147" s="363">
        <f>(I144-I146)*I145</f>
        <v/>
      </c>
      <c r="J147" s="363">
        <f>(J144-J146)*J145</f>
        <v/>
      </c>
      <c r="K147" s="363">
        <f>(K144-K146)*K145</f>
        <v/>
      </c>
      <c r="L147" s="363">
        <f>(L144-L146)*L145</f>
        <v/>
      </c>
      <c r="M147" s="363">
        <f>(M144-M146)*M145</f>
        <v/>
      </c>
      <c r="N147" s="363">
        <f>(N144-N146)*N145</f>
        <v/>
      </c>
      <c r="O147" s="363">
        <f>(O144-O146)*O145</f>
        <v/>
      </c>
      <c r="P147" s="363">
        <f>(P144-P146)*P145</f>
        <v/>
      </c>
      <c r="Q147" s="363">
        <f>(Q144-Q146)*Q145</f>
        <v/>
      </c>
      <c r="R147" s="363">
        <f>(R144-R146)*R145</f>
        <v/>
      </c>
      <c r="S147" s="363">
        <f>(S144-S146)*S145</f>
        <v/>
      </c>
      <c r="T147" s="363">
        <f>(T144-T146)*T145</f>
        <v/>
      </c>
      <c r="U147" s="363">
        <f>(U144-U146)*U145</f>
        <v/>
      </c>
      <c r="V147" s="363">
        <f>(V144-V146)*V145</f>
        <v/>
      </c>
      <c r="W147" s="363">
        <f>(W144-W146)*W145</f>
        <v/>
      </c>
      <c r="X147" s="363">
        <f>(X144-X146)*X145</f>
        <v/>
      </c>
      <c r="Y147" s="363">
        <f>(Y144-Y146)*Y145</f>
        <v/>
      </c>
      <c r="Z147" s="363">
        <f>(Z144-Z146)*Z145</f>
        <v/>
      </c>
      <c r="AA147" s="363">
        <f>(AA144-AA146)*AA145</f>
        <v/>
      </c>
      <c r="AB147" s="363">
        <f>(AB144-AB146)*AB145</f>
        <v/>
      </c>
      <c r="AC147" s="363">
        <f>(AC144-AC146)*AC145</f>
        <v/>
      </c>
      <c r="AD147" s="363">
        <f>(AD144-AD146)*AD145</f>
        <v/>
      </c>
      <c r="AE147" s="363">
        <f>(AE144-AE146)*AE145</f>
        <v/>
      </c>
      <c r="AF147" s="363">
        <f>(AF144-AF146)*AF145</f>
        <v/>
      </c>
      <c r="AG147" s="363">
        <f>(AG144-AG146)*AG145</f>
        <v/>
      </c>
      <c r="AH147" s="363">
        <f>(AH144-AH146)*AH145</f>
        <v/>
      </c>
      <c r="AI147" s="363">
        <f>(AI144-AI146)*AI145</f>
        <v/>
      </c>
      <c r="AJ147" s="363">
        <f>(AJ144-AJ146)*AJ145</f>
        <v/>
      </c>
      <c r="AK147" s="363">
        <f>(AK144-AK146)*AK145</f>
        <v/>
      </c>
      <c r="AL147" s="363">
        <f>(AL144-AL146)*AL145</f>
        <v/>
      </c>
      <c r="AM147" s="363">
        <f>(AM144-AM146)*AM145</f>
        <v/>
      </c>
      <c r="AN147" s="363">
        <f>(AN144-AN146)*AN145</f>
        <v/>
      </c>
      <c r="AO147" s="363">
        <f>(AO144-AO146)*AO145</f>
        <v/>
      </c>
      <c r="AP147" s="363">
        <f>(AP144-AP146)*AP145</f>
        <v/>
      </c>
      <c r="AQ147" s="363">
        <f>(AQ144-AQ146)*AQ145</f>
        <v/>
      </c>
      <c r="AR147" s="363">
        <f>(AR144-AR146)*AR145</f>
        <v/>
      </c>
      <c r="AS147" s="363">
        <f>(AS144-AS146)*AS145</f>
        <v/>
      </c>
      <c r="AT147" s="363">
        <f>(AT144-AT146)*AT145</f>
        <v/>
      </c>
      <c r="AU147" s="363">
        <f>(AU144-AU146)*AU145</f>
        <v/>
      </c>
      <c r="AV147" s="363">
        <f>(AV144-AV146)*AV145</f>
        <v/>
      </c>
      <c r="AW147" s="363">
        <f>(AW144-AW146)*AW145</f>
        <v/>
      </c>
      <c r="AX147" s="363">
        <f>(AX144-AX146)*AX145</f>
        <v/>
      </c>
      <c r="AY147" s="363">
        <f>(AY144-AY146)*AY145</f>
        <v/>
      </c>
      <c r="AZ147" s="363">
        <f>(AZ144-AZ146)*AZ145</f>
        <v/>
      </c>
      <c r="BA147" s="363">
        <f>(BA144-BA146)*BA145</f>
        <v/>
      </c>
      <c r="BB147" s="363">
        <f>(BB144-BB146)*BB145</f>
        <v/>
      </c>
      <c r="BC147" s="363">
        <f>(BC144-BC146)*BC145</f>
        <v/>
      </c>
      <c r="BD147" s="363">
        <f>(BD144-BD146)*BD145</f>
        <v/>
      </c>
      <c r="BE147" s="363">
        <f>(BE144-BE146)*BE145</f>
        <v/>
      </c>
      <c r="BF147" s="363">
        <f>(BF144-BF146)*BF145</f>
        <v/>
      </c>
      <c r="BG147" s="363">
        <f>(BG144-BG146)*BG145</f>
        <v/>
      </c>
      <c r="BH147" s="363">
        <f>(BH144-BH146)*BH145</f>
        <v/>
      </c>
      <c r="BI147" s="363">
        <f>(BI144-BI146)*BI145</f>
        <v/>
      </c>
      <c r="BJ147" s="363">
        <f>(BJ144-BJ146)*BJ145</f>
        <v/>
      </c>
      <c r="BK147" s="363">
        <f>(BK144-BK146)*BK145</f>
        <v/>
      </c>
      <c r="BL147" s="363">
        <f>(BL144-BL146)*BL145</f>
        <v/>
      </c>
      <c r="BM147" s="363">
        <f>(BM144-BM146)*BM145</f>
        <v/>
      </c>
      <c r="BN147" s="363">
        <f>(BN144-BN146)*BN145</f>
        <v/>
      </c>
      <c r="BO147" s="363">
        <f>(BO144-BO146)*BO145</f>
        <v/>
      </c>
      <c r="BP147" s="363" t="n"/>
    </row>
    <row r="148" hidden="1" outlineLevel="1">
      <c r="A148" t="inlineStr">
        <is>
          <t>Real royalty payable</t>
        </is>
      </c>
      <c r="B148" t="inlineStr">
        <is>
          <t xml:space="preserve">A$/t  </t>
        </is>
      </c>
      <c r="D148" s="363">
        <f>D147/D142</f>
        <v/>
      </c>
      <c r="E148" s="363">
        <f>E147/E142</f>
        <v/>
      </c>
      <c r="F148" s="363">
        <f>F147/F142</f>
        <v/>
      </c>
      <c r="G148" s="363">
        <f>G147/G142</f>
        <v/>
      </c>
      <c r="H148" s="363">
        <f>H147/H142</f>
        <v/>
      </c>
      <c r="I148" s="363">
        <f>I147/I142</f>
        <v/>
      </c>
      <c r="J148" s="363">
        <f>J147/J142</f>
        <v/>
      </c>
      <c r="K148" s="363">
        <f>K147/K142</f>
        <v/>
      </c>
      <c r="L148" s="363">
        <f>L147/L142</f>
        <v/>
      </c>
      <c r="M148" s="363">
        <f>M147/M142</f>
        <v/>
      </c>
      <c r="N148" s="363">
        <f>N147/N142</f>
        <v/>
      </c>
      <c r="O148" s="363">
        <f>O147/O142</f>
        <v/>
      </c>
      <c r="P148" s="363">
        <f>P147/P142</f>
        <v/>
      </c>
      <c r="Q148" s="363">
        <f>Q147/Q142</f>
        <v/>
      </c>
      <c r="R148" s="363">
        <f>R147/R142</f>
        <v/>
      </c>
      <c r="S148" s="363">
        <f>S147/S142</f>
        <v/>
      </c>
      <c r="T148" s="363">
        <f>T147/T142</f>
        <v/>
      </c>
      <c r="U148" s="363">
        <f>U147/U142</f>
        <v/>
      </c>
      <c r="V148" s="363">
        <f>V147/V142</f>
        <v/>
      </c>
      <c r="W148" s="363">
        <f>W147/W142</f>
        <v/>
      </c>
      <c r="X148" s="363">
        <f>X147/X142</f>
        <v/>
      </c>
      <c r="Y148" s="363">
        <f>Y147/Y142</f>
        <v/>
      </c>
      <c r="Z148" s="363">
        <f>Z147/Z142</f>
        <v/>
      </c>
      <c r="AA148" s="363">
        <f>AA147/AA142</f>
        <v/>
      </c>
      <c r="AB148" s="363">
        <f>AB147/AB142</f>
        <v/>
      </c>
      <c r="AC148" s="363">
        <f>AC147/AC142</f>
        <v/>
      </c>
      <c r="AD148" s="363">
        <f>AD147/AD142</f>
        <v/>
      </c>
      <c r="AE148" s="363">
        <f>AE147/AE142</f>
        <v/>
      </c>
      <c r="AF148" s="363">
        <f>AF147/AF142</f>
        <v/>
      </c>
      <c r="AG148" s="363">
        <f>AG147/AG142</f>
        <v/>
      </c>
      <c r="AH148" s="363">
        <f>AH147/AH142</f>
        <v/>
      </c>
      <c r="AI148" s="363">
        <f>AI147/AI142</f>
        <v/>
      </c>
      <c r="AJ148" s="363">
        <f>AJ147/AJ142</f>
        <v/>
      </c>
      <c r="AK148" s="363">
        <f>AK147/AK142</f>
        <v/>
      </c>
      <c r="AL148" s="363">
        <f>AL147/AL142</f>
        <v/>
      </c>
      <c r="AM148" s="363">
        <f>AM147/AM142</f>
        <v/>
      </c>
      <c r="AN148" s="363">
        <f>AN147/AN142</f>
        <v/>
      </c>
      <c r="AO148" s="363">
        <f>AO147/AO142</f>
        <v/>
      </c>
      <c r="AP148" s="363">
        <f>AP147/AP142</f>
        <v/>
      </c>
      <c r="AQ148" s="363">
        <f>AQ147/AQ142</f>
        <v/>
      </c>
      <c r="AR148" s="363">
        <f>AR147/AR142</f>
        <v/>
      </c>
      <c r="AS148" s="363">
        <f>AS147/AS142</f>
        <v/>
      </c>
      <c r="AT148" s="363">
        <f>AT147/AT142</f>
        <v/>
      </c>
      <c r="AU148" s="363">
        <f>AU147/AU142</f>
        <v/>
      </c>
      <c r="AV148" s="363">
        <f>AV147/AV142</f>
        <v/>
      </c>
      <c r="AW148" s="363">
        <f>AW147/AW142</f>
        <v/>
      </c>
      <c r="AX148" s="363">
        <f>AX147/AX142</f>
        <v/>
      </c>
      <c r="AY148" s="363">
        <f>AY147/AY142</f>
        <v/>
      </c>
      <c r="AZ148" s="363">
        <f>AZ147/AZ142</f>
        <v/>
      </c>
      <c r="BA148" s="363">
        <f>BA147/BA142</f>
        <v/>
      </c>
      <c r="BB148" s="363">
        <f>BB147/BB142</f>
        <v/>
      </c>
      <c r="BC148" s="363">
        <f>BC147/BC142</f>
        <v/>
      </c>
      <c r="BD148" s="363">
        <f>BD147/BD142</f>
        <v/>
      </c>
      <c r="BE148" s="363">
        <f>BE147/BE142</f>
        <v/>
      </c>
      <c r="BF148" s="363">
        <f>BF147/BF142</f>
        <v/>
      </c>
      <c r="BG148" s="363">
        <f>BG147/BG142</f>
        <v/>
      </c>
      <c r="BH148" s="363">
        <f>BH147/BH142</f>
        <v/>
      </c>
      <c r="BI148" s="363">
        <f>BI147/BI142</f>
        <v/>
      </c>
      <c r="BJ148" s="363">
        <f>BJ147/BJ142</f>
        <v/>
      </c>
      <c r="BK148" s="363">
        <f>BK147/BK142</f>
        <v/>
      </c>
      <c r="BL148" s="363">
        <f>BL147/BL142</f>
        <v/>
      </c>
      <c r="BM148" s="363">
        <f>BM147/BM142</f>
        <v/>
      </c>
      <c r="BN148" s="363">
        <f>BN147/BN142</f>
        <v/>
      </c>
      <c r="BO148" s="363">
        <f>BO147/BO142</f>
        <v/>
      </c>
      <c r="BP148" s="363" t="n"/>
    </row>
    <row r="149" hidden="1" outlineLevel="1"/>
    <row r="150" hidden="1" outlineLevel="1">
      <c r="A150" t="inlineStr">
        <is>
          <t>Royalty - Government Export (FOB) excl Nominal Deduction</t>
        </is>
      </c>
      <c r="D150" s="363">
        <f>D144*D145</f>
        <v/>
      </c>
      <c r="E150" s="363">
        <f>E144*E145</f>
        <v/>
      </c>
      <c r="F150" s="363">
        <f>F144*F145</f>
        <v/>
      </c>
      <c r="G150" s="363">
        <f>G144*G145</f>
        <v/>
      </c>
      <c r="H150" s="363">
        <f>H144*H145</f>
        <v/>
      </c>
      <c r="I150" s="363">
        <f>I144*I145</f>
        <v/>
      </c>
      <c r="J150" s="363">
        <f>J144*J145</f>
        <v/>
      </c>
      <c r="K150" s="363">
        <f>K144*K145</f>
        <v/>
      </c>
      <c r="L150" s="363">
        <f>L144*L145</f>
        <v/>
      </c>
      <c r="M150" s="363">
        <f>M144*M145</f>
        <v/>
      </c>
      <c r="N150" s="363">
        <f>N144*N145</f>
        <v/>
      </c>
      <c r="O150" s="363">
        <f>O144*O145</f>
        <v/>
      </c>
      <c r="P150" s="363">
        <f>P144*P145</f>
        <v/>
      </c>
      <c r="Q150" s="363">
        <f>Q144*Q145</f>
        <v/>
      </c>
      <c r="R150" s="363">
        <f>R144*R145</f>
        <v/>
      </c>
      <c r="S150" s="363">
        <f>S144*S145</f>
        <v/>
      </c>
      <c r="T150" s="363">
        <f>T144*T145</f>
        <v/>
      </c>
      <c r="U150" s="363">
        <f>U144*U145</f>
        <v/>
      </c>
      <c r="V150" s="363">
        <f>V144*V145</f>
        <v/>
      </c>
      <c r="W150" s="363">
        <f>W144*W145</f>
        <v/>
      </c>
      <c r="X150" s="363">
        <f>X144*X145</f>
        <v/>
      </c>
      <c r="Y150" s="363">
        <f>Y144*Y145</f>
        <v/>
      </c>
      <c r="Z150" s="363">
        <f>Z144*Z145</f>
        <v/>
      </c>
      <c r="AA150" s="363">
        <f>AA144*AA145</f>
        <v/>
      </c>
      <c r="AB150" s="363">
        <f>AB144*AB145</f>
        <v/>
      </c>
      <c r="AC150" s="363">
        <f>AC144*AC145</f>
        <v/>
      </c>
      <c r="AD150" s="363">
        <f>AD144*AD145</f>
        <v/>
      </c>
      <c r="AE150" s="363">
        <f>AE144*AE145</f>
        <v/>
      </c>
      <c r="AF150" s="363">
        <f>AF144*AF145</f>
        <v/>
      </c>
      <c r="AG150" s="363">
        <f>AG144*AG145</f>
        <v/>
      </c>
      <c r="AH150" s="363">
        <f>AH144*AH145</f>
        <v/>
      </c>
      <c r="AI150" s="363">
        <f>AI144*AI145</f>
        <v/>
      </c>
      <c r="AJ150" s="363">
        <f>AJ144*AJ145</f>
        <v/>
      </c>
      <c r="AK150" s="363">
        <f>AK144*AK145</f>
        <v/>
      </c>
      <c r="AL150" s="363">
        <f>AL144*AL145</f>
        <v/>
      </c>
      <c r="AM150" s="363">
        <f>AM144*AM145</f>
        <v/>
      </c>
      <c r="AN150" s="363">
        <f>AN144*AN145</f>
        <v/>
      </c>
      <c r="AO150" s="363">
        <f>AO144*AO145</f>
        <v/>
      </c>
      <c r="AP150" s="363">
        <f>AP144*AP145</f>
        <v/>
      </c>
      <c r="AQ150" s="363">
        <f>AQ144*AQ145</f>
        <v/>
      </c>
      <c r="AR150" s="363">
        <f>AR144*AR145</f>
        <v/>
      </c>
      <c r="AS150" s="363">
        <f>AS144*AS145</f>
        <v/>
      </c>
      <c r="AT150" s="363">
        <f>AT144*AT145</f>
        <v/>
      </c>
      <c r="AU150" s="363">
        <f>AU144*AU145</f>
        <v/>
      </c>
      <c r="AV150" s="363">
        <f>AV144*AV145</f>
        <v/>
      </c>
      <c r="AW150" s="363">
        <f>AW144*AW145</f>
        <v/>
      </c>
      <c r="AX150" s="363">
        <f>AX144*AX145</f>
        <v/>
      </c>
      <c r="AY150" s="363">
        <f>AY144*AY145</f>
        <v/>
      </c>
      <c r="AZ150" s="363">
        <f>AZ144*AZ145</f>
        <v/>
      </c>
      <c r="BA150" s="363">
        <f>BA144*BA145</f>
        <v/>
      </c>
      <c r="BB150" s="363">
        <f>BB144*BB145</f>
        <v/>
      </c>
      <c r="BC150" s="363">
        <f>BC144*BC145</f>
        <v/>
      </c>
      <c r="BD150" s="363">
        <f>BD144*BD145</f>
        <v/>
      </c>
      <c r="BE150" s="363">
        <f>BE144*BE145</f>
        <v/>
      </c>
      <c r="BF150" s="363">
        <f>BF144*BF145</f>
        <v/>
      </c>
      <c r="BG150" s="363">
        <f>BG144*BG145</f>
        <v/>
      </c>
      <c r="BH150" s="363">
        <f>BH144*BH145</f>
        <v/>
      </c>
      <c r="BI150" s="363">
        <f>BI144*BI145</f>
        <v/>
      </c>
      <c r="BJ150" s="363">
        <f>BJ144*BJ145</f>
        <v/>
      </c>
      <c r="BK150" s="363">
        <f>BK144*BK145</f>
        <v/>
      </c>
      <c r="BL150" s="363">
        <f>BL144*BL145</f>
        <v/>
      </c>
      <c r="BM150" s="363">
        <f>BM144*BM145</f>
        <v/>
      </c>
      <c r="BN150" s="363">
        <f>BN144*BN145</f>
        <v/>
      </c>
      <c r="BO150" s="363">
        <f>BO144*BO145</f>
        <v/>
      </c>
      <c r="BP150" s="363" t="n"/>
    </row>
    <row r="151" collapsed="1"/>
  </sheetData>
  <pageMargins left="0.7" right="0.7" top="0.75" bottom="0.75" header="0.3" footer="0.3"/>
  <pageSetup orientation="portrait" paperSize="8" scale="3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AD6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56" sqref="C56"/>
    </sheetView>
  </sheetViews>
  <sheetFormatPr baseColWidth="10" defaultColWidth="8.83203125" defaultRowHeight="15"/>
  <cols>
    <col width="42.5" customWidth="1" min="1" max="1"/>
    <col width="15.83203125" customWidth="1" min="2" max="2"/>
    <col width="12.5" bestFit="1" customWidth="1" min="3" max="3"/>
  </cols>
  <sheetData>
    <row r="1">
      <c r="A1" s="307" t="inlineStr">
        <is>
          <t>Brave Blossom Capital</t>
        </is>
      </c>
      <c r="C1" s="52" t="n"/>
      <c r="D1" s="306">
        <f>'Brave Blossom '!D2</f>
        <v/>
      </c>
      <c r="E1" s="306">
        <f>D1+1</f>
        <v/>
      </c>
      <c r="F1" s="306">
        <f>E1+1</f>
        <v/>
      </c>
      <c r="G1" s="306">
        <f>F1+1</f>
        <v/>
      </c>
      <c r="H1" s="306">
        <f>G1+1</f>
        <v/>
      </c>
      <c r="I1" s="306">
        <f>H1+1</f>
        <v/>
      </c>
      <c r="J1" s="306">
        <f>I1+1</f>
        <v/>
      </c>
      <c r="K1" s="306">
        <f>J1+1</f>
        <v/>
      </c>
      <c r="L1" s="306">
        <f>K1+1</f>
        <v/>
      </c>
      <c r="M1" s="306">
        <f>L1+1</f>
        <v/>
      </c>
      <c r="N1" s="306">
        <f>M1+1</f>
        <v/>
      </c>
      <c r="O1" s="306">
        <f>N1+1</f>
        <v/>
      </c>
      <c r="P1" s="306">
        <f>O1+1</f>
        <v/>
      </c>
      <c r="Q1" s="306">
        <f>P1+1</f>
        <v/>
      </c>
      <c r="R1" s="306">
        <f>Q1+1</f>
        <v/>
      </c>
      <c r="S1" s="306">
        <f>R1+1</f>
        <v/>
      </c>
      <c r="T1" s="306">
        <f>S1+1</f>
        <v/>
      </c>
      <c r="U1" s="306">
        <f>T1+1</f>
        <v/>
      </c>
      <c r="V1" s="306">
        <f>U1+1</f>
        <v/>
      </c>
      <c r="W1" s="306">
        <f>V1+1</f>
        <v/>
      </c>
      <c r="X1" s="306">
        <f>W1+1</f>
        <v/>
      </c>
      <c r="Y1" s="306">
        <f>X1+1</f>
        <v/>
      </c>
      <c r="Z1" s="306">
        <f>Y1+1</f>
        <v/>
      </c>
      <c r="AA1" s="306">
        <f>Z1+1</f>
        <v/>
      </c>
      <c r="AB1" s="306">
        <f>AA1+1</f>
        <v/>
      </c>
      <c r="AC1" s="306">
        <f>AB1+1</f>
        <v/>
      </c>
      <c r="AD1" s="306">
        <f>AC1+1</f>
        <v/>
      </c>
    </row>
    <row r="2" ht="16" customHeight="1" thickBot="1"/>
    <row r="3">
      <c r="A3" s="96" t="inlineStr">
        <is>
          <t xml:space="preserve">Capital Items - Units </t>
        </is>
      </c>
      <c r="B3" s="97" t="n"/>
      <c r="C3" s="97" t="n"/>
      <c r="D3" s="304" t="inlineStr">
        <is>
          <t>Insert Unit Numbers by Year Below</t>
        </is>
      </c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</row>
    <row r="4">
      <c r="A4" t="inlineStr">
        <is>
          <t>Projects / Studies</t>
        </is>
      </c>
      <c r="B4" s="146" t="inlineStr">
        <is>
          <t>AUD$k</t>
        </is>
      </c>
      <c r="C4" s="409" t="n">
        <v>5000</v>
      </c>
      <c r="D4" s="102" t="n">
        <v>1</v>
      </c>
      <c r="E4" s="102" t="n">
        <v>1</v>
      </c>
      <c r="F4" s="102" t="n">
        <v>0.5</v>
      </c>
      <c r="G4" s="102" t="n">
        <v>0.5</v>
      </c>
      <c r="H4" s="102" t="n">
        <v>0</v>
      </c>
      <c r="I4" s="102" t="n">
        <v>0</v>
      </c>
      <c r="J4" s="102" t="n">
        <v>0</v>
      </c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  <c r="Y4" s="102" t="n"/>
      <c r="Z4" s="102" t="n"/>
      <c r="AA4" s="102" t="n"/>
      <c r="AB4" s="102" t="n"/>
      <c r="AC4" s="102" t="n"/>
      <c r="AD4" s="102" t="n"/>
    </row>
    <row r="5">
      <c r="A5" t="inlineStr">
        <is>
          <t>Exploration Drilling</t>
        </is>
      </c>
      <c r="B5" s="146" t="inlineStr">
        <is>
          <t>AUD$k</t>
        </is>
      </c>
      <c r="C5" s="409" t="n">
        <v>5000</v>
      </c>
      <c r="D5" s="102" t="n">
        <v>1</v>
      </c>
      <c r="E5" s="102" t="n">
        <v>1</v>
      </c>
      <c r="F5" s="102" t="n">
        <v>0.5</v>
      </c>
      <c r="G5" s="102" t="n">
        <v>0.5</v>
      </c>
      <c r="H5" s="102" t="n">
        <v>0</v>
      </c>
      <c r="I5" s="102" t="n">
        <v>0</v>
      </c>
      <c r="J5" s="102" t="n">
        <v>0</v>
      </c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  <c r="Z5" s="102" t="n"/>
      <c r="AA5" s="102" t="n"/>
      <c r="AB5" s="102" t="n"/>
      <c r="AC5" s="102" t="n"/>
      <c r="AD5" s="102" t="n"/>
    </row>
    <row r="6">
      <c r="A6" t="inlineStr">
        <is>
          <t>ROM Bin Upgrade</t>
        </is>
      </c>
      <c r="B6" s="146" t="inlineStr">
        <is>
          <t>AUD$k</t>
        </is>
      </c>
      <c r="C6" s="409" t="n">
        <v>15000</v>
      </c>
      <c r="D6" s="102" t="n">
        <v>0</v>
      </c>
      <c r="E6" s="102" t="n">
        <v>0</v>
      </c>
      <c r="F6" s="102" t="n">
        <v>0</v>
      </c>
      <c r="G6" s="102" t="n">
        <v>0</v>
      </c>
      <c r="H6" s="102" t="n">
        <v>1</v>
      </c>
      <c r="I6" s="102" t="n">
        <v>0.5</v>
      </c>
      <c r="J6" s="102" t="n">
        <v>0</v>
      </c>
      <c r="K6" s="102" t="n"/>
      <c r="L6" s="102" t="n"/>
      <c r="M6" s="102" t="n"/>
      <c r="N6" s="102" t="n"/>
      <c r="O6" s="102" t="n"/>
      <c r="P6" s="102" t="n"/>
      <c r="Q6" s="102" t="n"/>
      <c r="R6" s="102" t="n"/>
      <c r="S6" s="102" t="n"/>
      <c r="T6" s="102" t="n"/>
      <c r="U6" s="102" t="n"/>
      <c r="V6" s="102" t="n"/>
      <c r="W6" s="102" t="n"/>
      <c r="X6" s="102" t="n"/>
      <c r="Y6" s="102" t="n"/>
      <c r="Z6" s="102" t="n"/>
      <c r="AA6" s="102" t="n"/>
      <c r="AB6" s="102" t="n"/>
      <c r="AC6" s="102" t="n"/>
      <c r="AD6" s="102" t="n"/>
    </row>
    <row r="7">
      <c r="A7" t="inlineStr">
        <is>
          <t>Ventilation Shafts</t>
        </is>
      </c>
      <c r="B7" s="146" t="inlineStr">
        <is>
          <t>AUD$k</t>
        </is>
      </c>
      <c r="C7" s="409" t="n">
        <v>20000</v>
      </c>
      <c r="D7" s="102" t="n">
        <v>0</v>
      </c>
      <c r="E7" s="102" t="n">
        <v>0</v>
      </c>
      <c r="F7" s="102" t="n">
        <v>1</v>
      </c>
      <c r="G7" s="102" t="n">
        <v>1</v>
      </c>
      <c r="H7" s="102" t="n">
        <v>0</v>
      </c>
      <c r="I7" s="102" t="n">
        <v>0</v>
      </c>
      <c r="J7" s="102" t="n">
        <v>0</v>
      </c>
      <c r="K7" s="102" t="n"/>
      <c r="L7" s="102" t="n"/>
      <c r="M7" s="102" t="n"/>
      <c r="N7" s="102" t="n"/>
      <c r="O7" s="102" t="n"/>
      <c r="P7" s="102" t="n"/>
      <c r="Q7" s="102" t="n"/>
      <c r="R7" s="102" t="n"/>
      <c r="S7" s="102" t="n"/>
      <c r="T7" s="102" t="n"/>
      <c r="U7" s="102" t="n"/>
      <c r="V7" s="102" t="n"/>
      <c r="W7" s="102" t="n"/>
      <c r="X7" s="102" t="n"/>
      <c r="Y7" s="102" t="n"/>
      <c r="Z7" s="102" t="n"/>
      <c r="AA7" s="102" t="n"/>
      <c r="AB7" s="102" t="n"/>
      <c r="AC7" s="102" t="n"/>
      <c r="AD7" s="102" t="n"/>
    </row>
    <row r="8">
      <c r="A8" t="inlineStr">
        <is>
          <t>Mine Infrastructure</t>
        </is>
      </c>
      <c r="B8" s="146" t="inlineStr">
        <is>
          <t>AUD$k</t>
        </is>
      </c>
      <c r="C8" s="409" t="n">
        <v>5000</v>
      </c>
      <c r="D8" s="102" t="n">
        <v>0</v>
      </c>
      <c r="E8" s="102" t="n">
        <v>0</v>
      </c>
      <c r="F8" s="102" t="n">
        <v>1</v>
      </c>
      <c r="G8" s="102" t="n">
        <v>1</v>
      </c>
      <c r="H8" s="102" t="n">
        <v>0</v>
      </c>
      <c r="I8" s="102" t="n">
        <v>0</v>
      </c>
      <c r="J8" s="102" t="n">
        <v>0</v>
      </c>
      <c r="K8" s="102" t="n"/>
      <c r="L8" s="102" t="n"/>
      <c r="M8" s="102" t="n"/>
      <c r="N8" s="102" t="n"/>
      <c r="O8" s="102" t="n"/>
      <c r="P8" s="102" t="n"/>
      <c r="Q8" s="102" t="n"/>
      <c r="R8" s="102" t="n"/>
      <c r="S8" s="102" t="n"/>
      <c r="T8" s="102" t="n"/>
      <c r="U8" s="102" t="n"/>
      <c r="V8" s="102" t="n"/>
      <c r="W8" s="102" t="n"/>
      <c r="X8" s="102" t="n"/>
      <c r="Y8" s="102" t="n"/>
      <c r="Z8" s="102" t="n"/>
      <c r="AA8" s="102" t="n"/>
      <c r="AB8" s="102" t="n"/>
      <c r="AC8" s="102" t="n"/>
      <c r="AD8" s="102" t="n"/>
    </row>
    <row r="9">
      <c r="A9" t="inlineStr">
        <is>
          <t>Drift</t>
        </is>
      </c>
      <c r="B9" s="146" t="inlineStr">
        <is>
          <t>AUD$k</t>
        </is>
      </c>
      <c r="C9" s="409" t="n">
        <v>12000</v>
      </c>
      <c r="D9" s="102" t="n">
        <v>0</v>
      </c>
      <c r="E9" s="102" t="n">
        <v>0</v>
      </c>
      <c r="F9" s="102" t="n">
        <v>1</v>
      </c>
      <c r="G9" s="102" t="n">
        <v>1</v>
      </c>
      <c r="H9" s="102" t="n">
        <v>0</v>
      </c>
      <c r="I9" s="102" t="n">
        <v>0</v>
      </c>
      <c r="J9" s="102" t="n">
        <v>0</v>
      </c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W9" s="102" t="n"/>
      <c r="X9" s="102" t="n"/>
      <c r="Y9" s="102" t="n"/>
      <c r="Z9" s="102" t="n"/>
      <c r="AA9" s="102" t="n"/>
      <c r="AB9" s="102" t="n"/>
      <c r="AC9" s="102" t="n"/>
      <c r="AD9" s="102" t="n"/>
    </row>
    <row r="10">
      <c r="A10" t="inlineStr">
        <is>
          <t>Drift Conveyor to ROM Stockpile</t>
        </is>
      </c>
      <c r="B10" s="146" t="inlineStr">
        <is>
          <t>AUD$k</t>
        </is>
      </c>
      <c r="C10" s="409" t="n">
        <v>17000</v>
      </c>
      <c r="D10" s="102" t="n">
        <v>0</v>
      </c>
      <c r="E10" s="102" t="n">
        <v>0</v>
      </c>
      <c r="F10" s="102" t="n">
        <v>1</v>
      </c>
      <c r="G10" s="102" t="n">
        <v>1</v>
      </c>
      <c r="H10" s="102" t="n">
        <v>0</v>
      </c>
      <c r="I10" s="102" t="n">
        <v>0</v>
      </c>
      <c r="J10" s="102" t="n">
        <v>0</v>
      </c>
      <c r="K10" s="102" t="n"/>
      <c r="L10" s="102" t="n"/>
      <c r="M10" s="102" t="n"/>
      <c r="N10" s="102" t="n"/>
      <c r="O10" s="102" t="n"/>
      <c r="P10" s="102" t="n"/>
      <c r="Q10" s="102" t="n"/>
      <c r="R10" s="102" t="n"/>
      <c r="S10" s="102" t="n"/>
      <c r="T10" s="102" t="n"/>
      <c r="U10" s="102" t="n"/>
      <c r="V10" s="102" t="n"/>
      <c r="W10" s="102" t="n"/>
      <c r="X10" s="102" t="n"/>
      <c r="Y10" s="102" t="n"/>
      <c r="Z10" s="102" t="n"/>
      <c r="AA10" s="102" t="n"/>
      <c r="AB10" s="102" t="n"/>
      <c r="AC10" s="102" t="n"/>
      <c r="AD10" s="102" t="n"/>
    </row>
    <row r="11">
      <c r="A11" t="inlineStr">
        <is>
          <t>ROM Stockpile</t>
        </is>
      </c>
      <c r="B11" s="146" t="inlineStr">
        <is>
          <t>AUD$k</t>
        </is>
      </c>
      <c r="C11" s="409" t="n">
        <v>5000</v>
      </c>
      <c r="D11" s="102" t="n">
        <v>0</v>
      </c>
      <c r="E11" s="102" t="n">
        <v>0</v>
      </c>
      <c r="F11" s="102" t="n">
        <v>0</v>
      </c>
      <c r="G11" s="102" t="n">
        <v>1</v>
      </c>
      <c r="H11" s="102" t="n">
        <v>1</v>
      </c>
      <c r="I11" s="102" t="n">
        <v>0</v>
      </c>
      <c r="J11" s="102" t="n">
        <v>0</v>
      </c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2" t="n"/>
      <c r="W11" s="102" t="n"/>
      <c r="X11" s="102" t="n"/>
      <c r="Y11" s="102" t="n"/>
      <c r="Z11" s="102" t="n"/>
      <c r="AA11" s="102" t="n"/>
      <c r="AB11" s="102" t="n"/>
      <c r="AC11" s="102" t="n"/>
      <c r="AD11" s="102" t="n"/>
    </row>
    <row r="12">
      <c r="A12" t="inlineStr">
        <is>
          <t>UG Conveyors Relocation &amp; Reuse</t>
        </is>
      </c>
      <c r="B12" s="146" t="inlineStr">
        <is>
          <t>AUD$k</t>
        </is>
      </c>
      <c r="C12" s="409" t="n">
        <v>20000</v>
      </c>
      <c r="D12" s="102" t="n">
        <v>0</v>
      </c>
      <c r="E12" s="102" t="n">
        <v>0</v>
      </c>
      <c r="F12" s="102" t="n">
        <v>0</v>
      </c>
      <c r="G12" s="102" t="n">
        <v>1</v>
      </c>
      <c r="H12" s="102" t="n">
        <v>1</v>
      </c>
      <c r="I12" s="102" t="n">
        <v>0</v>
      </c>
      <c r="J12" s="102" t="n">
        <v>0</v>
      </c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</row>
    <row r="13">
      <c r="A13" t="inlineStr">
        <is>
          <t>Longwall</t>
        </is>
      </c>
      <c r="B13" s="146" t="inlineStr">
        <is>
          <t>AUD$k</t>
        </is>
      </c>
      <c r="C13" s="409" t="n">
        <v>190000</v>
      </c>
      <c r="D13" s="102" t="n">
        <v>0</v>
      </c>
      <c r="E13" s="102" t="n">
        <v>0</v>
      </c>
      <c r="F13" s="102" t="n">
        <v>0</v>
      </c>
      <c r="G13" s="102" t="n">
        <v>0</v>
      </c>
      <c r="H13" s="102" t="n">
        <v>0</v>
      </c>
      <c r="I13" s="102" t="n">
        <v>1</v>
      </c>
      <c r="J13" s="102" t="n">
        <v>0</v>
      </c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</row>
    <row r="14">
      <c r="A14" t="inlineStr">
        <is>
          <t>Mining Equipment</t>
        </is>
      </c>
      <c r="B14" s="146" t="inlineStr">
        <is>
          <t>AUD$k</t>
        </is>
      </c>
      <c r="C14" s="409" t="n">
        <v>69900</v>
      </c>
      <c r="D14" s="102" t="n">
        <v>0</v>
      </c>
      <c r="E14" s="102" t="n">
        <v>0</v>
      </c>
      <c r="F14" s="102" t="n">
        <v>0</v>
      </c>
      <c r="G14" s="102" t="n">
        <v>0</v>
      </c>
      <c r="H14" s="102" t="n">
        <v>1</v>
      </c>
      <c r="I14" s="102" t="n">
        <v>0</v>
      </c>
      <c r="J14" s="102" t="n">
        <v>0</v>
      </c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</row>
    <row r="15">
      <c r="A15" t="inlineStr">
        <is>
          <t>Infrastructure + CHPP EPCM</t>
        </is>
      </c>
      <c r="B15" s="146" t="inlineStr">
        <is>
          <t>AUD$k</t>
        </is>
      </c>
      <c r="C15" s="409" t="n">
        <v>24000</v>
      </c>
      <c r="D15" s="102" t="n">
        <v>0</v>
      </c>
      <c r="E15" s="147" t="n">
        <v>0</v>
      </c>
      <c r="F15" s="147" t="n">
        <v>0</v>
      </c>
      <c r="G15" s="147" t="n">
        <v>0</v>
      </c>
      <c r="H15" s="147" t="n">
        <v>0</v>
      </c>
      <c r="I15" s="147" t="n">
        <v>1</v>
      </c>
      <c r="J15" s="147" t="n">
        <v>1</v>
      </c>
      <c r="K15" s="147" t="n"/>
      <c r="L15" s="102" t="n"/>
      <c r="M15" s="102" t="n"/>
      <c r="N15" s="102" t="n"/>
      <c r="O15" s="102" t="n"/>
      <c r="P15" s="102" t="n"/>
      <c r="Q15" s="102" t="n"/>
      <c r="R15" s="102" t="n"/>
      <c r="S15" s="102" t="n"/>
      <c r="T15" s="102" t="n"/>
      <c r="U15" s="102" t="n"/>
      <c r="V15" s="102" t="n"/>
      <c r="W15" s="102" t="n"/>
      <c r="X15" s="102" t="n"/>
      <c r="Y15" s="102" t="n"/>
      <c r="Z15" s="102" t="n"/>
      <c r="AA15" s="102" t="n"/>
      <c r="AB15" s="102" t="n"/>
      <c r="AC15" s="102" t="n"/>
      <c r="AD15" s="102" t="n"/>
    </row>
    <row r="16">
      <c r="A16" s="145" t="inlineStr">
        <is>
          <t>Other Items (as required)</t>
        </is>
      </c>
      <c r="B16" s="146" t="inlineStr">
        <is>
          <t>AUD$k</t>
        </is>
      </c>
      <c r="C16" s="409" t="n"/>
      <c r="D16" s="102" t="n"/>
      <c r="E16" s="102" t="n"/>
      <c r="F16" s="102" t="n"/>
      <c r="G16" s="147" t="n"/>
      <c r="H16" s="159" t="n"/>
      <c r="I16" s="159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02" t="n"/>
      <c r="V16" s="102" t="n"/>
      <c r="W16" s="102" t="n"/>
      <c r="X16" s="102" t="n"/>
      <c r="Y16" s="102" t="n"/>
      <c r="Z16" s="102" t="n"/>
      <c r="AA16" s="102" t="n"/>
      <c r="AB16" s="102" t="n"/>
      <c r="AC16" s="102" t="n"/>
      <c r="AD16" s="102" t="n"/>
    </row>
    <row r="17">
      <c r="A17" s="145" t="inlineStr">
        <is>
          <t>Other Items (as required)</t>
        </is>
      </c>
      <c r="B17" s="146" t="inlineStr">
        <is>
          <t>AUD$k</t>
        </is>
      </c>
      <c r="C17" s="409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</row>
    <row r="18">
      <c r="A18" s="145" t="inlineStr">
        <is>
          <t>Other Items (as required)</t>
        </is>
      </c>
      <c r="B18" s="146" t="inlineStr">
        <is>
          <t>AUD$k</t>
        </is>
      </c>
      <c r="C18" s="409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102" t="n"/>
      <c r="AC18" s="102" t="n"/>
      <c r="AD18" s="102" t="n"/>
    </row>
    <row r="19">
      <c r="A19" s="145" t="inlineStr">
        <is>
          <t>Other Items (as required)</t>
        </is>
      </c>
      <c r="B19" s="146" t="inlineStr">
        <is>
          <t>AUD$k</t>
        </is>
      </c>
      <c r="C19" s="409" t="n"/>
      <c r="D19" s="102" t="n"/>
      <c r="E19" s="102" t="n"/>
      <c r="F19" s="102" t="n"/>
      <c r="G19" s="102" t="n"/>
      <c r="H19" s="102" t="n"/>
      <c r="I19" s="102" t="n"/>
      <c r="J19" s="102" t="n"/>
      <c r="K19" s="102" t="n"/>
      <c r="L19" s="102" t="n"/>
      <c r="M19" s="102" t="n"/>
      <c r="N19" s="102" t="n"/>
      <c r="O19" s="102" t="n"/>
      <c r="P19" s="102" t="n"/>
      <c r="Q19" s="102" t="n"/>
      <c r="R19" s="102" t="n"/>
      <c r="S19" s="102" t="n"/>
      <c r="T19" s="102" t="n"/>
      <c r="U19" s="102" t="n"/>
      <c r="V19" s="102" t="n"/>
      <c r="W19" s="102" t="n"/>
      <c r="X19" s="102" t="n"/>
      <c r="Y19" s="102" t="n"/>
      <c r="Z19" s="102" t="n"/>
      <c r="AA19" s="102" t="n"/>
      <c r="AB19" s="102" t="n"/>
      <c r="AC19" s="102" t="n"/>
      <c r="AD19" s="102" t="n"/>
    </row>
    <row r="20">
      <c r="A20" s="145" t="inlineStr">
        <is>
          <t>Other Items (as required)</t>
        </is>
      </c>
      <c r="B20" s="146" t="inlineStr">
        <is>
          <t>AUD$k</t>
        </is>
      </c>
      <c r="C20" s="409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  <c r="W20" s="102" t="n"/>
      <c r="X20" s="102" t="n"/>
      <c r="Y20" s="102" t="n"/>
      <c r="Z20" s="102" t="n"/>
      <c r="AA20" s="102" t="n"/>
      <c r="AB20" s="102" t="n"/>
      <c r="AC20" s="102" t="n"/>
      <c r="AD20" s="102" t="n"/>
    </row>
    <row r="21">
      <c r="A21" s="145" t="inlineStr">
        <is>
          <t>Other Items (as required)</t>
        </is>
      </c>
      <c r="B21" s="146" t="inlineStr">
        <is>
          <t>AUD$k</t>
        </is>
      </c>
      <c r="C21" s="409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  <c r="Z21" s="102" t="n"/>
      <c r="AA21" s="102" t="n"/>
      <c r="AB21" s="102" t="n"/>
      <c r="AC21" s="102" t="n"/>
      <c r="AD21" s="102" t="n"/>
    </row>
    <row r="22">
      <c r="A22" s="145" t="inlineStr">
        <is>
          <t>Other Items (as required)</t>
        </is>
      </c>
      <c r="B22" s="146" t="inlineStr">
        <is>
          <t>AUD$k</t>
        </is>
      </c>
      <c r="C22" s="409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  <c r="AA22" s="102" t="n"/>
      <c r="AB22" s="102" t="n"/>
      <c r="AC22" s="102" t="n"/>
      <c r="AD22" s="102" t="n"/>
    </row>
    <row r="23">
      <c r="A23" s="145" t="inlineStr">
        <is>
          <t>Other Items (as required)</t>
        </is>
      </c>
      <c r="B23" s="146" t="inlineStr">
        <is>
          <t>AUD$k</t>
        </is>
      </c>
      <c r="C23" s="409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  <c r="Z23" s="102" t="n"/>
      <c r="AA23" s="102" t="n"/>
      <c r="AB23" s="102" t="n"/>
      <c r="AC23" s="102" t="n"/>
      <c r="AD23" s="102" t="n"/>
    </row>
    <row r="24">
      <c r="A24" s="145" t="inlineStr">
        <is>
          <t>Other Items (as required)</t>
        </is>
      </c>
      <c r="B24" s="146" t="inlineStr">
        <is>
          <t>AUD$k</t>
        </is>
      </c>
      <c r="C24" s="410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2" t="n"/>
      <c r="AB24" s="102" t="n"/>
      <c r="AC24" s="102" t="n"/>
      <c r="AD24" s="102" t="n"/>
    </row>
    <row r="25">
      <c r="A25" s="145" t="inlineStr">
        <is>
          <t>Other Items (as required)</t>
        </is>
      </c>
      <c r="B25" s="146" t="inlineStr">
        <is>
          <t>AUD$k</t>
        </is>
      </c>
      <c r="C25" s="421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</row>
    <row r="26">
      <c r="A26" s="145" t="n"/>
      <c r="B26" s="146" t="n"/>
      <c r="C26" s="421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102" t="n"/>
      <c r="Q26" s="102" t="n"/>
      <c r="R26" s="102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2" t="n"/>
      <c r="AB26" s="102" t="n"/>
      <c r="AC26" s="102" t="n"/>
      <c r="AD26" s="102" t="n"/>
    </row>
    <row r="27" ht="16" customHeight="1" thickBot="1">
      <c r="A27" s="145" t="n"/>
      <c r="B27" s="146" t="n"/>
      <c r="C27" s="421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  <c r="P27" s="102" t="n"/>
      <c r="Q27" s="102" t="n"/>
      <c r="R27" s="102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2" t="n"/>
      <c r="AB27" s="102" t="n"/>
      <c r="AC27" s="102" t="n"/>
      <c r="AD27" s="102" t="n"/>
    </row>
    <row r="28">
      <c r="A28" s="97" t="n"/>
      <c r="B28" s="97" t="n"/>
      <c r="C28" s="412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</row>
    <row r="29" ht="16" customHeight="1" thickBot="1">
      <c r="A29" s="106" t="n"/>
      <c r="B29" s="106" t="n"/>
      <c r="C29" s="413" t="n"/>
      <c r="D29" s="106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</row>
    <row r="30">
      <c r="A30" s="96" t="inlineStr">
        <is>
          <t xml:space="preserve">Capital Cost - Cost </t>
        </is>
      </c>
      <c r="B30" s="97" t="n"/>
      <c r="C30" s="412" t="n"/>
      <c r="D30" s="304" t="inlineStr">
        <is>
          <t xml:space="preserve">Do not change cells below </t>
        </is>
      </c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</row>
    <row r="31">
      <c r="A31" s="100">
        <f>A4</f>
        <v/>
      </c>
      <c r="B31" t="inlineStr">
        <is>
          <t>AUD$k</t>
        </is>
      </c>
      <c r="C31" s="409">
        <f>C4</f>
        <v/>
      </c>
      <c r="D31" s="414">
        <f>$C4*D4</f>
        <v/>
      </c>
      <c r="E31" s="414">
        <f>$C4*E4</f>
        <v/>
      </c>
      <c r="F31" s="414">
        <f>$C4*F4</f>
        <v/>
      </c>
      <c r="G31" s="414">
        <f>$C4*G4</f>
        <v/>
      </c>
      <c r="H31" s="414">
        <f>$C4*H4</f>
        <v/>
      </c>
      <c r="I31" s="414">
        <f>$C4*I4</f>
        <v/>
      </c>
      <c r="J31" s="414">
        <f>$C4*J4</f>
        <v/>
      </c>
      <c r="K31" s="414">
        <f>$C4*K4</f>
        <v/>
      </c>
      <c r="L31" s="414">
        <f>$C4*L4</f>
        <v/>
      </c>
      <c r="M31" s="414">
        <f>$C4*M4</f>
        <v/>
      </c>
      <c r="N31" s="414">
        <f>$C4*N4</f>
        <v/>
      </c>
      <c r="O31" s="414">
        <f>$C4*O4</f>
        <v/>
      </c>
      <c r="P31" s="414">
        <f>$C4*P4</f>
        <v/>
      </c>
      <c r="Q31" s="414">
        <f>$C4*Q4</f>
        <v/>
      </c>
      <c r="R31" s="414">
        <f>$C4*R4</f>
        <v/>
      </c>
      <c r="S31" s="414">
        <f>$C4*S4</f>
        <v/>
      </c>
      <c r="T31" s="414">
        <f>$C4*T4</f>
        <v/>
      </c>
      <c r="U31" s="414">
        <f>$C4*U4</f>
        <v/>
      </c>
      <c r="V31" s="414">
        <f>$C4*V4</f>
        <v/>
      </c>
      <c r="W31" s="414">
        <f>$C4*W4</f>
        <v/>
      </c>
      <c r="X31" s="414">
        <f>$C4*X4</f>
        <v/>
      </c>
      <c r="Y31" s="414">
        <f>$C4*Y4</f>
        <v/>
      </c>
      <c r="Z31" s="414">
        <f>$C4*Z4</f>
        <v/>
      </c>
      <c r="AA31" s="414">
        <f>$C4*AA4</f>
        <v/>
      </c>
      <c r="AB31" s="414">
        <f>$C4*AB4</f>
        <v/>
      </c>
      <c r="AC31" s="414">
        <f>$C4*AC4</f>
        <v/>
      </c>
      <c r="AD31" s="414">
        <f>$C4*AD4</f>
        <v/>
      </c>
    </row>
    <row r="32">
      <c r="A32" s="100">
        <f>A5</f>
        <v/>
      </c>
      <c r="B32" t="inlineStr">
        <is>
          <t>AUD$k</t>
        </is>
      </c>
      <c r="C32" s="409">
        <f>C5</f>
        <v/>
      </c>
      <c r="D32" s="414">
        <f>$C5*D5</f>
        <v/>
      </c>
      <c r="E32" s="414">
        <f>$C5*E5</f>
        <v/>
      </c>
      <c r="F32" s="414">
        <f>$C5*F5</f>
        <v/>
      </c>
      <c r="G32" s="414">
        <f>$C5*G5</f>
        <v/>
      </c>
      <c r="H32" s="414">
        <f>$C5*H5</f>
        <v/>
      </c>
      <c r="I32" s="414">
        <f>$C5*I5</f>
        <v/>
      </c>
      <c r="J32" s="414">
        <f>$C5*J5</f>
        <v/>
      </c>
      <c r="K32" s="414">
        <f>$C5*K5</f>
        <v/>
      </c>
      <c r="L32" s="414">
        <f>$C5*L5</f>
        <v/>
      </c>
      <c r="M32" s="414">
        <f>$C5*M5</f>
        <v/>
      </c>
      <c r="N32" s="414">
        <f>$C5*N5</f>
        <v/>
      </c>
      <c r="O32" s="414">
        <f>$C5*O5</f>
        <v/>
      </c>
      <c r="P32" s="414">
        <f>$C5*P5</f>
        <v/>
      </c>
      <c r="Q32" s="414">
        <f>$C5*Q5</f>
        <v/>
      </c>
      <c r="R32" s="414">
        <f>$C5*R5</f>
        <v/>
      </c>
      <c r="S32" s="414">
        <f>$C5*S5</f>
        <v/>
      </c>
      <c r="T32" s="414">
        <f>$C5*T5</f>
        <v/>
      </c>
      <c r="U32" s="414">
        <f>$C5*U5</f>
        <v/>
      </c>
      <c r="V32" s="414">
        <f>$C5*V5</f>
        <v/>
      </c>
      <c r="W32" s="414">
        <f>$C5*W5</f>
        <v/>
      </c>
      <c r="X32" s="414">
        <f>$C5*X5</f>
        <v/>
      </c>
      <c r="Y32" s="414">
        <f>$C5*Y5</f>
        <v/>
      </c>
      <c r="Z32" s="414">
        <f>$C5*Z5</f>
        <v/>
      </c>
      <c r="AA32" s="414">
        <f>$C5*AA5</f>
        <v/>
      </c>
      <c r="AB32" s="414">
        <f>$C5*AB5</f>
        <v/>
      </c>
      <c r="AC32" s="414">
        <f>$C5*AC5</f>
        <v/>
      </c>
      <c r="AD32" s="414">
        <f>$C5*AD5</f>
        <v/>
      </c>
    </row>
    <row r="33">
      <c r="A33" s="100">
        <f>A6</f>
        <v/>
      </c>
      <c r="B33" t="inlineStr">
        <is>
          <t>AUD$k</t>
        </is>
      </c>
      <c r="C33" s="409">
        <f>C6</f>
        <v/>
      </c>
      <c r="D33" s="414">
        <f>$C6*D6</f>
        <v/>
      </c>
      <c r="E33" s="414">
        <f>$C6*E6</f>
        <v/>
      </c>
      <c r="F33" s="414">
        <f>$C6*F6</f>
        <v/>
      </c>
      <c r="G33" s="414">
        <f>$C6*G6</f>
        <v/>
      </c>
      <c r="H33" s="414">
        <f>$C6*H6</f>
        <v/>
      </c>
      <c r="I33" s="414">
        <f>$C6*I6</f>
        <v/>
      </c>
      <c r="J33" s="414">
        <f>$C6*J6</f>
        <v/>
      </c>
      <c r="K33" s="414">
        <f>$C6*K6</f>
        <v/>
      </c>
      <c r="L33" s="414">
        <f>$C6*L6</f>
        <v/>
      </c>
      <c r="M33" s="414">
        <f>$C6*M6</f>
        <v/>
      </c>
      <c r="N33" s="414">
        <f>$C6*N6</f>
        <v/>
      </c>
      <c r="O33" s="414">
        <f>$C6*O6</f>
        <v/>
      </c>
      <c r="P33" s="414">
        <f>$C6*P6</f>
        <v/>
      </c>
      <c r="Q33" s="414">
        <f>$C6*Q6</f>
        <v/>
      </c>
      <c r="R33" s="414">
        <f>$C6*R6</f>
        <v/>
      </c>
      <c r="S33" s="414">
        <f>$C6*S6</f>
        <v/>
      </c>
      <c r="T33" s="414">
        <f>$C6*T6</f>
        <v/>
      </c>
      <c r="U33" s="414">
        <f>$C6*U6</f>
        <v/>
      </c>
      <c r="V33" s="414">
        <f>$C6*V6</f>
        <v/>
      </c>
      <c r="W33" s="414">
        <f>$C6*W6</f>
        <v/>
      </c>
      <c r="X33" s="414">
        <f>$C6*X6</f>
        <v/>
      </c>
      <c r="Y33" s="414">
        <f>$C6*Y6</f>
        <v/>
      </c>
      <c r="Z33" s="414">
        <f>$C6*Z6</f>
        <v/>
      </c>
      <c r="AA33" s="414">
        <f>$C6*AA6</f>
        <v/>
      </c>
      <c r="AB33" s="414">
        <f>$C6*AB6</f>
        <v/>
      </c>
      <c r="AC33" s="414">
        <f>$C6*AC6</f>
        <v/>
      </c>
      <c r="AD33" s="414">
        <f>$C6*AD6</f>
        <v/>
      </c>
    </row>
    <row r="34">
      <c r="A34" s="100">
        <f>A7</f>
        <v/>
      </c>
      <c r="B34" t="inlineStr">
        <is>
          <t>AUD$k</t>
        </is>
      </c>
      <c r="C34" s="409">
        <f>C7</f>
        <v/>
      </c>
      <c r="D34" s="414">
        <f>$C7*D7</f>
        <v/>
      </c>
      <c r="E34" s="414">
        <f>$C7*E7</f>
        <v/>
      </c>
      <c r="F34" s="414">
        <f>$C7*F7</f>
        <v/>
      </c>
      <c r="G34" s="414">
        <f>$C7*G7</f>
        <v/>
      </c>
      <c r="H34" s="414">
        <f>$C7*H7</f>
        <v/>
      </c>
      <c r="I34" s="414">
        <f>$C7*I7</f>
        <v/>
      </c>
      <c r="J34" s="414">
        <f>$C7*J7</f>
        <v/>
      </c>
      <c r="K34" s="414">
        <f>$C7*K7</f>
        <v/>
      </c>
      <c r="L34" s="414">
        <f>$C7*L7</f>
        <v/>
      </c>
      <c r="M34" s="414">
        <f>$C7*M7</f>
        <v/>
      </c>
      <c r="N34" s="414">
        <f>$C7*N7</f>
        <v/>
      </c>
      <c r="O34" s="414">
        <f>$C7*O7</f>
        <v/>
      </c>
      <c r="P34" s="414">
        <f>$C7*P7</f>
        <v/>
      </c>
      <c r="Q34" s="414">
        <f>$C7*Q7</f>
        <v/>
      </c>
      <c r="R34" s="414">
        <f>$C7*R7</f>
        <v/>
      </c>
      <c r="S34" s="414">
        <f>$C7*S7</f>
        <v/>
      </c>
      <c r="T34" s="414">
        <f>$C7*T7</f>
        <v/>
      </c>
      <c r="U34" s="414">
        <f>$C7*U7</f>
        <v/>
      </c>
      <c r="V34" s="414">
        <f>$C7*V7</f>
        <v/>
      </c>
      <c r="W34" s="414">
        <f>$C7*W7</f>
        <v/>
      </c>
      <c r="X34" s="414">
        <f>$C7*X7</f>
        <v/>
      </c>
      <c r="Y34" s="414">
        <f>$C7*Y7</f>
        <v/>
      </c>
      <c r="Z34" s="414">
        <f>$C7*Z7</f>
        <v/>
      </c>
      <c r="AA34" s="414">
        <f>$C7*AA7</f>
        <v/>
      </c>
      <c r="AB34" s="414">
        <f>$C7*AB7</f>
        <v/>
      </c>
      <c r="AC34" s="414">
        <f>$C7*AC7</f>
        <v/>
      </c>
      <c r="AD34" s="414">
        <f>$C7*AD7</f>
        <v/>
      </c>
    </row>
    <row r="35">
      <c r="A35" s="100">
        <f>A8</f>
        <v/>
      </c>
      <c r="B35" t="inlineStr">
        <is>
          <t>AUD$k</t>
        </is>
      </c>
      <c r="C35" s="409">
        <f>C8</f>
        <v/>
      </c>
      <c r="D35" s="414">
        <f>$C8*D8</f>
        <v/>
      </c>
      <c r="E35" s="414">
        <f>$C8*E8</f>
        <v/>
      </c>
      <c r="F35" s="414">
        <f>$C8*F8</f>
        <v/>
      </c>
      <c r="G35" s="414">
        <f>$C8*G8</f>
        <v/>
      </c>
      <c r="H35" s="414">
        <f>$C8*H8</f>
        <v/>
      </c>
      <c r="I35" s="414">
        <f>$C8*I8</f>
        <v/>
      </c>
      <c r="J35" s="414">
        <f>$C8*J8</f>
        <v/>
      </c>
      <c r="K35" s="414">
        <f>$C8*K8</f>
        <v/>
      </c>
      <c r="L35" s="414">
        <f>$C8*L8</f>
        <v/>
      </c>
      <c r="M35" s="414">
        <f>$C8*M8</f>
        <v/>
      </c>
      <c r="N35" s="414">
        <f>$C8*N8</f>
        <v/>
      </c>
      <c r="O35" s="414">
        <f>$C8*O8</f>
        <v/>
      </c>
      <c r="P35" s="414">
        <f>$C8*P8</f>
        <v/>
      </c>
      <c r="Q35" s="414">
        <f>$C8*Q8</f>
        <v/>
      </c>
      <c r="R35" s="414">
        <f>$C8*R8</f>
        <v/>
      </c>
      <c r="S35" s="414">
        <f>$C8*S8</f>
        <v/>
      </c>
      <c r="T35" s="414">
        <f>$C8*T8</f>
        <v/>
      </c>
      <c r="U35" s="414">
        <f>$C8*U8</f>
        <v/>
      </c>
      <c r="V35" s="414">
        <f>$C8*V8</f>
        <v/>
      </c>
      <c r="W35" s="414">
        <f>$C8*W8</f>
        <v/>
      </c>
      <c r="X35" s="414">
        <f>$C8*X8</f>
        <v/>
      </c>
      <c r="Y35" s="414">
        <f>$C8*Y8</f>
        <v/>
      </c>
      <c r="Z35" s="414">
        <f>$C8*Z8</f>
        <v/>
      </c>
      <c r="AA35" s="414">
        <f>$C8*AA8</f>
        <v/>
      </c>
      <c r="AB35" s="414">
        <f>$C8*AB8</f>
        <v/>
      </c>
      <c r="AC35" s="414">
        <f>$C8*AC8</f>
        <v/>
      </c>
      <c r="AD35" s="414">
        <f>$C8*AD8</f>
        <v/>
      </c>
    </row>
    <row r="36">
      <c r="A36" s="100">
        <f>A9</f>
        <v/>
      </c>
      <c r="B36" t="inlineStr">
        <is>
          <t>AUD$k</t>
        </is>
      </c>
      <c r="C36" s="409">
        <f>C9</f>
        <v/>
      </c>
      <c r="D36" s="414">
        <f>$C9*D9</f>
        <v/>
      </c>
      <c r="E36" s="414">
        <f>$C9*E9</f>
        <v/>
      </c>
      <c r="F36" s="414">
        <f>$C9*F9</f>
        <v/>
      </c>
      <c r="G36" s="414">
        <f>$C9*G9</f>
        <v/>
      </c>
      <c r="H36" s="414">
        <f>$C9*H9</f>
        <v/>
      </c>
      <c r="I36" s="414">
        <f>$C9*I9</f>
        <v/>
      </c>
      <c r="J36" s="414">
        <f>$C9*J9</f>
        <v/>
      </c>
      <c r="K36" s="414">
        <f>$C9*K9</f>
        <v/>
      </c>
      <c r="L36" s="414">
        <f>$C9*L9</f>
        <v/>
      </c>
      <c r="M36" s="414">
        <f>$C9*M9</f>
        <v/>
      </c>
      <c r="N36" s="414">
        <f>$C9*N9</f>
        <v/>
      </c>
      <c r="O36" s="414">
        <f>$C9*O9</f>
        <v/>
      </c>
      <c r="P36" s="414">
        <f>$C9*P9</f>
        <v/>
      </c>
      <c r="Q36" s="414">
        <f>$C9*Q9</f>
        <v/>
      </c>
      <c r="R36" s="414">
        <f>$C9*R9</f>
        <v/>
      </c>
      <c r="S36" s="414">
        <f>$C9*S9</f>
        <v/>
      </c>
      <c r="T36" s="414">
        <f>$C9*T9</f>
        <v/>
      </c>
      <c r="U36" s="414">
        <f>$C9*U9</f>
        <v/>
      </c>
      <c r="V36" s="414">
        <f>$C9*V9</f>
        <v/>
      </c>
      <c r="W36" s="414">
        <f>$C9*W9</f>
        <v/>
      </c>
      <c r="X36" s="414">
        <f>$C9*X9</f>
        <v/>
      </c>
      <c r="Y36" s="414">
        <f>$C9*Y9</f>
        <v/>
      </c>
      <c r="Z36" s="414">
        <f>$C9*Z9</f>
        <v/>
      </c>
      <c r="AA36" s="414">
        <f>$C9*AA9</f>
        <v/>
      </c>
      <c r="AB36" s="414">
        <f>$C9*AB9</f>
        <v/>
      </c>
      <c r="AC36" s="414">
        <f>$C9*AC9</f>
        <v/>
      </c>
      <c r="AD36" s="414">
        <f>$C9*AD9</f>
        <v/>
      </c>
    </row>
    <row r="37">
      <c r="A37" s="100">
        <f>A10</f>
        <v/>
      </c>
      <c r="B37" t="inlineStr">
        <is>
          <t>AUD$k</t>
        </is>
      </c>
      <c r="C37" s="409">
        <f>C10</f>
        <v/>
      </c>
      <c r="D37" s="414">
        <f>$C10*D10</f>
        <v/>
      </c>
      <c r="E37" s="414">
        <f>$C10*E10</f>
        <v/>
      </c>
      <c r="F37" s="414">
        <f>$C10*F10</f>
        <v/>
      </c>
      <c r="G37" s="414">
        <f>$C10*G10</f>
        <v/>
      </c>
      <c r="H37" s="414">
        <f>$C10*H10</f>
        <v/>
      </c>
      <c r="I37" s="414">
        <f>$C10*I10</f>
        <v/>
      </c>
      <c r="J37" s="414">
        <f>$C10*J10</f>
        <v/>
      </c>
      <c r="K37" s="414">
        <f>$C10*K10</f>
        <v/>
      </c>
      <c r="L37" s="414">
        <f>$C10*L10</f>
        <v/>
      </c>
      <c r="M37" s="414">
        <f>$C10*M10</f>
        <v/>
      </c>
      <c r="N37" s="414">
        <f>$C10*N10</f>
        <v/>
      </c>
      <c r="O37" s="414">
        <f>$C10*O10</f>
        <v/>
      </c>
      <c r="P37" s="414">
        <f>$C10*P10</f>
        <v/>
      </c>
      <c r="Q37" s="414">
        <f>$C10*Q10</f>
        <v/>
      </c>
      <c r="R37" s="414">
        <f>$C10*R10</f>
        <v/>
      </c>
      <c r="S37" s="414">
        <f>$C10*S10</f>
        <v/>
      </c>
      <c r="T37" s="414">
        <f>$C10*T10</f>
        <v/>
      </c>
      <c r="U37" s="414">
        <f>$C10*U10</f>
        <v/>
      </c>
      <c r="V37" s="414">
        <f>$C10*V10</f>
        <v/>
      </c>
      <c r="W37" s="414">
        <f>$C10*W10</f>
        <v/>
      </c>
      <c r="X37" s="414">
        <f>$C10*X10</f>
        <v/>
      </c>
      <c r="Y37" s="414">
        <f>$C10*Y10</f>
        <v/>
      </c>
      <c r="Z37" s="414">
        <f>$C10*Z10</f>
        <v/>
      </c>
      <c r="AA37" s="414">
        <f>$C10*AA10</f>
        <v/>
      </c>
      <c r="AB37" s="414">
        <f>$C10*AB10</f>
        <v/>
      </c>
      <c r="AC37" s="414">
        <f>$C10*AC10</f>
        <v/>
      </c>
      <c r="AD37" s="414">
        <f>$C10*AD10</f>
        <v/>
      </c>
    </row>
    <row r="38">
      <c r="A38" s="100">
        <f>A11</f>
        <v/>
      </c>
      <c r="B38" t="inlineStr">
        <is>
          <t>AUD$k</t>
        </is>
      </c>
      <c r="C38" s="409">
        <f>C11</f>
        <v/>
      </c>
      <c r="D38" s="414">
        <f>$C11*D11</f>
        <v/>
      </c>
      <c r="E38" s="414">
        <f>$C11*E11</f>
        <v/>
      </c>
      <c r="F38" s="414">
        <f>$C11*F11</f>
        <v/>
      </c>
      <c r="G38" s="414">
        <f>$C11*G11</f>
        <v/>
      </c>
      <c r="H38" s="414">
        <f>$C11*H11</f>
        <v/>
      </c>
      <c r="I38" s="414">
        <f>$C11*I11</f>
        <v/>
      </c>
      <c r="J38" s="414">
        <f>$C11*J11</f>
        <v/>
      </c>
      <c r="K38" s="414">
        <f>$C11*K11</f>
        <v/>
      </c>
      <c r="L38" s="414">
        <f>$C11*L11</f>
        <v/>
      </c>
      <c r="M38" s="414">
        <f>$C11*M11</f>
        <v/>
      </c>
      <c r="N38" s="414">
        <f>$C11*N11</f>
        <v/>
      </c>
      <c r="O38" s="414">
        <f>$C11*O11</f>
        <v/>
      </c>
      <c r="P38" s="414">
        <f>$C11*P11</f>
        <v/>
      </c>
      <c r="Q38" s="414">
        <f>$C11*Q11</f>
        <v/>
      </c>
      <c r="R38" s="414">
        <f>$C11*R11</f>
        <v/>
      </c>
      <c r="S38" s="414">
        <f>$C11*S11</f>
        <v/>
      </c>
      <c r="T38" s="414">
        <f>$C11*T11</f>
        <v/>
      </c>
      <c r="U38" s="414">
        <f>$C11*U11</f>
        <v/>
      </c>
      <c r="V38" s="414">
        <f>$C11*V11</f>
        <v/>
      </c>
      <c r="W38" s="414">
        <f>$C11*W11</f>
        <v/>
      </c>
      <c r="X38" s="414">
        <f>$C11*X11</f>
        <v/>
      </c>
      <c r="Y38" s="414">
        <f>$C11*Y11</f>
        <v/>
      </c>
      <c r="Z38" s="414">
        <f>$C11*Z11</f>
        <v/>
      </c>
      <c r="AA38" s="414">
        <f>$C11*AA11</f>
        <v/>
      </c>
      <c r="AB38" s="414">
        <f>$C11*AB11</f>
        <v/>
      </c>
      <c r="AC38" s="414">
        <f>$C11*AC11</f>
        <v/>
      </c>
      <c r="AD38" s="414">
        <f>$C11*AD11</f>
        <v/>
      </c>
    </row>
    <row r="39">
      <c r="A39" s="100">
        <f>A12</f>
        <v/>
      </c>
      <c r="B39" t="inlineStr">
        <is>
          <t>AUD$k</t>
        </is>
      </c>
      <c r="C39" s="409">
        <f>C12</f>
        <v/>
      </c>
      <c r="D39" s="414">
        <f>$C12*D12</f>
        <v/>
      </c>
      <c r="E39" s="414">
        <f>$C12*E12</f>
        <v/>
      </c>
      <c r="F39" s="414">
        <f>$C12*F12</f>
        <v/>
      </c>
      <c r="G39" s="414">
        <f>$C12*G12</f>
        <v/>
      </c>
      <c r="H39" s="414">
        <f>$C12*H12</f>
        <v/>
      </c>
      <c r="I39" s="414">
        <f>$C12*I12</f>
        <v/>
      </c>
      <c r="J39" s="414">
        <f>$C12*J12</f>
        <v/>
      </c>
      <c r="K39" s="414">
        <f>$C12*K12</f>
        <v/>
      </c>
      <c r="L39" s="414">
        <f>$C12*L12</f>
        <v/>
      </c>
      <c r="M39" s="414">
        <f>$C12*M12</f>
        <v/>
      </c>
      <c r="N39" s="414">
        <f>$C12*N12</f>
        <v/>
      </c>
      <c r="O39" s="414">
        <f>$C12*O12</f>
        <v/>
      </c>
      <c r="P39" s="414">
        <f>$C12*P12</f>
        <v/>
      </c>
      <c r="Q39" s="414">
        <f>$C12*Q12</f>
        <v/>
      </c>
      <c r="R39" s="414">
        <f>$C12*R12</f>
        <v/>
      </c>
      <c r="S39" s="414">
        <f>$C12*S12</f>
        <v/>
      </c>
      <c r="T39" s="414">
        <f>$C12*T12</f>
        <v/>
      </c>
      <c r="U39" s="414">
        <f>$C12*U12</f>
        <v/>
      </c>
      <c r="V39" s="414">
        <f>$C12*V12</f>
        <v/>
      </c>
      <c r="W39" s="414">
        <f>$C12*W12</f>
        <v/>
      </c>
      <c r="X39" s="414">
        <f>$C12*X12</f>
        <v/>
      </c>
      <c r="Y39" s="414">
        <f>$C12*Y12</f>
        <v/>
      </c>
      <c r="Z39" s="414">
        <f>$C12*Z12</f>
        <v/>
      </c>
      <c r="AA39" s="414">
        <f>$C12*AA12</f>
        <v/>
      </c>
      <c r="AB39" s="414">
        <f>$C12*AB12</f>
        <v/>
      </c>
      <c r="AC39" s="414">
        <f>$C12*AC12</f>
        <v/>
      </c>
      <c r="AD39" s="414">
        <f>$C12*AD12</f>
        <v/>
      </c>
    </row>
    <row r="40">
      <c r="A40" s="100">
        <f>A13</f>
        <v/>
      </c>
      <c r="B40" t="inlineStr">
        <is>
          <t>AUD$k</t>
        </is>
      </c>
      <c r="C40" s="409">
        <f>C13</f>
        <v/>
      </c>
      <c r="D40" s="414">
        <f>$C13*D13</f>
        <v/>
      </c>
      <c r="E40" s="414">
        <f>$C13*E13</f>
        <v/>
      </c>
      <c r="F40" s="414">
        <f>$C13*F13</f>
        <v/>
      </c>
      <c r="G40" s="414">
        <f>$C13*G13</f>
        <v/>
      </c>
      <c r="H40" s="414">
        <f>$C13*H13</f>
        <v/>
      </c>
      <c r="I40" s="414">
        <f>$C13*I13</f>
        <v/>
      </c>
      <c r="J40" s="414">
        <f>$C13*J13</f>
        <v/>
      </c>
      <c r="K40" s="414">
        <f>$C13*K13</f>
        <v/>
      </c>
      <c r="L40" s="414">
        <f>$C13*L13</f>
        <v/>
      </c>
      <c r="M40" s="414">
        <f>$C13*M13</f>
        <v/>
      </c>
      <c r="N40" s="414">
        <f>$C13*N13</f>
        <v/>
      </c>
      <c r="O40" s="414">
        <f>$C13*O13</f>
        <v/>
      </c>
      <c r="P40" s="414">
        <f>$C13*P13</f>
        <v/>
      </c>
      <c r="Q40" s="414">
        <f>$C13*Q13</f>
        <v/>
      </c>
      <c r="R40" s="414">
        <f>$C13*R13</f>
        <v/>
      </c>
      <c r="S40" s="414">
        <f>$C13*S13</f>
        <v/>
      </c>
      <c r="T40" s="414">
        <f>$C13*T13</f>
        <v/>
      </c>
      <c r="U40" s="414">
        <f>$C13*U13</f>
        <v/>
      </c>
      <c r="V40" s="414">
        <f>$C13*V13</f>
        <v/>
      </c>
      <c r="W40" s="414">
        <f>$C13*W13</f>
        <v/>
      </c>
      <c r="X40" s="414">
        <f>$C13*X13</f>
        <v/>
      </c>
      <c r="Y40" s="414">
        <f>$C13*Y13</f>
        <v/>
      </c>
      <c r="Z40" s="414">
        <f>$C13*Z13</f>
        <v/>
      </c>
      <c r="AA40" s="414">
        <f>$C13*AA13</f>
        <v/>
      </c>
      <c r="AB40" s="414">
        <f>$C13*AB13</f>
        <v/>
      </c>
      <c r="AC40" s="414">
        <f>$C13*AC13</f>
        <v/>
      </c>
      <c r="AD40" s="414">
        <f>$C13*AD13</f>
        <v/>
      </c>
    </row>
    <row r="41">
      <c r="A41" s="100">
        <f>A14</f>
        <v/>
      </c>
      <c r="B41" t="inlineStr">
        <is>
          <t>AUD$k</t>
        </is>
      </c>
      <c r="C41" s="409">
        <f>C14</f>
        <v/>
      </c>
      <c r="D41" s="414">
        <f>$C14*D14</f>
        <v/>
      </c>
      <c r="E41" s="414">
        <f>$C14*E14</f>
        <v/>
      </c>
      <c r="F41" s="414">
        <f>$C14*F14</f>
        <v/>
      </c>
      <c r="G41" s="414">
        <f>$C14*G14</f>
        <v/>
      </c>
      <c r="H41" s="414">
        <f>$C14*H14</f>
        <v/>
      </c>
      <c r="I41" s="414">
        <f>$C14*I14</f>
        <v/>
      </c>
      <c r="J41" s="414">
        <f>$C14*J14</f>
        <v/>
      </c>
      <c r="K41" s="414">
        <f>$C14*K14</f>
        <v/>
      </c>
      <c r="L41" s="414">
        <f>$C14*L14</f>
        <v/>
      </c>
      <c r="M41" s="414">
        <f>$C14*M14</f>
        <v/>
      </c>
      <c r="N41" s="414">
        <f>$C14*N14</f>
        <v/>
      </c>
      <c r="O41" s="414">
        <f>$C14*O14</f>
        <v/>
      </c>
      <c r="P41" s="414">
        <f>$C14*P14</f>
        <v/>
      </c>
      <c r="Q41" s="414">
        <f>$C14*Q14</f>
        <v/>
      </c>
      <c r="R41" s="414">
        <f>$C14*R14</f>
        <v/>
      </c>
      <c r="S41" s="414">
        <f>$C14*S14</f>
        <v/>
      </c>
      <c r="T41" s="414">
        <f>$C14*T14</f>
        <v/>
      </c>
      <c r="U41" s="414">
        <f>$C14*U14</f>
        <v/>
      </c>
      <c r="V41" s="414">
        <f>$C14*V14</f>
        <v/>
      </c>
      <c r="W41" s="414">
        <f>$C14*W14</f>
        <v/>
      </c>
      <c r="X41" s="414">
        <f>$C14*X14</f>
        <v/>
      </c>
      <c r="Y41" s="414">
        <f>$C14*Y14</f>
        <v/>
      </c>
      <c r="Z41" s="414">
        <f>$C14*Z14</f>
        <v/>
      </c>
      <c r="AA41" s="414">
        <f>$C14*AA14</f>
        <v/>
      </c>
      <c r="AB41" s="414">
        <f>$C14*AB14</f>
        <v/>
      </c>
      <c r="AC41" s="414">
        <f>$C14*AC14</f>
        <v/>
      </c>
      <c r="AD41" s="414">
        <f>$C14*AD14</f>
        <v/>
      </c>
    </row>
    <row r="42">
      <c r="A42" s="100">
        <f>A15</f>
        <v/>
      </c>
      <c r="B42" t="inlineStr">
        <is>
          <t>AUD$k</t>
        </is>
      </c>
      <c r="C42" s="409">
        <f>C15</f>
        <v/>
      </c>
      <c r="D42" s="414">
        <f>$C15*D15</f>
        <v/>
      </c>
      <c r="E42" s="414">
        <f>$C15*E15</f>
        <v/>
      </c>
      <c r="F42" s="414">
        <f>$C15*F15</f>
        <v/>
      </c>
      <c r="G42" s="414">
        <f>$C15*G15</f>
        <v/>
      </c>
      <c r="H42" s="414">
        <f>$C15*H15</f>
        <v/>
      </c>
      <c r="I42" s="414">
        <f>$C15*I15</f>
        <v/>
      </c>
      <c r="J42" s="414">
        <f>$C15*J15</f>
        <v/>
      </c>
      <c r="K42" s="414">
        <f>$C15*K15</f>
        <v/>
      </c>
      <c r="L42" s="414">
        <f>$C15*L15</f>
        <v/>
      </c>
      <c r="M42" s="414">
        <f>$C15*M15</f>
        <v/>
      </c>
      <c r="N42" s="414">
        <f>$C15*N15</f>
        <v/>
      </c>
      <c r="O42" s="414">
        <f>$C15*O15</f>
        <v/>
      </c>
      <c r="P42" s="414">
        <f>$C15*P15</f>
        <v/>
      </c>
      <c r="Q42" s="414">
        <f>$C15*Q15</f>
        <v/>
      </c>
      <c r="R42" s="414">
        <f>$C15*R15</f>
        <v/>
      </c>
      <c r="S42" s="414">
        <f>$C15*S15</f>
        <v/>
      </c>
      <c r="T42" s="414">
        <f>$C15*T15</f>
        <v/>
      </c>
      <c r="U42" s="414">
        <f>$C15*U15</f>
        <v/>
      </c>
      <c r="V42" s="414">
        <f>$C15*V15</f>
        <v/>
      </c>
      <c r="W42" s="414">
        <f>$C15*W15</f>
        <v/>
      </c>
      <c r="X42" s="414">
        <f>$C15*X15</f>
        <v/>
      </c>
      <c r="Y42" s="414">
        <f>$C15*Y15</f>
        <v/>
      </c>
      <c r="Z42" s="414">
        <f>$C15*Z15</f>
        <v/>
      </c>
      <c r="AA42" s="414">
        <f>$C15*AA15</f>
        <v/>
      </c>
      <c r="AB42" s="414">
        <f>$C15*AB15</f>
        <v/>
      </c>
      <c r="AC42" s="414">
        <f>$C15*AC15</f>
        <v/>
      </c>
      <c r="AD42" s="414">
        <f>$C15*AD15</f>
        <v/>
      </c>
    </row>
    <row r="43">
      <c r="A43" s="100">
        <f>A16</f>
        <v/>
      </c>
      <c r="B43" t="inlineStr">
        <is>
          <t>AUD$k</t>
        </is>
      </c>
      <c r="C43" s="409">
        <f>C16</f>
        <v/>
      </c>
      <c r="D43" s="414">
        <f>$C16*D16</f>
        <v/>
      </c>
      <c r="E43" s="414">
        <f>$C16*E16</f>
        <v/>
      </c>
      <c r="F43" s="414">
        <f>$C16*F16</f>
        <v/>
      </c>
      <c r="G43" s="414">
        <f>$C16*G16</f>
        <v/>
      </c>
      <c r="H43" s="414">
        <f>$C16*H16</f>
        <v/>
      </c>
      <c r="I43" s="414">
        <f>$C16*I16</f>
        <v/>
      </c>
      <c r="J43" s="414">
        <f>$C16*J16</f>
        <v/>
      </c>
      <c r="K43" s="414">
        <f>$C16*K16</f>
        <v/>
      </c>
      <c r="L43" s="414">
        <f>$C16*L16</f>
        <v/>
      </c>
      <c r="M43" s="414">
        <f>$C16*M16</f>
        <v/>
      </c>
      <c r="N43" s="414">
        <f>$C16*N16</f>
        <v/>
      </c>
      <c r="O43" s="414">
        <f>$C16*O16</f>
        <v/>
      </c>
      <c r="P43" s="414">
        <f>$C16*P16</f>
        <v/>
      </c>
      <c r="Q43" s="414">
        <f>$C16*Q16</f>
        <v/>
      </c>
      <c r="R43" s="414">
        <f>$C16*R16</f>
        <v/>
      </c>
      <c r="S43" s="414">
        <f>$C16*S16</f>
        <v/>
      </c>
      <c r="T43" s="414">
        <f>$C16*T16</f>
        <v/>
      </c>
      <c r="U43" s="414">
        <f>$C16*U16</f>
        <v/>
      </c>
      <c r="V43" s="414">
        <f>$C16*V16</f>
        <v/>
      </c>
      <c r="W43" s="414">
        <f>$C16*W16</f>
        <v/>
      </c>
      <c r="X43" s="414">
        <f>$C16*X16</f>
        <v/>
      </c>
      <c r="Y43" s="414">
        <f>$C16*Y16</f>
        <v/>
      </c>
      <c r="Z43" s="414">
        <f>$C16*Z16</f>
        <v/>
      </c>
      <c r="AA43" s="414">
        <f>$C16*AA16</f>
        <v/>
      </c>
      <c r="AB43" s="414">
        <f>$C16*AB16</f>
        <v/>
      </c>
      <c r="AC43" s="414">
        <f>$C16*AC16</f>
        <v/>
      </c>
      <c r="AD43" s="414">
        <f>$C16*AD16</f>
        <v/>
      </c>
    </row>
    <row r="44">
      <c r="A44" s="100">
        <f>A17</f>
        <v/>
      </c>
      <c r="B44" t="inlineStr">
        <is>
          <t>AUD$k</t>
        </is>
      </c>
      <c r="C44" s="409">
        <f>C17</f>
        <v/>
      </c>
      <c r="D44" s="414">
        <f>$C17*D17</f>
        <v/>
      </c>
      <c r="E44" s="414">
        <f>$C17*E17</f>
        <v/>
      </c>
      <c r="F44" s="414">
        <f>$C17*F17</f>
        <v/>
      </c>
      <c r="G44" s="414">
        <f>$C17*G17</f>
        <v/>
      </c>
      <c r="H44" s="414">
        <f>$C17*H17</f>
        <v/>
      </c>
      <c r="I44" s="414">
        <f>$C17*I17</f>
        <v/>
      </c>
      <c r="J44" s="414">
        <f>$C17*J17</f>
        <v/>
      </c>
      <c r="K44" s="414">
        <f>$C17*K17</f>
        <v/>
      </c>
      <c r="L44" s="414">
        <f>$C17*L17</f>
        <v/>
      </c>
      <c r="M44" s="414">
        <f>$C17*M17</f>
        <v/>
      </c>
      <c r="N44" s="414">
        <f>$C17*N17</f>
        <v/>
      </c>
      <c r="O44" s="414">
        <f>$C17*O17</f>
        <v/>
      </c>
      <c r="P44" s="414">
        <f>$C17*P17</f>
        <v/>
      </c>
      <c r="Q44" s="414">
        <f>$C17*Q17</f>
        <v/>
      </c>
      <c r="R44" s="414">
        <f>$C17*R17</f>
        <v/>
      </c>
      <c r="S44" s="414">
        <f>$C17*S17</f>
        <v/>
      </c>
      <c r="T44" s="414">
        <f>$C17*T17</f>
        <v/>
      </c>
      <c r="U44" s="414">
        <f>$C17*U17</f>
        <v/>
      </c>
      <c r="V44" s="414">
        <f>$C17*V17</f>
        <v/>
      </c>
      <c r="W44" s="414">
        <f>$C17*W17</f>
        <v/>
      </c>
      <c r="X44" s="414">
        <f>$C17*X17</f>
        <v/>
      </c>
      <c r="Y44" s="414">
        <f>$C17*Y17</f>
        <v/>
      </c>
      <c r="Z44" s="414">
        <f>$C17*Z17</f>
        <v/>
      </c>
      <c r="AA44" s="414">
        <f>$C17*AA17</f>
        <v/>
      </c>
      <c r="AB44" s="414">
        <f>$C17*AB17</f>
        <v/>
      </c>
      <c r="AC44" s="414">
        <f>$C17*AC17</f>
        <v/>
      </c>
      <c r="AD44" s="414">
        <f>$C17*AD17</f>
        <v/>
      </c>
    </row>
    <row r="45">
      <c r="A45" s="100">
        <f>A18</f>
        <v/>
      </c>
      <c r="B45" t="inlineStr">
        <is>
          <t>AUD$k</t>
        </is>
      </c>
      <c r="C45" s="409">
        <f>C18</f>
        <v/>
      </c>
      <c r="D45" s="414">
        <f>$C18*D18</f>
        <v/>
      </c>
      <c r="E45" s="414">
        <f>$C18*E18</f>
        <v/>
      </c>
      <c r="F45" s="414">
        <f>$C18*F18</f>
        <v/>
      </c>
      <c r="G45" s="414">
        <f>$C18*G18</f>
        <v/>
      </c>
      <c r="H45" s="414">
        <f>$C18*H18</f>
        <v/>
      </c>
      <c r="I45" s="414">
        <f>$C18*I18</f>
        <v/>
      </c>
      <c r="J45" s="414">
        <f>$C18*J18</f>
        <v/>
      </c>
      <c r="K45" s="414">
        <f>$C18*K18</f>
        <v/>
      </c>
      <c r="L45" s="414">
        <f>$C18*L18</f>
        <v/>
      </c>
      <c r="M45" s="414">
        <f>$C18*M18</f>
        <v/>
      </c>
      <c r="N45" s="414">
        <f>$C18*N18</f>
        <v/>
      </c>
      <c r="O45" s="414">
        <f>$C18*O18</f>
        <v/>
      </c>
      <c r="P45" s="414">
        <f>$C18*P18</f>
        <v/>
      </c>
      <c r="Q45" s="414">
        <f>$C18*Q18</f>
        <v/>
      </c>
      <c r="R45" s="414">
        <f>$C18*R18</f>
        <v/>
      </c>
      <c r="S45" s="414">
        <f>$C18*S18</f>
        <v/>
      </c>
      <c r="T45" s="414">
        <f>$C18*T18</f>
        <v/>
      </c>
      <c r="U45" s="414">
        <f>$C18*U18</f>
        <v/>
      </c>
      <c r="V45" s="414">
        <f>$C18*V18</f>
        <v/>
      </c>
      <c r="W45" s="414">
        <f>$C18*W18</f>
        <v/>
      </c>
      <c r="X45" s="414">
        <f>$C18*X18</f>
        <v/>
      </c>
      <c r="Y45" s="414">
        <f>$C18*Y18</f>
        <v/>
      </c>
      <c r="Z45" s="414">
        <f>$C18*Z18</f>
        <v/>
      </c>
      <c r="AA45" s="414">
        <f>$C18*AA18</f>
        <v/>
      </c>
      <c r="AB45" s="414">
        <f>$C18*AB18</f>
        <v/>
      </c>
      <c r="AC45" s="414">
        <f>$C18*AC18</f>
        <v/>
      </c>
      <c r="AD45" s="414">
        <f>$C18*AD18</f>
        <v/>
      </c>
    </row>
    <row r="46">
      <c r="A46" s="100">
        <f>A19</f>
        <v/>
      </c>
      <c r="B46" t="inlineStr">
        <is>
          <t>AUD$k</t>
        </is>
      </c>
      <c r="C46" s="409">
        <f>C19</f>
        <v/>
      </c>
      <c r="D46" s="414">
        <f>$C19*D19</f>
        <v/>
      </c>
      <c r="E46" s="414">
        <f>$C19*E19</f>
        <v/>
      </c>
      <c r="F46" s="414">
        <f>$C19*F19</f>
        <v/>
      </c>
      <c r="G46" s="414">
        <f>$C19*G19</f>
        <v/>
      </c>
      <c r="H46" s="414">
        <f>$C19*H19</f>
        <v/>
      </c>
      <c r="I46" s="414">
        <f>$C19*I19</f>
        <v/>
      </c>
      <c r="J46" s="414">
        <f>$C19*J19</f>
        <v/>
      </c>
      <c r="K46" s="414">
        <f>$C19*K19</f>
        <v/>
      </c>
      <c r="L46" s="414">
        <f>$C19*L19</f>
        <v/>
      </c>
      <c r="M46" s="414">
        <f>$C19*M19</f>
        <v/>
      </c>
      <c r="N46" s="414">
        <f>$C19*N19</f>
        <v/>
      </c>
      <c r="O46" s="414">
        <f>$C19*O19</f>
        <v/>
      </c>
      <c r="P46" s="414">
        <f>$C19*P19</f>
        <v/>
      </c>
      <c r="Q46" s="414">
        <f>$C19*Q19</f>
        <v/>
      </c>
      <c r="R46" s="414">
        <f>$C19*R19</f>
        <v/>
      </c>
      <c r="S46" s="414">
        <f>$C19*S19</f>
        <v/>
      </c>
      <c r="T46" s="414">
        <f>$C19*T19</f>
        <v/>
      </c>
      <c r="U46" s="414">
        <f>$C19*U19</f>
        <v/>
      </c>
      <c r="V46" s="414">
        <f>$C19*V19</f>
        <v/>
      </c>
      <c r="W46" s="414">
        <f>$C19*W19</f>
        <v/>
      </c>
      <c r="X46" s="414">
        <f>$C19*X19</f>
        <v/>
      </c>
      <c r="Y46" s="414">
        <f>$C19*Y19</f>
        <v/>
      </c>
      <c r="Z46" s="414">
        <f>$C19*Z19</f>
        <v/>
      </c>
      <c r="AA46" s="414">
        <f>$C19*AA19</f>
        <v/>
      </c>
      <c r="AB46" s="414">
        <f>$C19*AB19</f>
        <v/>
      </c>
      <c r="AC46" s="414">
        <f>$C19*AC19</f>
        <v/>
      </c>
      <c r="AD46" s="414">
        <f>$C19*AD19</f>
        <v/>
      </c>
    </row>
    <row r="47">
      <c r="A47" s="100">
        <f>A20</f>
        <v/>
      </c>
      <c r="B47" t="inlineStr">
        <is>
          <t>AUD$k</t>
        </is>
      </c>
      <c r="C47" s="409">
        <f>C20</f>
        <v/>
      </c>
      <c r="D47" s="414">
        <f>$C20*D20</f>
        <v/>
      </c>
      <c r="E47" s="414">
        <f>$C20*E20</f>
        <v/>
      </c>
      <c r="F47" s="414">
        <f>$C20*F20</f>
        <v/>
      </c>
      <c r="G47" s="414">
        <f>$C20*G20</f>
        <v/>
      </c>
      <c r="H47" s="414">
        <f>$C20*H20</f>
        <v/>
      </c>
      <c r="I47" s="414">
        <f>$C20*I20</f>
        <v/>
      </c>
      <c r="J47" s="414">
        <f>$C20*J20</f>
        <v/>
      </c>
      <c r="K47" s="414">
        <f>$C20*K20</f>
        <v/>
      </c>
      <c r="L47" s="414">
        <f>$C20*L20</f>
        <v/>
      </c>
      <c r="M47" s="414">
        <f>$C20*M20</f>
        <v/>
      </c>
      <c r="N47" s="414">
        <f>$C20*N20</f>
        <v/>
      </c>
      <c r="O47" s="414">
        <f>$C20*O20</f>
        <v/>
      </c>
      <c r="P47" s="414">
        <f>$C20*P20</f>
        <v/>
      </c>
      <c r="Q47" s="414">
        <f>$C20*Q20</f>
        <v/>
      </c>
      <c r="R47" s="414">
        <f>$C20*R20</f>
        <v/>
      </c>
      <c r="S47" s="414">
        <f>$C20*S20</f>
        <v/>
      </c>
      <c r="T47" s="414">
        <f>$C20*T20</f>
        <v/>
      </c>
      <c r="U47" s="414">
        <f>$C20*U20</f>
        <v/>
      </c>
      <c r="V47" s="414">
        <f>$C20*V20</f>
        <v/>
      </c>
      <c r="W47" s="414">
        <f>$C20*W20</f>
        <v/>
      </c>
      <c r="X47" s="414">
        <f>$C20*X20</f>
        <v/>
      </c>
      <c r="Y47" s="414">
        <f>$C20*Y20</f>
        <v/>
      </c>
      <c r="Z47" s="414">
        <f>$C20*Z20</f>
        <v/>
      </c>
      <c r="AA47" s="414">
        <f>$C20*AA20</f>
        <v/>
      </c>
      <c r="AB47" s="414">
        <f>$C20*AB20</f>
        <v/>
      </c>
      <c r="AC47" s="414">
        <f>$C20*AC20</f>
        <v/>
      </c>
      <c r="AD47" s="414">
        <f>$C20*AD20</f>
        <v/>
      </c>
    </row>
    <row r="48">
      <c r="A48" s="100">
        <f>A21</f>
        <v/>
      </c>
      <c r="B48" t="inlineStr">
        <is>
          <t>AUD$k</t>
        </is>
      </c>
      <c r="C48" s="409">
        <f>C21</f>
        <v/>
      </c>
      <c r="D48" s="414">
        <f>$C21*D21</f>
        <v/>
      </c>
      <c r="E48" s="414">
        <f>$C21*E21</f>
        <v/>
      </c>
      <c r="F48" s="414">
        <f>$C21*F21</f>
        <v/>
      </c>
      <c r="G48" s="414">
        <f>$C21*G21</f>
        <v/>
      </c>
      <c r="H48" s="414">
        <f>$C21*H21</f>
        <v/>
      </c>
      <c r="I48" s="414">
        <f>$C21*I21</f>
        <v/>
      </c>
      <c r="J48" s="414">
        <f>$C21*J21</f>
        <v/>
      </c>
      <c r="K48" s="414">
        <f>$C21*K21</f>
        <v/>
      </c>
      <c r="L48" s="414">
        <f>$C21*L21</f>
        <v/>
      </c>
      <c r="M48" s="414">
        <f>$C21*M21</f>
        <v/>
      </c>
      <c r="N48" s="414">
        <f>$C21*N21</f>
        <v/>
      </c>
      <c r="O48" s="414">
        <f>$C21*O21</f>
        <v/>
      </c>
      <c r="P48" s="414">
        <f>$C21*P21</f>
        <v/>
      </c>
      <c r="Q48" s="414">
        <f>$C21*Q21</f>
        <v/>
      </c>
      <c r="R48" s="414">
        <f>$C21*R21</f>
        <v/>
      </c>
      <c r="S48" s="414">
        <f>$C21*S21</f>
        <v/>
      </c>
      <c r="T48" s="414">
        <f>$C21*T21</f>
        <v/>
      </c>
      <c r="U48" s="414">
        <f>$C21*U21</f>
        <v/>
      </c>
      <c r="V48" s="414">
        <f>$C21*V21</f>
        <v/>
      </c>
      <c r="W48" s="414">
        <f>$C21*W21</f>
        <v/>
      </c>
      <c r="X48" s="414">
        <f>$C21*X21</f>
        <v/>
      </c>
      <c r="Y48" s="414">
        <f>$C21*Y21</f>
        <v/>
      </c>
      <c r="Z48" s="414">
        <f>$C21*Z21</f>
        <v/>
      </c>
      <c r="AA48" s="414">
        <f>$C21*AA21</f>
        <v/>
      </c>
      <c r="AB48" s="414">
        <f>$C21*AB21</f>
        <v/>
      </c>
      <c r="AC48" s="414">
        <f>$C21*AC21</f>
        <v/>
      </c>
      <c r="AD48" s="414">
        <f>$C21*AD21</f>
        <v/>
      </c>
    </row>
    <row r="49">
      <c r="A49" s="100">
        <f>A22</f>
        <v/>
      </c>
      <c r="B49" t="inlineStr">
        <is>
          <t>AUD$k</t>
        </is>
      </c>
      <c r="C49" s="409">
        <f>C22</f>
        <v/>
      </c>
      <c r="D49" s="414">
        <f>$C22*D22</f>
        <v/>
      </c>
      <c r="E49" s="414">
        <f>$C22*E22</f>
        <v/>
      </c>
      <c r="F49" s="414">
        <f>$C22*F22</f>
        <v/>
      </c>
      <c r="G49" s="414">
        <f>$C22*G22</f>
        <v/>
      </c>
      <c r="H49" s="414">
        <f>$C22*H22</f>
        <v/>
      </c>
      <c r="I49" s="414">
        <f>$C22*I22</f>
        <v/>
      </c>
      <c r="J49" s="414">
        <f>$C22*J22</f>
        <v/>
      </c>
      <c r="K49" s="414">
        <f>$C22*K22</f>
        <v/>
      </c>
      <c r="L49" s="414">
        <f>$C22*L22</f>
        <v/>
      </c>
      <c r="M49" s="414">
        <f>$C22*M22</f>
        <v/>
      </c>
      <c r="N49" s="414">
        <f>$C22*N22</f>
        <v/>
      </c>
      <c r="O49" s="414">
        <f>$C22*O22</f>
        <v/>
      </c>
      <c r="P49" s="414">
        <f>$C22*P22</f>
        <v/>
      </c>
      <c r="Q49" s="414">
        <f>$C22*Q22</f>
        <v/>
      </c>
      <c r="R49" s="414">
        <f>$C22*R22</f>
        <v/>
      </c>
      <c r="S49" s="414">
        <f>$C22*S22</f>
        <v/>
      </c>
      <c r="T49" s="414">
        <f>$C22*T22</f>
        <v/>
      </c>
      <c r="U49" s="414">
        <f>$C22*U22</f>
        <v/>
      </c>
      <c r="V49" s="414">
        <f>$C22*V22</f>
        <v/>
      </c>
      <c r="W49" s="414">
        <f>$C22*W22</f>
        <v/>
      </c>
      <c r="X49" s="414">
        <f>$C22*X22</f>
        <v/>
      </c>
      <c r="Y49" s="414">
        <f>$C22*Y22</f>
        <v/>
      </c>
      <c r="Z49" s="414">
        <f>$C22*Z22</f>
        <v/>
      </c>
      <c r="AA49" s="414">
        <f>$C22*AA22</f>
        <v/>
      </c>
      <c r="AB49" s="414">
        <f>$C22*AB22</f>
        <v/>
      </c>
      <c r="AC49" s="414">
        <f>$C22*AC22</f>
        <v/>
      </c>
      <c r="AD49" s="414">
        <f>$C22*AD22</f>
        <v/>
      </c>
    </row>
    <row r="50">
      <c r="A50" s="100">
        <f>A23</f>
        <v/>
      </c>
      <c r="B50" t="inlineStr">
        <is>
          <t>AUD$k</t>
        </is>
      </c>
      <c r="C50" s="409">
        <f>C23</f>
        <v/>
      </c>
      <c r="D50" s="414">
        <f>$C23*D23</f>
        <v/>
      </c>
      <c r="E50" s="414">
        <f>$C23*E23</f>
        <v/>
      </c>
      <c r="F50" s="414">
        <f>$C23*F23</f>
        <v/>
      </c>
      <c r="G50" s="414">
        <f>$C23*G23</f>
        <v/>
      </c>
      <c r="H50" s="414">
        <f>$C23*H23</f>
        <v/>
      </c>
      <c r="I50" s="414">
        <f>$C23*I23</f>
        <v/>
      </c>
      <c r="J50" s="414">
        <f>$C23*J23</f>
        <v/>
      </c>
      <c r="K50" s="414">
        <f>$C23*K23</f>
        <v/>
      </c>
      <c r="L50" s="414">
        <f>$C23*L23</f>
        <v/>
      </c>
      <c r="M50" s="414">
        <f>$C23*M23</f>
        <v/>
      </c>
      <c r="N50" s="414">
        <f>$C23*N23</f>
        <v/>
      </c>
      <c r="O50" s="414">
        <f>$C23*O23</f>
        <v/>
      </c>
      <c r="P50" s="414">
        <f>$C23*P23</f>
        <v/>
      </c>
      <c r="Q50" s="414">
        <f>$C23*Q23</f>
        <v/>
      </c>
      <c r="R50" s="414">
        <f>$C23*R23</f>
        <v/>
      </c>
      <c r="S50" s="414">
        <f>$C23*S23</f>
        <v/>
      </c>
      <c r="T50" s="414">
        <f>$C23*T23</f>
        <v/>
      </c>
      <c r="U50" s="414">
        <f>$C23*U23</f>
        <v/>
      </c>
      <c r="V50" s="414">
        <f>$C23*V23</f>
        <v/>
      </c>
      <c r="W50" s="414">
        <f>$C23*W23</f>
        <v/>
      </c>
      <c r="X50" s="414">
        <f>$C23*X23</f>
        <v/>
      </c>
      <c r="Y50" s="414">
        <f>$C23*Y23</f>
        <v/>
      </c>
      <c r="Z50" s="414">
        <f>$C23*Z23</f>
        <v/>
      </c>
      <c r="AA50" s="414">
        <f>$C23*AA23</f>
        <v/>
      </c>
      <c r="AB50" s="414">
        <f>$C23*AB23</f>
        <v/>
      </c>
      <c r="AC50" s="414">
        <f>$C23*AC23</f>
        <v/>
      </c>
      <c r="AD50" s="414">
        <f>$C23*AD23</f>
        <v/>
      </c>
    </row>
    <row r="51">
      <c r="A51" s="100">
        <f>A24</f>
        <v/>
      </c>
      <c r="B51" t="inlineStr">
        <is>
          <t>AUD$k</t>
        </is>
      </c>
      <c r="C51" s="409">
        <f>C24</f>
        <v/>
      </c>
      <c r="D51" s="414">
        <f>$C24*D24</f>
        <v/>
      </c>
      <c r="E51" s="414">
        <f>$C24*E24</f>
        <v/>
      </c>
      <c r="F51" s="414">
        <f>$C24*F24</f>
        <v/>
      </c>
      <c r="G51" s="414">
        <f>$C24*G24</f>
        <v/>
      </c>
      <c r="H51" s="414">
        <f>$C24*H24</f>
        <v/>
      </c>
      <c r="I51" s="414">
        <f>$C24*I24</f>
        <v/>
      </c>
      <c r="J51" s="414">
        <f>$C24*J24</f>
        <v/>
      </c>
      <c r="K51" s="414">
        <f>$C24*K24</f>
        <v/>
      </c>
      <c r="L51" s="414">
        <f>$C24*L24</f>
        <v/>
      </c>
      <c r="M51" s="414">
        <f>$C24*M24</f>
        <v/>
      </c>
      <c r="N51" s="414">
        <f>$C24*N24</f>
        <v/>
      </c>
      <c r="O51" s="414">
        <f>$C24*O24</f>
        <v/>
      </c>
      <c r="P51" s="414">
        <f>$C24*P24</f>
        <v/>
      </c>
      <c r="Q51" s="414">
        <f>$C24*Q24</f>
        <v/>
      </c>
      <c r="R51" s="414">
        <f>$C24*R24</f>
        <v/>
      </c>
      <c r="S51" s="414">
        <f>$C24*S24</f>
        <v/>
      </c>
      <c r="T51" s="414">
        <f>$C24*T24</f>
        <v/>
      </c>
      <c r="U51" s="414">
        <f>$C24*U24</f>
        <v/>
      </c>
      <c r="V51" s="414">
        <f>$C24*V24</f>
        <v/>
      </c>
      <c r="W51" s="414">
        <f>$C24*W24</f>
        <v/>
      </c>
      <c r="X51" s="414">
        <f>$C24*X24</f>
        <v/>
      </c>
      <c r="Y51" s="414">
        <f>$C24*Y24</f>
        <v/>
      </c>
      <c r="Z51" s="414">
        <f>$C24*Z24</f>
        <v/>
      </c>
      <c r="AA51" s="414">
        <f>$C24*AA24</f>
        <v/>
      </c>
      <c r="AB51" s="414">
        <f>$C24*AB24</f>
        <v/>
      </c>
      <c r="AC51" s="414">
        <f>$C24*AC24</f>
        <v/>
      </c>
      <c r="AD51" s="414">
        <f>$C24*AD24</f>
        <v/>
      </c>
    </row>
    <row r="52">
      <c r="A52" s="100">
        <f>A25</f>
        <v/>
      </c>
      <c r="B52" t="inlineStr">
        <is>
          <t>AUD$k</t>
        </is>
      </c>
      <c r="C52" s="409">
        <f>C25</f>
        <v/>
      </c>
      <c r="D52" s="414">
        <f>$C25*D25</f>
        <v/>
      </c>
      <c r="E52" s="414">
        <f>$C25*E25</f>
        <v/>
      </c>
      <c r="F52" s="414">
        <f>$C25*F25</f>
        <v/>
      </c>
      <c r="G52" s="414">
        <f>$C25*G25</f>
        <v/>
      </c>
      <c r="H52" s="414">
        <f>$C25*H25</f>
        <v/>
      </c>
      <c r="I52" s="414">
        <f>$C25*I25</f>
        <v/>
      </c>
      <c r="J52" s="414">
        <f>$C25*J25</f>
        <v/>
      </c>
      <c r="K52" s="414">
        <f>$C25*K25</f>
        <v/>
      </c>
      <c r="L52" s="414">
        <f>$C25*L25</f>
        <v/>
      </c>
      <c r="M52" s="414">
        <f>$C25*M25</f>
        <v/>
      </c>
      <c r="N52" s="414">
        <f>$C25*N25</f>
        <v/>
      </c>
      <c r="O52" s="414">
        <f>$C25*O25</f>
        <v/>
      </c>
      <c r="P52" s="414">
        <f>$C25*P25</f>
        <v/>
      </c>
      <c r="Q52" s="414">
        <f>$C25*Q25</f>
        <v/>
      </c>
      <c r="R52" s="414">
        <f>$C25*R25</f>
        <v/>
      </c>
      <c r="S52" s="414">
        <f>$C25*S25</f>
        <v/>
      </c>
      <c r="T52" s="414">
        <f>$C25*T25</f>
        <v/>
      </c>
      <c r="U52" s="414">
        <f>$C25*U25</f>
        <v/>
      </c>
      <c r="V52" s="414">
        <f>$C25*V25</f>
        <v/>
      </c>
      <c r="W52" s="414">
        <f>$C25*W25</f>
        <v/>
      </c>
      <c r="X52" s="414">
        <f>$C25*X25</f>
        <v/>
      </c>
      <c r="Y52" s="414">
        <f>$C25*Y25</f>
        <v/>
      </c>
      <c r="Z52" s="414">
        <f>$C25*Z25</f>
        <v/>
      </c>
      <c r="AA52" s="414">
        <f>$C25*AA25</f>
        <v/>
      </c>
      <c r="AB52" s="414">
        <f>$C25*AB25</f>
        <v/>
      </c>
      <c r="AC52" s="414">
        <f>$C25*AC25</f>
        <v/>
      </c>
      <c r="AD52" s="414">
        <f>$C25*AD25</f>
        <v/>
      </c>
    </row>
    <row r="53">
      <c r="A53" s="100">
        <f>A26</f>
        <v/>
      </c>
      <c r="B53" t="inlineStr">
        <is>
          <t>AUD$k</t>
        </is>
      </c>
      <c r="C53" s="409">
        <f>C26</f>
        <v/>
      </c>
      <c r="D53" s="414">
        <f>$C26*D26</f>
        <v/>
      </c>
      <c r="E53" s="414">
        <f>$C26*E26</f>
        <v/>
      </c>
      <c r="F53" s="414">
        <f>$C26*F26</f>
        <v/>
      </c>
      <c r="G53" s="414">
        <f>$C26*G26</f>
        <v/>
      </c>
      <c r="H53" s="414">
        <f>$C26*H26</f>
        <v/>
      </c>
      <c r="I53" s="414">
        <f>$C26*I26</f>
        <v/>
      </c>
      <c r="J53" s="414">
        <f>$C26*J26</f>
        <v/>
      </c>
      <c r="K53" s="414">
        <f>$C26*K26</f>
        <v/>
      </c>
      <c r="L53" s="414">
        <f>$C26*L26</f>
        <v/>
      </c>
      <c r="M53" s="414">
        <f>$C26*M26</f>
        <v/>
      </c>
      <c r="N53" s="414">
        <f>$C26*N26</f>
        <v/>
      </c>
      <c r="O53" s="414">
        <f>$C26*O26</f>
        <v/>
      </c>
      <c r="P53" s="414">
        <f>$C26*P26</f>
        <v/>
      </c>
      <c r="Q53" s="414">
        <f>$C26*Q26</f>
        <v/>
      </c>
      <c r="R53" s="414">
        <f>$C26*R26</f>
        <v/>
      </c>
      <c r="S53" s="414">
        <f>$C26*S26</f>
        <v/>
      </c>
      <c r="T53" s="414">
        <f>$C26*T26</f>
        <v/>
      </c>
      <c r="U53" s="414">
        <f>$C26*U26</f>
        <v/>
      </c>
      <c r="V53" s="414">
        <f>$C26*V26</f>
        <v/>
      </c>
      <c r="W53" s="414">
        <f>$C26*W26</f>
        <v/>
      </c>
      <c r="X53" s="414">
        <f>$C26*X26</f>
        <v/>
      </c>
      <c r="Y53" s="414">
        <f>$C26*Y26</f>
        <v/>
      </c>
      <c r="Z53" s="414">
        <f>$C26*Z26</f>
        <v/>
      </c>
      <c r="AA53" s="414">
        <f>$C26*AA26</f>
        <v/>
      </c>
      <c r="AB53" s="414">
        <f>$C26*AB26</f>
        <v/>
      </c>
      <c r="AC53" s="414">
        <f>$C26*AC26</f>
        <v/>
      </c>
      <c r="AD53" s="414">
        <f>$C26*AD26</f>
        <v/>
      </c>
    </row>
    <row r="54">
      <c r="A54" s="100">
        <f>A27</f>
        <v/>
      </c>
      <c r="B54" t="inlineStr">
        <is>
          <t>AUD$k</t>
        </is>
      </c>
      <c r="C54" s="409">
        <f>C27</f>
        <v/>
      </c>
      <c r="D54" s="414">
        <f>$C27*D27</f>
        <v/>
      </c>
      <c r="E54" s="414">
        <f>$C27*E27</f>
        <v/>
      </c>
      <c r="F54" s="414">
        <f>$C27*F27</f>
        <v/>
      </c>
      <c r="G54" s="414">
        <f>$C27*G27</f>
        <v/>
      </c>
      <c r="H54" s="414">
        <f>$C27*H27</f>
        <v/>
      </c>
      <c r="I54" s="414">
        <f>$C27*I27</f>
        <v/>
      </c>
      <c r="J54" s="414">
        <f>$C27*J27</f>
        <v/>
      </c>
      <c r="K54" s="414">
        <f>$C27*K27</f>
        <v/>
      </c>
      <c r="L54" s="414">
        <f>$C27*L27</f>
        <v/>
      </c>
      <c r="M54" s="414">
        <f>$C27*M27</f>
        <v/>
      </c>
      <c r="N54" s="414">
        <f>$C27*N27</f>
        <v/>
      </c>
      <c r="O54" s="414">
        <f>$C27*O27</f>
        <v/>
      </c>
      <c r="P54" s="414">
        <f>$C27*P27</f>
        <v/>
      </c>
      <c r="Q54" s="414">
        <f>$C27*Q27</f>
        <v/>
      </c>
      <c r="R54" s="414">
        <f>$C27*R27</f>
        <v/>
      </c>
      <c r="S54" s="414">
        <f>$C27*S27</f>
        <v/>
      </c>
      <c r="T54" s="414">
        <f>$C27*T27</f>
        <v/>
      </c>
      <c r="U54" s="414">
        <f>$C27*U27</f>
        <v/>
      </c>
      <c r="V54" s="414">
        <f>$C27*V27</f>
        <v/>
      </c>
      <c r="W54" s="414">
        <f>$C27*W27</f>
        <v/>
      </c>
      <c r="X54" s="414">
        <f>$C27*X27</f>
        <v/>
      </c>
      <c r="Y54" s="414">
        <f>$C27*Y27</f>
        <v/>
      </c>
      <c r="Z54" s="414">
        <f>$C27*Z27</f>
        <v/>
      </c>
      <c r="AA54" s="414">
        <f>$C27*AA27</f>
        <v/>
      </c>
      <c r="AB54" s="414">
        <f>$C27*AB27</f>
        <v/>
      </c>
      <c r="AC54" s="414">
        <f>$C27*AC27</f>
        <v/>
      </c>
      <c r="AD54" s="414">
        <f>$C27*AD27</f>
        <v/>
      </c>
    </row>
    <row r="55">
      <c r="A55" s="100" t="inlineStr">
        <is>
          <t>Total</t>
        </is>
      </c>
      <c r="D55" s="414">
        <f>SUM(D31:D54)</f>
        <v/>
      </c>
      <c r="E55" s="414">
        <f>SUM(E31:E54)</f>
        <v/>
      </c>
      <c r="F55" s="414">
        <f>SUM(F31:F54)</f>
        <v/>
      </c>
      <c r="G55" s="414">
        <f>SUM(G31:G54)</f>
        <v/>
      </c>
      <c r="H55" s="414">
        <f>SUM(H31:H54)</f>
        <v/>
      </c>
      <c r="I55" s="414">
        <f>SUM(I31:I54)</f>
        <v/>
      </c>
      <c r="J55" s="414">
        <f>SUM(J31:J54)</f>
        <v/>
      </c>
      <c r="K55" s="414">
        <f>SUM(K31:K54)</f>
        <v/>
      </c>
      <c r="L55" s="414">
        <f>SUM(L31:L54)</f>
        <v/>
      </c>
      <c r="M55" s="414">
        <f>SUM(M31:M54)</f>
        <v/>
      </c>
      <c r="N55" s="414">
        <f>SUM(N31:N54)</f>
        <v/>
      </c>
      <c r="O55" s="414">
        <f>SUM(O31:O54)</f>
        <v/>
      </c>
      <c r="P55" s="414">
        <f>SUM(P31:P54)</f>
        <v/>
      </c>
      <c r="Q55" s="414">
        <f>SUM(Q31:Q54)</f>
        <v/>
      </c>
      <c r="R55" s="414">
        <f>SUM(R31:R54)</f>
        <v/>
      </c>
      <c r="S55" s="414">
        <f>SUM(S31:S54)</f>
        <v/>
      </c>
      <c r="T55" s="414">
        <f>SUM(T31:T54)</f>
        <v/>
      </c>
      <c r="U55" s="414">
        <f>SUM(U31:U54)</f>
        <v/>
      </c>
      <c r="V55" s="414">
        <f>SUM(V31:V54)</f>
        <v/>
      </c>
      <c r="W55" s="414">
        <f>SUM(W31:W54)</f>
        <v/>
      </c>
      <c r="X55" s="414">
        <f>SUM(X31:X54)</f>
        <v/>
      </c>
      <c r="Y55" s="414">
        <f>SUM(Y31:Y54)</f>
        <v/>
      </c>
      <c r="Z55" s="414">
        <f>SUM(Z31:Z54)</f>
        <v/>
      </c>
      <c r="AA55" s="414">
        <f>SUM(AA31:AA54)</f>
        <v/>
      </c>
      <c r="AB55" s="414">
        <f>SUM(AB31:AB54)</f>
        <v/>
      </c>
      <c r="AC55" s="414">
        <f>SUM(AC31:AC54)</f>
        <v/>
      </c>
      <c r="AD55" s="414">
        <f>SUM(AD31:AD54)</f>
        <v/>
      </c>
    </row>
    <row r="56">
      <c r="A56" s="100" t="inlineStr">
        <is>
          <t xml:space="preserve">Contingency </t>
        </is>
      </c>
      <c r="B56" s="34" t="inlineStr">
        <is>
          <t>%</t>
        </is>
      </c>
      <c r="C56" s="43" t="n">
        <v>0.3</v>
      </c>
      <c r="D56" s="414">
        <f>$C$56*D55</f>
        <v/>
      </c>
      <c r="E56" s="414">
        <f>$C$56*E55</f>
        <v/>
      </c>
      <c r="F56" s="414">
        <f>$C$56*F55</f>
        <v/>
      </c>
      <c r="G56" s="414">
        <f>$C$56*G55</f>
        <v/>
      </c>
      <c r="H56" s="414">
        <f>$C$56*H55</f>
        <v/>
      </c>
      <c r="I56" s="414">
        <f>$C$56*I55</f>
        <v/>
      </c>
      <c r="J56" s="414">
        <f>$C$56*J55</f>
        <v/>
      </c>
      <c r="K56" s="414">
        <f>$C$56*K55</f>
        <v/>
      </c>
      <c r="L56" s="414">
        <f>$C$56*L55</f>
        <v/>
      </c>
      <c r="M56" s="414">
        <f>$C$56*M55</f>
        <v/>
      </c>
      <c r="N56" s="414">
        <f>$C$56*N55</f>
        <v/>
      </c>
      <c r="O56" s="414">
        <f>$C$56*O55</f>
        <v/>
      </c>
      <c r="P56" s="414">
        <f>$C$56*P55</f>
        <v/>
      </c>
      <c r="Q56" s="414">
        <f>$C$56*Q55</f>
        <v/>
      </c>
      <c r="R56" s="414">
        <f>$C$56*R55</f>
        <v/>
      </c>
      <c r="S56" s="414">
        <f>$C$56*S55</f>
        <v/>
      </c>
      <c r="T56" s="414">
        <f>$C$56*T55</f>
        <v/>
      </c>
      <c r="U56" s="414">
        <f>$C$56*U55</f>
        <v/>
      </c>
      <c r="V56" s="414">
        <f>$C$56*V55</f>
        <v/>
      </c>
      <c r="W56" s="414">
        <f>$C$56*W55</f>
        <v/>
      </c>
      <c r="X56" s="414">
        <f>$C$56*X55</f>
        <v/>
      </c>
      <c r="Y56" s="414">
        <f>$C$56*Y55</f>
        <v/>
      </c>
      <c r="Z56" s="414">
        <f>$C$56*Z55</f>
        <v/>
      </c>
      <c r="AA56" s="414">
        <f>$C$56*AA55</f>
        <v/>
      </c>
      <c r="AB56" s="414">
        <f>$C$56*AB55</f>
        <v/>
      </c>
      <c r="AC56" s="414">
        <f>$C$56*AC55</f>
        <v/>
      </c>
      <c r="AD56" s="414">
        <f>$C$56*AD55</f>
        <v/>
      </c>
    </row>
    <row r="57" ht="16" customHeight="1" thickBot="1">
      <c r="A57" s="105" t="inlineStr">
        <is>
          <t xml:space="preserve">Total Capital </t>
        </is>
      </c>
      <c r="B57" s="106" t="n"/>
      <c r="C57" s="106" t="n"/>
      <c r="D57" s="416">
        <f>D56+D55</f>
        <v/>
      </c>
      <c r="E57" s="416">
        <f>E56+E55</f>
        <v/>
      </c>
      <c r="F57" s="416">
        <f>F56+F55</f>
        <v/>
      </c>
      <c r="G57" s="416">
        <f>G56+G55</f>
        <v/>
      </c>
      <c r="H57" s="416">
        <f>H56+H55</f>
        <v/>
      </c>
      <c r="I57" s="416">
        <f>I56+I55</f>
        <v/>
      </c>
      <c r="J57" s="416">
        <f>J56+J55</f>
        <v/>
      </c>
      <c r="K57" s="416">
        <f>K56+K55</f>
        <v/>
      </c>
      <c r="L57" s="416">
        <f>L56+L55</f>
        <v/>
      </c>
      <c r="M57" s="416">
        <f>M56+M55</f>
        <v/>
      </c>
      <c r="N57" s="416">
        <f>N56+N55</f>
        <v/>
      </c>
      <c r="O57" s="416">
        <f>O56+O55</f>
        <v/>
      </c>
      <c r="P57" s="416">
        <f>P56+P55</f>
        <v/>
      </c>
      <c r="Q57" s="416">
        <f>Q56+Q55</f>
        <v/>
      </c>
      <c r="R57" s="416">
        <f>R56+R55</f>
        <v/>
      </c>
      <c r="S57" s="416">
        <f>S56+S55</f>
        <v/>
      </c>
      <c r="T57" s="416">
        <f>T56+T55</f>
        <v/>
      </c>
      <c r="U57" s="416">
        <f>U56+U55</f>
        <v/>
      </c>
      <c r="V57" s="416">
        <f>V56+V55</f>
        <v/>
      </c>
      <c r="W57" s="416">
        <f>W56+W55</f>
        <v/>
      </c>
      <c r="X57" s="416">
        <f>X56+X55</f>
        <v/>
      </c>
      <c r="Y57" s="416">
        <f>Y56+Y55</f>
        <v/>
      </c>
      <c r="Z57" s="416">
        <f>Z56+Z55</f>
        <v/>
      </c>
      <c r="AA57" s="416">
        <f>AA56+AA55</f>
        <v/>
      </c>
      <c r="AB57" s="416">
        <f>AB56+AB55</f>
        <v/>
      </c>
      <c r="AC57" s="416">
        <f>AC56+AC55</f>
        <v/>
      </c>
      <c r="AD57" s="416">
        <f>AD56+AD55</f>
        <v/>
      </c>
    </row>
    <row r="62">
      <c r="B62" s="89" t="n"/>
    </row>
    <row r="63">
      <c r="B63" s="89" t="n"/>
    </row>
    <row r="64">
      <c r="B64" s="89" t="n"/>
    </row>
    <row r="65">
      <c r="B65" s="89" t="n"/>
    </row>
    <row r="66">
      <c r="B66" s="89" t="n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CCFF"/>
    <outlinePr summaryBelow="1" summaryRight="1"/>
    <pageSetUpPr/>
  </sheetPr>
  <dimension ref="A2:H1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30" sqref="R30"/>
    </sheetView>
  </sheetViews>
  <sheetFormatPr baseColWidth="10" defaultColWidth="8.83203125" defaultRowHeight="15"/>
  <cols>
    <col width="43.33203125" bestFit="1" customWidth="1" min="2" max="2"/>
    <col width="13.5" customWidth="1" min="3" max="3"/>
    <col width="11.6640625" bestFit="1" customWidth="1" min="4" max="4"/>
    <col width="13.33203125" bestFit="1" customWidth="1" min="5" max="5"/>
    <col width="11.5" bestFit="1" customWidth="1" min="6" max="8"/>
  </cols>
  <sheetData>
    <row r="2" ht="16" customHeight="1">
      <c r="B2" s="201" t="n"/>
      <c r="C2" s="1" t="n"/>
    </row>
    <row r="3">
      <c r="B3" s="51" t="inlineStr">
        <is>
          <t>Brumby OC Historical Performance</t>
        </is>
      </c>
      <c r="C3" s="51" t="n"/>
      <c r="D3" s="51" t="n">
        <v>2011</v>
      </c>
      <c r="E3" s="51">
        <f>D3+1</f>
        <v/>
      </c>
      <c r="F3" s="51">
        <f>E3+1</f>
        <v/>
      </c>
      <c r="G3" s="51">
        <f>F3+1</f>
        <v/>
      </c>
      <c r="H3" s="51">
        <f>G3+1</f>
        <v/>
      </c>
    </row>
    <row r="4">
      <c r="B4" s="343" t="inlineStr">
        <is>
          <t>PRODUCTION</t>
        </is>
      </c>
      <c r="C4" s="343" t="n"/>
      <c r="D4" s="343" t="n"/>
      <c r="E4" s="343" t="n"/>
      <c r="F4" s="343" t="n"/>
      <c r="G4" s="343" t="n"/>
      <c r="H4" s="343" t="n"/>
    </row>
    <row r="5" ht="6" customHeight="1">
      <c r="B5" s="343" t="n"/>
      <c r="C5" s="343" t="n"/>
      <c r="D5" s="343" t="n"/>
      <c r="E5" s="344" t="n"/>
      <c r="F5" s="344" t="n"/>
      <c r="G5" s="344" t="n"/>
      <c r="H5" s="344" t="n"/>
    </row>
    <row r="6">
      <c r="B6" s="343" t="inlineStr">
        <is>
          <t>Rom Tonnes</t>
        </is>
      </c>
      <c r="C6" s="17" t="inlineStr">
        <is>
          <t>kt</t>
        </is>
      </c>
      <c r="D6" s="344" t="n">
        <v>1286.25490703969</v>
      </c>
      <c r="E6" s="344" t="n">
        <v>1281.15112424349</v>
      </c>
      <c r="F6" s="344" t="n">
        <v>1349.06798</v>
      </c>
      <c r="G6" s="344" t="n">
        <v>1281.24265</v>
      </c>
      <c r="H6" s="344" t="n">
        <v>1000</v>
      </c>
    </row>
    <row r="7">
      <c r="B7" s="343" t="inlineStr">
        <is>
          <t>Prime Waste TS</t>
        </is>
      </c>
      <c r="C7" s="17" t="inlineStr">
        <is>
          <t>kbcm</t>
        </is>
      </c>
      <c r="D7" s="344" t="n">
        <v>6022.1684</v>
      </c>
      <c r="E7" s="344" t="n">
        <v>5784.568</v>
      </c>
      <c r="F7" s="344" t="n">
        <v>6373.7345</v>
      </c>
      <c r="G7" s="344" t="n">
        <v>5948.3679</v>
      </c>
      <c r="H7" s="344" t="n">
        <v>4948.3679</v>
      </c>
    </row>
    <row r="8">
      <c r="B8" s="343" t="inlineStr">
        <is>
          <t>Prime Waste Dragline</t>
        </is>
      </c>
      <c r="C8" s="17" t="inlineStr">
        <is>
          <t>kbcm</t>
        </is>
      </c>
      <c r="D8" s="344" t="n">
        <v>0</v>
      </c>
      <c r="E8" s="344" t="n">
        <v>0</v>
      </c>
      <c r="F8" s="344" t="n">
        <v>0</v>
      </c>
      <c r="G8" s="344" t="n">
        <v>0</v>
      </c>
      <c r="H8" s="344" t="n">
        <v>0</v>
      </c>
    </row>
    <row r="9">
      <c r="B9" s="343" t="inlineStr">
        <is>
          <t>Strip Ratio</t>
        </is>
      </c>
      <c r="C9" s="17" t="inlineStr">
        <is>
          <t>kt</t>
        </is>
      </c>
      <c r="D9" s="363">
        <f>D7/D6</f>
        <v/>
      </c>
      <c r="E9" s="363">
        <f>E7/E6</f>
        <v/>
      </c>
      <c r="F9" s="363">
        <f>F7/F6</f>
        <v/>
      </c>
      <c r="G9" s="363">
        <f>G7/G6</f>
        <v/>
      </c>
      <c r="H9" s="363">
        <f>H7/H6</f>
        <v/>
      </c>
    </row>
    <row r="10">
      <c r="B10" s="343" t="inlineStr">
        <is>
          <t>Ebcm</t>
        </is>
      </c>
      <c r="C10" s="17" t="inlineStr">
        <is>
          <t>kbcm</t>
        </is>
      </c>
      <c r="D10" s="344">
        <f>D6*1.45+D7</f>
        <v/>
      </c>
      <c r="E10" s="344">
        <f>E6*1.45+E7</f>
        <v/>
      </c>
      <c r="F10" s="344">
        <f>F6*1.45+F7</f>
        <v/>
      </c>
      <c r="G10" s="344">
        <f>G6*1.45+G7</f>
        <v/>
      </c>
      <c r="H10" s="344">
        <f>H6*1.45+H7</f>
        <v/>
      </c>
    </row>
    <row r="11">
      <c r="B11" s="343" t="n"/>
      <c r="C11" s="343" t="n"/>
      <c r="D11" s="344" t="n"/>
      <c r="E11" s="344" t="n"/>
      <c r="F11" s="344" t="n"/>
      <c r="G11" s="344" t="n"/>
      <c r="H11" s="344" t="n"/>
    </row>
    <row r="12">
      <c r="B12" s="343" t="inlineStr">
        <is>
          <t>CHPP</t>
        </is>
      </c>
      <c r="C12" s="343" t="n"/>
      <c r="D12" s="344" t="n"/>
      <c r="E12" s="344" t="n"/>
      <c r="F12" s="344" t="n"/>
      <c r="G12" s="344" t="n"/>
      <c r="H12" s="344" t="n"/>
    </row>
    <row r="13">
      <c r="B13" t="inlineStr">
        <is>
          <t>Primary Feed Tonnes</t>
        </is>
      </c>
      <c r="C13" s="17" t="inlineStr">
        <is>
          <t>kt</t>
        </is>
      </c>
      <c r="D13" s="344">
        <f>D6</f>
        <v/>
      </c>
      <c r="E13" s="344">
        <f>E6</f>
        <v/>
      </c>
      <c r="F13" s="344">
        <f>F6</f>
        <v/>
      </c>
      <c r="G13" s="344">
        <f>G6</f>
        <v/>
      </c>
      <c r="H13" s="344">
        <f>H6</f>
        <v/>
      </c>
    </row>
    <row r="14">
      <c r="B14" t="inlineStr">
        <is>
          <t>Bypass Tonnes</t>
        </is>
      </c>
      <c r="C14" s="17" t="inlineStr">
        <is>
          <t>kt</t>
        </is>
      </c>
      <c r="D14" s="344" t="n">
        <v>0</v>
      </c>
      <c r="E14" s="344" t="n">
        <v>0</v>
      </c>
      <c r="F14" s="344" t="n">
        <v>0</v>
      </c>
      <c r="G14" s="344" t="n">
        <v>0</v>
      </c>
      <c r="H14" s="344" t="n">
        <v>0</v>
      </c>
    </row>
    <row r="15">
      <c r="B15" t="inlineStr">
        <is>
          <t>Plant Product Tonnes</t>
        </is>
      </c>
      <c r="C15" s="17" t="inlineStr">
        <is>
          <t>kt</t>
        </is>
      </c>
      <c r="D15" s="344" t="n">
        <v>900.378434927783</v>
      </c>
      <c r="E15" s="344" t="n">
        <v>885</v>
      </c>
      <c r="F15" s="344" t="n">
        <v>925</v>
      </c>
      <c r="G15" s="344" t="n">
        <v>929.369267</v>
      </c>
      <c r="H15" s="344" t="n">
        <v>750</v>
      </c>
    </row>
    <row r="16">
      <c r="B16" t="inlineStr">
        <is>
          <t>CHPP Yield</t>
        </is>
      </c>
      <c r="C16" s="17" t="inlineStr">
        <is>
          <t>%</t>
        </is>
      </c>
      <c r="D16" s="329">
        <f>D15/(D13+D14)</f>
        <v/>
      </c>
      <c r="E16" s="329">
        <f>E15/(E13+E14)</f>
        <v/>
      </c>
      <c r="F16" s="329">
        <f>F15/(F13+F14)</f>
        <v/>
      </c>
      <c r="G16" s="329">
        <f>G15/(G13+G14)</f>
        <v/>
      </c>
      <c r="H16" s="329">
        <f>H15/(H13+H14)</f>
        <v/>
      </c>
    </row>
    <row r="17">
      <c r="B17" s="343" t="n"/>
      <c r="C17" s="343" t="n"/>
      <c r="D17" s="344" t="n"/>
      <c r="E17" s="344" t="n"/>
      <c r="F17" s="344" t="n"/>
      <c r="G17" s="344" t="n"/>
      <c r="H17" s="344" t="n"/>
    </row>
    <row r="18">
      <c r="B18" s="343" t="inlineStr">
        <is>
          <t>Marketing</t>
        </is>
      </c>
      <c r="C18" s="343" t="n"/>
      <c r="D18" s="344" t="n"/>
      <c r="E18" s="344" t="n"/>
      <c r="F18" s="344" t="n"/>
      <c r="G18" s="344" t="n"/>
      <c r="H18" s="344" t="n"/>
    </row>
    <row r="19">
      <c r="B19" s="113" t="inlineStr">
        <is>
          <t>PHCC</t>
        </is>
      </c>
      <c r="C19" s="17" t="inlineStr">
        <is>
          <t>kt</t>
        </is>
      </c>
      <c r="D19" s="344" t="n">
        <v>270.1135304783349</v>
      </c>
      <c r="E19" s="344" t="n">
        <v>309.75</v>
      </c>
      <c r="F19" s="344" t="n">
        <v>296</v>
      </c>
      <c r="G19" s="344" t="n">
        <v>232.34231675</v>
      </c>
      <c r="H19" s="344" t="n">
        <v>300</v>
      </c>
    </row>
    <row r="20">
      <c r="B20" s="113" t="inlineStr">
        <is>
          <t>GCN</t>
        </is>
      </c>
      <c r="C20" s="17" t="inlineStr">
        <is>
          <t>kt</t>
        </is>
      </c>
      <c r="D20" s="344">
        <f>D15-D19</f>
        <v/>
      </c>
      <c r="E20" s="344">
        <f>E15-E19</f>
        <v/>
      </c>
      <c r="F20" s="344">
        <f>F15-F19</f>
        <v/>
      </c>
      <c r="G20" s="344">
        <f>G15-G19</f>
        <v/>
      </c>
      <c r="H20" s="344">
        <f>H15-H19</f>
        <v/>
      </c>
    </row>
    <row r="21">
      <c r="B21" t="inlineStr">
        <is>
          <t>Total Sales</t>
        </is>
      </c>
      <c r="C21" s="17" t="inlineStr">
        <is>
          <t>kt</t>
        </is>
      </c>
      <c r="D21" s="347">
        <f>SUM(D19:D20)</f>
        <v/>
      </c>
      <c r="E21" s="347">
        <f>SUM(E19:E20)</f>
        <v/>
      </c>
      <c r="F21" s="347">
        <f>SUM(F19:F20)</f>
        <v/>
      </c>
      <c r="G21" s="347">
        <f>SUM(G19:G20)</f>
        <v/>
      </c>
      <c r="H21" s="347">
        <f>SUM(H19:H20)</f>
        <v/>
      </c>
    </row>
    <row r="22">
      <c r="C22" s="17" t="n"/>
      <c r="D22" s="344" t="n"/>
      <c r="E22" s="344" t="n"/>
      <c r="F22" s="344" t="n"/>
      <c r="G22" s="344" t="n"/>
      <c r="H22" s="344" t="n"/>
    </row>
    <row r="23">
      <c r="B23" s="343" t="n"/>
      <c r="C23" s="343" t="n"/>
      <c r="D23" s="324" t="n"/>
      <c r="E23" s="324" t="n"/>
      <c r="F23" s="324" t="n"/>
      <c r="G23" s="324" t="n"/>
      <c r="H23" s="324" t="n"/>
    </row>
    <row r="24">
      <c r="B24" s="343" t="inlineStr">
        <is>
          <t>GCN Energy</t>
        </is>
      </c>
      <c r="C24" s="17" t="inlineStr">
        <is>
          <t>kcal/kg(gar)</t>
        </is>
      </c>
      <c r="D24" s="344" t="n">
        <v>6250</v>
      </c>
      <c r="E24" s="344" t="n">
        <v>6250</v>
      </c>
      <c r="F24" s="344" t="n">
        <v>6250</v>
      </c>
      <c r="G24" s="344" t="n">
        <v>6212</v>
      </c>
      <c r="H24" s="344" t="n">
        <v>6290</v>
      </c>
    </row>
    <row r="25" customFormat="1" s="1">
      <c r="B25" s="349" t="inlineStr">
        <is>
          <t>GCN Ash</t>
        </is>
      </c>
      <c r="C25" s="349" t="inlineStr">
        <is>
          <t>%</t>
        </is>
      </c>
      <c r="D25" s="369" t="n">
        <v>9.6</v>
      </c>
      <c r="E25" s="369" t="n">
        <v>9.6</v>
      </c>
      <c r="F25" s="369" t="n">
        <v>9.6</v>
      </c>
      <c r="G25" s="369" t="n">
        <v>10.1</v>
      </c>
      <c r="H25" s="369" t="n">
        <v>9.199999999999999</v>
      </c>
    </row>
    <row r="26" customFormat="1" s="1">
      <c r="B26" s="349" t="n"/>
      <c r="C26" s="349" t="n"/>
      <c r="D26" s="349" t="n"/>
      <c r="E26" s="349" t="n"/>
      <c r="F26" s="349" t="n"/>
      <c r="G26" s="349" t="n"/>
      <c r="H26" s="349" t="n"/>
    </row>
    <row r="27" customFormat="1" s="1">
      <c r="B27" s="349" t="n"/>
      <c r="C27" s="349" t="n"/>
      <c r="D27" s="350" t="n"/>
      <c r="E27" s="350" t="n"/>
      <c r="F27" s="350" t="n"/>
      <c r="G27" s="350" t="n"/>
      <c r="H27" s="350" t="n"/>
    </row>
    <row r="28">
      <c r="B28" s="343" t="n"/>
      <c r="D28" s="344" t="n"/>
      <c r="E28" s="344" t="n"/>
      <c r="F28" s="344" t="n"/>
      <c r="G28" s="344" t="n"/>
      <c r="H28" s="344" t="n"/>
    </row>
    <row r="29">
      <c r="B29" s="343" t="n"/>
      <c r="D29" s="344" t="n"/>
      <c r="E29" s="344" t="n"/>
      <c r="F29" s="344" t="n"/>
      <c r="G29" s="344" t="n"/>
      <c r="H29" s="344" t="n"/>
    </row>
    <row r="30">
      <c r="B30" s="343" t="n"/>
      <c r="D30" s="344" t="n"/>
      <c r="E30" s="344" t="n"/>
      <c r="F30" s="344" t="n"/>
      <c r="G30" s="344" t="n"/>
      <c r="H30" s="344" t="n"/>
    </row>
    <row r="31">
      <c r="B31" s="343" t="n"/>
      <c r="D31" s="344" t="n"/>
      <c r="E31" s="344" t="n"/>
      <c r="F31" s="344" t="n"/>
      <c r="G31" s="344" t="n"/>
      <c r="H31" s="344" t="n"/>
    </row>
    <row r="32">
      <c r="B32" s="343" t="n"/>
      <c r="D32" s="344" t="n"/>
      <c r="E32" s="344" t="n"/>
      <c r="F32" s="344" t="n"/>
      <c r="G32" s="344" t="n"/>
      <c r="H32" s="344" t="n"/>
    </row>
    <row r="33">
      <c r="B33" s="343" t="n"/>
      <c r="D33" s="344" t="n"/>
      <c r="E33" s="344" t="n"/>
      <c r="F33" s="344" t="n"/>
      <c r="G33" s="344" t="n"/>
      <c r="H33" s="344" t="n"/>
    </row>
    <row r="34" customFormat="1" s="1">
      <c r="B34" s="349" t="n"/>
      <c r="D34" s="352" t="n"/>
      <c r="E34" s="352" t="n"/>
      <c r="F34" s="352" t="n"/>
      <c r="G34" s="352" t="n"/>
      <c r="H34" s="352" t="n"/>
    </row>
    <row r="35">
      <c r="B35" s="343" t="n"/>
      <c r="C35" s="343" t="n"/>
      <c r="D35" s="353" t="n"/>
      <c r="E35" s="353" t="n"/>
      <c r="F35" s="353" t="n"/>
      <c r="G35" s="353" t="n"/>
      <c r="H35" s="353" t="n"/>
    </row>
    <row r="36" customFormat="1" s="1">
      <c r="B36" s="349" t="n"/>
      <c r="C36" s="349" t="n"/>
      <c r="D36" s="350" t="n"/>
      <c r="E36" s="350" t="n"/>
      <c r="F36" s="350" t="n"/>
      <c r="G36" s="350" t="n"/>
      <c r="H36" s="350" t="n"/>
    </row>
    <row r="37">
      <c r="B37" s="343" t="n"/>
      <c r="D37" s="344" t="n"/>
      <c r="E37" s="344" t="n"/>
      <c r="F37" s="344" t="n"/>
      <c r="G37" s="344" t="n"/>
      <c r="H37" s="344" t="n"/>
    </row>
    <row r="38">
      <c r="B38" s="343" t="n"/>
      <c r="D38" s="344" t="n"/>
      <c r="E38" s="344" t="n"/>
      <c r="F38" s="344" t="n"/>
      <c r="G38" s="344" t="n"/>
      <c r="H38" s="344" t="n"/>
    </row>
    <row r="39">
      <c r="B39" s="343" t="n"/>
      <c r="D39" s="344" t="n"/>
      <c r="E39" s="344" t="n"/>
      <c r="F39" s="344" t="n"/>
      <c r="G39" s="344" t="n"/>
      <c r="H39" s="344" t="n"/>
    </row>
    <row r="40">
      <c r="B40" s="343" t="n"/>
      <c r="D40" s="344" t="n"/>
      <c r="E40" s="344" t="n"/>
      <c r="F40" s="344" t="n"/>
      <c r="G40" s="344" t="n"/>
      <c r="H40" s="344" t="n"/>
    </row>
    <row r="41">
      <c r="B41" s="343" t="n"/>
      <c r="D41" s="344" t="n"/>
      <c r="E41" s="344" t="n"/>
      <c r="F41" s="344" t="n"/>
      <c r="G41" s="344" t="n"/>
      <c r="H41" s="344" t="n"/>
    </row>
    <row r="42" customFormat="1" s="1">
      <c r="B42" s="349" t="n"/>
      <c r="D42" s="352" t="n"/>
      <c r="E42" s="352" t="n"/>
      <c r="F42" s="352" t="n"/>
      <c r="G42" s="352" t="n"/>
      <c r="H42" s="352" t="n"/>
    </row>
    <row r="43">
      <c r="B43" s="343" t="n"/>
      <c r="C43" s="343" t="n"/>
      <c r="D43" s="344" t="n"/>
      <c r="E43" s="344" t="n"/>
      <c r="F43" s="344" t="n"/>
      <c r="G43" s="344" t="n"/>
      <c r="H43" s="344" t="n"/>
    </row>
    <row r="44" customFormat="1" s="1">
      <c r="B44" s="349" t="n"/>
      <c r="C44" s="349" t="n"/>
      <c r="D44" s="350" t="n"/>
      <c r="E44" s="350" t="n"/>
      <c r="F44" s="350" t="n"/>
      <c r="G44" s="350" t="n"/>
      <c r="H44" s="350" t="n"/>
    </row>
    <row r="45">
      <c r="B45" s="343" t="n"/>
      <c r="D45" s="344" t="n"/>
      <c r="E45" s="344" t="n"/>
      <c r="F45" s="344" t="n"/>
      <c r="G45" s="344" t="n"/>
      <c r="H45" s="344" t="n"/>
    </row>
    <row r="46">
      <c r="B46" s="343" t="n"/>
      <c r="D46" s="344" t="n"/>
      <c r="E46" s="344" t="n"/>
      <c r="F46" s="344" t="n"/>
      <c r="G46" s="344" t="n"/>
      <c r="H46" s="344" t="n"/>
    </row>
    <row r="47">
      <c r="B47" s="343" t="n"/>
      <c r="D47" s="344" t="n"/>
      <c r="E47" s="344" t="n"/>
      <c r="F47" s="344" t="n"/>
      <c r="G47" s="344" t="n"/>
      <c r="H47" s="344" t="n"/>
    </row>
    <row r="48">
      <c r="B48" s="343" t="n"/>
      <c r="D48" s="344" t="n"/>
      <c r="E48" s="344" t="n"/>
      <c r="F48" s="344" t="n"/>
      <c r="G48" s="344" t="n"/>
      <c r="H48" s="344" t="n"/>
    </row>
    <row r="49">
      <c r="B49" s="343" t="n"/>
      <c r="D49" s="344" t="n"/>
      <c r="E49" s="344" t="n"/>
      <c r="F49" s="344" t="n"/>
      <c r="G49" s="344" t="n"/>
      <c r="H49" s="344" t="n"/>
    </row>
    <row r="50">
      <c r="B50" s="343" t="n"/>
      <c r="D50" s="344" t="n"/>
      <c r="E50" s="344" t="n"/>
      <c r="F50" s="344" t="n"/>
      <c r="G50" s="344" t="n"/>
      <c r="H50" s="344" t="n"/>
    </row>
    <row r="51">
      <c r="B51" s="343" t="n"/>
      <c r="D51" s="344" t="n"/>
      <c r="E51" s="344" t="n"/>
      <c r="F51" s="344" t="n"/>
      <c r="G51" s="344" t="n"/>
      <c r="H51" s="344" t="n"/>
    </row>
    <row r="52">
      <c r="B52" s="343" t="n"/>
      <c r="D52" s="344" t="n"/>
      <c r="E52" s="344" t="n"/>
      <c r="F52" s="344" t="n"/>
      <c r="G52" s="344" t="n"/>
      <c r="H52" s="344" t="n"/>
    </row>
    <row r="53" customFormat="1" s="1">
      <c r="B53" s="349" t="n"/>
      <c r="D53" s="352" t="n"/>
      <c r="E53" s="352" t="n"/>
      <c r="F53" s="352" t="n"/>
      <c r="G53" s="352" t="n"/>
      <c r="H53" s="352" t="n"/>
    </row>
    <row r="54">
      <c r="B54" s="343" t="n"/>
      <c r="C54" s="343" t="n"/>
      <c r="D54" s="344" t="n"/>
      <c r="E54" s="344" t="n"/>
      <c r="F54" s="344" t="n"/>
      <c r="G54" s="344" t="n"/>
      <c r="H54" s="344" t="n"/>
    </row>
    <row r="55" customFormat="1" s="1">
      <c r="B55" s="349" t="n"/>
      <c r="C55" s="349" t="n"/>
      <c r="D55" s="350" t="n"/>
      <c r="E55" s="350" t="n"/>
      <c r="F55" s="350" t="n"/>
      <c r="G55" s="350" t="n"/>
      <c r="H55" s="350" t="n"/>
    </row>
    <row r="56">
      <c r="B56" s="343" t="n"/>
      <c r="D56" s="344" t="n"/>
      <c r="E56" s="344" t="n"/>
      <c r="F56" s="344" t="n"/>
      <c r="G56" s="344" t="n"/>
      <c r="H56" s="344" t="n"/>
    </row>
    <row r="57">
      <c r="B57" s="343" t="n"/>
      <c r="D57" s="344" t="n"/>
      <c r="E57" s="344" t="n"/>
      <c r="F57" s="344" t="n"/>
      <c r="G57" s="344" t="n"/>
      <c r="H57" s="344" t="n"/>
    </row>
    <row r="58">
      <c r="B58" s="343" t="n"/>
      <c r="D58" s="352" t="n"/>
      <c r="E58" s="352" t="n"/>
      <c r="F58" s="352" t="n"/>
      <c r="G58" s="352" t="n"/>
      <c r="H58" s="352" t="n"/>
    </row>
    <row r="59">
      <c r="B59" s="343" t="n"/>
      <c r="C59" s="343" t="n"/>
      <c r="D59" s="344" t="n"/>
      <c r="E59" s="344" t="n"/>
      <c r="F59" s="344" t="n"/>
      <c r="G59" s="344" t="n"/>
      <c r="H59" s="344" t="n"/>
    </row>
    <row r="60" customFormat="1" s="1">
      <c r="B60" s="349" t="n"/>
      <c r="C60" s="349" t="n"/>
      <c r="D60" s="350" t="n"/>
      <c r="E60" s="350" t="n"/>
      <c r="F60" s="350" t="n"/>
      <c r="G60" s="350" t="n"/>
      <c r="H60" s="350" t="n"/>
    </row>
    <row r="61">
      <c r="B61" s="343" t="n"/>
      <c r="D61" s="344" t="n"/>
      <c r="E61" s="344" t="n"/>
      <c r="F61" s="344" t="n"/>
      <c r="G61" s="344" t="n"/>
      <c r="H61" s="344" t="n"/>
    </row>
    <row r="62">
      <c r="B62" s="343" t="n"/>
      <c r="D62" s="344" t="n"/>
      <c r="E62" s="344" t="n"/>
      <c r="F62" s="344" t="n"/>
      <c r="G62" s="344" t="n"/>
      <c r="H62" s="344" t="n"/>
    </row>
    <row r="63">
      <c r="B63" s="343" t="n"/>
      <c r="D63" s="344" t="n"/>
      <c r="E63" s="344" t="n"/>
      <c r="F63" s="344" t="n"/>
      <c r="G63" s="344" t="n"/>
      <c r="H63" s="344" t="n"/>
    </row>
    <row r="64">
      <c r="B64" s="343" t="n"/>
      <c r="D64" s="344" t="n"/>
      <c r="E64" s="344" t="n"/>
      <c r="F64" s="344" t="n"/>
      <c r="G64" s="344" t="n"/>
      <c r="H64" s="344" t="n"/>
    </row>
    <row r="65">
      <c r="B65" s="343" t="n"/>
      <c r="D65" s="344" t="n"/>
      <c r="E65" s="344" t="n"/>
      <c r="F65" s="344" t="n"/>
      <c r="G65" s="344" t="n"/>
      <c r="H65" s="344" t="n"/>
    </row>
    <row r="66">
      <c r="B66" s="343" t="n"/>
      <c r="D66" s="344" t="n"/>
      <c r="E66" s="344" t="n"/>
      <c r="F66" s="344" t="n"/>
      <c r="G66" s="344" t="n"/>
      <c r="H66" s="344" t="n"/>
    </row>
    <row r="67">
      <c r="B67" s="343" t="n"/>
      <c r="D67" s="357" t="n"/>
      <c r="E67" s="357" t="n"/>
      <c r="F67" s="357" t="n"/>
      <c r="G67" s="357" t="n"/>
      <c r="H67" s="357" t="n"/>
    </row>
    <row r="68">
      <c r="B68" s="343" t="n"/>
      <c r="D68" s="352" t="n"/>
      <c r="E68" s="352" t="n"/>
      <c r="F68" s="352" t="n"/>
      <c r="G68" s="352" t="n"/>
      <c r="H68" s="352" t="n"/>
    </row>
    <row r="69">
      <c r="B69" s="343" t="n"/>
      <c r="C69" s="343" t="n"/>
      <c r="D69" s="344" t="n"/>
      <c r="E69" s="344" t="n"/>
      <c r="F69" s="344" t="n"/>
      <c r="G69" s="344" t="n"/>
      <c r="H69" s="344" t="n"/>
    </row>
    <row r="70" customFormat="1" s="1">
      <c r="D70" s="350" t="n"/>
      <c r="E70" s="350" t="n"/>
      <c r="F70" s="350" t="n"/>
      <c r="G70" s="350" t="n"/>
      <c r="H70" s="350" t="n"/>
    </row>
    <row r="71">
      <c r="B71" s="343" t="n"/>
      <c r="C71" s="343" t="n"/>
      <c r="D71" s="344" t="n"/>
      <c r="E71" s="344" t="n"/>
      <c r="F71" s="344" t="n"/>
      <c r="G71" s="344" t="n"/>
      <c r="H71" s="344" t="n"/>
    </row>
    <row r="72" customFormat="1" s="1">
      <c r="B72" s="349" t="n"/>
      <c r="C72" s="349" t="n"/>
      <c r="D72" s="350" t="n"/>
      <c r="E72" s="350" t="n"/>
      <c r="F72" s="350" t="n"/>
      <c r="G72" s="350" t="n"/>
      <c r="H72" s="350" t="n"/>
    </row>
    <row r="73">
      <c r="B73" s="343" t="n"/>
      <c r="C73" s="343" t="n"/>
      <c r="D73" s="344" t="n"/>
      <c r="E73" s="344" t="n"/>
      <c r="F73" s="344" t="n"/>
      <c r="G73" s="344" t="n"/>
      <c r="H73" s="344" t="n"/>
    </row>
    <row r="74">
      <c r="B74" s="343" t="n"/>
      <c r="D74" s="344" t="n"/>
      <c r="E74" s="344" t="n"/>
      <c r="F74" s="344" t="n"/>
      <c r="G74" s="344" t="n"/>
      <c r="H74" s="344" t="n"/>
    </row>
    <row r="75">
      <c r="B75" s="343" t="n"/>
      <c r="C75" s="343" t="n"/>
      <c r="D75" s="344" t="n"/>
      <c r="E75" s="344" t="n"/>
      <c r="F75" s="344" t="n"/>
      <c r="G75" s="344" t="n"/>
      <c r="H75" s="344" t="n"/>
    </row>
    <row r="76">
      <c r="B76" s="343" t="n"/>
      <c r="C76" s="343" t="n"/>
      <c r="D76" s="344" t="n"/>
      <c r="E76" s="344" t="n"/>
      <c r="F76" s="344" t="n"/>
      <c r="G76" s="344" t="n"/>
      <c r="H76" s="344" t="n"/>
    </row>
    <row r="77">
      <c r="B77" s="343" t="n"/>
      <c r="C77" s="343" t="n"/>
      <c r="D77" s="344" t="n"/>
      <c r="E77" s="344" t="n"/>
      <c r="F77" s="344" t="n"/>
      <c r="G77" s="344" t="n"/>
      <c r="H77" s="344" t="n"/>
    </row>
    <row r="78">
      <c r="B78" s="343" t="n"/>
      <c r="D78" s="344" t="n"/>
      <c r="E78" s="344" t="n"/>
      <c r="F78" s="344" t="n"/>
      <c r="G78" s="344" t="n"/>
      <c r="H78" s="344" t="n"/>
    </row>
    <row r="79">
      <c r="B79" s="343" t="n"/>
      <c r="D79" s="344" t="n"/>
      <c r="E79" s="344" t="n"/>
      <c r="F79" s="344" t="n"/>
      <c r="G79" s="344" t="n"/>
      <c r="H79" s="344" t="n"/>
    </row>
    <row r="80">
      <c r="B80" s="343" t="n"/>
      <c r="C80" s="343" t="n"/>
      <c r="D80" s="357" t="n"/>
      <c r="E80" s="357" t="n"/>
      <c r="F80" s="357" t="n"/>
      <c r="G80" s="357" t="n"/>
      <c r="H80" s="357" t="n"/>
    </row>
    <row r="81">
      <c r="B81" s="343" t="n"/>
      <c r="D81" s="352" t="n"/>
      <c r="E81" s="352" t="n"/>
      <c r="F81" s="352" t="n"/>
      <c r="G81" s="352" t="n"/>
      <c r="H81" s="352" t="n"/>
    </row>
    <row r="82">
      <c r="B82" s="343" t="n"/>
      <c r="C82" s="343" t="n"/>
      <c r="D82" s="344" t="n"/>
      <c r="E82" s="344" t="n"/>
      <c r="F82" s="344" t="n"/>
      <c r="G82" s="344" t="n"/>
      <c r="H82" s="344" t="n"/>
    </row>
    <row r="83" customFormat="1" s="1">
      <c r="D83" s="350" t="n"/>
      <c r="E83" s="350" t="n"/>
      <c r="F83" s="350" t="n"/>
      <c r="G83" s="350" t="n"/>
      <c r="H83" s="350" t="n"/>
    </row>
    <row r="84" customFormat="1" s="1">
      <c r="D84" s="350" t="n"/>
      <c r="E84" s="350" t="n"/>
      <c r="F84" s="350" t="n"/>
      <c r="G84" s="350" t="n"/>
      <c r="H84" s="350" t="n"/>
    </row>
    <row r="85" customFormat="1" s="1">
      <c r="B85" s="349" t="n"/>
      <c r="C85" s="349" t="n"/>
      <c r="D85" s="349" t="n"/>
      <c r="E85" s="349" t="n"/>
      <c r="F85" s="349" t="n"/>
      <c r="G85" s="349" t="n"/>
      <c r="H85" s="349" t="n"/>
    </row>
    <row r="86" customFormat="1" s="1">
      <c r="B86" s="349" t="n"/>
      <c r="C86" s="349" t="n"/>
      <c r="D86" s="350" t="n"/>
      <c r="E86" s="350" t="n"/>
      <c r="F86" s="350" t="n"/>
      <c r="G86" s="350" t="n"/>
      <c r="H86" s="350" t="n"/>
    </row>
    <row r="87">
      <c r="B87" s="343" t="n"/>
      <c r="D87" s="344" t="n"/>
      <c r="E87" s="344" t="n"/>
      <c r="F87" s="344" t="n"/>
      <c r="G87" s="344" t="n"/>
      <c r="H87" s="344" t="n"/>
    </row>
    <row r="88">
      <c r="B88" s="343" t="n"/>
      <c r="D88" s="344" t="n"/>
      <c r="E88" s="344" t="n"/>
      <c r="F88" s="344" t="n"/>
      <c r="G88" s="344" t="n"/>
      <c r="H88" s="344" t="n"/>
    </row>
    <row r="89">
      <c r="B89" s="343" t="n"/>
      <c r="D89" s="344" t="n"/>
      <c r="E89" s="344" t="n"/>
      <c r="F89" s="344" t="n"/>
      <c r="G89" s="344" t="n"/>
      <c r="H89" s="344" t="n"/>
    </row>
    <row r="90">
      <c r="B90" s="343" t="n"/>
      <c r="D90" s="344" t="n"/>
      <c r="E90" s="344" t="n"/>
      <c r="F90" s="344" t="n"/>
      <c r="G90" s="344" t="n"/>
      <c r="H90" s="344" t="n"/>
    </row>
    <row r="91">
      <c r="B91" s="343" t="n"/>
      <c r="D91" s="344" t="n"/>
      <c r="E91" s="344" t="n"/>
      <c r="F91" s="344" t="n"/>
      <c r="G91" s="344" t="n"/>
      <c r="H91" s="344" t="n"/>
    </row>
    <row r="92">
      <c r="B92" s="343" t="n"/>
      <c r="D92" s="344" t="n"/>
      <c r="E92" s="344" t="n"/>
      <c r="F92" s="344" t="n"/>
      <c r="G92" s="344" t="n"/>
      <c r="H92" s="344" t="n"/>
    </row>
    <row r="93">
      <c r="B93" s="343" t="n"/>
      <c r="D93" s="344" t="n"/>
      <c r="E93" s="344" t="n"/>
      <c r="F93" s="344" t="n"/>
      <c r="G93" s="344" t="n"/>
      <c r="H93" s="344" t="n"/>
    </row>
    <row r="94">
      <c r="B94" s="343" t="n"/>
      <c r="D94" s="344" t="n"/>
      <c r="E94" s="344" t="n"/>
      <c r="F94" s="344" t="n"/>
      <c r="G94" s="344" t="n"/>
      <c r="H94" s="344" t="n"/>
    </row>
    <row r="95">
      <c r="B95" s="343" t="n"/>
      <c r="D95" s="344" t="n"/>
      <c r="E95" s="344" t="n"/>
      <c r="F95" s="344" t="n"/>
      <c r="G95" s="344" t="n"/>
      <c r="H95" s="344" t="n"/>
    </row>
    <row r="96">
      <c r="B96" s="343" t="n"/>
      <c r="D96" s="357" t="n"/>
      <c r="E96" s="357" t="n"/>
      <c r="F96" s="357" t="n"/>
      <c r="G96" s="357" t="n"/>
      <c r="H96" s="357" t="n"/>
    </row>
    <row r="97">
      <c r="B97" s="343" t="n"/>
      <c r="D97" s="344" t="n"/>
      <c r="E97" s="344" t="n"/>
      <c r="F97" s="344" t="n"/>
      <c r="G97" s="344" t="n"/>
      <c r="H97" s="344" t="n"/>
    </row>
    <row r="98">
      <c r="B98" s="343" t="n"/>
      <c r="D98" s="357" t="n"/>
      <c r="E98" s="357" t="n"/>
      <c r="F98" s="357" t="n"/>
      <c r="G98" s="357" t="n"/>
      <c r="H98" s="357" t="n"/>
    </row>
    <row r="99">
      <c r="B99" s="343" t="n"/>
      <c r="D99" s="344" t="n"/>
      <c r="E99" s="344" t="n"/>
      <c r="F99" s="344" t="n"/>
      <c r="G99" s="344" t="n"/>
      <c r="H99" s="344" t="n"/>
    </row>
    <row r="100">
      <c r="B100" s="343" t="n"/>
      <c r="D100" s="357" t="n"/>
      <c r="E100" s="357" t="n"/>
      <c r="F100" s="357" t="n"/>
      <c r="G100" s="357" t="n"/>
      <c r="H100" s="357" t="n"/>
    </row>
    <row r="101" customFormat="1" s="1">
      <c r="B101" s="349" t="n"/>
      <c r="D101" s="352" t="n"/>
      <c r="E101" s="352" t="n"/>
      <c r="F101" s="352" t="n"/>
      <c r="G101" s="352" t="n"/>
      <c r="H101" s="352" t="n"/>
    </row>
    <row r="102">
      <c r="B102" s="343" t="n"/>
      <c r="C102" s="343" t="n"/>
    </row>
    <row r="103" customFormat="1" s="1">
      <c r="B103" s="349" t="n"/>
      <c r="C103" s="349" t="n"/>
      <c r="D103" s="350" t="n"/>
      <c r="E103" s="350" t="n"/>
      <c r="F103" s="350" t="n"/>
      <c r="G103" s="350" t="n"/>
      <c r="H103" s="350" t="n"/>
    </row>
    <row r="104" customFormat="1" s="1">
      <c r="B104" s="349" t="n"/>
      <c r="D104" s="352" t="n"/>
      <c r="E104" s="352" t="n"/>
      <c r="F104" s="352" t="n"/>
      <c r="G104" s="352" t="n"/>
      <c r="H104" s="352" t="n"/>
    </row>
    <row r="105">
      <c r="B105" s="343" t="n"/>
      <c r="C105" s="343" t="n"/>
      <c r="D105" s="353" t="n"/>
      <c r="E105" s="353" t="n"/>
      <c r="F105" s="353" t="n"/>
      <c r="G105" s="353" t="n"/>
      <c r="H105" s="353" t="n"/>
    </row>
    <row r="106" customFormat="1" s="1">
      <c r="D106" s="350" t="n"/>
      <c r="E106" s="350" t="n"/>
      <c r="F106" s="350" t="n"/>
      <c r="G106" s="350" t="n"/>
      <c r="H106" s="350" t="n"/>
    </row>
    <row r="107" customFormat="1" s="1">
      <c r="B107" s="349" t="n"/>
      <c r="D107" s="352" t="n"/>
      <c r="E107" s="352" t="n"/>
      <c r="F107" s="352" t="n"/>
      <c r="G107" s="352" t="n"/>
      <c r="H107" s="352" t="n"/>
    </row>
    <row r="108" customFormat="1" s="1">
      <c r="B108" s="349" t="n"/>
      <c r="D108" s="352" t="n"/>
      <c r="E108" s="352" t="n"/>
      <c r="F108" s="352" t="n"/>
      <c r="G108" s="352" t="n"/>
      <c r="H108" s="352" t="n"/>
    </row>
    <row r="109" customFormat="1" s="1">
      <c r="C109" s="199" t="n"/>
      <c r="D109" s="362" t="n"/>
      <c r="E109" s="362" t="n"/>
      <c r="F109" s="362" t="n"/>
      <c r="G109" s="362" t="n"/>
      <c r="H109" s="362" t="n"/>
    </row>
    <row r="110">
      <c r="A110" s="1" t="n"/>
    </row>
    <row r="111">
      <c r="D111" s="363" t="n"/>
      <c r="E111" s="363" t="n"/>
      <c r="F111" s="363" t="n"/>
      <c r="G111" s="363" t="n"/>
      <c r="H111" s="363" t="n"/>
    </row>
    <row r="112">
      <c r="D112" s="363" t="n"/>
      <c r="E112" s="363" t="n"/>
      <c r="F112" s="363" t="n"/>
      <c r="G112" s="363" t="n"/>
      <c r="H112" s="363" t="n"/>
    </row>
    <row r="113">
      <c r="D113" s="363" t="n"/>
      <c r="E113" s="363" t="n"/>
      <c r="F113" s="363" t="n"/>
      <c r="G113" s="363" t="n"/>
      <c r="H113" s="363" t="n"/>
    </row>
    <row r="115">
      <c r="B115" s="1" t="n"/>
      <c r="D115" s="352" t="n"/>
      <c r="E115" s="352" t="n"/>
      <c r="F115" s="352" t="n"/>
      <c r="G115" s="352" t="n"/>
      <c r="H115" s="352" t="n"/>
    </row>
    <row r="116">
      <c r="B116" s="1" t="n"/>
      <c r="C116" s="56" t="n"/>
      <c r="D116" s="324" t="n"/>
      <c r="E116" s="324" t="n"/>
      <c r="F116" s="324" t="n"/>
      <c r="G116" s="324" t="n"/>
      <c r="H116" s="324" t="n"/>
    </row>
    <row r="118">
      <c r="D118" s="363" t="n"/>
      <c r="E118" s="363" t="n"/>
      <c r="F118" s="363" t="n"/>
      <c r="G118" s="363" t="n"/>
      <c r="H118" s="363" t="n"/>
    </row>
    <row r="120" customFormat="1" s="1">
      <c r="D120" s="333" t="n"/>
      <c r="E120" s="333" t="n"/>
      <c r="F120" s="333" t="n"/>
      <c r="G120" s="333" t="n"/>
      <c r="H120" s="333" t="n"/>
    </row>
    <row r="121">
      <c r="D121" s="323" t="n"/>
      <c r="E121" s="323" t="n"/>
      <c r="F121" s="323" t="n"/>
      <c r="G121" s="323" t="n"/>
      <c r="H121" s="323" t="n"/>
    </row>
    <row r="122">
      <c r="D122" s="323" t="n"/>
      <c r="E122" s="323" t="n"/>
      <c r="F122" s="323" t="n"/>
      <c r="G122" s="323" t="n"/>
      <c r="H122" s="323" t="n"/>
    </row>
    <row r="123">
      <c r="D123" s="366" t="n"/>
      <c r="E123" s="366" t="n"/>
      <c r="F123" s="323" t="n"/>
      <c r="G123" s="323" t="n"/>
      <c r="H123" s="323" t="n"/>
    </row>
    <row r="124">
      <c r="D124" s="323" t="n"/>
      <c r="E124" s="323" t="n"/>
      <c r="F124" s="323" t="n"/>
      <c r="G124" s="323" t="n"/>
      <c r="H124" s="323" t="n"/>
    </row>
    <row r="125" customFormat="1" s="1">
      <c r="D125" s="333" t="n"/>
      <c r="E125" s="333" t="n"/>
      <c r="F125" s="333" t="n"/>
      <c r="G125" s="333" t="n"/>
      <c r="H125" s="333" t="n"/>
    </row>
    <row r="126">
      <c r="D126" s="323" t="n"/>
      <c r="E126" s="323" t="n"/>
      <c r="F126" s="323" t="n"/>
      <c r="G126" s="323" t="n"/>
      <c r="H126" s="323" t="n"/>
    </row>
    <row r="127">
      <c r="D127" s="323" t="n"/>
      <c r="E127" s="323" t="n"/>
      <c r="F127" s="323" t="n"/>
      <c r="G127" s="323" t="n"/>
      <c r="H127" s="323" t="n"/>
    </row>
    <row r="128" customFormat="1" s="1">
      <c r="D128" s="333" t="n"/>
      <c r="E128" s="333" t="n"/>
      <c r="F128" s="333" t="n"/>
      <c r="G128" s="333" t="n"/>
      <c r="H128" s="333" t="n"/>
    </row>
    <row r="129">
      <c r="D129" s="323" t="n"/>
      <c r="E129" s="323" t="n"/>
      <c r="F129" s="323" t="n"/>
      <c r="G129" s="323" t="n"/>
      <c r="H129" s="323" t="n"/>
    </row>
    <row r="130">
      <c r="D130" s="323" t="n"/>
      <c r="E130" s="323" t="n"/>
      <c r="F130" s="323" t="n"/>
      <c r="G130" s="323" t="n"/>
      <c r="H130" s="323" t="n"/>
    </row>
    <row r="131">
      <c r="D131" s="323" t="n"/>
      <c r="E131" s="323" t="n"/>
      <c r="F131" s="323" t="n"/>
      <c r="G131" s="323" t="n"/>
      <c r="H131" s="323" t="n"/>
    </row>
    <row r="132" customFormat="1" s="1">
      <c r="D132" s="333" t="n"/>
      <c r="E132" s="333" t="n"/>
      <c r="F132" s="333" t="n"/>
      <c r="G132" s="333" t="n"/>
      <c r="H132" s="333" t="n"/>
    </row>
    <row r="133">
      <c r="D133" s="323" t="n"/>
      <c r="E133" s="323" t="n"/>
      <c r="F133" s="323" t="n"/>
      <c r="G133" s="323" t="n"/>
      <c r="H133" s="323" t="n"/>
    </row>
    <row r="134">
      <c r="D134" s="323" t="n"/>
      <c r="E134" s="323" t="n"/>
      <c r="F134" s="323" t="n"/>
      <c r="G134" s="323" t="n"/>
      <c r="H134" s="323" t="n"/>
    </row>
    <row r="135" customFormat="1" s="1">
      <c r="D135" s="333" t="n"/>
      <c r="E135" s="333" t="n"/>
      <c r="F135" s="333" t="n"/>
      <c r="G135" s="333" t="n"/>
      <c r="H135" s="333" t="n"/>
    </row>
    <row r="136">
      <c r="A136" s="171" t="n"/>
      <c r="D136" s="323" t="n"/>
      <c r="E136" s="323" t="n"/>
      <c r="F136" s="323" t="n"/>
      <c r="G136" s="323" t="n"/>
      <c r="H136" s="323" t="n"/>
    </row>
    <row r="137">
      <c r="C137" s="363" t="n"/>
      <c r="D137" s="323" t="n"/>
      <c r="E137" s="323" t="n"/>
      <c r="F137" s="323" t="n"/>
      <c r="G137" s="323" t="n"/>
      <c r="H137" s="323" t="n"/>
    </row>
    <row r="138">
      <c r="C138" s="363" t="n"/>
      <c r="D138" s="323" t="n"/>
      <c r="E138" s="323" t="n"/>
      <c r="F138" s="323" t="n"/>
      <c r="G138" s="323" t="n"/>
      <c r="H138" s="323" t="n"/>
    </row>
    <row r="139" customFormat="1" s="1">
      <c r="D139" s="333" t="n"/>
      <c r="E139" s="333" t="n"/>
      <c r="F139" s="333" t="n"/>
      <c r="G139" s="333" t="n"/>
      <c r="H139" s="333" t="n"/>
    </row>
    <row r="140">
      <c r="A140" s="34" t="n"/>
      <c r="D140" s="333" t="n"/>
      <c r="E140" s="333" t="n"/>
      <c r="F140" s="333" t="n"/>
      <c r="G140" s="333" t="n"/>
      <c r="H140" s="333" t="n"/>
    </row>
    <row r="145">
      <c r="D145" s="324" t="n"/>
      <c r="E145" s="324" t="n"/>
      <c r="F145" s="324" t="n"/>
      <c r="G145" s="324" t="n"/>
      <c r="H145" s="324" t="n"/>
    </row>
    <row r="147">
      <c r="D147" s="369" t="n"/>
      <c r="E147" s="369" t="n"/>
      <c r="F147" s="369" t="n"/>
      <c r="G147" s="369" t="n"/>
      <c r="H147" s="369" t="n"/>
    </row>
    <row r="148">
      <c r="D148" s="296" t="n"/>
      <c r="E148" s="296" t="n"/>
      <c r="F148" s="296" t="n"/>
      <c r="G148" s="296" t="n"/>
      <c r="H148" s="296" t="n"/>
    </row>
    <row r="149">
      <c r="D149" s="324" t="n"/>
      <c r="E149" s="324" t="n"/>
      <c r="F149" s="324" t="n"/>
      <c r="G149" s="324" t="n"/>
      <c r="H149" s="324" t="n"/>
    </row>
    <row r="150">
      <c r="D150" s="363" t="n"/>
      <c r="E150" s="363" t="n"/>
      <c r="F150" s="363" t="n"/>
      <c r="G150" s="363" t="n"/>
      <c r="H150" s="363" t="n"/>
    </row>
    <row r="151">
      <c r="D151" s="363" t="n"/>
      <c r="E151" s="363" t="n"/>
      <c r="F151" s="363" t="n"/>
      <c r="G151" s="363" t="n"/>
      <c r="H151" s="363" t="n"/>
    </row>
    <row r="153">
      <c r="D153" s="363" t="n"/>
      <c r="E153" s="363" t="n"/>
      <c r="F153" s="363" t="n"/>
      <c r="G153" s="363" t="n"/>
      <c r="H153" s="363" t="n"/>
    </row>
    <row r="156">
      <c r="H156" s="176" t="n"/>
    </row>
    <row r="158">
      <c r="H158" s="176" t="n"/>
    </row>
    <row r="159">
      <c r="H159" s="176" t="n"/>
    </row>
    <row r="160">
      <c r="H160" s="176" t="n"/>
    </row>
    <row r="162">
      <c r="D162" s="176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I153"/>
  <sheetViews>
    <sheetView topLeftCell="A2" zoomScale="85" zoomScaleNormal="85" workbookViewId="0">
      <pane xSplit="3" ySplit="1" topLeftCell="D3" activePane="bottomRight" state="frozen"/>
      <selection pane="topRight" activeCell="D2" sqref="D2"/>
      <selection pane="bottomLeft" activeCell="A3" sqref="A3"/>
      <selection pane="bottomRight" activeCell="C67" sqref="C67"/>
    </sheetView>
  </sheetViews>
  <sheetFormatPr baseColWidth="10" defaultColWidth="8.83203125" defaultRowHeight="15" outlineLevelRow="1"/>
  <cols>
    <col width="40.5" bestFit="1" customWidth="1" min="1" max="1"/>
    <col width="13.6640625" customWidth="1" min="2" max="2"/>
    <col width="17" customWidth="1" min="3" max="3"/>
    <col width="13.6640625" customWidth="1" min="4" max="4"/>
    <col width="10.83203125" customWidth="1" min="5" max="9"/>
    <col width="14.33203125" customWidth="1" min="10" max="24"/>
    <col width="10.83203125" customWidth="1" min="25" max="30"/>
    <col width="5.1640625" bestFit="1" customWidth="1" min="31" max="31"/>
    <col width="17.1640625" bestFit="1" customWidth="1" min="32" max="32"/>
    <col width="33.83203125" bestFit="1" customWidth="1" min="34" max="34"/>
    <col width="15.83203125" bestFit="1" customWidth="1" min="35" max="35"/>
  </cols>
  <sheetData>
    <row r="1" hidden="1">
      <c r="A1" s="10" t="n"/>
      <c r="B1" s="36" t="n"/>
      <c r="C1" s="36" t="n"/>
      <c r="D1" s="29" t="n">
        <v>2</v>
      </c>
      <c r="E1" s="29">
        <f>+D1+1</f>
        <v/>
      </c>
      <c r="F1" s="29">
        <f>+E1+1</f>
        <v/>
      </c>
      <c r="G1" s="29">
        <f>+F1+1</f>
        <v/>
      </c>
      <c r="H1" s="29">
        <f>+G1+1</f>
        <v/>
      </c>
      <c r="I1" s="29">
        <f>+H1+1</f>
        <v/>
      </c>
      <c r="J1" s="29">
        <f>+I1+1</f>
        <v/>
      </c>
      <c r="K1" s="29">
        <f>+J1+1</f>
        <v/>
      </c>
      <c r="L1" s="29">
        <f>+K1+1</f>
        <v/>
      </c>
      <c r="M1" s="29">
        <f>+L1+1</f>
        <v/>
      </c>
      <c r="N1" s="29">
        <f>+M1+1</f>
        <v/>
      </c>
      <c r="O1" s="29">
        <f>+N1+1</f>
        <v/>
      </c>
      <c r="P1" s="29">
        <f>+O1+1</f>
        <v/>
      </c>
      <c r="Q1" s="29">
        <f>+P1+1</f>
        <v/>
      </c>
      <c r="R1" s="29">
        <f>+Q1+1</f>
        <v/>
      </c>
      <c r="S1" s="29">
        <f>+R1+1</f>
        <v/>
      </c>
      <c r="T1" s="29">
        <f>+S1+1</f>
        <v/>
      </c>
      <c r="U1" s="29">
        <f>+T1+1</f>
        <v/>
      </c>
      <c r="V1" s="29">
        <f>+U1+1</f>
        <v/>
      </c>
      <c r="W1" s="29">
        <f>+V1+1</f>
        <v/>
      </c>
      <c r="X1" s="29">
        <f>+W1+1</f>
        <v/>
      </c>
      <c r="Y1" s="29">
        <f>+X1+1</f>
        <v/>
      </c>
      <c r="Z1" s="29">
        <f>+Y1+1</f>
        <v/>
      </c>
      <c r="AA1" s="29">
        <f>+Z1+1</f>
        <v/>
      </c>
      <c r="AB1" s="29">
        <f>+AA1+1</f>
        <v/>
      </c>
      <c r="AC1" s="29">
        <f>+AB1+1</f>
        <v/>
      </c>
      <c r="AD1" s="29">
        <f>+AC1+1</f>
        <v/>
      </c>
      <c r="AE1" s="50" t="n"/>
      <c r="AF1" s="3" t="n"/>
    </row>
    <row r="2" ht="16" customHeight="1">
      <c r="A2" s="52" t="inlineStr">
        <is>
          <t>OC - Proposal</t>
        </is>
      </c>
      <c r="B2" s="51" t="n"/>
      <c r="C2" s="306" t="n"/>
      <c r="D2" s="306">
        <f>Assumptions!J1</f>
        <v/>
      </c>
      <c r="E2" s="306">
        <f>Assumptions!J1</f>
        <v/>
      </c>
      <c r="F2" s="306">
        <f>Assumptions!K1</f>
        <v/>
      </c>
      <c r="G2" s="306">
        <f>Assumptions!L1</f>
        <v/>
      </c>
      <c r="H2" s="306">
        <f>Assumptions!M1</f>
        <v/>
      </c>
      <c r="I2" s="306">
        <f>Assumptions!N1</f>
        <v/>
      </c>
      <c r="J2" s="306">
        <f>Assumptions!O1</f>
        <v/>
      </c>
      <c r="K2" s="306">
        <f>Assumptions!P1</f>
        <v/>
      </c>
      <c r="L2" s="306">
        <f>Assumptions!Q1</f>
        <v/>
      </c>
      <c r="M2" s="306">
        <f>Assumptions!R1</f>
        <v/>
      </c>
      <c r="N2" s="306">
        <f>Assumptions!S1</f>
        <v/>
      </c>
      <c r="O2" s="306">
        <f>Assumptions!T1</f>
        <v/>
      </c>
      <c r="P2" s="306">
        <f>Assumptions!U1</f>
        <v/>
      </c>
      <c r="Q2" s="306">
        <f>Assumptions!V1</f>
        <v/>
      </c>
      <c r="R2" s="306">
        <f>Assumptions!W1</f>
        <v/>
      </c>
      <c r="S2" s="306">
        <f>Assumptions!X1</f>
        <v/>
      </c>
      <c r="T2" s="306">
        <f>Assumptions!Y1</f>
        <v/>
      </c>
      <c r="U2" s="306">
        <f>Assumptions!Z1</f>
        <v/>
      </c>
      <c r="V2" s="306">
        <f>Assumptions!AA1</f>
        <v/>
      </c>
      <c r="W2" s="306">
        <f>Assumptions!AB1</f>
        <v/>
      </c>
      <c r="X2" s="306">
        <f>Assumptions!AC1</f>
        <v/>
      </c>
      <c r="Y2" s="306">
        <f>Assumptions!AD1</f>
        <v/>
      </c>
      <c r="Z2" s="306">
        <f>Assumptions!AE1</f>
        <v/>
      </c>
      <c r="AA2" s="306">
        <f>Assumptions!AF1</f>
        <v/>
      </c>
      <c r="AB2" s="306">
        <f>Assumptions!AG1</f>
        <v/>
      </c>
      <c r="AC2" s="306">
        <f>Assumptions!AH1</f>
        <v/>
      </c>
      <c r="AD2" s="306">
        <f>Assumptions!AI1</f>
        <v/>
      </c>
      <c r="AE2" s="306" t="n"/>
      <c r="AF2" s="54" t="inlineStr">
        <is>
          <t>Total</t>
        </is>
      </c>
      <c r="AH2" s="15" t="inlineStr">
        <is>
          <t>Valuation Summary</t>
        </is>
      </c>
      <c r="AI2" s="16" t="n"/>
    </row>
    <row r="3">
      <c r="A3" s="2" t="inlineStr">
        <is>
          <t>Physicals</t>
        </is>
      </c>
      <c r="B3" s="36" t="n"/>
      <c r="C3" s="36" t="n"/>
      <c r="D3" s="36" t="n"/>
      <c r="E3" s="36" t="n"/>
      <c r="F3" s="36" t="n"/>
      <c r="G3" s="347" t="n"/>
      <c r="H3" s="347" t="n"/>
      <c r="I3" s="347" t="n"/>
      <c r="J3" s="347" t="n"/>
      <c r="K3" s="347" t="n"/>
      <c r="L3" s="347" t="n"/>
      <c r="M3" s="347" t="n"/>
      <c r="N3" s="347" t="n"/>
      <c r="O3" s="347" t="n"/>
      <c r="P3" s="347" t="n"/>
      <c r="Q3" s="347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" t="n"/>
      <c r="AH3" s="4" t="inlineStr">
        <is>
          <t>Net Present Value (AUDM)</t>
        </is>
      </c>
      <c r="AI3" s="370">
        <f>AF126/1000</f>
        <v/>
      </c>
    </row>
    <row r="4">
      <c r="A4" s="28" t="inlineStr">
        <is>
          <t>Reserves</t>
        </is>
      </c>
      <c r="B4" s="17" t="inlineStr">
        <is>
          <t>kt</t>
        </is>
      </c>
      <c r="C4" s="323" t="n">
        <v>20000</v>
      </c>
      <c r="AF4" s="25" t="n"/>
      <c r="AH4" s="8" t="n"/>
      <c r="AI4" s="73" t="n"/>
    </row>
    <row r="5">
      <c r="A5" s="28" t="inlineStr">
        <is>
          <t>Mining</t>
        </is>
      </c>
      <c r="B5" s="84" t="n"/>
      <c r="J5" s="372" t="n"/>
      <c r="K5" s="372" t="n"/>
      <c r="L5" s="372" t="n"/>
      <c r="M5" s="372" t="n"/>
      <c r="N5" s="372" t="n"/>
      <c r="O5" s="372" t="n"/>
      <c r="P5" s="372" t="n"/>
      <c r="Q5" s="372" t="n"/>
      <c r="R5" s="372" t="n"/>
      <c r="S5" s="372" t="n"/>
      <c r="T5" s="372" t="n"/>
      <c r="U5" s="372" t="n"/>
      <c r="V5" s="372" t="n"/>
      <c r="W5" s="372" t="n"/>
      <c r="X5" s="372" t="n"/>
      <c r="Y5" s="372" t="n"/>
      <c r="Z5" s="372" t="n"/>
      <c r="AA5" s="372" t="n"/>
      <c r="AB5" s="372" t="n"/>
      <c r="AC5" s="372" t="n"/>
      <c r="AD5" s="372" t="n"/>
      <c r="AE5" s="372" t="n"/>
      <c r="AF5" s="25" t="n"/>
    </row>
    <row r="6">
      <c r="A6" s="4" t="inlineStr">
        <is>
          <t>Prime Waste Removed (T&amp;S)</t>
        </is>
      </c>
      <c r="B6" s="17" t="inlineStr">
        <is>
          <t>kbcm</t>
        </is>
      </c>
      <c r="C6" s="391" t="n"/>
      <c r="D6" s="323">
        <f>$C$6</f>
        <v/>
      </c>
      <c r="E6" s="323">
        <f>$C$6</f>
        <v/>
      </c>
      <c r="F6" s="323">
        <f>$C$6</f>
        <v/>
      </c>
      <c r="G6" s="323">
        <f>$C$6</f>
        <v/>
      </c>
      <c r="H6" s="323">
        <f>$C$6</f>
        <v/>
      </c>
      <c r="I6" s="323">
        <f>$C$6</f>
        <v/>
      </c>
      <c r="J6" s="323">
        <f>$C$6</f>
        <v/>
      </c>
      <c r="K6" s="323">
        <f>$C$6</f>
        <v/>
      </c>
      <c r="L6" s="323">
        <f>$C$6</f>
        <v/>
      </c>
      <c r="M6" s="323">
        <f>$C$6</f>
        <v/>
      </c>
      <c r="N6" s="323">
        <f>$C$6</f>
        <v/>
      </c>
      <c r="O6" s="323">
        <f>$C$6</f>
        <v/>
      </c>
      <c r="P6" s="323">
        <f>$C$6</f>
        <v/>
      </c>
      <c r="Q6" s="323">
        <f>$C$6</f>
        <v/>
      </c>
      <c r="R6" s="323">
        <f>$C$6</f>
        <v/>
      </c>
      <c r="S6" s="323">
        <f>$C$6</f>
        <v/>
      </c>
      <c r="T6" s="323">
        <f>$C$6</f>
        <v/>
      </c>
      <c r="U6" s="323">
        <f>$C$6</f>
        <v/>
      </c>
      <c r="V6" s="323">
        <f>$C$6</f>
        <v/>
      </c>
      <c r="W6" s="323">
        <f>$C$6</f>
        <v/>
      </c>
      <c r="X6" s="323">
        <f>$C$6</f>
        <v/>
      </c>
      <c r="Y6" s="323">
        <f>$C$6</f>
        <v/>
      </c>
      <c r="Z6" s="323">
        <f>$C$6</f>
        <v/>
      </c>
      <c r="AA6" s="323">
        <f>$C$6</f>
        <v/>
      </c>
      <c r="AB6" s="323">
        <f>$C$6</f>
        <v/>
      </c>
      <c r="AC6" s="323">
        <f>$C$6</f>
        <v/>
      </c>
      <c r="AD6" s="323">
        <f>$C$6</f>
        <v/>
      </c>
      <c r="AE6" s="323" t="n"/>
      <c r="AF6" s="370">
        <f>SUM(D6:AD6)</f>
        <v/>
      </c>
      <c r="AH6" s="15" t="inlineStr">
        <is>
          <t>Sensitivities Table</t>
        </is>
      </c>
      <c r="AI6" s="16" t="n"/>
    </row>
    <row r="7">
      <c r="A7" s="4" t="inlineStr">
        <is>
          <t>Prime Waste Removed (Dragline)</t>
        </is>
      </c>
      <c r="B7" s="17" t="inlineStr">
        <is>
          <t>kbcm</t>
        </is>
      </c>
      <c r="C7" s="391" t="n"/>
      <c r="D7" s="323">
        <f>C7</f>
        <v/>
      </c>
      <c r="E7" s="323">
        <f>D7</f>
        <v/>
      </c>
      <c r="F7" s="323">
        <f>E7</f>
        <v/>
      </c>
      <c r="G7" s="323">
        <f>F7</f>
        <v/>
      </c>
      <c r="H7" s="323">
        <f>G7</f>
        <v/>
      </c>
      <c r="I7" s="323">
        <f>H7</f>
        <v/>
      </c>
      <c r="J7" s="323">
        <f>I7</f>
        <v/>
      </c>
      <c r="K7" s="323">
        <f>J7</f>
        <v/>
      </c>
      <c r="L7" s="323">
        <f>K7</f>
        <v/>
      </c>
      <c r="M7" s="323">
        <f>L7</f>
        <v/>
      </c>
      <c r="N7" s="323">
        <f>M7</f>
        <v/>
      </c>
      <c r="O7" s="323">
        <f>N7</f>
        <v/>
      </c>
      <c r="P7" s="323">
        <f>O7</f>
        <v/>
      </c>
      <c r="Q7" s="323">
        <f>P7</f>
        <v/>
      </c>
      <c r="R7" s="323">
        <f>Q7</f>
        <v/>
      </c>
      <c r="S7" s="323">
        <f>R7</f>
        <v/>
      </c>
      <c r="T7" s="323">
        <f>S7</f>
        <v/>
      </c>
      <c r="U7" s="323">
        <f>T7</f>
        <v/>
      </c>
      <c r="V7" s="323">
        <f>U7</f>
        <v/>
      </c>
      <c r="W7" s="323">
        <f>V7</f>
        <v/>
      </c>
      <c r="X7" s="323">
        <f>W7</f>
        <v/>
      </c>
      <c r="Y7" s="323">
        <f>X7</f>
        <v/>
      </c>
      <c r="Z7" s="323">
        <f>Y7</f>
        <v/>
      </c>
      <c r="AA7" s="323">
        <f>Z7</f>
        <v/>
      </c>
      <c r="AB7" s="323">
        <f>AA7</f>
        <v/>
      </c>
      <c r="AC7" s="323">
        <f>AB7</f>
        <v/>
      </c>
      <c r="AD7" s="323">
        <f>AC7</f>
        <v/>
      </c>
      <c r="AE7" s="323" t="n"/>
      <c r="AF7" s="370">
        <f>SUM(D7:AD7)</f>
        <v/>
      </c>
      <c r="AH7" s="4" t="inlineStr">
        <is>
          <t>Sales Price</t>
        </is>
      </c>
      <c r="AI7" s="39" t="n">
        <v>0</v>
      </c>
    </row>
    <row r="8">
      <c r="A8" s="4" t="inlineStr">
        <is>
          <t>Total Prime Waste Removed</t>
        </is>
      </c>
      <c r="B8" s="17" t="inlineStr">
        <is>
          <t>kbcm</t>
        </is>
      </c>
      <c r="C8" s="394" t="n"/>
      <c r="D8" s="394">
        <f>SUM(D6:D7)</f>
        <v/>
      </c>
      <c r="E8" s="394">
        <f>SUM(E6:E7)</f>
        <v/>
      </c>
      <c r="F8" s="394">
        <f>SUM(F6:F7)</f>
        <v/>
      </c>
      <c r="G8" s="394">
        <f>SUM(G6:G7)</f>
        <v/>
      </c>
      <c r="H8" s="394">
        <f>SUM(H6:H7)</f>
        <v/>
      </c>
      <c r="I8" s="394">
        <f>SUM(I6:I7)</f>
        <v/>
      </c>
      <c r="J8" s="394">
        <f>SUM(J6:J7)</f>
        <v/>
      </c>
      <c r="K8" s="394">
        <f>SUM(K6:K7)</f>
        <v/>
      </c>
      <c r="L8" s="394">
        <f>SUM(L6:L7)</f>
        <v/>
      </c>
      <c r="M8" s="394">
        <f>SUM(M6:M7)</f>
        <v/>
      </c>
      <c r="N8" s="394">
        <f>SUM(N6:N7)</f>
        <v/>
      </c>
      <c r="O8" s="394">
        <f>SUM(O6:O7)</f>
        <v/>
      </c>
      <c r="P8" s="394">
        <f>SUM(P6:P7)</f>
        <v/>
      </c>
      <c r="Q8" s="394">
        <f>SUM(Q6:Q7)</f>
        <v/>
      </c>
      <c r="R8" s="394">
        <f>SUM(R6:R7)</f>
        <v/>
      </c>
      <c r="S8" s="394">
        <f>SUM(S6:S7)</f>
        <v/>
      </c>
      <c r="T8" s="394">
        <f>SUM(T6:T7)</f>
        <v/>
      </c>
      <c r="U8" s="394">
        <f>SUM(U6:U7)</f>
        <v/>
      </c>
      <c r="V8" s="394">
        <f>SUM(V6:V7)</f>
        <v/>
      </c>
      <c r="W8" s="394">
        <f>SUM(W6:W7)</f>
        <v/>
      </c>
      <c r="X8" s="394">
        <f>SUM(X6:X7)</f>
        <v/>
      </c>
      <c r="Y8" s="394">
        <f>SUM(Y6:Y7)</f>
        <v/>
      </c>
      <c r="Z8" s="394">
        <f>SUM(Z6:Z7)</f>
        <v/>
      </c>
      <c r="AA8" s="394">
        <f>SUM(AA6:AA7)</f>
        <v/>
      </c>
      <c r="AB8" s="394">
        <f>SUM(AB6:AB7)</f>
        <v/>
      </c>
      <c r="AC8" s="394">
        <f>SUM(AC6:AC7)</f>
        <v/>
      </c>
      <c r="AD8" s="394">
        <f>SUM(AD6:AD7)</f>
        <v/>
      </c>
      <c r="AE8" s="394" t="n"/>
      <c r="AF8" s="370">
        <f>SUM(D8:AD8)</f>
        <v/>
      </c>
      <c r="AH8" s="4" t="inlineStr">
        <is>
          <t>T&amp;S Costs</t>
        </is>
      </c>
      <c r="AI8" s="39" t="n">
        <v>0</v>
      </c>
    </row>
    <row r="9">
      <c r="A9" s="4" t="inlineStr">
        <is>
          <t>Prime Waste Blasted</t>
        </is>
      </c>
      <c r="B9" s="17" t="inlineStr">
        <is>
          <t>kbcm</t>
        </is>
      </c>
      <c r="C9" s="323" t="n"/>
      <c r="D9" s="323">
        <f>D8</f>
        <v/>
      </c>
      <c r="E9" s="323">
        <f>E8</f>
        <v/>
      </c>
      <c r="F9" s="323">
        <f>F8</f>
        <v/>
      </c>
      <c r="G9" s="323">
        <f>G8</f>
        <v/>
      </c>
      <c r="H9" s="323">
        <f>H8</f>
        <v/>
      </c>
      <c r="I9" s="323">
        <f>I8</f>
        <v/>
      </c>
      <c r="J9" s="323">
        <f>J8</f>
        <v/>
      </c>
      <c r="K9" s="323">
        <f>K8</f>
        <v/>
      </c>
      <c r="L9" s="323">
        <f>L8</f>
        <v/>
      </c>
      <c r="M9" s="323">
        <f>M8</f>
        <v/>
      </c>
      <c r="N9" s="323">
        <f>N8</f>
        <v/>
      </c>
      <c r="O9" s="323">
        <f>O8</f>
        <v/>
      </c>
      <c r="P9" s="323">
        <f>P8</f>
        <v/>
      </c>
      <c r="Q9" s="323">
        <f>Q8</f>
        <v/>
      </c>
      <c r="R9" s="323">
        <f>R8</f>
        <v/>
      </c>
      <c r="S9" s="323">
        <f>S8</f>
        <v/>
      </c>
      <c r="T9" s="323">
        <f>T8</f>
        <v/>
      </c>
      <c r="U9" s="323">
        <f>U8</f>
        <v/>
      </c>
      <c r="V9" s="323">
        <f>V8</f>
        <v/>
      </c>
      <c r="W9" s="323">
        <f>W8</f>
        <v/>
      </c>
      <c r="X9" s="323">
        <f>X8</f>
        <v/>
      </c>
      <c r="Y9" s="323">
        <f>Y8</f>
        <v/>
      </c>
      <c r="Z9" s="323">
        <f>Z8</f>
        <v/>
      </c>
      <c r="AA9" s="323">
        <f>AA8</f>
        <v/>
      </c>
      <c r="AB9" s="323">
        <f>AB8</f>
        <v/>
      </c>
      <c r="AC9" s="323">
        <f>AC8</f>
        <v/>
      </c>
      <c r="AD9" s="323">
        <f>AD8</f>
        <v/>
      </c>
      <c r="AE9" s="323" t="n"/>
      <c r="AF9" s="370">
        <f>SUM(D9:AD9)</f>
        <v/>
      </c>
      <c r="AH9" s="4" t="inlineStr">
        <is>
          <t>Dragline Costs</t>
        </is>
      </c>
      <c r="AI9" s="39" t="n">
        <v>0</v>
      </c>
    </row>
    <row r="10">
      <c r="A10" s="4" t="n"/>
      <c r="B10" s="17" t="n"/>
      <c r="C10" s="323" t="n"/>
      <c r="D10" s="323" t="n"/>
      <c r="E10" s="323" t="n"/>
      <c r="F10" s="323" t="n"/>
      <c r="G10" s="323" t="n"/>
      <c r="H10" s="323" t="n"/>
      <c r="I10" s="323" t="n"/>
      <c r="J10" s="323" t="n"/>
      <c r="K10" s="323" t="n"/>
      <c r="L10" s="323" t="n"/>
      <c r="M10" s="323" t="n"/>
      <c r="N10" s="323" t="n"/>
      <c r="O10" s="323" t="n"/>
      <c r="P10" s="323" t="n"/>
      <c r="Q10" s="323" t="n"/>
      <c r="R10" s="323" t="n"/>
      <c r="S10" s="323" t="n"/>
      <c r="T10" s="323" t="n"/>
      <c r="U10" s="323" t="n"/>
      <c r="V10" s="323" t="n"/>
      <c r="W10" s="323" t="n"/>
      <c r="X10" s="323" t="n"/>
      <c r="Y10" s="323" t="n"/>
      <c r="Z10" s="323" t="n"/>
      <c r="AA10" s="323" t="n"/>
      <c r="AB10" s="323" t="n"/>
      <c r="AC10" s="323" t="n"/>
      <c r="AD10" s="323" t="n"/>
      <c r="AE10" s="323" t="n"/>
      <c r="AF10" s="370" t="n"/>
      <c r="AH10" s="4" t="inlineStr">
        <is>
          <t>Drill &amp; Blast Costs</t>
        </is>
      </c>
      <c r="AI10" s="39" t="n">
        <v>0</v>
      </c>
    </row>
    <row r="11">
      <c r="A11" s="4" t="inlineStr">
        <is>
          <t>Coal Mined (ROM)</t>
        </is>
      </c>
      <c r="B11" s="17" t="inlineStr">
        <is>
          <t>kt</t>
        </is>
      </c>
      <c r="C11" s="391" t="n"/>
      <c r="D11" s="323">
        <f>$C$11</f>
        <v/>
      </c>
      <c r="E11" s="323">
        <f>$C$11</f>
        <v/>
      </c>
      <c r="F11" s="323">
        <f>$C$11</f>
        <v/>
      </c>
      <c r="G11" s="323">
        <f>$C$11</f>
        <v/>
      </c>
      <c r="H11" s="323">
        <f>$C$11</f>
        <v/>
      </c>
      <c r="I11" s="323">
        <f>$C$11</f>
        <v/>
      </c>
      <c r="J11" s="323">
        <f>$C$11</f>
        <v/>
      </c>
      <c r="K11" s="323">
        <f>$C$11</f>
        <v/>
      </c>
      <c r="L11" s="323">
        <f>$C$11</f>
        <v/>
      </c>
      <c r="M11" s="323">
        <f>$C$11</f>
        <v/>
      </c>
      <c r="N11" s="323">
        <f>$C$11</f>
        <v/>
      </c>
      <c r="O11" s="323">
        <f>$C$11</f>
        <v/>
      </c>
      <c r="P11" s="323">
        <f>$C$11</f>
        <v/>
      </c>
      <c r="Q11" s="323">
        <f>$C$11</f>
        <v/>
      </c>
      <c r="R11" s="323">
        <f>$C$11</f>
        <v/>
      </c>
      <c r="S11" s="323">
        <f>$C$11</f>
        <v/>
      </c>
      <c r="T11" s="323">
        <f>$C$11</f>
        <v/>
      </c>
      <c r="U11" s="323">
        <f>$C$11</f>
        <v/>
      </c>
      <c r="V11" s="323">
        <f>$C$11</f>
        <v/>
      </c>
      <c r="W11" s="323">
        <f>$C$11</f>
        <v/>
      </c>
      <c r="X11" s="323">
        <f>$C$11</f>
        <v/>
      </c>
      <c r="Y11" s="323">
        <f>$C$11</f>
        <v/>
      </c>
      <c r="Z11" s="323">
        <f>$C$11</f>
        <v/>
      </c>
      <c r="AA11" s="323">
        <f>$C$11</f>
        <v/>
      </c>
      <c r="AB11" s="323">
        <f>$C$11</f>
        <v/>
      </c>
      <c r="AC11" s="323">
        <f>$C$11</f>
        <v/>
      </c>
      <c r="AD11" s="323">
        <f>$C$11</f>
        <v/>
      </c>
      <c r="AE11" s="323" t="n"/>
      <c r="AF11" s="370">
        <f>SUM(D11:AD11)</f>
        <v/>
      </c>
      <c r="AH11" s="4" t="inlineStr">
        <is>
          <t>Services Costs</t>
        </is>
      </c>
      <c r="AI11" s="39" t="n">
        <v>0</v>
      </c>
    </row>
    <row r="12">
      <c r="A12" s="4" t="inlineStr">
        <is>
          <t>Strip Ratio</t>
        </is>
      </c>
      <c r="B12" s="17" t="n"/>
      <c r="C12" s="393" t="n"/>
      <c r="D12" s="322">
        <f>IFERROR(D8/D11,0)</f>
        <v/>
      </c>
      <c r="E12" s="322">
        <f>IFERROR(E8/E11,0)</f>
        <v/>
      </c>
      <c r="F12" s="322">
        <f>IFERROR(F8/F11,0)</f>
        <v/>
      </c>
      <c r="G12" s="322">
        <f>IFERROR(G8/G11,0)</f>
        <v/>
      </c>
      <c r="H12" s="322">
        <f>IFERROR(H8/H11,0)</f>
        <v/>
      </c>
      <c r="I12" s="322">
        <f>IFERROR(I8/I11,0)</f>
        <v/>
      </c>
      <c r="J12" s="322">
        <f>IFERROR(J8/J11,0)</f>
        <v/>
      </c>
      <c r="K12" s="322">
        <f>IFERROR(K8/K11,0)</f>
        <v/>
      </c>
      <c r="L12" s="322">
        <f>IFERROR(L8/L11,0)</f>
        <v/>
      </c>
      <c r="M12" s="322">
        <f>IFERROR(M8/M11,0)</f>
        <v/>
      </c>
      <c r="N12" s="322">
        <f>IFERROR(N8/N11,0)</f>
        <v/>
      </c>
      <c r="O12" s="322">
        <f>IFERROR(O8/O11,0)</f>
        <v/>
      </c>
      <c r="P12" s="322">
        <f>IFERROR(P8/P11,0)</f>
        <v/>
      </c>
      <c r="Q12" s="322">
        <f>IFERROR(Q8/Q11,0)</f>
        <v/>
      </c>
      <c r="R12" s="322">
        <f>IFERROR(R8/R11,0)</f>
        <v/>
      </c>
      <c r="S12" s="322">
        <f>IFERROR(S8/S11,0)</f>
        <v/>
      </c>
      <c r="T12" s="322">
        <f>IFERROR(T8/T11,0)</f>
        <v/>
      </c>
      <c r="U12" s="322">
        <f>IFERROR(U8/U11,0)</f>
        <v/>
      </c>
      <c r="V12" s="322">
        <f>IFERROR(V8/V11,0)</f>
        <v/>
      </c>
      <c r="W12" s="322">
        <f>IFERROR(W8/W11,0)</f>
        <v/>
      </c>
      <c r="X12" s="322">
        <f>IFERROR(X8/X11,0)</f>
        <v/>
      </c>
      <c r="Y12" s="322">
        <f>IFERROR(Y8/Y11,0)</f>
        <v/>
      </c>
      <c r="Z12" s="322">
        <f>IFERROR(Z8/Z11,0)</f>
        <v/>
      </c>
      <c r="AA12" s="322">
        <f>IFERROR(AA8/AA11,0)</f>
        <v/>
      </c>
      <c r="AB12" s="322">
        <f>IFERROR(AB8/AB11,0)</f>
        <v/>
      </c>
      <c r="AC12" s="322">
        <f>IFERROR(AC8/AC11,0)</f>
        <v/>
      </c>
      <c r="AD12" s="322">
        <f>IFERROR(AD8/AD11,0)</f>
        <v/>
      </c>
      <c r="AE12" s="322" t="n"/>
      <c r="AF12" s="381">
        <f>IFERROR(AF8/AF11,0)</f>
        <v/>
      </c>
      <c r="AH12" s="4" t="inlineStr">
        <is>
          <t>Coal Mining Costs</t>
        </is>
      </c>
      <c r="AI12" s="39" t="n">
        <v>0</v>
      </c>
    </row>
    <row r="13">
      <c r="A13" s="4" t="n"/>
      <c r="B13" s="17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  <c r="O13" s="323" t="n"/>
      <c r="P13" s="323" t="n"/>
      <c r="Q13" s="323" t="n"/>
      <c r="R13" s="323" t="n"/>
      <c r="S13" s="323" t="n"/>
      <c r="T13" s="323" t="n"/>
      <c r="U13" s="323" t="n"/>
      <c r="V13" s="323" t="n"/>
      <c r="W13" s="323" t="n"/>
      <c r="X13" s="323" t="n"/>
      <c r="Y13" s="323" t="n"/>
      <c r="Z13" s="323" t="n"/>
      <c r="AA13" s="323" t="n"/>
      <c r="AB13" s="323" t="n"/>
      <c r="AC13" s="323" t="n"/>
      <c r="AD13" s="323" t="n"/>
      <c r="AE13" s="323" t="n"/>
      <c r="AF13" s="370" t="n"/>
      <c r="AH13" s="4" t="inlineStr">
        <is>
          <t>CHPP Costs</t>
        </is>
      </c>
      <c r="AI13" s="39" t="n">
        <v>0</v>
      </c>
    </row>
    <row r="14">
      <c r="A14" s="4" t="inlineStr">
        <is>
          <t>Total Material Moved</t>
        </is>
      </c>
      <c r="B14" s="17" t="inlineStr">
        <is>
          <t>kebcm</t>
        </is>
      </c>
      <c r="C14" s="323" t="n"/>
      <c r="D14" s="323">
        <f>D8+(D11/1.45)</f>
        <v/>
      </c>
      <c r="E14" s="323">
        <f>E8+(E11/1.45)</f>
        <v/>
      </c>
      <c r="F14" s="323">
        <f>F8+(F11/1.45)</f>
        <v/>
      </c>
      <c r="G14" s="323">
        <f>G8+(G11/1.45)</f>
        <v/>
      </c>
      <c r="H14" s="323">
        <f>H8+(H11/1.45)</f>
        <v/>
      </c>
      <c r="I14" s="323">
        <f>I8+(I11/1.45)</f>
        <v/>
      </c>
      <c r="J14" s="323">
        <f>J8+(J11/1.45)</f>
        <v/>
      </c>
      <c r="K14" s="323">
        <f>K8+(K11/1.45)</f>
        <v/>
      </c>
      <c r="L14" s="323">
        <f>L8+(L11/1.45)</f>
        <v/>
      </c>
      <c r="M14" s="323">
        <f>M8+(M11/1.45)</f>
        <v/>
      </c>
      <c r="N14" s="323">
        <f>N8+(N11/1.45)</f>
        <v/>
      </c>
      <c r="O14" s="323">
        <f>O8+(O11/1.45)</f>
        <v/>
      </c>
      <c r="P14" s="323">
        <f>P8+(P11/1.45)</f>
        <v/>
      </c>
      <c r="Q14" s="323">
        <f>Q8+(Q11/1.45)</f>
        <v/>
      </c>
      <c r="R14" s="323">
        <f>R8+(R11/1.4)</f>
        <v/>
      </c>
      <c r="S14" s="323">
        <f>S8+(S11/1.4)</f>
        <v/>
      </c>
      <c r="T14" s="323">
        <f>T8+(T11/1.4)</f>
        <v/>
      </c>
      <c r="U14" s="323">
        <f>U8+(U11/1.4)</f>
        <v/>
      </c>
      <c r="V14" s="323">
        <f>V8+(V11/1.4)</f>
        <v/>
      </c>
      <c r="W14" s="323">
        <f>W8+(W11/1.4)</f>
        <v/>
      </c>
      <c r="X14" s="323">
        <f>X8+(X11/1.4)</f>
        <v/>
      </c>
      <c r="Y14" s="323">
        <f>Y8+(Y11/1.4)</f>
        <v/>
      </c>
      <c r="Z14" s="323">
        <f>Z8+(Z11/1.4)</f>
        <v/>
      </c>
      <c r="AA14" s="323">
        <f>AA8+(AA11/1.4)</f>
        <v/>
      </c>
      <c r="AB14" s="323">
        <f>AB8+(AB11/1.4)</f>
        <v/>
      </c>
      <c r="AC14" s="323">
        <f>AC8+(AC11/1.4)</f>
        <v/>
      </c>
      <c r="AD14" s="323">
        <f>AD8+(AD11/1.4)</f>
        <v/>
      </c>
      <c r="AE14" s="323" t="n"/>
      <c r="AF14" s="370">
        <f>SUM(D14:AD14)</f>
        <v/>
      </c>
      <c r="AH14" s="4" t="inlineStr">
        <is>
          <t>Total Overhead Costs</t>
        </is>
      </c>
      <c r="AI14" s="39" t="n">
        <v>0</v>
      </c>
    </row>
    <row r="15">
      <c r="A15" s="4" t="n"/>
      <c r="B15" s="87" t="n"/>
      <c r="C15" s="323" t="n"/>
      <c r="D15" s="323" t="n"/>
      <c r="E15" s="323" t="n"/>
      <c r="F15" s="323" t="n"/>
      <c r="G15" s="323" t="n"/>
      <c r="H15" s="323" t="n"/>
      <c r="I15" s="323" t="n"/>
      <c r="J15" s="323" t="n"/>
      <c r="K15" s="323" t="n"/>
      <c r="L15" s="323" t="n"/>
      <c r="M15" s="323" t="n"/>
      <c r="N15" s="323" t="n"/>
      <c r="O15" s="323" t="n"/>
      <c r="P15" s="323" t="n"/>
      <c r="Q15" s="323" t="n"/>
      <c r="R15" s="323" t="n"/>
      <c r="S15" s="323" t="n"/>
      <c r="T15" s="323" t="n"/>
      <c r="U15" s="323" t="n"/>
      <c r="V15" s="323" t="n"/>
      <c r="W15" s="323" t="n"/>
      <c r="X15" s="323" t="n"/>
      <c r="Y15" s="323" t="n"/>
      <c r="Z15" s="323" t="n"/>
      <c r="AA15" s="323" t="n"/>
      <c r="AB15" s="323" t="n"/>
      <c r="AC15" s="323" t="n"/>
      <c r="AD15" s="323" t="n"/>
      <c r="AE15" s="323" t="n"/>
      <c r="AF15" s="370" t="n"/>
      <c r="AH15" s="8" t="inlineStr">
        <is>
          <t>Total Capital Costs</t>
        </is>
      </c>
      <c r="AI15" s="40" t="n">
        <v>0</v>
      </c>
    </row>
    <row r="16">
      <c r="A16" s="28" t="inlineStr">
        <is>
          <t>CHPP</t>
        </is>
      </c>
      <c r="B16" s="87" t="n"/>
      <c r="C16" s="323" t="n"/>
      <c r="D16" s="323" t="n"/>
      <c r="E16" s="323" t="n"/>
      <c r="F16" s="323" t="n"/>
      <c r="G16" s="323" t="n"/>
      <c r="H16" s="323" t="n"/>
      <c r="I16" s="323" t="n"/>
      <c r="J16" s="323" t="n"/>
      <c r="K16" s="323" t="n"/>
      <c r="L16" s="323" t="n"/>
      <c r="M16" s="323" t="n"/>
      <c r="N16" s="323" t="n"/>
      <c r="O16" s="323" t="n"/>
      <c r="P16" s="323" t="n"/>
      <c r="Q16" s="323" t="n"/>
      <c r="R16" s="323" t="n"/>
      <c r="S16" s="323" t="n"/>
      <c r="T16" s="323" t="n"/>
      <c r="U16" s="323" t="n"/>
      <c r="V16" s="323" t="n"/>
      <c r="W16" s="323" t="n"/>
      <c r="X16" s="323" t="n"/>
      <c r="Y16" s="323" t="n"/>
      <c r="Z16" s="323" t="n"/>
      <c r="AA16" s="323" t="n"/>
      <c r="AB16" s="323" t="n"/>
      <c r="AC16" s="323" t="n"/>
      <c r="AD16" s="323" t="n"/>
      <c r="AE16" s="323" t="n"/>
      <c r="AF16" s="370" t="n"/>
    </row>
    <row r="17">
      <c r="A17" s="4" t="inlineStr">
        <is>
          <t>Plant Feed Tonnes</t>
        </is>
      </c>
      <c r="B17" s="17" t="inlineStr">
        <is>
          <t>kt</t>
        </is>
      </c>
      <c r="C17" s="299" t="n"/>
      <c r="D17" s="323">
        <f>$C$17*D11</f>
        <v/>
      </c>
      <c r="E17" s="323">
        <f>$C$17*E11</f>
        <v/>
      </c>
      <c r="F17" s="323">
        <f>$C$17*F11</f>
        <v/>
      </c>
      <c r="G17" s="323">
        <f>$C$17*G11</f>
        <v/>
      </c>
      <c r="H17" s="323">
        <f>$C$17*H11</f>
        <v/>
      </c>
      <c r="I17" s="323">
        <f>$C$17*I11</f>
        <v/>
      </c>
      <c r="J17" s="323">
        <f>$C$17*J11</f>
        <v/>
      </c>
      <c r="K17" s="323">
        <f>$C$17*K11</f>
        <v/>
      </c>
      <c r="L17" s="323">
        <f>$C$17*L11</f>
        <v/>
      </c>
      <c r="M17" s="323">
        <f>$C$17*M11</f>
        <v/>
      </c>
      <c r="N17" s="323">
        <f>$C$17*N11</f>
        <v/>
      </c>
      <c r="O17" s="323">
        <f>$C$17*O11</f>
        <v/>
      </c>
      <c r="P17" s="323">
        <f>$C$17*P11</f>
        <v/>
      </c>
      <c r="Q17" s="323">
        <f>$C$17*Q11</f>
        <v/>
      </c>
      <c r="R17" s="323">
        <f>$C$17*R11</f>
        <v/>
      </c>
      <c r="S17" s="323">
        <f>$C$17*S11</f>
        <v/>
      </c>
      <c r="T17" s="323">
        <f>$C$17*T11</f>
        <v/>
      </c>
      <c r="U17" s="323">
        <f>$C$17*U11</f>
        <v/>
      </c>
      <c r="V17" s="323">
        <f>$C$17*V11</f>
        <v/>
      </c>
      <c r="W17" s="323">
        <f>$C$17*W11</f>
        <v/>
      </c>
      <c r="X17" s="323">
        <f>$C$17*X11</f>
        <v/>
      </c>
      <c r="Y17" s="323">
        <f>$C$17*Y11</f>
        <v/>
      </c>
      <c r="Z17" s="323">
        <f>$C$17*Z11</f>
        <v/>
      </c>
      <c r="AA17" s="323">
        <f>$C$17*AA11</f>
        <v/>
      </c>
      <c r="AB17" s="323">
        <f>$C$17*AB11</f>
        <v/>
      </c>
      <c r="AC17" s="323">
        <f>$C$17*AC11</f>
        <v/>
      </c>
      <c r="AD17" s="323">
        <f>$C$17*AD11</f>
        <v/>
      </c>
      <c r="AE17" s="323" t="n"/>
      <c r="AF17" s="370">
        <f>SUM(D17:AD17)</f>
        <v/>
      </c>
    </row>
    <row r="18">
      <c r="A18" s="4" t="inlineStr">
        <is>
          <t>Bypass Tonnes</t>
        </is>
      </c>
      <c r="B18" s="17" t="inlineStr">
        <is>
          <t>kt</t>
        </is>
      </c>
      <c r="C18" s="391" t="n"/>
      <c r="D18" s="323">
        <f>$C$18*D11</f>
        <v/>
      </c>
      <c r="E18" s="323">
        <f>$C$18*E11</f>
        <v/>
      </c>
      <c r="F18" s="323">
        <f>$C$18*F11</f>
        <v/>
      </c>
      <c r="G18" s="323">
        <f>$C$18*G11</f>
        <v/>
      </c>
      <c r="H18" s="323">
        <f>$C$18*H11</f>
        <v/>
      </c>
      <c r="I18" s="323">
        <f>$C$18*I11</f>
        <v/>
      </c>
      <c r="J18" s="323">
        <f>$C$18*J11</f>
        <v/>
      </c>
      <c r="K18" s="323">
        <f>$C$18*K11</f>
        <v/>
      </c>
      <c r="L18" s="323">
        <f>$C$18*L11</f>
        <v/>
      </c>
      <c r="M18" s="323">
        <f>$C$18*M11</f>
        <v/>
      </c>
      <c r="N18" s="323">
        <f>$C$18*N11</f>
        <v/>
      </c>
      <c r="O18" s="323">
        <f>$C$18*O11</f>
        <v/>
      </c>
      <c r="P18" s="323">
        <f>$C$18*P11</f>
        <v/>
      </c>
      <c r="Q18" s="323">
        <f>$C$18*Q11</f>
        <v/>
      </c>
      <c r="R18" s="323">
        <f>$C$18*R11</f>
        <v/>
      </c>
      <c r="S18" s="323">
        <f>$C$18*S11</f>
        <v/>
      </c>
      <c r="T18" s="323">
        <f>$C$18*T11</f>
        <v/>
      </c>
      <c r="U18" s="323">
        <f>$C$18*U11</f>
        <v/>
      </c>
      <c r="V18" s="323">
        <f>$C$18*V11</f>
        <v/>
      </c>
      <c r="W18" s="323">
        <f>$C$18*W11</f>
        <v/>
      </c>
      <c r="X18" s="323">
        <f>$C$18*X11</f>
        <v/>
      </c>
      <c r="Y18" s="323">
        <f>$C$18*Y11</f>
        <v/>
      </c>
      <c r="Z18" s="323">
        <f>$C$18*Z11</f>
        <v/>
      </c>
      <c r="AA18" s="323">
        <f>$C$18*AA11</f>
        <v/>
      </c>
      <c r="AB18" s="323">
        <f>$C$18*AB11</f>
        <v/>
      </c>
      <c r="AC18" s="323">
        <f>$C$18*AC11</f>
        <v/>
      </c>
      <c r="AD18" s="323">
        <f>$C$18*AD11</f>
        <v/>
      </c>
      <c r="AE18" s="323" t="n"/>
      <c r="AF18" s="370">
        <f>SUM(D18:AD18)</f>
        <v/>
      </c>
    </row>
    <row r="19">
      <c r="A19" s="4" t="inlineStr">
        <is>
          <t>Plant Product Tonnes</t>
        </is>
      </c>
      <c r="B19" s="17" t="inlineStr">
        <is>
          <t>kt</t>
        </is>
      </c>
      <c r="C19" s="323" t="n"/>
      <c r="D19" s="323">
        <f>D20*D17</f>
        <v/>
      </c>
      <c r="E19" s="323">
        <f>E20*E17</f>
        <v/>
      </c>
      <c r="F19" s="323">
        <f>F20*F17</f>
        <v/>
      </c>
      <c r="G19" s="323">
        <f>G20*G17</f>
        <v/>
      </c>
      <c r="H19" s="323">
        <f>H20*H17</f>
        <v/>
      </c>
      <c r="I19" s="323">
        <f>I20*I17</f>
        <v/>
      </c>
      <c r="J19" s="323">
        <f>J20*J17</f>
        <v/>
      </c>
      <c r="K19" s="323">
        <f>K20*K17</f>
        <v/>
      </c>
      <c r="L19" s="323">
        <f>L20*L17</f>
        <v/>
      </c>
      <c r="M19" s="323">
        <f>M20*M17</f>
        <v/>
      </c>
      <c r="N19" s="323">
        <f>N20*N17</f>
        <v/>
      </c>
      <c r="O19" s="323">
        <f>O20*O17</f>
        <v/>
      </c>
      <c r="P19" s="323">
        <f>P20*P17</f>
        <v/>
      </c>
      <c r="Q19" s="323">
        <f>Q20*Q17</f>
        <v/>
      </c>
      <c r="R19" s="323">
        <f>R20*R17</f>
        <v/>
      </c>
      <c r="S19" s="323">
        <f>S20*S17</f>
        <v/>
      </c>
      <c r="T19" s="323">
        <f>T20*T17</f>
        <v/>
      </c>
      <c r="U19" s="323">
        <f>U20*U17</f>
        <v/>
      </c>
      <c r="V19" s="323">
        <f>V20*V17</f>
        <v/>
      </c>
      <c r="W19" s="323">
        <f>W20*W17</f>
        <v/>
      </c>
      <c r="X19" s="323">
        <f>X20*X17</f>
        <v/>
      </c>
      <c r="Y19" s="323">
        <f>Y20*Y17</f>
        <v/>
      </c>
      <c r="Z19" s="323">
        <f>Z20*Z17</f>
        <v/>
      </c>
      <c r="AA19" s="323">
        <f>AA20*AA17</f>
        <v/>
      </c>
      <c r="AB19" s="323">
        <f>AB20*AB17</f>
        <v/>
      </c>
      <c r="AC19" s="323">
        <f>AC20*AC17</f>
        <v/>
      </c>
      <c r="AD19" s="323">
        <f>AD20*AD17</f>
        <v/>
      </c>
      <c r="AE19" s="323" t="n"/>
      <c r="AF19" s="370">
        <f>SUM(D19:W19)</f>
        <v/>
      </c>
    </row>
    <row r="20">
      <c r="A20" s="4" t="inlineStr">
        <is>
          <t>CHPP Yield</t>
        </is>
      </c>
      <c r="B20" s="17" t="n"/>
      <c r="C20" s="422" t="n"/>
      <c r="D20" s="329">
        <f>$C$20</f>
        <v/>
      </c>
      <c r="E20" s="329">
        <f>$C$20</f>
        <v/>
      </c>
      <c r="F20" s="329">
        <f>$C$20</f>
        <v/>
      </c>
      <c r="G20" s="329">
        <f>$C$20</f>
        <v/>
      </c>
      <c r="H20" s="329">
        <f>$C$20</f>
        <v/>
      </c>
      <c r="I20" s="329">
        <f>$C$20</f>
        <v/>
      </c>
      <c r="J20" s="329">
        <f>$C$20</f>
        <v/>
      </c>
      <c r="K20" s="329">
        <f>$C$20</f>
        <v/>
      </c>
      <c r="L20" s="329">
        <f>$C$20</f>
        <v/>
      </c>
      <c r="M20" s="329">
        <f>$C$20</f>
        <v/>
      </c>
      <c r="N20" s="329">
        <f>$C$20</f>
        <v/>
      </c>
      <c r="O20" s="329">
        <f>$C$20</f>
        <v/>
      </c>
      <c r="P20" s="329">
        <f>$C$20</f>
        <v/>
      </c>
      <c r="Q20" s="329">
        <f>$C$20</f>
        <v/>
      </c>
      <c r="R20" s="329">
        <f>$C$20</f>
        <v/>
      </c>
      <c r="S20" s="329">
        <f>$C$20</f>
        <v/>
      </c>
      <c r="T20" s="329">
        <f>$C$20</f>
        <v/>
      </c>
      <c r="U20" s="329">
        <f>$C$20</f>
        <v/>
      </c>
      <c r="V20" s="329">
        <f>$C$20</f>
        <v/>
      </c>
      <c r="W20" s="329">
        <f>$C$20</f>
        <v/>
      </c>
      <c r="X20" s="329">
        <f>$C$20</f>
        <v/>
      </c>
      <c r="Y20" s="329">
        <f>$C$20</f>
        <v/>
      </c>
      <c r="Z20" s="329">
        <f>$C$20</f>
        <v/>
      </c>
      <c r="AA20" s="329">
        <f>$C$20</f>
        <v/>
      </c>
      <c r="AB20" s="329">
        <f>$C$20</f>
        <v/>
      </c>
      <c r="AC20" s="329">
        <f>$C$20</f>
        <v/>
      </c>
      <c r="AD20" s="329">
        <f>$C$20</f>
        <v/>
      </c>
      <c r="AE20" s="329" t="n"/>
      <c r="AF20" s="380">
        <f>IFERROR(AF19/AF17,0)</f>
        <v/>
      </c>
    </row>
    <row r="21">
      <c r="A21" s="4" t="n"/>
      <c r="B21" s="17" t="n"/>
      <c r="C21" s="323" t="n"/>
      <c r="D21" s="323" t="n"/>
      <c r="E21" s="323" t="n"/>
      <c r="F21" s="323" t="n"/>
      <c r="G21" s="323" t="n"/>
      <c r="H21" s="323" t="n"/>
      <c r="I21" s="323" t="n"/>
      <c r="J21" s="323" t="n"/>
      <c r="K21" s="323" t="n"/>
      <c r="L21" s="323" t="n"/>
      <c r="M21" s="323" t="n"/>
      <c r="N21" s="323" t="n"/>
      <c r="O21" s="323" t="n"/>
      <c r="P21" s="323" t="n"/>
      <c r="Q21" s="323" t="n"/>
      <c r="R21" s="323" t="n"/>
      <c r="S21" s="323" t="n"/>
      <c r="T21" s="323" t="n"/>
      <c r="U21" s="323" t="n"/>
      <c r="V21" s="323" t="n"/>
      <c r="W21" s="323" t="n"/>
      <c r="X21" s="323" t="n"/>
      <c r="Y21" s="323" t="n"/>
      <c r="Z21" s="323" t="n"/>
      <c r="AA21" s="323" t="n"/>
      <c r="AB21" s="323" t="n"/>
      <c r="AC21" s="323" t="n"/>
      <c r="AD21" s="323" t="n"/>
      <c r="AE21" s="323" t="n"/>
      <c r="AF21" s="370" t="n"/>
      <c r="AH21" s="15" t="inlineStr">
        <is>
          <t>LOM volumes</t>
        </is>
      </c>
      <c r="AI21" s="16" t="n"/>
    </row>
    <row r="22">
      <c r="A22" s="4" t="inlineStr">
        <is>
          <t>Operations Yield</t>
        </is>
      </c>
      <c r="B22" s="17" t="n"/>
      <c r="C22" s="329" t="n"/>
      <c r="D22" s="329">
        <f>IFERROR(D24/D11,0)</f>
        <v/>
      </c>
      <c r="E22" s="329">
        <f>IFERROR(E24/E11,0)</f>
        <v/>
      </c>
      <c r="F22" s="329">
        <f>IFERROR(F24/F11,0)</f>
        <v/>
      </c>
      <c r="G22" s="329">
        <f>IFERROR(G24/G11,0)</f>
        <v/>
      </c>
      <c r="H22" s="329">
        <f>IFERROR(H24/H11,0)</f>
        <v/>
      </c>
      <c r="I22" s="329">
        <f>IFERROR(I24/I11,0)</f>
        <v/>
      </c>
      <c r="J22" s="329">
        <f>IFERROR(J24/J11,0)</f>
        <v/>
      </c>
      <c r="K22" s="329">
        <f>IFERROR(K24/K11,0)</f>
        <v/>
      </c>
      <c r="L22" s="329">
        <f>IFERROR(L24/L11,0)</f>
        <v/>
      </c>
      <c r="M22" s="329">
        <f>IFERROR(M24/M11,0)</f>
        <v/>
      </c>
      <c r="N22" s="329">
        <f>IFERROR(N24/N11,0)</f>
        <v/>
      </c>
      <c r="O22" s="329">
        <f>IFERROR(O24/O11,0)</f>
        <v/>
      </c>
      <c r="P22" s="329">
        <f>IFERROR(P24/P11,0)</f>
        <v/>
      </c>
      <c r="Q22" s="329">
        <f>IFERROR(Q24/Q11,0)</f>
        <v/>
      </c>
      <c r="R22" s="329">
        <f>IFERROR(R24/R11,0)</f>
        <v/>
      </c>
      <c r="S22" s="329">
        <f>IFERROR(S24/S11,0)</f>
        <v/>
      </c>
      <c r="T22" s="329">
        <f>IFERROR(T24/T11,0)</f>
        <v/>
      </c>
      <c r="U22" s="329">
        <f>IFERROR(U24/U11,0)</f>
        <v/>
      </c>
      <c r="V22" s="329">
        <f>IFERROR(V24/V11,0)</f>
        <v/>
      </c>
      <c r="W22" s="329">
        <f>IFERROR(W24/W11,0)</f>
        <v/>
      </c>
      <c r="X22" s="329">
        <f>IFERROR(X24/X11,0)</f>
        <v/>
      </c>
      <c r="Y22" s="329">
        <f>IFERROR(Y24/Y11,0)</f>
        <v/>
      </c>
      <c r="Z22" s="329">
        <f>IFERROR(Z24/Z11,0)</f>
        <v/>
      </c>
      <c r="AA22" s="329">
        <f>IFERROR(AA24/AA11,0)</f>
        <v/>
      </c>
      <c r="AB22" s="329">
        <f>IFERROR(AB24/AB11,0)</f>
        <v/>
      </c>
      <c r="AC22" s="329">
        <f>IFERROR(AC24/AC11,0)</f>
        <v/>
      </c>
      <c r="AD22" s="329">
        <f>IFERROR(AD24/AD11,0)</f>
        <v/>
      </c>
      <c r="AE22" s="329" t="n"/>
      <c r="AF22" s="380">
        <f>IFERROR(AF24/AF9,0)</f>
        <v/>
      </c>
      <c r="AH22" s="4" t="n"/>
      <c r="AI22" s="370" t="n"/>
    </row>
    <row r="23">
      <c r="A23" s="4" t="n"/>
      <c r="B23" s="17" t="n"/>
      <c r="C23" s="323" t="n"/>
      <c r="D23" s="323" t="n"/>
      <c r="E23" s="323" t="n"/>
      <c r="F23" s="323" t="n"/>
      <c r="G23" s="323" t="n"/>
      <c r="H23" s="323" t="n"/>
      <c r="I23" s="323" t="n"/>
      <c r="J23" s="323" t="n"/>
      <c r="K23" s="323" t="n"/>
      <c r="L23" s="323" t="n"/>
      <c r="M23" s="323" t="n"/>
      <c r="N23" s="323" t="n"/>
      <c r="O23" s="323" t="n"/>
      <c r="P23" s="323" t="n"/>
      <c r="Q23" s="323" t="n"/>
      <c r="R23" s="323" t="n"/>
      <c r="S23" s="323" t="n"/>
      <c r="T23" s="323" t="n"/>
      <c r="U23" s="323" t="n"/>
      <c r="V23" s="323" t="n"/>
      <c r="W23" s="323" t="n"/>
      <c r="X23" s="323" t="n"/>
      <c r="Y23" s="323" t="n"/>
      <c r="Z23" s="323" t="n"/>
      <c r="AA23" s="323" t="n"/>
      <c r="AB23" s="323" t="n"/>
      <c r="AC23" s="323" t="n"/>
      <c r="AD23" s="323" t="n"/>
      <c r="AE23" s="323" t="n"/>
      <c r="AF23" s="370" t="n"/>
      <c r="AH23" s="4" t="n"/>
      <c r="AI23" s="381" t="n"/>
    </row>
    <row r="24">
      <c r="A24" s="4" t="inlineStr">
        <is>
          <t>Saleable Production</t>
        </is>
      </c>
      <c r="B24" s="17" t="inlineStr">
        <is>
          <t>kt</t>
        </is>
      </c>
      <c r="C24" s="323" t="n"/>
      <c r="D24" s="323">
        <f>D19+D18</f>
        <v/>
      </c>
      <c r="E24" s="323">
        <f>E19+E18</f>
        <v/>
      </c>
      <c r="F24" s="323">
        <f>F19+F18</f>
        <v/>
      </c>
      <c r="G24" s="323">
        <f>G19+G18</f>
        <v/>
      </c>
      <c r="H24" s="323">
        <f>H19+H18</f>
        <v/>
      </c>
      <c r="I24" s="323">
        <f>I19+I18</f>
        <v/>
      </c>
      <c r="J24" s="323">
        <f>J18+J19</f>
        <v/>
      </c>
      <c r="K24" s="323">
        <f>K18+K19</f>
        <v/>
      </c>
      <c r="L24" s="323">
        <f>L18+L19</f>
        <v/>
      </c>
      <c r="M24" s="323">
        <f>M18+M19</f>
        <v/>
      </c>
      <c r="N24" s="323">
        <f>N18+N19</f>
        <v/>
      </c>
      <c r="O24" s="323">
        <f>O18+O19</f>
        <v/>
      </c>
      <c r="P24" s="323">
        <f>P18+P19</f>
        <v/>
      </c>
      <c r="Q24" s="323">
        <f>Q18+Q19</f>
        <v/>
      </c>
      <c r="R24" s="323">
        <f>R18+R19</f>
        <v/>
      </c>
      <c r="S24" s="323">
        <f>S18+S19</f>
        <v/>
      </c>
      <c r="T24" s="323">
        <f>T18+T19</f>
        <v/>
      </c>
      <c r="U24" s="323">
        <f>U18+U19</f>
        <v/>
      </c>
      <c r="V24" s="323">
        <f>V18+V19</f>
        <v/>
      </c>
      <c r="W24" s="323">
        <f>W18+W19</f>
        <v/>
      </c>
      <c r="X24" s="323">
        <f>X18+X19</f>
        <v/>
      </c>
      <c r="Y24" s="323">
        <f>Y18+Y19</f>
        <v/>
      </c>
      <c r="Z24" s="323">
        <f>Z18+Z19</f>
        <v/>
      </c>
      <c r="AA24" s="323">
        <f>AA18+AA19</f>
        <v/>
      </c>
      <c r="AB24" s="323">
        <f>AB18+AB19</f>
        <v/>
      </c>
      <c r="AC24" s="323">
        <f>AC18+AC19</f>
        <v/>
      </c>
      <c r="AD24" s="323">
        <f>AD18+AD19</f>
        <v/>
      </c>
      <c r="AE24" s="323" t="n"/>
      <c r="AF24" s="370">
        <f>SUM(D24:AD24)</f>
        <v/>
      </c>
      <c r="AH24" s="4" t="inlineStr">
        <is>
          <t>Prime Waste Removed (Kbcm)</t>
        </is>
      </c>
      <c r="AI24" s="370">
        <f>AF7</f>
        <v/>
      </c>
    </row>
    <row r="25">
      <c r="A25" s="8" t="n"/>
      <c r="B25" s="21" t="n"/>
      <c r="C25" s="311" t="n"/>
      <c r="D25" s="311" t="n"/>
      <c r="E25" s="311" t="n"/>
      <c r="F25" s="311" t="n"/>
      <c r="G25" s="311" t="n"/>
      <c r="H25" s="311" t="n"/>
      <c r="I25" s="311" t="n"/>
      <c r="J25" s="311" t="n"/>
      <c r="K25" s="311" t="n"/>
      <c r="L25" s="311" t="n"/>
      <c r="M25" s="311" t="n"/>
      <c r="N25" s="311" t="n"/>
      <c r="O25" s="311" t="n"/>
      <c r="P25" s="311" t="n"/>
      <c r="Q25" s="311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7" t="n"/>
      <c r="AH25" s="4" t="n"/>
      <c r="AI25" s="370" t="n"/>
    </row>
    <row r="26">
      <c r="A26" s="1" t="inlineStr">
        <is>
          <t>Carbon</t>
        </is>
      </c>
      <c r="C26" s="142" t="n"/>
      <c r="D26" s="143">
        <f>C26-(1/26)</f>
        <v/>
      </c>
      <c r="E26" s="143">
        <f>D26-(1/26)</f>
        <v/>
      </c>
      <c r="F26" s="143">
        <f>E26-(1/26)</f>
        <v/>
      </c>
      <c r="G26" s="143">
        <f>F26-(1/26)</f>
        <v/>
      </c>
      <c r="H26" s="143">
        <f>G26-(1/26)</f>
        <v/>
      </c>
      <c r="I26" s="143">
        <f>H26-(1/26)</f>
        <v/>
      </c>
      <c r="J26" s="143">
        <f>I26-(1/26)</f>
        <v/>
      </c>
      <c r="K26" s="143">
        <f>J26-(1/26)</f>
        <v/>
      </c>
      <c r="L26" s="143">
        <f>K26-(1/26)</f>
        <v/>
      </c>
      <c r="M26" s="143">
        <f>L26-(1/26)</f>
        <v/>
      </c>
      <c r="N26" s="143">
        <f>M26-(1/26)</f>
        <v/>
      </c>
      <c r="O26" s="143">
        <f>N26-(1/26)</f>
        <v/>
      </c>
      <c r="P26" s="143">
        <f>O26-(1/26)</f>
        <v/>
      </c>
      <c r="Q26" s="143">
        <f>P26-(1/26)</f>
        <v/>
      </c>
      <c r="R26" s="143">
        <f>Q26-(1/26)</f>
        <v/>
      </c>
      <c r="S26" s="143">
        <f>R26-(1/26)</f>
        <v/>
      </c>
      <c r="T26" s="143">
        <f>S26-(1/26)</f>
        <v/>
      </c>
      <c r="U26" s="143">
        <f>T26-(1/26)</f>
        <v/>
      </c>
      <c r="V26" s="143">
        <f>U26-(1/26)</f>
        <v/>
      </c>
      <c r="W26" s="143">
        <f>V26-(1/26)</f>
        <v/>
      </c>
      <c r="X26" s="143">
        <f>W26-(1/26)</f>
        <v/>
      </c>
      <c r="Y26" s="143">
        <f>X26-(1/26)</f>
        <v/>
      </c>
      <c r="Z26" s="143">
        <f>Y26-(1/26)</f>
        <v/>
      </c>
      <c r="AA26" s="143">
        <f>Z26-(1/26)</f>
        <v/>
      </c>
      <c r="AB26" s="143">
        <f>AA26-(1/26)</f>
        <v/>
      </c>
      <c r="AC26" s="143">
        <f>AB26-(1/26)</f>
        <v/>
      </c>
      <c r="AD26" s="143">
        <f>AC26-(1/26)</f>
        <v/>
      </c>
      <c r="AE26" s="143" t="n"/>
      <c r="AH26" s="4" t="inlineStr">
        <is>
          <t>Total ROM (kt)</t>
        </is>
      </c>
      <c r="AI26" s="370">
        <f>AF11</f>
        <v/>
      </c>
    </row>
    <row r="27">
      <c r="A27" s="4" t="inlineStr">
        <is>
          <t>Scope 1 Emissions</t>
        </is>
      </c>
      <c r="B27" s="17" t="inlineStr">
        <is>
          <t>t CO2e</t>
        </is>
      </c>
      <c r="C27" s="382" t="n">
        <v>0.1</v>
      </c>
      <c r="D27" s="382">
        <f>D9*1000*$C$27</f>
        <v/>
      </c>
      <c r="E27" s="382">
        <f>E9*1000*$C$27</f>
        <v/>
      </c>
      <c r="F27" s="382">
        <f>F9*1000*$C$27</f>
        <v/>
      </c>
      <c r="G27" s="382">
        <f>G9*1000*$C$27</f>
        <v/>
      </c>
      <c r="H27" s="382">
        <f>H9*1000*$C$27</f>
        <v/>
      </c>
      <c r="I27" s="382">
        <f>I9*1000*$C$27</f>
        <v/>
      </c>
      <c r="J27" s="382">
        <f>J9*1000*$C$27</f>
        <v/>
      </c>
      <c r="K27" s="382">
        <f>K9*1000*$C$27</f>
        <v/>
      </c>
      <c r="L27" s="382">
        <f>L9*1000*$C$27</f>
        <v/>
      </c>
      <c r="M27" s="382">
        <f>M9*1000*$C$27</f>
        <v/>
      </c>
      <c r="N27" s="382">
        <f>N9*1000*$C$27</f>
        <v/>
      </c>
      <c r="O27" s="382">
        <f>O9*1000*$C$27</f>
        <v/>
      </c>
      <c r="P27" s="382">
        <f>P9*1000*$C$27</f>
        <v/>
      </c>
      <c r="Q27" s="382">
        <f>Q9*1000*$C$27</f>
        <v/>
      </c>
      <c r="R27" s="382">
        <f>R9*1000*$C$27</f>
        <v/>
      </c>
      <c r="S27" s="382">
        <f>S9*1000*$C$27</f>
        <v/>
      </c>
      <c r="T27" s="382">
        <f>T9*1000*$C$27</f>
        <v/>
      </c>
      <c r="U27" s="382">
        <f>U9*1000*$C$27</f>
        <v/>
      </c>
      <c r="V27" s="382">
        <f>V9*1000*$C$27</f>
        <v/>
      </c>
      <c r="W27" s="382">
        <f>W9*1000*$C$27</f>
        <v/>
      </c>
      <c r="X27" s="382">
        <f>X9*1000*$C$27</f>
        <v/>
      </c>
      <c r="Y27" s="382">
        <f>Y9*1000*$C$27</f>
        <v/>
      </c>
      <c r="Z27" s="382">
        <f>Z9*1000*$C$27</f>
        <v/>
      </c>
      <c r="AA27" s="382">
        <f>AA9*1000*$C$27</f>
        <v/>
      </c>
      <c r="AB27" s="382">
        <f>AB9*1000*$C$27</f>
        <v/>
      </c>
      <c r="AC27" s="382">
        <f>AC9*1000*$C$27</f>
        <v/>
      </c>
      <c r="AD27" s="382">
        <f>AD9*1000*$C$27</f>
        <v/>
      </c>
      <c r="AE27" s="382" t="n"/>
      <c r="AF27" s="333">
        <f>SUM(D27:AD27)</f>
        <v/>
      </c>
      <c r="AH27" s="8" t="inlineStr">
        <is>
          <t>Remaining Mine Life</t>
        </is>
      </c>
      <c r="AI27" s="383" t="n">
        <v>21</v>
      </c>
    </row>
    <row r="28">
      <c r="A28" t="inlineStr">
        <is>
          <t>Safeguard - Hybrid Declining Baseline</t>
        </is>
      </c>
      <c r="B28" s="17" t="inlineStr">
        <is>
          <t>t CO2e</t>
        </is>
      </c>
      <c r="C28" s="382" t="n">
        <v>0</v>
      </c>
      <c r="D28" s="423">
        <f>D11*'Decommissioned Mine'!E35</f>
        <v/>
      </c>
      <c r="E28" s="423">
        <f>E11*'Decommissioned Mine'!F35</f>
        <v/>
      </c>
      <c r="F28" s="423">
        <f>F11*'Decommissioned Mine'!G35</f>
        <v/>
      </c>
      <c r="G28" s="423">
        <f>G11*'Decommissioned Mine'!H35</f>
        <v/>
      </c>
      <c r="H28" s="423">
        <f>H11*'Decommissioned Mine'!I35</f>
        <v/>
      </c>
      <c r="I28" s="423">
        <f>I11*'Decommissioned Mine'!J35</f>
        <v/>
      </c>
      <c r="J28" s="423">
        <f>J11*'Decommissioned Mine'!K35</f>
        <v/>
      </c>
      <c r="K28" s="423">
        <f>K11*'Decommissioned Mine'!L35</f>
        <v/>
      </c>
      <c r="L28" s="423">
        <f>L11*'Decommissioned Mine'!M35</f>
        <v/>
      </c>
      <c r="M28" s="423">
        <f>M11*'Decommissioned Mine'!N35</f>
        <v/>
      </c>
      <c r="N28" s="423">
        <f>N11*'Decommissioned Mine'!O35</f>
        <v/>
      </c>
      <c r="O28" s="423">
        <f>O11*'Decommissioned Mine'!P35</f>
        <v/>
      </c>
      <c r="P28" s="423">
        <f>P11*'Decommissioned Mine'!Q35</f>
        <v/>
      </c>
      <c r="Q28" s="423">
        <f>Q11*'Decommissioned Mine'!R35</f>
        <v/>
      </c>
      <c r="R28" s="423">
        <f>R11*'Decommissioned Mine'!S35</f>
        <v/>
      </c>
      <c r="S28" s="423">
        <f>S11*'Decommissioned Mine'!T35</f>
        <v/>
      </c>
      <c r="T28" s="423">
        <f>T11*'Decommissioned Mine'!U35</f>
        <v/>
      </c>
      <c r="U28" s="423">
        <f>U11*'Decommissioned Mine'!V35</f>
        <v/>
      </c>
      <c r="V28" s="423">
        <f>V11*'Decommissioned Mine'!W35</f>
        <v/>
      </c>
      <c r="W28" s="423">
        <f>W11*'Decommissioned Mine'!X35</f>
        <v/>
      </c>
      <c r="X28" s="423">
        <f>X11*'Decommissioned Mine'!Y35</f>
        <v/>
      </c>
      <c r="Y28" s="423">
        <f>Y11*'Decommissioned Mine'!Z35</f>
        <v/>
      </c>
      <c r="Z28" s="423">
        <f>Z11*'Decommissioned Mine'!AA35</f>
        <v/>
      </c>
      <c r="AA28" s="423">
        <f>AA11*'Decommissioned Mine'!AB35</f>
        <v/>
      </c>
      <c r="AB28" s="423">
        <f>AB11*'Decommissioned Mine'!AC35</f>
        <v/>
      </c>
      <c r="AC28" s="423">
        <f>AC11*'Decommissioned Mine'!AD35</f>
        <v/>
      </c>
      <c r="AD28" s="423">
        <f>AD11*'Decommissioned Mine'!AE35</f>
        <v/>
      </c>
      <c r="AE28" s="423" t="n"/>
      <c r="AF28" s="333" t="n"/>
      <c r="AI28" s="323" t="n"/>
    </row>
    <row r="29">
      <c r="A29" t="inlineStr">
        <is>
          <t>Emissions above (or below) baseline</t>
        </is>
      </c>
      <c r="B29" s="17" t="inlineStr">
        <is>
          <t>t CO2e</t>
        </is>
      </c>
      <c r="C29" s="382" t="n"/>
      <c r="D29" s="382">
        <f>D27-D28</f>
        <v/>
      </c>
      <c r="E29" s="382">
        <f>E27-E28</f>
        <v/>
      </c>
      <c r="F29" s="382">
        <f>F27-F28</f>
        <v/>
      </c>
      <c r="G29" s="382">
        <f>G27-G28</f>
        <v/>
      </c>
      <c r="H29" s="382">
        <f>H27-H28</f>
        <v/>
      </c>
      <c r="I29" s="382">
        <f>I27-I28</f>
        <v/>
      </c>
      <c r="J29" s="382">
        <f>J27-J28</f>
        <v/>
      </c>
      <c r="K29" s="382">
        <f>K27-K28</f>
        <v/>
      </c>
      <c r="L29" s="382">
        <f>L27-L28</f>
        <v/>
      </c>
      <c r="M29" s="382">
        <f>M27-M28</f>
        <v/>
      </c>
      <c r="N29" s="382">
        <f>N27-N28</f>
        <v/>
      </c>
      <c r="O29" s="382">
        <f>O27-O28</f>
        <v/>
      </c>
      <c r="P29" s="382">
        <f>P27-P28</f>
        <v/>
      </c>
      <c r="Q29" s="382">
        <f>Q27-Q28</f>
        <v/>
      </c>
      <c r="R29" s="382">
        <f>R27-R28</f>
        <v/>
      </c>
      <c r="S29" s="382">
        <f>S27-S28</f>
        <v/>
      </c>
      <c r="T29" s="382">
        <f>T27-T28</f>
        <v/>
      </c>
      <c r="U29" s="382">
        <f>U27-U28</f>
        <v/>
      </c>
      <c r="V29" s="382">
        <f>V27-V28</f>
        <v/>
      </c>
      <c r="W29" s="382">
        <f>W27-W28</f>
        <v/>
      </c>
      <c r="X29" s="382">
        <f>X27-X28</f>
        <v/>
      </c>
      <c r="Y29" s="382">
        <f>Y27-Y28</f>
        <v/>
      </c>
      <c r="Z29" s="382">
        <f>Z27-Z28</f>
        <v/>
      </c>
      <c r="AA29" s="382">
        <f>AA27-AA28</f>
        <v/>
      </c>
      <c r="AB29" s="382">
        <f>AB27-AB28</f>
        <v/>
      </c>
      <c r="AC29" s="382">
        <f>AC27-AC28</f>
        <v/>
      </c>
      <c r="AD29" s="382">
        <f>AD27-AD28</f>
        <v/>
      </c>
      <c r="AE29" s="382" t="n"/>
      <c r="AF29" s="333" t="n"/>
      <c r="AI29" s="323" t="n"/>
    </row>
    <row r="30">
      <c r="C30" s="363" t="n"/>
      <c r="D30" s="363" t="n"/>
      <c r="E30" s="363" t="n"/>
      <c r="F30" s="363" t="n"/>
      <c r="G30" s="363" t="n"/>
      <c r="H30" s="363" t="n"/>
      <c r="I30" s="363" t="n"/>
      <c r="J30" s="363" t="n"/>
      <c r="K30" s="363" t="n"/>
      <c r="L30" s="363" t="n"/>
      <c r="M30" s="363" t="n"/>
      <c r="N30" s="363" t="n"/>
      <c r="O30" s="363" t="n"/>
      <c r="P30" s="363" t="n"/>
      <c r="Q30" s="363" t="n"/>
      <c r="R30" s="363" t="n"/>
      <c r="S30" s="363" t="n"/>
      <c r="T30" s="363" t="n"/>
      <c r="U30" s="363" t="n"/>
      <c r="V30" s="363" t="n"/>
      <c r="W30" s="363" t="n"/>
      <c r="X30" s="363" t="n"/>
      <c r="Y30" s="363" t="n"/>
      <c r="Z30" s="363" t="n"/>
      <c r="AA30" s="363" t="n"/>
      <c r="AB30" s="363" t="n"/>
      <c r="AC30" s="363" t="n"/>
      <c r="AD30" s="363" t="n"/>
      <c r="AE30" s="363" t="n"/>
    </row>
    <row r="31">
      <c r="A31" s="2" t="inlineStr">
        <is>
          <t>Marketing</t>
        </is>
      </c>
      <c r="B31" s="29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95" t="n"/>
      <c r="V31" s="36" t="n"/>
      <c r="W31" s="36" t="n"/>
      <c r="X31" s="36" t="n"/>
      <c r="Y31" s="95" t="n"/>
      <c r="Z31" s="36" t="n"/>
      <c r="AA31" s="36" t="n"/>
      <c r="AB31" s="95" t="n"/>
      <c r="AC31" s="36" t="n"/>
      <c r="AD31" s="36" t="n"/>
      <c r="AE31" s="36" t="n"/>
      <c r="AF31" s="3" t="n"/>
    </row>
    <row r="32">
      <c r="A32" s="28" t="n"/>
      <c r="B32" s="17" t="n"/>
      <c r="AF32" s="25" t="n"/>
    </row>
    <row r="33">
      <c r="A33" s="28" t="inlineStr">
        <is>
          <t>Sales</t>
        </is>
      </c>
      <c r="B33" s="17" t="n"/>
      <c r="AF33" s="25" t="n"/>
    </row>
    <row r="34">
      <c r="A34" s="94" t="inlineStr">
        <is>
          <t>Coking Product A</t>
        </is>
      </c>
      <c r="B34" s="17" t="inlineStr">
        <is>
          <t>kt</t>
        </is>
      </c>
      <c r="C34" s="299" t="n"/>
      <c r="D34" s="344">
        <f>D24*$C$34</f>
        <v/>
      </c>
      <c r="E34" s="344">
        <f>E24*$C$34</f>
        <v/>
      </c>
      <c r="F34" s="344">
        <f>F24*$C$34</f>
        <v/>
      </c>
      <c r="G34" s="344">
        <f>G24*$C$34</f>
        <v/>
      </c>
      <c r="H34" s="344">
        <f>H24*$C$34</f>
        <v/>
      </c>
      <c r="I34" s="344">
        <f>I24*$C$34</f>
        <v/>
      </c>
      <c r="J34" s="344">
        <f>J24*$C$34</f>
        <v/>
      </c>
      <c r="K34" s="344">
        <f>K24*$C$34</f>
        <v/>
      </c>
      <c r="L34" s="344">
        <f>L24*$C$34</f>
        <v/>
      </c>
      <c r="M34" s="344">
        <f>M24*$C$34</f>
        <v/>
      </c>
      <c r="N34" s="344">
        <f>N24*$C$34</f>
        <v/>
      </c>
      <c r="O34" s="344">
        <f>O24*$C$34</f>
        <v/>
      </c>
      <c r="P34" s="344">
        <f>P24*$C$34</f>
        <v/>
      </c>
      <c r="Q34" s="344">
        <f>Q24*$C$34</f>
        <v/>
      </c>
      <c r="R34" s="344">
        <f>R24*$C$34</f>
        <v/>
      </c>
      <c r="S34" s="344">
        <f>S24*$C$34</f>
        <v/>
      </c>
      <c r="T34" s="344">
        <f>T24*$C$34</f>
        <v/>
      </c>
      <c r="U34" s="344">
        <f>U24*$C$34</f>
        <v/>
      </c>
      <c r="V34" s="344">
        <f>V24*$C$34</f>
        <v/>
      </c>
      <c r="W34" s="344">
        <f>W24*$C$34</f>
        <v/>
      </c>
      <c r="X34" s="344">
        <f>X24*$C$34</f>
        <v/>
      </c>
      <c r="Y34" s="344">
        <f>Y24*$C$34</f>
        <v/>
      </c>
      <c r="Z34" s="344">
        <f>Z24*$C$34</f>
        <v/>
      </c>
      <c r="AA34" s="344">
        <f>AA24*$C$34</f>
        <v/>
      </c>
      <c r="AB34" s="344">
        <f>AB24*$C$34</f>
        <v/>
      </c>
      <c r="AC34" s="344">
        <f>AC24*$C$34</f>
        <v/>
      </c>
      <c r="AD34" s="344">
        <f>AD24*$C$34</f>
        <v/>
      </c>
      <c r="AE34" s="344" t="n"/>
      <c r="AF34" s="370">
        <f>SUM(D34:AD34)</f>
        <v/>
      </c>
    </row>
    <row r="35">
      <c r="A35" s="94" t="inlineStr">
        <is>
          <t>Thermal Product A</t>
        </is>
      </c>
      <c r="B35" s="17" t="inlineStr">
        <is>
          <t>kt</t>
        </is>
      </c>
      <c r="C35" s="299" t="n"/>
      <c r="D35" s="344">
        <f>$C$35*D24</f>
        <v/>
      </c>
      <c r="E35" s="344">
        <f>$C$35*E24</f>
        <v/>
      </c>
      <c r="F35" s="344">
        <f>$C$35*F24</f>
        <v/>
      </c>
      <c r="G35" s="344">
        <f>$C$35*G24</f>
        <v/>
      </c>
      <c r="H35" s="344">
        <f>$C$35*H24</f>
        <v/>
      </c>
      <c r="I35" s="344">
        <f>$C$35*I24</f>
        <v/>
      </c>
      <c r="J35" s="344">
        <f>$C$35*J24</f>
        <v/>
      </c>
      <c r="K35" s="344">
        <f>$C$35*K24</f>
        <v/>
      </c>
      <c r="L35" s="344">
        <f>$C$35*L24</f>
        <v/>
      </c>
      <c r="M35" s="344">
        <f>$C$35*M24</f>
        <v/>
      </c>
      <c r="N35" s="344">
        <f>$C$35*N24</f>
        <v/>
      </c>
      <c r="O35" s="344">
        <f>$C$35*O24</f>
        <v/>
      </c>
      <c r="P35" s="344">
        <f>$C$35*P24</f>
        <v/>
      </c>
      <c r="Q35" s="344">
        <f>$C$35*Q24</f>
        <v/>
      </c>
      <c r="R35" s="344">
        <f>$C$35*R24</f>
        <v/>
      </c>
      <c r="S35" s="344">
        <f>$C$35*S24</f>
        <v/>
      </c>
      <c r="T35" s="344">
        <f>$C$35*T24</f>
        <v/>
      </c>
      <c r="U35" s="344">
        <f>$C$35*U24</f>
        <v/>
      </c>
      <c r="V35" s="344">
        <f>$C$35*V24</f>
        <v/>
      </c>
      <c r="W35" s="344">
        <f>$C$35*W24</f>
        <v/>
      </c>
      <c r="X35" s="344">
        <f>$C$35*X24</f>
        <v/>
      </c>
      <c r="Y35" s="344">
        <f>$C$35*Y24</f>
        <v/>
      </c>
      <c r="Z35" s="344">
        <f>$C$35*Z24</f>
        <v/>
      </c>
      <c r="AA35" s="344">
        <f>$C$35*AA24</f>
        <v/>
      </c>
      <c r="AB35" s="344">
        <f>$C$35*AB24</f>
        <v/>
      </c>
      <c r="AC35" s="344">
        <f>$C$35*AC24</f>
        <v/>
      </c>
      <c r="AD35" s="344">
        <f>$C$35*AD24</f>
        <v/>
      </c>
      <c r="AE35" s="344" t="n"/>
      <c r="AF35" s="370">
        <f>SUM(D35:AD35)</f>
        <v/>
      </c>
    </row>
    <row r="36">
      <c r="A36" s="4" t="inlineStr">
        <is>
          <t>Total Sales</t>
        </is>
      </c>
      <c r="B36" s="17" t="inlineStr">
        <is>
          <t>kt</t>
        </is>
      </c>
      <c r="C36" s="347" t="n"/>
      <c r="D36" s="347">
        <f>SUM(D34:D35)</f>
        <v/>
      </c>
      <c r="E36" s="347">
        <f>SUM(E34:E35)</f>
        <v/>
      </c>
      <c r="F36" s="347">
        <f>SUM(F34:F35)</f>
        <v/>
      </c>
      <c r="G36" s="347">
        <f>SUM(G34:G35)</f>
        <v/>
      </c>
      <c r="H36" s="347">
        <f>SUM(H34:H35)</f>
        <v/>
      </c>
      <c r="I36" s="347">
        <f>SUM(I34:I35)</f>
        <v/>
      </c>
      <c r="J36" s="347">
        <f>SUM(J34:J35)</f>
        <v/>
      </c>
      <c r="K36" s="347">
        <f>SUM(K34:K35)</f>
        <v/>
      </c>
      <c r="L36" s="347">
        <f>SUM(L34:L35)</f>
        <v/>
      </c>
      <c r="M36" s="347">
        <f>SUM(M34:M35)</f>
        <v/>
      </c>
      <c r="N36" s="347">
        <f>SUM(N34:N35)</f>
        <v/>
      </c>
      <c r="O36" s="347">
        <f>SUM(O34:O35)</f>
        <v/>
      </c>
      <c r="P36" s="347">
        <f>SUM(P34:P35)</f>
        <v/>
      </c>
      <c r="Q36" s="347">
        <f>SUM(Q34:Q35)</f>
        <v/>
      </c>
      <c r="R36" s="347">
        <f>SUM(R34:R35)</f>
        <v/>
      </c>
      <c r="S36" s="347">
        <f>SUM(S34:S35)</f>
        <v/>
      </c>
      <c r="T36" s="347">
        <f>SUM(T34:T35)</f>
        <v/>
      </c>
      <c r="U36" s="347">
        <f>SUM(U34:U35)</f>
        <v/>
      </c>
      <c r="V36" s="347">
        <f>SUM(V34:V35)</f>
        <v/>
      </c>
      <c r="W36" s="347">
        <f>SUM(W34:W35)</f>
        <v/>
      </c>
      <c r="X36" s="347">
        <f>SUM(X34:X35)</f>
        <v/>
      </c>
      <c r="Y36" s="347">
        <f>SUM(Y34:Y35)</f>
        <v/>
      </c>
      <c r="Z36" s="347">
        <f>SUM(Z34:Z35)</f>
        <v/>
      </c>
      <c r="AA36" s="347">
        <f>SUM(AA34:AA35)</f>
        <v/>
      </c>
      <c r="AB36" s="347">
        <f>SUM(AB34:AB35)</f>
        <v/>
      </c>
      <c r="AC36" s="347">
        <f>SUM(AC34:AC35)</f>
        <v/>
      </c>
      <c r="AD36" s="347">
        <f>SUM(AD34:AD35)</f>
        <v/>
      </c>
      <c r="AE36" s="347" t="n"/>
      <c r="AF36" s="347">
        <f>SUM(AF34:AF35)</f>
        <v/>
      </c>
    </row>
    <row r="37">
      <c r="A37" s="4" t="n"/>
      <c r="B37" s="17" t="n"/>
      <c r="AF37" s="25" t="n"/>
    </row>
    <row r="38">
      <c r="A38" s="28" t="inlineStr">
        <is>
          <t>Product Ash (as received)</t>
        </is>
      </c>
      <c r="B38" s="17" t="n"/>
      <c r="AF38" s="25" t="n"/>
    </row>
    <row r="39">
      <c r="A39" s="94" t="inlineStr">
        <is>
          <t>Coking Product A</t>
        </is>
      </c>
      <c r="B39" s="17" t="inlineStr">
        <is>
          <t>%</t>
        </is>
      </c>
      <c r="C39" s="422" t="n"/>
      <c r="D39" s="329">
        <f>$C$39</f>
        <v/>
      </c>
      <c r="E39" s="329">
        <f>$C$39</f>
        <v/>
      </c>
      <c r="F39" s="329">
        <f>$C$39</f>
        <v/>
      </c>
      <c r="G39" s="329">
        <f>$C$39</f>
        <v/>
      </c>
      <c r="H39" s="329">
        <f>$C$39</f>
        <v/>
      </c>
      <c r="I39" s="329">
        <f>$C$39</f>
        <v/>
      </c>
      <c r="J39" s="329">
        <f>$C$39</f>
        <v/>
      </c>
      <c r="K39" s="329">
        <f>$C$39</f>
        <v/>
      </c>
      <c r="L39" s="329">
        <f>$C$39</f>
        <v/>
      </c>
      <c r="M39" s="329">
        <f>$C$39</f>
        <v/>
      </c>
      <c r="N39" s="329">
        <f>$C$39</f>
        <v/>
      </c>
      <c r="O39" s="329">
        <f>$C$39</f>
        <v/>
      </c>
      <c r="P39" s="329">
        <f>$C$39</f>
        <v/>
      </c>
      <c r="Q39" s="329">
        <f>$C$39</f>
        <v/>
      </c>
      <c r="R39" s="329">
        <f>$C$39</f>
        <v/>
      </c>
      <c r="S39" s="329">
        <f>$C$39</f>
        <v/>
      </c>
      <c r="T39" s="329">
        <f>$C$39</f>
        <v/>
      </c>
      <c r="U39" s="329">
        <f>$C$39</f>
        <v/>
      </c>
      <c r="V39" s="329">
        <f>$C$39</f>
        <v/>
      </c>
      <c r="W39" s="329">
        <f>$C$39</f>
        <v/>
      </c>
      <c r="X39" s="329">
        <f>$C$39</f>
        <v/>
      </c>
      <c r="Y39" s="329">
        <f>$C$39</f>
        <v/>
      </c>
      <c r="Z39" s="329">
        <f>$C$39</f>
        <v/>
      </c>
      <c r="AA39" s="329">
        <f>$C$39</f>
        <v/>
      </c>
      <c r="AB39" s="329">
        <f>$C$39</f>
        <v/>
      </c>
      <c r="AC39" s="329">
        <f>$C$39</f>
        <v/>
      </c>
      <c r="AD39" s="329">
        <f>$C$39</f>
        <v/>
      </c>
      <c r="AE39" s="329" t="n"/>
      <c r="AF39" s="370" t="n"/>
    </row>
    <row r="40">
      <c r="A40" s="94" t="inlineStr">
        <is>
          <t>Thermal Product A</t>
        </is>
      </c>
      <c r="B40" s="17" t="inlineStr">
        <is>
          <t>%</t>
        </is>
      </c>
      <c r="C40" s="422" t="n"/>
      <c r="D40" s="329">
        <f>$C$40</f>
        <v/>
      </c>
      <c r="E40" s="329">
        <f>$C$40</f>
        <v/>
      </c>
      <c r="F40" s="329">
        <f>$C$40</f>
        <v/>
      </c>
      <c r="G40" s="329">
        <f>$C$40</f>
        <v/>
      </c>
      <c r="H40" s="329">
        <f>$C$40</f>
        <v/>
      </c>
      <c r="I40" s="329">
        <f>$C$40</f>
        <v/>
      </c>
      <c r="J40" s="329">
        <f>$C$40</f>
        <v/>
      </c>
      <c r="K40" s="329">
        <f>$C$40</f>
        <v/>
      </c>
      <c r="L40" s="329">
        <f>$C$40</f>
        <v/>
      </c>
      <c r="M40" s="329">
        <f>$C$40</f>
        <v/>
      </c>
      <c r="N40" s="329">
        <f>$C$40</f>
        <v/>
      </c>
      <c r="O40" s="329">
        <f>$C$40</f>
        <v/>
      </c>
      <c r="P40" s="329">
        <f>$C$40</f>
        <v/>
      </c>
      <c r="Q40" s="329">
        <f>$C$40</f>
        <v/>
      </c>
      <c r="R40" s="329">
        <f>$C$40</f>
        <v/>
      </c>
      <c r="S40" s="329">
        <f>$C$40</f>
        <v/>
      </c>
      <c r="T40" s="329">
        <f>$C$40</f>
        <v/>
      </c>
      <c r="U40" s="329">
        <f>$C$40</f>
        <v/>
      </c>
      <c r="V40" s="329">
        <f>$C$40</f>
        <v/>
      </c>
      <c r="W40" s="329">
        <f>$C$40</f>
        <v/>
      </c>
      <c r="X40" s="329">
        <f>$C$40</f>
        <v/>
      </c>
      <c r="Y40" s="329">
        <f>$C$40</f>
        <v/>
      </c>
      <c r="Z40" s="329">
        <f>$C$40</f>
        <v/>
      </c>
      <c r="AA40" s="329">
        <f>$C$40</f>
        <v/>
      </c>
      <c r="AB40" s="329">
        <f>$C$40</f>
        <v/>
      </c>
      <c r="AC40" s="329">
        <f>$C$40</f>
        <v/>
      </c>
      <c r="AD40" s="329">
        <f>$C$40</f>
        <v/>
      </c>
      <c r="AE40" s="329" t="n"/>
      <c r="AF40" s="370" t="n"/>
    </row>
    <row r="41">
      <c r="A41" s="4" t="n"/>
      <c r="B41" s="17" t="n"/>
      <c r="AF41" s="25" t="n"/>
    </row>
    <row r="42">
      <c r="A42" s="28" t="inlineStr">
        <is>
          <t>Product Energy (gar)</t>
        </is>
      </c>
      <c r="B42" s="17" t="n"/>
      <c r="AF42" s="25" t="n"/>
    </row>
    <row r="43">
      <c r="A43" s="94" t="inlineStr">
        <is>
          <t>Coking Product A</t>
        </is>
      </c>
      <c r="B43" s="17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70" t="n"/>
    </row>
    <row r="44">
      <c r="A44" s="94" t="inlineStr">
        <is>
          <t>Thermal Product A</t>
        </is>
      </c>
      <c r="B44" s="17" t="inlineStr">
        <is>
          <t>kcal/kg(gar)</t>
        </is>
      </c>
      <c r="C44" s="391" t="n"/>
      <c r="D44" s="323">
        <f>$C$44</f>
        <v/>
      </c>
      <c r="E44" s="323">
        <f>$C$44</f>
        <v/>
      </c>
      <c r="F44" s="323">
        <f>$C$44</f>
        <v/>
      </c>
      <c r="G44" s="323">
        <f>$C$44</f>
        <v/>
      </c>
      <c r="H44" s="323">
        <f>$C$44</f>
        <v/>
      </c>
      <c r="I44" s="323">
        <f>$C$44</f>
        <v/>
      </c>
      <c r="J44" s="323">
        <f>$C$44</f>
        <v/>
      </c>
      <c r="K44" s="323">
        <f>$C$44</f>
        <v/>
      </c>
      <c r="L44" s="323">
        <f>$C$44</f>
        <v/>
      </c>
      <c r="M44" s="323">
        <f>$C$44</f>
        <v/>
      </c>
      <c r="N44" s="323">
        <f>$C$44</f>
        <v/>
      </c>
      <c r="O44" s="323">
        <f>$C$44</f>
        <v/>
      </c>
      <c r="P44" s="323">
        <f>$C$44</f>
        <v/>
      </c>
      <c r="Q44" s="323">
        <f>$C$44</f>
        <v/>
      </c>
      <c r="R44" s="323">
        <f>$C$44</f>
        <v/>
      </c>
      <c r="S44" s="323">
        <f>$C$44</f>
        <v/>
      </c>
      <c r="T44" s="323">
        <f>$C$44</f>
        <v/>
      </c>
      <c r="U44" s="323">
        <f>$C$44</f>
        <v/>
      </c>
      <c r="V44" s="323">
        <f>$C$44</f>
        <v/>
      </c>
      <c r="W44" s="323">
        <f>$C$44</f>
        <v/>
      </c>
      <c r="X44" s="323">
        <f>$C$44</f>
        <v/>
      </c>
      <c r="Y44" s="323">
        <f>$C$44</f>
        <v/>
      </c>
      <c r="Z44" s="323">
        <f>$C$44</f>
        <v/>
      </c>
      <c r="AA44" s="323">
        <f>$C$44</f>
        <v/>
      </c>
      <c r="AB44" s="323">
        <f>$C$44</f>
        <v/>
      </c>
      <c r="AC44" s="323">
        <f>$C$44</f>
        <v/>
      </c>
      <c r="AD44" s="323">
        <f>$C$44</f>
        <v/>
      </c>
      <c r="AE44" s="323" t="n"/>
      <c r="AF44" s="370" t="n"/>
    </row>
    <row r="45">
      <c r="A45" s="4" t="n"/>
      <c r="B45" s="17" t="n"/>
      <c r="C45" s="323" t="n"/>
      <c r="D45" s="323" t="n"/>
      <c r="E45" s="323" t="n"/>
      <c r="F45" s="323" t="n"/>
      <c r="G45" s="323" t="n"/>
      <c r="H45" s="323" t="n"/>
      <c r="I45" s="323" t="n"/>
      <c r="J45" s="323" t="n"/>
      <c r="K45" s="323" t="n"/>
      <c r="L45" s="323" t="n"/>
      <c r="M45" s="323" t="n"/>
      <c r="N45" s="323" t="n"/>
      <c r="O45" s="323" t="n"/>
      <c r="P45" s="323" t="n"/>
      <c r="Q45" s="323" t="n"/>
      <c r="R45" s="323" t="n"/>
      <c r="S45" s="323" t="n"/>
      <c r="T45" s="323" t="n"/>
      <c r="U45" s="323" t="n"/>
      <c r="V45" s="323" t="n"/>
      <c r="W45" s="323" t="n"/>
      <c r="X45" s="323" t="n"/>
      <c r="Y45" s="323" t="n"/>
      <c r="Z45" s="323" t="n"/>
      <c r="AA45" s="323" t="n"/>
      <c r="AB45" s="323" t="n"/>
      <c r="AC45" s="323" t="n"/>
      <c r="AD45" s="323" t="n"/>
      <c r="AE45" s="323" t="n"/>
      <c r="AF45" s="370" t="n"/>
    </row>
    <row r="46">
      <c r="A46" s="4" t="inlineStr">
        <is>
          <t>GAR-&gt; NAR adjustment</t>
        </is>
      </c>
      <c r="B46" s="17" t="n"/>
      <c r="C46" s="323" t="n"/>
      <c r="D46" s="323">
        <f>Assumptions!$B$16</f>
        <v/>
      </c>
      <c r="E46" s="323">
        <f>Assumptions!$B$16</f>
        <v/>
      </c>
      <c r="F46" s="323">
        <f>Assumptions!$B$16</f>
        <v/>
      </c>
      <c r="G46" s="323">
        <f>Assumptions!$B$16</f>
        <v/>
      </c>
      <c r="H46" s="323">
        <f>Assumptions!$B$16</f>
        <v/>
      </c>
      <c r="I46" s="323">
        <f>Assumptions!$B$16</f>
        <v/>
      </c>
      <c r="J46" s="323">
        <f>Assumptions!$B$16</f>
        <v/>
      </c>
      <c r="K46" s="323">
        <f>Assumptions!$B$16</f>
        <v/>
      </c>
      <c r="L46" s="323">
        <f>Assumptions!$B$16</f>
        <v/>
      </c>
      <c r="M46" s="323">
        <f>Assumptions!$B$16</f>
        <v/>
      </c>
      <c r="N46" s="323">
        <f>Assumptions!$B$16</f>
        <v/>
      </c>
      <c r="O46" s="323">
        <f>Assumptions!$B$16</f>
        <v/>
      </c>
      <c r="P46" s="323">
        <f>Assumptions!$B$16</f>
        <v/>
      </c>
      <c r="Q46" s="323">
        <f>Assumptions!$B$16</f>
        <v/>
      </c>
      <c r="R46" s="323">
        <f>Assumptions!$B$16</f>
        <v/>
      </c>
      <c r="S46" s="323">
        <f>Assumptions!$B$16</f>
        <v/>
      </c>
      <c r="T46" s="323">
        <f>Assumptions!$B$16</f>
        <v/>
      </c>
      <c r="U46" s="323">
        <f>Assumptions!$B$16</f>
        <v/>
      </c>
      <c r="V46" s="323">
        <f>Assumptions!$B$16</f>
        <v/>
      </c>
      <c r="W46" s="323">
        <f>Assumptions!$B$16</f>
        <v/>
      </c>
      <c r="X46" s="323">
        <f>Assumptions!$B$16</f>
        <v/>
      </c>
      <c r="Y46" s="323">
        <f>Assumptions!$B$16</f>
        <v/>
      </c>
      <c r="Z46" s="323">
        <f>Assumptions!$B$16</f>
        <v/>
      </c>
      <c r="AA46" s="323">
        <f>Assumptions!$B$16</f>
        <v/>
      </c>
      <c r="AB46" s="323">
        <f>Assumptions!$B$16</f>
        <v/>
      </c>
      <c r="AC46" s="323">
        <f>Assumptions!$B$16</f>
        <v/>
      </c>
      <c r="AD46" s="323">
        <f>Assumptions!$B$16</f>
        <v/>
      </c>
      <c r="AE46" s="323" t="n"/>
      <c r="AF46" s="370" t="n"/>
    </row>
    <row r="47">
      <c r="A47" t="inlineStr">
        <is>
          <t>Basis of coal prices</t>
        </is>
      </c>
      <c r="B47" s="17" t="n"/>
      <c r="C47" s="323" t="n"/>
      <c r="D47" s="323">
        <f>Assumptions!$B$17</f>
        <v/>
      </c>
      <c r="E47" s="323">
        <f>Assumptions!$B$17</f>
        <v/>
      </c>
      <c r="F47" s="323">
        <f>Assumptions!$B$17</f>
        <v/>
      </c>
      <c r="G47" s="323">
        <f>Assumptions!$B$17</f>
        <v/>
      </c>
      <c r="H47" s="323">
        <f>Assumptions!$B$17</f>
        <v/>
      </c>
      <c r="I47" s="323">
        <f>Assumptions!$B$17</f>
        <v/>
      </c>
      <c r="J47" s="323">
        <f>Assumptions!$B$17</f>
        <v/>
      </c>
      <c r="K47" s="323">
        <f>Assumptions!$B$17</f>
        <v/>
      </c>
      <c r="L47" s="323">
        <f>Assumptions!$B$17</f>
        <v/>
      </c>
      <c r="M47" s="323">
        <f>Assumptions!$B$17</f>
        <v/>
      </c>
      <c r="N47" s="323">
        <f>Assumptions!$B$17</f>
        <v/>
      </c>
      <c r="O47" s="323">
        <f>Assumptions!$B$17</f>
        <v/>
      </c>
      <c r="P47" s="323">
        <f>Assumptions!$B$17</f>
        <v/>
      </c>
      <c r="Q47" s="323">
        <f>Assumptions!$B$17</f>
        <v/>
      </c>
      <c r="R47" s="323">
        <f>Assumptions!$B$17</f>
        <v/>
      </c>
      <c r="S47" s="323">
        <f>Assumptions!$B$17</f>
        <v/>
      </c>
      <c r="T47" s="323">
        <f>Assumptions!$B$17</f>
        <v/>
      </c>
      <c r="U47" s="323">
        <f>Assumptions!$B$17</f>
        <v/>
      </c>
      <c r="V47" s="323">
        <f>Assumptions!$B$17</f>
        <v/>
      </c>
      <c r="W47" s="323">
        <f>Assumptions!$B$17</f>
        <v/>
      </c>
      <c r="X47" s="323">
        <f>Assumptions!$B$17</f>
        <v/>
      </c>
      <c r="Y47" s="323">
        <f>Assumptions!$B$17</f>
        <v/>
      </c>
      <c r="Z47" s="323">
        <f>Assumptions!$B$17</f>
        <v/>
      </c>
      <c r="AA47" s="323">
        <f>Assumptions!$B$17</f>
        <v/>
      </c>
      <c r="AB47" s="323">
        <f>Assumptions!$B$17</f>
        <v/>
      </c>
      <c r="AC47" s="323">
        <f>Assumptions!$B$17</f>
        <v/>
      </c>
      <c r="AD47" s="323">
        <f>Assumptions!$B$17</f>
        <v/>
      </c>
      <c r="AE47" s="323" t="n"/>
      <c r="AF47" s="370" t="n"/>
    </row>
    <row r="48">
      <c r="B48" s="17" t="n"/>
      <c r="C48" s="323" t="n"/>
      <c r="D48" s="323" t="n"/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23" t="n"/>
      <c r="N48" s="323" t="n"/>
      <c r="O48" s="323" t="n"/>
      <c r="P48" s="323" t="n"/>
      <c r="Q48" s="323" t="n"/>
      <c r="R48" s="323" t="n"/>
      <c r="S48" s="323" t="n"/>
      <c r="T48" s="323" t="n"/>
      <c r="U48" s="323" t="n"/>
      <c r="V48" s="323" t="n"/>
      <c r="W48" s="323" t="n"/>
      <c r="X48" s="323" t="n"/>
      <c r="Y48" s="323" t="n"/>
      <c r="Z48" s="323" t="n"/>
      <c r="AA48" s="323" t="n"/>
      <c r="AB48" s="323" t="n"/>
      <c r="AC48" s="323" t="n"/>
      <c r="AD48" s="323" t="n"/>
      <c r="AE48" s="323" t="n"/>
      <c r="AF48" s="370" t="n"/>
    </row>
    <row r="49">
      <c r="A49" s="28" t="inlineStr">
        <is>
          <t>Product Energy (nar)</t>
        </is>
      </c>
      <c r="B49" s="17" t="n"/>
      <c r="C49" s="323" t="n"/>
      <c r="D49" s="323" t="n"/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23" t="n"/>
      <c r="N49" s="323" t="n"/>
      <c r="O49" s="323" t="n"/>
      <c r="P49" s="323" t="n"/>
      <c r="Q49" s="323" t="n"/>
      <c r="R49" s="323" t="n"/>
      <c r="S49" s="323" t="n"/>
      <c r="T49" s="323" t="n"/>
      <c r="U49" s="323" t="n"/>
      <c r="V49" s="323" t="n"/>
      <c r="W49" s="323" t="n"/>
      <c r="X49" s="323" t="n"/>
      <c r="Y49" s="323" t="n"/>
      <c r="Z49" s="323" t="n"/>
      <c r="AA49" s="323" t="n"/>
      <c r="AB49" s="323" t="n"/>
      <c r="AC49" s="323" t="n"/>
      <c r="AD49" s="323" t="n"/>
      <c r="AE49" s="323" t="n"/>
      <c r="AF49" s="370" t="n"/>
    </row>
    <row r="50">
      <c r="A50" s="94" t="inlineStr">
        <is>
          <t>Coking Product A</t>
        </is>
      </c>
      <c r="B50" s="17" t="inlineStr">
        <is>
          <t>kcal/kg(nar)</t>
        </is>
      </c>
      <c r="C50" s="323" t="n"/>
      <c r="D50" s="323" t="n"/>
      <c r="E50" s="323" t="n"/>
      <c r="F50" s="323" t="n"/>
      <c r="G50" s="323" t="n"/>
      <c r="H50" s="323" t="n"/>
      <c r="I50" s="323" t="n"/>
      <c r="J50" s="323" t="n"/>
      <c r="K50" s="323" t="n"/>
      <c r="L50" s="323" t="n"/>
      <c r="M50" s="323" t="n"/>
      <c r="N50" s="323" t="n"/>
      <c r="O50" s="323" t="n"/>
      <c r="P50" s="323" t="n"/>
      <c r="Q50" s="323" t="n"/>
      <c r="R50" s="323" t="n"/>
      <c r="S50" s="323" t="n"/>
      <c r="T50" s="323" t="n"/>
      <c r="U50" s="323" t="n"/>
      <c r="V50" s="323" t="n"/>
      <c r="W50" s="323" t="n"/>
      <c r="X50" s="323" t="n"/>
      <c r="Y50" s="323" t="n"/>
      <c r="Z50" s="323" t="n"/>
      <c r="AA50" s="323" t="n"/>
      <c r="AB50" s="323" t="n"/>
      <c r="AC50" s="323" t="n"/>
      <c r="AD50" s="323" t="n"/>
      <c r="AE50" s="323" t="n"/>
      <c r="AF50" s="370" t="n"/>
    </row>
    <row r="51">
      <c r="A51" s="94" t="inlineStr">
        <is>
          <t>Thermal Product A</t>
        </is>
      </c>
      <c r="B51" s="17" t="inlineStr">
        <is>
          <t>kcal/kg(nar)</t>
        </is>
      </c>
      <c r="C51" s="323" t="n"/>
      <c r="D51" s="323">
        <f>IF(D35&gt;0,D44-D$46,0)</f>
        <v/>
      </c>
      <c r="E51" s="323">
        <f>IF(E35&gt;0,E44-E$46,0)</f>
        <v/>
      </c>
      <c r="F51" s="323">
        <f>IF(F35&gt;0,F44-F$46,0)</f>
        <v/>
      </c>
      <c r="G51" s="323">
        <f>IF(G35&gt;0,G44-G$46,0)</f>
        <v/>
      </c>
      <c r="H51" s="323">
        <f>IF(H35&gt;0,H44-H$46,0)</f>
        <v/>
      </c>
      <c r="I51" s="323">
        <f>IF(I35&gt;0,I44-I$46,0)</f>
        <v/>
      </c>
      <c r="J51" s="323">
        <f>IF(J35&gt;0,J44-J$46,0)</f>
        <v/>
      </c>
      <c r="K51" s="323">
        <f>IF(K35&gt;0,K44-K$46,0)</f>
        <v/>
      </c>
      <c r="L51" s="323">
        <f>IF(L35&gt;0,L44-L$46,0)</f>
        <v/>
      </c>
      <c r="M51" s="323">
        <f>IF(M35&gt;0,M44-M$46,0)</f>
        <v/>
      </c>
      <c r="N51" s="323">
        <f>IF(N35&gt;0,N44-N$46,0)</f>
        <v/>
      </c>
      <c r="O51" s="323">
        <f>IF(O35&gt;0,O44-O$46,0)</f>
        <v/>
      </c>
      <c r="P51" s="323">
        <f>IF(P35&gt;0,P44-P$46,0)</f>
        <v/>
      </c>
      <c r="Q51" s="323">
        <f>IF(Q35&gt;0,Q44-Q$46,0)</f>
        <v/>
      </c>
      <c r="R51" s="323">
        <f>IF(R35&gt;0,R44-R$46,0)</f>
        <v/>
      </c>
      <c r="S51" s="323">
        <f>IF(S35&gt;0,S44-S$46,0)</f>
        <v/>
      </c>
      <c r="T51" s="323">
        <f>IF(T35&gt;0,T44-T$46,0)</f>
        <v/>
      </c>
      <c r="U51" s="323">
        <f>IF(U35&gt;0,U44-U$46,0)</f>
        <v/>
      </c>
      <c r="V51" s="323">
        <f>IF(V35&gt;0,V44-V$46,0)</f>
        <v/>
      </c>
      <c r="W51" s="323">
        <f>IF(W35&gt;0,W44-W$46,0)</f>
        <v/>
      </c>
      <c r="X51" s="323">
        <f>IF(X35&gt;0,X44-X$46,0)</f>
        <v/>
      </c>
      <c r="Y51" s="323">
        <f>IF(Y35&gt;0,Y44-Y$46,0)</f>
        <v/>
      </c>
      <c r="Z51" s="323">
        <f>IF(Z35&gt;0,Z44-Z$46,0)</f>
        <v/>
      </c>
      <c r="AA51" s="323">
        <f>IF(AA35&gt;0,AA44-AA$46,0)</f>
        <v/>
      </c>
      <c r="AB51" s="323">
        <f>IF(AB35&gt;0,AB44-AB$46,0)</f>
        <v/>
      </c>
      <c r="AC51" s="323">
        <f>IF(AC35&gt;0,AC44-AC$46,0)</f>
        <v/>
      </c>
      <c r="AD51" s="323">
        <f>IF(AD35&gt;0,AD44-AD$46,0)</f>
        <v/>
      </c>
      <c r="AE51" s="323" t="n"/>
      <c r="AF51" s="370" t="n"/>
    </row>
    <row r="52">
      <c r="A52" s="4" t="n"/>
      <c r="B52" s="17" t="n"/>
      <c r="C52" s="323" t="n"/>
      <c r="D52" s="323" t="n"/>
      <c r="E52" s="323" t="n"/>
      <c r="F52" s="323" t="n"/>
      <c r="G52" s="323" t="n"/>
      <c r="H52" s="323" t="n"/>
      <c r="I52" s="323" t="n"/>
      <c r="J52" s="323" t="n"/>
      <c r="K52" s="323" t="n"/>
      <c r="L52" s="323" t="n"/>
      <c r="M52" s="323" t="n"/>
      <c r="N52" s="323" t="n"/>
      <c r="O52" s="323" t="n"/>
      <c r="P52" s="323" t="n"/>
      <c r="Q52" s="323" t="n"/>
      <c r="R52" s="323" t="n"/>
      <c r="S52" s="323" t="n"/>
      <c r="T52" s="323" t="n"/>
      <c r="U52" s="323" t="n"/>
      <c r="V52" s="323" t="n"/>
      <c r="W52" s="323" t="n"/>
      <c r="X52" s="323" t="n"/>
      <c r="Y52" s="323" t="n"/>
      <c r="Z52" s="323" t="n"/>
      <c r="AA52" s="323" t="n"/>
      <c r="AB52" s="323" t="n"/>
      <c r="AC52" s="323" t="n"/>
      <c r="AD52" s="323" t="n"/>
      <c r="AE52" s="323" t="n"/>
      <c r="AF52" s="370" t="n"/>
    </row>
    <row r="53">
      <c r="A53" s="28" t="inlineStr">
        <is>
          <t>Realised Price</t>
        </is>
      </c>
      <c r="B53" s="17" t="n"/>
      <c r="C53" s="323" t="n"/>
      <c r="D53" s="323" t="n"/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23" t="n"/>
      <c r="N53" s="323" t="n"/>
      <c r="O53" s="323" t="n"/>
      <c r="P53" s="323" t="n"/>
      <c r="Q53" s="323" t="n"/>
      <c r="R53" s="323" t="n"/>
      <c r="S53" s="323" t="n"/>
      <c r="T53" s="323" t="n"/>
      <c r="U53" s="323" t="n"/>
      <c r="V53" s="323" t="n"/>
      <c r="W53" s="323" t="n"/>
      <c r="X53" s="323" t="n"/>
      <c r="Y53" s="323" t="n"/>
      <c r="Z53" s="323" t="n"/>
      <c r="AA53" s="323" t="n"/>
      <c r="AB53" s="323" t="n"/>
      <c r="AC53" s="323" t="n"/>
      <c r="AD53" s="323" t="n"/>
      <c r="AE53" s="323" t="n"/>
      <c r="AF53" s="370" t="n"/>
    </row>
    <row r="54">
      <c r="A54" s="94" t="inlineStr">
        <is>
          <t>Coking Product A</t>
        </is>
      </c>
      <c r="B54" s="17" t="inlineStr">
        <is>
          <t>USD/t</t>
        </is>
      </c>
      <c r="C54" s="323" t="n"/>
      <c r="D54" s="323">
        <f>IF(D34&gt;0,Assumptions!J6,0)</f>
        <v/>
      </c>
      <c r="E54" s="323">
        <f>IF(E34&gt;0,Assumptions!K6,0)</f>
        <v/>
      </c>
      <c r="F54" s="323">
        <f>IF(F34&gt;0,Assumptions!L6,0)</f>
        <v/>
      </c>
      <c r="G54" s="323">
        <f>IF(G34&gt;0,Assumptions!M6,0)</f>
        <v/>
      </c>
      <c r="H54" s="323">
        <f>IF(H34&gt;0,Assumptions!N6,0)</f>
        <v/>
      </c>
      <c r="I54" s="323">
        <f>IF(I34&gt;0,Assumptions!O6,0)</f>
        <v/>
      </c>
      <c r="J54" s="323">
        <f>IF(J34&gt;0,Assumptions!P6,0)</f>
        <v/>
      </c>
      <c r="K54" s="323">
        <f>IF(K34&gt;0,Assumptions!Q6,0)</f>
        <v/>
      </c>
      <c r="L54" s="323">
        <f>IF(L34&gt;0,Assumptions!R6,0)</f>
        <v/>
      </c>
      <c r="M54" s="323">
        <f>IF(M34&gt;0,Assumptions!S6,0)</f>
        <v/>
      </c>
      <c r="N54" s="323">
        <f>IF(N34&gt;0,Assumptions!T6,0)</f>
        <v/>
      </c>
      <c r="O54" s="323">
        <f>IF(O34&gt;0,Assumptions!U6,0)</f>
        <v/>
      </c>
      <c r="P54" s="323">
        <f>IF(P34&gt;0,Assumptions!V6,0)</f>
        <v/>
      </c>
      <c r="Q54" s="323">
        <f>IF(Q34&gt;0,Assumptions!W6,0)</f>
        <v/>
      </c>
      <c r="R54" s="323">
        <f>IF(R34&gt;0,Assumptions!X6,0)</f>
        <v/>
      </c>
      <c r="S54" s="323">
        <f>IF(S34&gt;0,Assumptions!Y6,0)</f>
        <v/>
      </c>
      <c r="T54" s="323">
        <f>IF(T34&gt;0,Assumptions!Z6,0)</f>
        <v/>
      </c>
      <c r="U54" s="323">
        <f>IF(U34&gt;0,Assumptions!AA6,0)</f>
        <v/>
      </c>
      <c r="V54" s="323">
        <f>IF(V34&gt;0,Assumptions!AB6,0)</f>
        <v/>
      </c>
      <c r="W54" s="323">
        <f>IF(W34&gt;0,Assumptions!AC6,0)</f>
        <v/>
      </c>
      <c r="X54" s="323">
        <f>IF(X34&gt;0,Assumptions!AD6,0)</f>
        <v/>
      </c>
      <c r="Y54" s="323">
        <f>IF(Y34&gt;0,Assumptions!AE6,0)</f>
        <v/>
      </c>
      <c r="Z54" s="323">
        <f>IF(Z34&gt;0,Assumptions!AF6,0)</f>
        <v/>
      </c>
      <c r="AA54" s="323">
        <f>IF(AA34&gt;0,Assumptions!AG6,0)</f>
        <v/>
      </c>
      <c r="AB54" s="323">
        <f>IF(AB34&gt;0,Assumptions!AH6,0)</f>
        <v/>
      </c>
      <c r="AC54" s="323">
        <f>IF(AC34&gt;0,Assumptions!AI6,0)</f>
        <v/>
      </c>
      <c r="AD54" s="323">
        <f>IF(AD34&gt;0,Assumptions!AJ6,0)</f>
        <v/>
      </c>
      <c r="AE54" s="323" t="n"/>
      <c r="AF54" s="401">
        <f>X54</f>
        <v/>
      </c>
    </row>
    <row r="55">
      <c r="A55" s="94" t="inlineStr">
        <is>
          <t>Thermal Product A</t>
        </is>
      </c>
      <c r="B55" s="17" t="inlineStr">
        <is>
          <t>USD/t</t>
        </is>
      </c>
      <c r="C55" s="323" t="n"/>
      <c r="D55" s="323">
        <f>IF(D35&gt;0,IF(D51&gt;Assumptions!J$12,Assumptions!J$7,IF(D51&gt;Assumptions!J$13,Assumptions!J$8,Assumptions!J$9))*(D51/D$47),0)</f>
        <v/>
      </c>
      <c r="E55" s="323">
        <f>IF(E35&gt;0,IF(E51&gt;Assumptions!K$12,Assumptions!K$7,IF(E51&gt;Assumptions!K$13,Assumptions!K$8,Assumptions!K$9))*(E51/E$47),0)</f>
        <v/>
      </c>
      <c r="F55" s="323">
        <f>IF(F35&gt;0,IF(F51&gt;Assumptions!L$12,Assumptions!L$7,IF(F51&gt;Assumptions!L$13,Assumptions!L$8,Assumptions!L$9))*(F51/F$47),0)</f>
        <v/>
      </c>
      <c r="G55" s="323">
        <f>IF(G35&gt;0,IF(G51&gt;Assumptions!M$12,Assumptions!M$7,IF(G51&gt;Assumptions!M$13,Assumptions!M$8,Assumptions!M$9))*(G51/G$47),0)</f>
        <v/>
      </c>
      <c r="H55" s="323">
        <f>IF(H35&gt;0,IF(H51&gt;Assumptions!N$12,Assumptions!N$7,IF(H51&gt;Assumptions!N$13,Assumptions!N$8,Assumptions!N$9))*(H51/H$47),0)</f>
        <v/>
      </c>
      <c r="I55" s="323">
        <f>IF(I35&gt;0,IF(I51&gt;Assumptions!O$12,Assumptions!O$7,IF(I51&gt;Assumptions!O$13,Assumptions!O$8,Assumptions!O$9))*(I51/I$47),0)</f>
        <v/>
      </c>
      <c r="J55" s="323">
        <f>IF(J35&gt;0,IF(J51&gt;Assumptions!P$12,Assumptions!P$7,IF(J51&gt;Assumptions!P$13,Assumptions!P$8,Assumptions!P$9))*(J51/J$47),0)</f>
        <v/>
      </c>
      <c r="K55" s="323">
        <f>IF(K35&gt;0,IF(K51&gt;Assumptions!Q$12,Assumptions!Q$7,IF(K51&gt;Assumptions!Q$13,Assumptions!Q$8,Assumptions!Q$9))*(K51/K$47),0)</f>
        <v/>
      </c>
      <c r="L55" s="323">
        <f>IF(L35&gt;0,IF(L51&gt;Assumptions!R$12,Assumptions!R$7,IF(L51&gt;Assumptions!R$13,Assumptions!R$8,Assumptions!R$9))*(L51/L$47),0)</f>
        <v/>
      </c>
      <c r="M55" s="323">
        <f>IF(M35&gt;0,IF(M51&gt;Assumptions!S$12,Assumptions!S$7,IF(M51&gt;Assumptions!S$13,Assumptions!S$8,Assumptions!S$9))*(M51/M$47),0)</f>
        <v/>
      </c>
      <c r="N55" s="323">
        <f>IF(N35&gt;0,IF(N51&gt;Assumptions!T$12,Assumptions!T$7,IF(N51&gt;Assumptions!T$13,Assumptions!T$8,Assumptions!T$9))*(N51/N$47),0)</f>
        <v/>
      </c>
      <c r="O55" s="323">
        <f>IF(O35&gt;0,IF(O51&gt;Assumptions!U$12,Assumptions!U$7,IF(O51&gt;Assumptions!U$13,Assumptions!U$8,Assumptions!U$9))*(O51/O$47),0)</f>
        <v/>
      </c>
      <c r="P55" s="323">
        <f>IF(P35&gt;0,IF(P51&gt;Assumptions!V$12,Assumptions!V$7,IF(P51&gt;Assumptions!V$13,Assumptions!V$8,Assumptions!V$9))*(P51/P$47),0)</f>
        <v/>
      </c>
      <c r="Q55" s="323">
        <f>IF(Q35&gt;0,IF(Q51&gt;Assumptions!W$12,Assumptions!W$7,IF(Q51&gt;Assumptions!W$13,Assumptions!W$8,Assumptions!W$9))*(Q51/Q$47),0)</f>
        <v/>
      </c>
      <c r="R55" s="323">
        <f>IF(R35&gt;0,IF(R51&gt;Assumptions!X$12,Assumptions!X$7,IF(R51&gt;Assumptions!X$13,Assumptions!X$8,Assumptions!X$9))*(R51/R$47),0)</f>
        <v/>
      </c>
      <c r="S55" s="323">
        <f>IF(S35&gt;0,IF(S51&gt;Assumptions!Y$12,Assumptions!Y$7,IF(S51&gt;Assumptions!Y$13,Assumptions!Y$8,Assumptions!Y$9))*(S51/S$47),0)</f>
        <v/>
      </c>
      <c r="T55" s="323">
        <f>IF(T35&gt;0,IF(T51&gt;Assumptions!Z$12,Assumptions!Z$7,IF(T51&gt;Assumptions!Z$13,Assumptions!Z$8,Assumptions!Z$9))*(T51/T$47),0)</f>
        <v/>
      </c>
      <c r="U55" s="323">
        <f>IF(U35&gt;0,IF(U51&gt;Assumptions!AA$12,Assumptions!AA$7,IF(U51&gt;Assumptions!AA$13,Assumptions!AA$8,Assumptions!AA$9))*(U51/U$47),0)</f>
        <v/>
      </c>
      <c r="V55" s="323">
        <f>IF(V35&gt;0,IF(V51&gt;Assumptions!AB$12,Assumptions!AB$7,IF(V51&gt;Assumptions!AB$13,Assumptions!AB$8,Assumptions!AB$9))*(V51/V$47),0)</f>
        <v/>
      </c>
      <c r="W55" s="323">
        <f>IF(W35&gt;0,IF(W51&gt;Assumptions!AC$12,Assumptions!AC$7,IF(W51&gt;Assumptions!AC$13,Assumptions!AC$8,Assumptions!AC$9))*(W51/W$47),0)</f>
        <v/>
      </c>
      <c r="X55" s="323">
        <f>IF(X35&gt;0,IF(X51&gt;Assumptions!AD$12,Assumptions!AD$7,IF(X51&gt;Assumptions!AD$13,Assumptions!AD$8,Assumptions!AD$9))*(X51/X$47),0)</f>
        <v/>
      </c>
      <c r="Y55" s="323">
        <f>IF(Y35&gt;0,IF(Y51&gt;Assumptions!AE$12,Assumptions!AE$7,IF(Y51&gt;Assumptions!AE$13,Assumptions!AE$8,Assumptions!AE$9))*(Y51/Y$47),0)</f>
        <v/>
      </c>
      <c r="Z55" s="323">
        <f>IF(Z35&gt;0,IF(Z51&gt;Assumptions!AF$12,Assumptions!AF$7,IF(Z51&gt;Assumptions!AF$13,Assumptions!AF$8,Assumptions!AF$9))*(Z51/Z$47),0)</f>
        <v/>
      </c>
      <c r="AA55" s="323">
        <f>IF(AA35&gt;0,IF(AA51&gt;Assumptions!AG$12,Assumptions!AG$7,IF(AA51&gt;Assumptions!AG$13,Assumptions!AG$8,Assumptions!AG$9))*(AA51/AA$47),0)</f>
        <v/>
      </c>
      <c r="AB55" s="323">
        <f>IF(AB35&gt;0,IF(AB51&gt;Assumptions!AH$12,Assumptions!AH$7,IF(AB51&gt;Assumptions!AH$13,Assumptions!AH$8,Assumptions!AH$9))*(AB51/AB$47),0)</f>
        <v/>
      </c>
      <c r="AC55" s="323">
        <f>IF(AC35&gt;0,IF(AC51&gt;Assumptions!AI$12,Assumptions!AI$7,IF(AC51&gt;Assumptions!AI$13,Assumptions!AI$8,Assumptions!AI$9))*(AC51/AC$47),0)</f>
        <v/>
      </c>
      <c r="AD55" s="323">
        <f>IF(AD35&gt;0,IF(AD51&gt;Assumptions!AJ$12,Assumptions!AJ$7,IF(AD51&gt;Assumptions!AJ$13,Assumptions!AJ$8,Assumptions!AJ$9))*(AD51/AD$47),0)</f>
        <v/>
      </c>
      <c r="AE55" s="323" t="n"/>
      <c r="AF55" s="401">
        <f>X55</f>
        <v/>
      </c>
    </row>
    <row r="56">
      <c r="A56" s="4" t="inlineStr">
        <is>
          <t>Average Export Realised Price</t>
        </is>
      </c>
      <c r="B56" s="17" t="inlineStr">
        <is>
          <t>USD/t</t>
        </is>
      </c>
      <c r="C56" s="323" t="n"/>
      <c r="D56" s="385">
        <f>IFERROR(SUMPRODUCT(D34:D35,D54:D55)/D36,0)</f>
        <v/>
      </c>
      <c r="E56" s="385">
        <f>IFERROR(SUMPRODUCT(E34:E35,E54:E55)/E36,0)</f>
        <v/>
      </c>
      <c r="F56" s="385">
        <f>IFERROR(SUMPRODUCT(F34:F35,F54:F55)/F36,0)</f>
        <v/>
      </c>
      <c r="G56" s="385">
        <f>IFERROR(SUMPRODUCT(G34:G35,G54:G55)/G36,0)</f>
        <v/>
      </c>
      <c r="H56" s="385">
        <f>IFERROR(SUMPRODUCT(H34:H35,H54:H55)/H36,0)</f>
        <v/>
      </c>
      <c r="I56" s="385">
        <f>IFERROR(SUMPRODUCT(I34:I35,I54:I55)/I36,0)</f>
        <v/>
      </c>
      <c r="J56" s="385">
        <f>IFERROR(SUMPRODUCT(J34:J35,J54:J55)/J36,0)</f>
        <v/>
      </c>
      <c r="K56" s="385">
        <f>IFERROR(SUMPRODUCT(K34:K35,K54:K55)/K36,0)</f>
        <v/>
      </c>
      <c r="L56" s="385">
        <f>IFERROR(SUMPRODUCT(L34:L35,L54:L55)/L36,0)</f>
        <v/>
      </c>
      <c r="M56" s="385">
        <f>IFERROR(SUMPRODUCT(M34:M35,M54:M55)/M36,0)</f>
        <v/>
      </c>
      <c r="N56" s="385">
        <f>IFERROR(SUMPRODUCT(N34:N35,N54:N55)/N36,0)</f>
        <v/>
      </c>
      <c r="O56" s="385">
        <f>IFERROR(SUMPRODUCT(O34:O35,O54:O55)/O36,0)</f>
        <v/>
      </c>
      <c r="P56" s="385">
        <f>IFERROR(SUMPRODUCT(P34:P35,P54:P55)/P36,0)</f>
        <v/>
      </c>
      <c r="Q56" s="385">
        <f>IFERROR(SUMPRODUCT(Q34:Q35,Q54:Q55)/Q36,0)</f>
        <v/>
      </c>
      <c r="R56" s="385">
        <f>IFERROR(SUMPRODUCT(R34:R35,R54:R55)/R36,0)</f>
        <v/>
      </c>
      <c r="S56" s="385">
        <f>IFERROR(SUMPRODUCT(S34:S35,S54:S55)/S36,0)</f>
        <v/>
      </c>
      <c r="T56" s="385">
        <f>IFERROR(SUMPRODUCT(T34:T35,T54:T55)/T36,0)</f>
        <v/>
      </c>
      <c r="U56" s="385">
        <f>IFERROR(SUMPRODUCT(U34:U35,U54:U55)/U36,0)</f>
        <v/>
      </c>
      <c r="V56" s="385">
        <f>IFERROR(SUMPRODUCT(V34:V35,V54:V55)/V36,0)</f>
        <v/>
      </c>
      <c r="W56" s="385">
        <f>IFERROR(SUMPRODUCT(W34:W35,W54:W55)/W36,0)</f>
        <v/>
      </c>
      <c r="X56" s="385">
        <f>IFERROR(SUMPRODUCT(X34:X35,X54:X55)/X36,0)</f>
        <v/>
      </c>
      <c r="Y56" s="385">
        <f>IFERROR(SUMPRODUCT(Y34:Y35,Y54:Y55)/Y36,0)</f>
        <v/>
      </c>
      <c r="Z56" s="385">
        <f>IFERROR(SUMPRODUCT(Z34:Z35,Z54:Z55)/Z36,0)</f>
        <v/>
      </c>
      <c r="AA56" s="385">
        <f>IFERROR(SUMPRODUCT(AA34:AA35,AA54:AA55)/AA36,0)</f>
        <v/>
      </c>
      <c r="AB56" s="385">
        <f>IFERROR(SUMPRODUCT(AB34:AB35,AB54:AB55)/AB36,0)</f>
        <v/>
      </c>
      <c r="AC56" s="385">
        <f>IFERROR(SUMPRODUCT(AC34:AC35,AC54:AC55)/AC36,0)</f>
        <v/>
      </c>
      <c r="AD56" s="385">
        <f>IFERROR(SUMPRODUCT(AD34:AD35,AD54:AD55)/AD36,0)</f>
        <v/>
      </c>
      <c r="AE56" s="323" t="n"/>
      <c r="AF56" s="401">
        <f>X56</f>
        <v/>
      </c>
    </row>
    <row r="57">
      <c r="A57" s="4" t="n"/>
      <c r="B57" s="17" t="n"/>
      <c r="C57" s="322" t="n"/>
      <c r="D57" s="322" t="n"/>
      <c r="E57" s="322" t="n"/>
      <c r="F57" s="322" t="n"/>
      <c r="G57" s="322" t="n"/>
      <c r="H57" s="322" t="n"/>
      <c r="I57" s="322" t="n"/>
      <c r="J57" s="322" t="n"/>
      <c r="K57" s="322" t="n"/>
      <c r="L57" s="322" t="n"/>
      <c r="M57" s="322" t="n"/>
      <c r="N57" s="322" t="n"/>
      <c r="O57" s="322" t="n"/>
      <c r="P57" s="322" t="n"/>
      <c r="Q57" s="322" t="n"/>
      <c r="R57" s="322" t="n"/>
      <c r="S57" s="322" t="n"/>
      <c r="T57" s="322" t="n"/>
      <c r="U57" s="322" t="n"/>
      <c r="V57" s="322" t="n"/>
      <c r="W57" s="322" t="n"/>
      <c r="X57" s="322" t="n"/>
      <c r="Y57" s="322" t="n"/>
      <c r="Z57" s="322" t="n"/>
      <c r="AA57" s="322" t="n"/>
      <c r="AB57" s="322" t="n"/>
      <c r="AC57" s="322" t="n"/>
      <c r="AD57" s="322" t="n"/>
      <c r="AE57" s="322" t="n"/>
      <c r="AF57" s="25" t="n"/>
    </row>
    <row r="58">
      <c r="A58" s="4" t="inlineStr">
        <is>
          <t>Total Revenue</t>
        </is>
      </c>
      <c r="B58" s="17" t="inlineStr">
        <is>
          <t>USDk</t>
        </is>
      </c>
      <c r="C58" s="323" t="n"/>
      <c r="D58" s="323">
        <f>SUMPRODUCT(D34:D35,D54:D55)</f>
        <v/>
      </c>
      <c r="E58" s="323">
        <f>SUMPRODUCT(E34:E35,E54:E55)</f>
        <v/>
      </c>
      <c r="F58" s="323">
        <f>SUMPRODUCT(F34:F35,F54:F55)</f>
        <v/>
      </c>
      <c r="G58" s="323">
        <f>SUMPRODUCT(G34:G35,G54:G55)</f>
        <v/>
      </c>
      <c r="H58" s="323">
        <f>SUMPRODUCT(H34:H35,H54:H55)</f>
        <v/>
      </c>
      <c r="I58" s="323">
        <f>SUMPRODUCT(I34:I35,I54:I55)</f>
        <v/>
      </c>
      <c r="J58" s="323">
        <f>SUMPRODUCT(J34:J35,J54:J55)</f>
        <v/>
      </c>
      <c r="K58" s="323">
        <f>SUMPRODUCT(K34:K35,K54:K55)</f>
        <v/>
      </c>
      <c r="L58" s="323">
        <f>SUMPRODUCT(L34:L35,L54:L55)</f>
        <v/>
      </c>
      <c r="M58" s="323">
        <f>SUMPRODUCT(M34:M35,M54:M55)</f>
        <v/>
      </c>
      <c r="N58" s="323">
        <f>SUMPRODUCT(N34:N35,N54:N55)</f>
        <v/>
      </c>
      <c r="O58" s="323">
        <f>SUMPRODUCT(O34:O35,O54:O55)</f>
        <v/>
      </c>
      <c r="P58" s="323">
        <f>SUMPRODUCT(P34:P35,P54:P55)</f>
        <v/>
      </c>
      <c r="Q58" s="323">
        <f>SUMPRODUCT(Q34:Q35,Q54:Q55)</f>
        <v/>
      </c>
      <c r="R58" s="323">
        <f>SUMPRODUCT(R34:R35,R54:R55)</f>
        <v/>
      </c>
      <c r="S58" s="323">
        <f>SUMPRODUCT(S34:S35,S54:S55)</f>
        <v/>
      </c>
      <c r="T58" s="323">
        <f>SUMPRODUCT(T34:T35,T54:T55)</f>
        <v/>
      </c>
      <c r="U58" s="323">
        <f>SUMPRODUCT(U34:U35,U54:U55)</f>
        <v/>
      </c>
      <c r="V58" s="323">
        <f>SUMPRODUCT(V34:V35,V54:V55)</f>
        <v/>
      </c>
      <c r="W58" s="323">
        <f>SUMPRODUCT(W34:W35,W54:W55)</f>
        <v/>
      </c>
      <c r="X58" s="323">
        <f>SUMPRODUCT(X34:X35,X54:X55)</f>
        <v/>
      </c>
      <c r="Y58" s="323">
        <f>SUMPRODUCT(Y34:Y35,Y54:Y55)</f>
        <v/>
      </c>
      <c r="Z58" s="323">
        <f>SUMPRODUCT(Z34:Z35,Z54:Z55)</f>
        <v/>
      </c>
      <c r="AA58" s="323">
        <f>SUMPRODUCT(AA34:AA35,AA54:AA55)</f>
        <v/>
      </c>
      <c r="AB58" s="323">
        <f>SUMPRODUCT(AB34:AB35,AB54:AB55)</f>
        <v/>
      </c>
      <c r="AC58" s="323">
        <f>SUMPRODUCT(AC34:AC35,AC54:AC55)</f>
        <v/>
      </c>
      <c r="AD58" s="323">
        <f>SUMPRODUCT(AD34:AD35,AD54:AD55)</f>
        <v/>
      </c>
      <c r="AE58" s="323" t="n"/>
      <c r="AF58" s="323">
        <f>SUM(D58:AD58)</f>
        <v/>
      </c>
    </row>
    <row r="59">
      <c r="A59" s="4" t="inlineStr">
        <is>
          <t>FX</t>
        </is>
      </c>
      <c r="B59" s="17" t="inlineStr">
        <is>
          <t>USD:AUD</t>
        </is>
      </c>
      <c r="C59" s="324" t="n"/>
      <c r="D59" s="324">
        <f>Assumptions!I4</f>
        <v/>
      </c>
      <c r="E59" s="324">
        <f>Assumptions!J4</f>
        <v/>
      </c>
      <c r="F59" s="324">
        <f>Assumptions!K4</f>
        <v/>
      </c>
      <c r="G59" s="324">
        <f>Assumptions!L4</f>
        <v/>
      </c>
      <c r="H59" s="324">
        <f>Assumptions!M4</f>
        <v/>
      </c>
      <c r="I59" s="324">
        <f>Assumptions!N4</f>
        <v/>
      </c>
      <c r="J59" s="324">
        <f>Assumptions!O4</f>
        <v/>
      </c>
      <c r="K59" s="324">
        <f>Assumptions!P4</f>
        <v/>
      </c>
      <c r="L59" s="324">
        <f>Assumptions!Q4</f>
        <v/>
      </c>
      <c r="M59" s="324">
        <f>Assumptions!R4</f>
        <v/>
      </c>
      <c r="N59" s="324">
        <f>Assumptions!S4</f>
        <v/>
      </c>
      <c r="O59" s="324">
        <f>Assumptions!T4</f>
        <v/>
      </c>
      <c r="P59" s="324">
        <f>Assumptions!U4</f>
        <v/>
      </c>
      <c r="Q59" s="324">
        <f>Assumptions!V4</f>
        <v/>
      </c>
      <c r="R59" s="324">
        <f>Assumptions!W4</f>
        <v/>
      </c>
      <c r="S59" s="324">
        <f>Assumptions!X4</f>
        <v/>
      </c>
      <c r="T59" s="324">
        <f>Assumptions!Y4</f>
        <v/>
      </c>
      <c r="U59" s="324">
        <f>Assumptions!Z4</f>
        <v/>
      </c>
      <c r="V59" s="324">
        <f>Assumptions!AA4</f>
        <v/>
      </c>
      <c r="W59" s="324">
        <f>Assumptions!AB4</f>
        <v/>
      </c>
      <c r="X59" s="324">
        <f>Assumptions!AC4</f>
        <v/>
      </c>
      <c r="Y59" s="324">
        <f>Assumptions!AD4</f>
        <v/>
      </c>
      <c r="Z59" s="324">
        <f>Assumptions!AE4</f>
        <v/>
      </c>
      <c r="AA59" s="324">
        <f>Assumptions!AF4</f>
        <v/>
      </c>
      <c r="AB59" s="324">
        <f>Assumptions!AG4</f>
        <v/>
      </c>
      <c r="AC59" s="324">
        <f>Assumptions!AH4</f>
        <v/>
      </c>
      <c r="AD59" s="324">
        <f>Assumptions!AI4</f>
        <v/>
      </c>
      <c r="AE59" s="324" t="n"/>
      <c r="AF59" s="25" t="n"/>
    </row>
    <row r="60">
      <c r="A60" s="4" t="inlineStr">
        <is>
          <t>Total Revenue</t>
        </is>
      </c>
      <c r="B60" s="17" t="inlineStr">
        <is>
          <t>AUD</t>
        </is>
      </c>
      <c r="C60" s="333" t="n"/>
      <c r="D60" s="333">
        <f>(D58/D59)*(1+$AI$7)</f>
        <v/>
      </c>
      <c r="E60" s="333">
        <f>(E58/E59)*(1+$AI$7)</f>
        <v/>
      </c>
      <c r="F60" s="333">
        <f>(F58/F59)*(1+$AI$7)</f>
        <v/>
      </c>
      <c r="G60" s="333">
        <f>(G58/G59)*(1+$AI$7)</f>
        <v/>
      </c>
      <c r="H60" s="333">
        <f>(H58/H59)*(1+$AI$7)</f>
        <v/>
      </c>
      <c r="I60" s="333">
        <f>(I58/I59)*(1+$AI$7)</f>
        <v/>
      </c>
      <c r="J60" s="333">
        <f>(J58/J59)*(1+$AI$7)</f>
        <v/>
      </c>
      <c r="K60" s="333">
        <f>(K58/K59)*(1+$AI$7)</f>
        <v/>
      </c>
      <c r="L60" s="333">
        <f>(L58/L59)*(1+$AI$7)</f>
        <v/>
      </c>
      <c r="M60" s="333">
        <f>(M58/M59)*(1+$AI$7)</f>
        <v/>
      </c>
      <c r="N60" s="333">
        <f>(N58/N59)*(1+$AI$7)</f>
        <v/>
      </c>
      <c r="O60" s="333">
        <f>(O58/O59)*(1+$AI$7)</f>
        <v/>
      </c>
      <c r="P60" s="333">
        <f>(P58/P59)*(1+$AI$7)</f>
        <v/>
      </c>
      <c r="Q60" s="333">
        <f>(Q58/Q59)*(1+$AI$7)</f>
        <v/>
      </c>
      <c r="R60" s="333">
        <f>(R58/R59)*(1+$AI$7)</f>
        <v/>
      </c>
      <c r="S60" s="333">
        <f>(S58/S59)*(1+$AI$7)</f>
        <v/>
      </c>
      <c r="T60" s="333">
        <f>(T58/T59)*(1+$AI$7)</f>
        <v/>
      </c>
      <c r="U60" s="333">
        <f>(U58/U59)*(1+$AI$7)</f>
        <v/>
      </c>
      <c r="V60" s="333">
        <f>(V58/V59)*(1+$AI$7)</f>
        <v/>
      </c>
      <c r="W60" s="333">
        <f>(W58/W59)*(1+$AI$7)</f>
        <v/>
      </c>
      <c r="X60" s="333">
        <f>(X58/X59)*(1+$AI$7)</f>
        <v/>
      </c>
      <c r="Y60" s="333">
        <f>(Y58/Y59)*(1+$AI$7)</f>
        <v/>
      </c>
      <c r="Z60" s="333">
        <f>(Z58/Z59)*(1+$AI$7)</f>
        <v/>
      </c>
      <c r="AA60" s="333">
        <f>(AA58/AA59)*(1+$AI$7)</f>
        <v/>
      </c>
      <c r="AB60" s="333">
        <f>(AB58/AB59)*(1+$AI$7)</f>
        <v/>
      </c>
      <c r="AC60" s="333">
        <f>(AC58/AC59)*(1+$AI$7)</f>
        <v/>
      </c>
      <c r="AD60" s="333">
        <f>(AD58/AD59)*(1+$AI$7)</f>
        <v/>
      </c>
      <c r="AE60" s="333" t="n"/>
      <c r="AF60" s="387">
        <f>SUM(D60:AD60)</f>
        <v/>
      </c>
    </row>
    <row r="61">
      <c r="A61" s="4" t="inlineStr">
        <is>
          <t>Average Realisation</t>
        </is>
      </c>
      <c r="B61" s="17" t="inlineStr">
        <is>
          <t>AUD/t</t>
        </is>
      </c>
      <c r="C61" s="388" t="n"/>
      <c r="D61" s="388">
        <f>IFERROR(D60/D24,0)</f>
        <v/>
      </c>
      <c r="E61" s="388">
        <f>IFERROR(E60/E24,0)</f>
        <v/>
      </c>
      <c r="F61" s="388">
        <f>IFERROR(F60/F24,0)</f>
        <v/>
      </c>
      <c r="G61" s="388">
        <f>IFERROR(G60/G24,0)</f>
        <v/>
      </c>
      <c r="H61" s="388">
        <f>IFERROR(H60/H24,0)</f>
        <v/>
      </c>
      <c r="I61" s="388">
        <f>IFERROR(I60/I24,0)</f>
        <v/>
      </c>
      <c r="J61" s="388">
        <f>IFERROR(J60/J24,0)</f>
        <v/>
      </c>
      <c r="K61" s="388">
        <f>IFERROR(K60/K24,0)</f>
        <v/>
      </c>
      <c r="L61" s="388">
        <f>IFERROR(L60/L24,0)</f>
        <v/>
      </c>
      <c r="M61" s="388">
        <f>IFERROR(M60/M24,0)</f>
        <v/>
      </c>
      <c r="N61" s="388">
        <f>IFERROR(N60/N24,0)</f>
        <v/>
      </c>
      <c r="O61" s="388">
        <f>IFERROR(O60/O24,0)</f>
        <v/>
      </c>
      <c r="P61" s="388">
        <f>IFERROR(P60/P24,0)</f>
        <v/>
      </c>
      <c r="Q61" s="388">
        <f>IFERROR(Q60/Q24,0)</f>
        <v/>
      </c>
      <c r="R61" s="388">
        <f>IFERROR(R60/R24,0)</f>
        <v/>
      </c>
      <c r="S61" s="388">
        <f>IFERROR(S60/S24,0)</f>
        <v/>
      </c>
      <c r="T61" s="388">
        <f>IFERROR(T60/T24,0)</f>
        <v/>
      </c>
      <c r="U61" s="388">
        <f>IFERROR(U60/U24,0)</f>
        <v/>
      </c>
      <c r="V61" s="388">
        <f>IFERROR(V60/V24,0)</f>
        <v/>
      </c>
      <c r="W61" s="388">
        <f>IFERROR(W60/W24,0)</f>
        <v/>
      </c>
      <c r="X61" s="388">
        <f>IFERROR(X60/X24,0)</f>
        <v/>
      </c>
      <c r="Y61" s="388">
        <f>IFERROR(Y60/Y24,0)</f>
        <v/>
      </c>
      <c r="Z61" s="388">
        <f>IFERROR(Z60/Z24,0)</f>
        <v/>
      </c>
      <c r="AA61" s="388">
        <f>IFERROR(AA60/AA24,0)</f>
        <v/>
      </c>
      <c r="AB61" s="388">
        <f>IFERROR(AB60/AB24,0)</f>
        <v/>
      </c>
      <c r="AC61" s="388">
        <f>IFERROR(AC60/AC24,0)</f>
        <v/>
      </c>
      <c r="AD61" s="388">
        <f>IFERROR(AD60/AD24,0)</f>
        <v/>
      </c>
      <c r="AE61" s="388" t="n"/>
      <c r="AF61" s="389">
        <f>IFERROR(AF60/AF24,0)</f>
        <v/>
      </c>
    </row>
    <row r="62">
      <c r="A62" s="8" t="n"/>
      <c r="B62" s="21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7" t="n"/>
    </row>
    <row r="63">
      <c r="A63" s="2" t="inlineStr">
        <is>
          <t>Costs</t>
        </is>
      </c>
      <c r="B63" s="29" t="n"/>
      <c r="C63" s="390" t="n"/>
      <c r="D63" s="390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" t="n"/>
    </row>
    <row r="64">
      <c r="A64" s="28" t="n"/>
      <c r="B64" s="17" t="n"/>
      <c r="C64" s="322" t="n"/>
      <c r="D64" s="322" t="n"/>
      <c r="AF64" s="25" t="n"/>
    </row>
    <row r="65">
      <c r="A65" s="28" t="inlineStr">
        <is>
          <t>Direct Mining Costs</t>
        </is>
      </c>
      <c r="B65" s="17" t="n"/>
      <c r="C65" s="322" t="n"/>
      <c r="D65" s="322" t="n"/>
      <c r="AF65" s="25" t="n"/>
    </row>
    <row r="66">
      <c r="A66" s="28" t="n"/>
      <c r="B66" s="17" t="n"/>
      <c r="C66" s="322" t="n"/>
      <c r="D66" s="322" t="n"/>
      <c r="AF66" s="25" t="n"/>
    </row>
    <row r="67">
      <c r="A67" s="4" t="inlineStr">
        <is>
          <t>Truck and Shovel Costs</t>
        </is>
      </c>
      <c r="B67" s="17" t="inlineStr">
        <is>
          <t>AUD/bcm</t>
        </is>
      </c>
      <c r="C67" s="424" t="n"/>
      <c r="D67" s="392">
        <f>IF(D6&gt;0,$C$67*(1+$AI$8),0)</f>
        <v/>
      </c>
      <c r="E67" s="392">
        <f>IF(E6&gt;0,$C$67*(1+$AI$8),0)</f>
        <v/>
      </c>
      <c r="F67" s="392">
        <f>IF(F6&gt;0,$C$67*(1+$AI$8),0)</f>
        <v/>
      </c>
      <c r="G67" s="392">
        <f>IF(G6&gt;0,$C$67*(1+$AI$8),0)</f>
        <v/>
      </c>
      <c r="H67" s="392">
        <f>IF(H6&gt;0,$C$67*(1+$AI$8),0)</f>
        <v/>
      </c>
      <c r="I67" s="392">
        <f>IF(I6&gt;0,$C$67*(1+$AI$8),0)</f>
        <v/>
      </c>
      <c r="J67" s="392">
        <f>IF(J6&gt;0,$C$67*(1+$AI$8),0)</f>
        <v/>
      </c>
      <c r="K67" s="392">
        <f>IF(K6&gt;0,$C$67*(1+$AI$8),0)</f>
        <v/>
      </c>
      <c r="L67" s="392">
        <f>IF(L6&gt;0,$C$67*(1+$AI$8),0)</f>
        <v/>
      </c>
      <c r="M67" s="392">
        <f>IF(M6&gt;0,$C$67*(1+$AI$8),0)</f>
        <v/>
      </c>
      <c r="N67" s="392">
        <f>IF(N6&gt;0,$C$67*(1+$AI$8),0)</f>
        <v/>
      </c>
      <c r="O67" s="392">
        <f>IF(O6&gt;0,$C$67*(1+$AI$8),0)</f>
        <v/>
      </c>
      <c r="P67" s="392">
        <f>IF(P6&gt;0,$C$67*(1+$AI$8),0)</f>
        <v/>
      </c>
      <c r="Q67" s="392">
        <f>IF(Q6&gt;0,$C$67*(1+$AI$8),0)</f>
        <v/>
      </c>
      <c r="R67" s="392">
        <f>IF(R6&gt;0,$C$67*(1+$AI$8),0)</f>
        <v/>
      </c>
      <c r="S67" s="392">
        <f>IF(S6&gt;0,$C$67*(1+$AI$8),0)</f>
        <v/>
      </c>
      <c r="T67" s="392">
        <f>IF(T6&gt;0,$C$67*(1+$AI$8),0)</f>
        <v/>
      </c>
      <c r="U67" s="392">
        <f>IF(U6&gt;0,$C$67*(1+$AI$8),0)</f>
        <v/>
      </c>
      <c r="V67" s="392">
        <f>IF(V6&gt;0,$C$67*(1+$AI$8),0)</f>
        <v/>
      </c>
      <c r="W67" s="392">
        <f>IF(W6&gt;0,$C$67*(1+$AI$8),0)</f>
        <v/>
      </c>
      <c r="X67" s="392">
        <f>IF(X6&gt;0,$C$67*(1+$AI$8),0)</f>
        <v/>
      </c>
      <c r="Y67" s="392">
        <f>IF(Y6&gt;0,$C$67*(1+$AI$8),0)</f>
        <v/>
      </c>
      <c r="Z67" s="392">
        <f>IF(Z6&gt;0,$C$67*(1+$AI$8),0)</f>
        <v/>
      </c>
      <c r="AA67" s="392">
        <f>IF(AA6&gt;0,$C$67*(1+$AI$8),0)</f>
        <v/>
      </c>
      <c r="AB67" s="392">
        <f>IF(AB6&gt;0,$C$67*(1+$AI$8),0)</f>
        <v/>
      </c>
      <c r="AC67" s="392">
        <f>IF(AC6&gt;0,$C$67*(1+$AI$8),0)</f>
        <v/>
      </c>
      <c r="AD67" s="392">
        <f>IF(AD6&gt;0,$C$67*(1+$AI$8),0)</f>
        <v/>
      </c>
      <c r="AE67" s="392" t="n"/>
      <c r="AF67" s="27" t="n"/>
    </row>
    <row r="68">
      <c r="A68" s="4" t="inlineStr">
        <is>
          <t>Total Truck and Shovel Costs</t>
        </is>
      </c>
      <c r="B68" s="17" t="inlineStr">
        <is>
          <t>AUDk</t>
        </is>
      </c>
      <c r="C68" s="323" t="n"/>
      <c r="D68" s="323">
        <f>D6*D67</f>
        <v/>
      </c>
      <c r="E68" s="323">
        <f>E6*E67</f>
        <v/>
      </c>
      <c r="F68" s="323">
        <f>F6*F67</f>
        <v/>
      </c>
      <c r="G68" s="323">
        <f>G6*G67</f>
        <v/>
      </c>
      <c r="H68" s="323">
        <f>H6*H67</f>
        <v/>
      </c>
      <c r="I68" s="323">
        <f>I6*I67</f>
        <v/>
      </c>
      <c r="J68" s="323">
        <f>J6*J67</f>
        <v/>
      </c>
      <c r="K68" s="323">
        <f>K6*K67</f>
        <v/>
      </c>
      <c r="L68" s="323">
        <f>L6*L67</f>
        <v/>
      </c>
      <c r="M68" s="323">
        <f>M6*M67</f>
        <v/>
      </c>
      <c r="N68" s="323">
        <f>N6*N67</f>
        <v/>
      </c>
      <c r="O68" s="323">
        <f>O6*O67</f>
        <v/>
      </c>
      <c r="P68" s="323">
        <f>P6*P67</f>
        <v/>
      </c>
      <c r="Q68" s="323">
        <f>Q6*Q67</f>
        <v/>
      </c>
      <c r="R68" s="323">
        <f>R6*R67</f>
        <v/>
      </c>
      <c r="S68" s="323">
        <f>S6*S67</f>
        <v/>
      </c>
      <c r="T68" s="323">
        <f>T6*T67</f>
        <v/>
      </c>
      <c r="U68" s="323">
        <f>U6*U67</f>
        <v/>
      </c>
      <c r="V68" s="323">
        <f>V6*V67</f>
        <v/>
      </c>
      <c r="W68" s="323">
        <f>W6*W67</f>
        <v/>
      </c>
      <c r="X68" s="323">
        <f>X6*X67</f>
        <v/>
      </c>
      <c r="Y68" s="323">
        <f>Y6*Y67</f>
        <v/>
      </c>
      <c r="Z68" s="323">
        <f>Z6*Z67</f>
        <v/>
      </c>
      <c r="AA68" s="323">
        <f>AA6*AA67</f>
        <v/>
      </c>
      <c r="AB68" s="323">
        <f>AB6*AB67</f>
        <v/>
      </c>
      <c r="AC68" s="323">
        <f>AC6*AC67</f>
        <v/>
      </c>
      <c r="AD68" s="323">
        <f>AD6*AD67</f>
        <v/>
      </c>
      <c r="AE68" s="323" t="n"/>
      <c r="AF68" s="370">
        <f>SUM(D68:W68)</f>
        <v/>
      </c>
    </row>
    <row r="69">
      <c r="A69" s="4" t="n"/>
      <c r="B69" s="17" t="n"/>
      <c r="C69" s="322" t="n"/>
      <c r="D69" s="322" t="n"/>
      <c r="E69" s="322" t="n"/>
      <c r="F69" s="322" t="n"/>
      <c r="G69" s="322" t="n"/>
      <c r="H69" s="322" t="n"/>
      <c r="I69" s="322" t="n"/>
      <c r="J69" s="322" t="n"/>
      <c r="K69" s="322" t="n"/>
      <c r="L69" s="322" t="n"/>
      <c r="M69" s="322" t="n"/>
      <c r="N69" s="322" t="n"/>
      <c r="O69" s="322" t="n"/>
      <c r="P69" s="322" t="n"/>
      <c r="Q69" s="322" t="n"/>
      <c r="R69" s="322" t="n"/>
      <c r="S69" s="322" t="n"/>
      <c r="T69" s="322" t="n"/>
      <c r="U69" s="322" t="n"/>
      <c r="V69" s="322" t="n"/>
      <c r="W69" s="322" t="n"/>
      <c r="X69" s="322" t="n"/>
      <c r="Y69" s="322" t="n"/>
      <c r="Z69" s="322" t="n"/>
      <c r="AA69" s="322" t="n"/>
      <c r="AB69" s="322" t="n"/>
      <c r="AC69" s="322" t="n"/>
      <c r="AD69" s="322" t="n"/>
      <c r="AE69" s="322" t="n"/>
      <c r="AF69" s="25" t="n"/>
    </row>
    <row r="70">
      <c r="A70" s="4" t="inlineStr">
        <is>
          <t>Dragline Costs</t>
        </is>
      </c>
      <c r="B70" s="17" t="inlineStr">
        <is>
          <t>AUD/bcm</t>
        </is>
      </c>
      <c r="C70" s="424" t="n"/>
      <c r="D70" s="392">
        <f>IF(D7&gt;0,$C$70*(1+$AI$9),0)</f>
        <v/>
      </c>
      <c r="E70" s="392">
        <f>IF(E7&gt;0,$C$70*(1+$AI$9),0)</f>
        <v/>
      </c>
      <c r="F70" s="392">
        <f>IF(F7&gt;0,$C$70*(1+$AI$9),0)</f>
        <v/>
      </c>
      <c r="G70" s="392">
        <f>IF(G7&gt;0,$C$70*(1+$AI$9),0)</f>
        <v/>
      </c>
      <c r="H70" s="392">
        <f>IF(H7&gt;0,$C$70*(1+$AI$9),0)</f>
        <v/>
      </c>
      <c r="I70" s="392">
        <f>IF(I7&gt;0,$C$70*(1+$AI$9),0)</f>
        <v/>
      </c>
      <c r="J70" s="392">
        <f>IF(J7&gt;0,$C$70*(1+$AI$9),0)</f>
        <v/>
      </c>
      <c r="K70" s="392">
        <f>IF(K7&gt;0,$C$70*(1+$AI$9),0)</f>
        <v/>
      </c>
      <c r="L70" s="392">
        <f>IF(L7&gt;0,$C$70*(1+$AI$9),0)</f>
        <v/>
      </c>
      <c r="M70" s="392">
        <f>IF(M7&gt;0,$C$70*(1+$AI$9),0)</f>
        <v/>
      </c>
      <c r="N70" s="392">
        <f>IF(N7&gt;0,$C$70*(1+$AI$9),0)</f>
        <v/>
      </c>
      <c r="O70" s="392">
        <f>IF(O7&gt;0,$C$70*(1+$AI$9),0)</f>
        <v/>
      </c>
      <c r="P70" s="392">
        <f>IF(P7&gt;0,$C$70*(1+$AI$9),0)</f>
        <v/>
      </c>
      <c r="Q70" s="392">
        <f>IF(Q7&gt;0,$C$70*(1+$AI$9),0)</f>
        <v/>
      </c>
      <c r="R70" s="392">
        <f>IF(R7&gt;0,$C$70*(1+$AI$9),0)</f>
        <v/>
      </c>
      <c r="S70" s="392">
        <f>IF(S7&gt;0,$C$70*(1+$AI$9),0)</f>
        <v/>
      </c>
      <c r="T70" s="392">
        <f>IF(T7&gt;0,$C$70*(1+$AI$9),0)</f>
        <v/>
      </c>
      <c r="U70" s="392">
        <f>IF(U7&gt;0,$C$70*(1+$AI$9),0)</f>
        <v/>
      </c>
      <c r="V70" s="392">
        <f>IF(V7&gt;0,$C$70*(1+$AI$9),0)</f>
        <v/>
      </c>
      <c r="W70" s="392">
        <f>IF(W7&gt;0,$C$70*(1+$AI$9),0)</f>
        <v/>
      </c>
      <c r="X70" s="392">
        <f>IF(X7&gt;0,$C$70*(1+$AI$9),0)</f>
        <v/>
      </c>
      <c r="Y70" s="392">
        <f>IF(Y7&gt;0,$C$70*(1+$AI$9),0)</f>
        <v/>
      </c>
      <c r="Z70" s="392">
        <f>IF(Z7&gt;0,$C$70*(1+$AI$9),0)</f>
        <v/>
      </c>
      <c r="AA70" s="392">
        <f>IF(AA7&gt;0,$C$70*(1+$AI$9),0)</f>
        <v/>
      </c>
      <c r="AB70" s="392">
        <f>IF(AB7&gt;0,$C$70*(1+$AI$9),0)</f>
        <v/>
      </c>
      <c r="AC70" s="392">
        <f>IF(AC7&gt;0,$C$70*(1+$AI$9),0)</f>
        <v/>
      </c>
      <c r="AD70" s="392">
        <f>IF(AD7&gt;0,$C$70*(1+$AI$9),0)</f>
        <v/>
      </c>
      <c r="AE70" s="392" t="n"/>
      <c r="AF70" s="27" t="n"/>
    </row>
    <row r="71">
      <c r="A71" s="4" t="inlineStr">
        <is>
          <t>Total Dragline Costs</t>
        </is>
      </c>
      <c r="B71" s="17" t="inlineStr">
        <is>
          <t>AUDk</t>
        </is>
      </c>
      <c r="C71" s="323" t="n"/>
      <c r="D71" s="323">
        <f>D7*D70</f>
        <v/>
      </c>
      <c r="E71" s="323">
        <f>E7*E70</f>
        <v/>
      </c>
      <c r="F71" s="323">
        <f>F7*F70</f>
        <v/>
      </c>
      <c r="G71" s="323">
        <f>G7*G70</f>
        <v/>
      </c>
      <c r="H71" s="323">
        <f>H7*H70</f>
        <v/>
      </c>
      <c r="I71" s="323">
        <f>I7*I70</f>
        <v/>
      </c>
      <c r="J71" s="323">
        <f>J7*J70</f>
        <v/>
      </c>
      <c r="K71" s="323">
        <f>K7*K70</f>
        <v/>
      </c>
      <c r="L71" s="323">
        <f>L7*L70</f>
        <v/>
      </c>
      <c r="M71" s="323">
        <f>M7*M70</f>
        <v/>
      </c>
      <c r="N71" s="323">
        <f>N7*N70</f>
        <v/>
      </c>
      <c r="O71" s="323">
        <f>O7*O70</f>
        <v/>
      </c>
      <c r="P71" s="323">
        <f>P7*P70</f>
        <v/>
      </c>
      <c r="Q71" s="323">
        <f>Q7*Q70</f>
        <v/>
      </c>
      <c r="R71" s="323">
        <f>R7*R70</f>
        <v/>
      </c>
      <c r="S71" s="323">
        <f>S7*S70</f>
        <v/>
      </c>
      <c r="T71" s="323">
        <f>T7*T70</f>
        <v/>
      </c>
      <c r="U71" s="323">
        <f>U7*U70</f>
        <v/>
      </c>
      <c r="V71" s="323">
        <f>V7*V70</f>
        <v/>
      </c>
      <c r="W71" s="323">
        <f>W7*W70</f>
        <v/>
      </c>
      <c r="X71" s="323">
        <f>X7*X70</f>
        <v/>
      </c>
      <c r="Y71" s="323">
        <f>Y7*Y70</f>
        <v/>
      </c>
      <c r="Z71" s="323">
        <f>Z7*Z70</f>
        <v/>
      </c>
      <c r="AA71" s="323">
        <f>AA7*AA70</f>
        <v/>
      </c>
      <c r="AB71" s="323">
        <f>AB7*AB70</f>
        <v/>
      </c>
      <c r="AC71" s="323">
        <f>AC7*AC70</f>
        <v/>
      </c>
      <c r="AD71" s="323">
        <f>AD7*AD70</f>
        <v/>
      </c>
      <c r="AE71" s="323" t="n"/>
      <c r="AF71" s="370">
        <f>SUM(D71:AD71)</f>
        <v/>
      </c>
    </row>
    <row r="72">
      <c r="A72" s="4" t="n"/>
      <c r="B72" s="17" t="n"/>
      <c r="AF72" s="25" t="n"/>
    </row>
    <row r="73">
      <c r="A73" s="4" t="inlineStr">
        <is>
          <t>Drill and Blast Costs</t>
        </is>
      </c>
      <c r="B73" s="17" t="inlineStr">
        <is>
          <t>AUD/bcm</t>
        </is>
      </c>
      <c r="C73" s="424" t="n"/>
      <c r="D73" s="392">
        <f>IF(D9&gt;0,$C$73*(1+$AI$10),0)</f>
        <v/>
      </c>
      <c r="E73" s="392">
        <f>IF(E9&gt;0,$C$73*(1+$AI$10),0)</f>
        <v/>
      </c>
      <c r="F73" s="392">
        <f>IF(F9&gt;0,$C$73*(1+$AI$10),0)</f>
        <v/>
      </c>
      <c r="G73" s="392">
        <f>IF(G9&gt;0,$C$73*(1+$AI$10),0)</f>
        <v/>
      </c>
      <c r="H73" s="392">
        <f>IF(H9&gt;0,$C$73*(1+$AI$10),0)</f>
        <v/>
      </c>
      <c r="I73" s="392">
        <f>IF(I9&gt;0,$C$73*(1+$AI$10),0)</f>
        <v/>
      </c>
      <c r="J73" s="392">
        <f>IF(J9&gt;0,$C$73*(1+$AI$10),0)</f>
        <v/>
      </c>
      <c r="K73" s="392">
        <f>IF(K9&gt;0,$C$73*(1+$AI$10),0)</f>
        <v/>
      </c>
      <c r="L73" s="392">
        <f>IF(L9&gt;0,$C$73*(1+$AI$10),0)</f>
        <v/>
      </c>
      <c r="M73" s="392">
        <f>IF(M9&gt;0,$C$73*(1+$AI$10),0)</f>
        <v/>
      </c>
      <c r="N73" s="392">
        <f>IF(N9&gt;0,$C$73*(1+$AI$10),0)</f>
        <v/>
      </c>
      <c r="O73" s="392">
        <f>IF(O9&gt;0,$C$73*(1+$AI$10),0)</f>
        <v/>
      </c>
      <c r="P73" s="392">
        <f>IF(P9&gt;0,$C$73*(1+$AI$10),0)</f>
        <v/>
      </c>
      <c r="Q73" s="392">
        <f>IF(Q9&gt;0,$C$73*(1+$AI$10),0)</f>
        <v/>
      </c>
      <c r="R73" s="392">
        <f>IF(R9&gt;0,$C$73*(1+$AI$10),0)</f>
        <v/>
      </c>
      <c r="S73" s="392">
        <f>IF(S9&gt;0,$C$73*(1+$AI$10),0)</f>
        <v/>
      </c>
      <c r="T73" s="392">
        <f>IF(T9&gt;0,$C$73*(1+$AI$10),0)</f>
        <v/>
      </c>
      <c r="U73" s="392">
        <f>IF(U9&gt;0,$C$73*(1+$AI$10),0)</f>
        <v/>
      </c>
      <c r="V73" s="392">
        <f>IF(V9&gt;0,$C$73*(1+$AI$10),0)</f>
        <v/>
      </c>
      <c r="W73" s="392">
        <f>IF(W9&gt;0,$C$73*(1+$AI$10),0)</f>
        <v/>
      </c>
      <c r="X73" s="392">
        <f>IF(X9&gt;0,$C$73*(1+$AI$10),0)</f>
        <v/>
      </c>
      <c r="Y73" s="392">
        <f>IF(Y9&gt;0,$C$73*(1+$AI$10),0)</f>
        <v/>
      </c>
      <c r="Z73" s="392">
        <f>IF(Z9&gt;0,$C$73*(1+$AI$10),0)</f>
        <v/>
      </c>
      <c r="AA73" s="392">
        <f>IF(AA9&gt;0,$C$73*(1+$AI$10),0)</f>
        <v/>
      </c>
      <c r="AB73" s="392">
        <f>IF(AB9&gt;0,$C$73*(1+$AI$10),0)</f>
        <v/>
      </c>
      <c r="AC73" s="392">
        <f>IF(AC9&gt;0,$C$73*(1+$AI$10),0)</f>
        <v/>
      </c>
      <c r="AD73" s="392">
        <f>IF(AD9&gt;0,$C$73*(1+$AI$10),0)</f>
        <v/>
      </c>
      <c r="AE73" s="392" t="n"/>
      <c r="AF73" s="370" t="n"/>
    </row>
    <row r="74">
      <c r="A74" s="4" t="inlineStr">
        <is>
          <t>Total Drill and Blast Costs Costs</t>
        </is>
      </c>
      <c r="B74" s="17" t="inlineStr">
        <is>
          <t>AUDk</t>
        </is>
      </c>
      <c r="C74" s="323" t="n"/>
      <c r="D74" s="323">
        <f>D9*D73</f>
        <v/>
      </c>
      <c r="E74" s="323">
        <f>E9*E73</f>
        <v/>
      </c>
      <c r="F74" s="323">
        <f>F9*F73</f>
        <v/>
      </c>
      <c r="G74" s="323">
        <f>G9*G73</f>
        <v/>
      </c>
      <c r="H74" s="323">
        <f>H9*H73</f>
        <v/>
      </c>
      <c r="I74" s="323">
        <f>I9*I73</f>
        <v/>
      </c>
      <c r="J74" s="323">
        <f>J9*J73</f>
        <v/>
      </c>
      <c r="K74" s="323">
        <f>K9*K73</f>
        <v/>
      </c>
      <c r="L74" s="323">
        <f>L9*L73</f>
        <v/>
      </c>
      <c r="M74" s="323">
        <f>M9*M73</f>
        <v/>
      </c>
      <c r="N74" s="323">
        <f>N9*N73</f>
        <v/>
      </c>
      <c r="O74" s="323">
        <f>O9*O73</f>
        <v/>
      </c>
      <c r="P74" s="323">
        <f>P9*P73</f>
        <v/>
      </c>
      <c r="Q74" s="323">
        <f>Q9*Q73</f>
        <v/>
      </c>
      <c r="R74" s="323">
        <f>R9*R73</f>
        <v/>
      </c>
      <c r="S74" s="323">
        <f>S9*S73</f>
        <v/>
      </c>
      <c r="T74" s="323">
        <f>T9*T73</f>
        <v/>
      </c>
      <c r="U74" s="323">
        <f>U9*U73</f>
        <v/>
      </c>
      <c r="V74" s="323">
        <f>V9*V73</f>
        <v/>
      </c>
      <c r="W74" s="323">
        <f>W9*W73</f>
        <v/>
      </c>
      <c r="X74" s="323">
        <f>X9*X73</f>
        <v/>
      </c>
      <c r="Y74" s="323">
        <f>Y9*Y73</f>
        <v/>
      </c>
      <c r="Z74" s="323">
        <f>Z9*Z73</f>
        <v/>
      </c>
      <c r="AA74" s="323">
        <f>AA9*AA73</f>
        <v/>
      </c>
      <c r="AB74" s="323">
        <f>AB9*AB73</f>
        <v/>
      </c>
      <c r="AC74" s="323">
        <f>AC9*AC73</f>
        <v/>
      </c>
      <c r="AD74" s="323">
        <f>AD9*AD73</f>
        <v/>
      </c>
      <c r="AE74" s="323" t="n"/>
      <c r="AF74" s="370">
        <f>SUM(D74:AD74)</f>
        <v/>
      </c>
    </row>
    <row r="75">
      <c r="A75" s="4" t="n"/>
      <c r="B75" s="17" t="n"/>
      <c r="AF75" s="25" t="n"/>
    </row>
    <row r="76">
      <c r="A76" s="4" t="inlineStr">
        <is>
          <t>Mine Services Costs</t>
        </is>
      </c>
      <c r="B76" s="17" t="inlineStr">
        <is>
          <t>AUDk</t>
        </is>
      </c>
      <c r="C76" s="391" t="n"/>
      <c r="D76" s="323">
        <f>IF(D14&gt;0,$C$76)*(1+$AI$11)</f>
        <v/>
      </c>
      <c r="E76" s="323">
        <f>IF(E14&gt;0,$C$76)*(1+$AI$11)</f>
        <v/>
      </c>
      <c r="F76" s="323">
        <f>IF(F14&gt;0,$C$76)*(1+$AI$11)</f>
        <v/>
      </c>
      <c r="G76" s="323">
        <f>IF(G14&gt;0,$C$76)*(1+$AI$11)</f>
        <v/>
      </c>
      <c r="H76" s="323">
        <f>IF(H14&gt;0,$C$76)*(1+$AI$11)</f>
        <v/>
      </c>
      <c r="I76" s="323">
        <f>IF(I14&gt;0,$C$76)*(1+$AI$11)</f>
        <v/>
      </c>
      <c r="J76" s="323">
        <f>IF(J14&gt;0,$C$76)*(1+$AI$11)</f>
        <v/>
      </c>
      <c r="K76" s="323">
        <f>IF(K14&gt;0,$C$76)*(1+$AI$11)</f>
        <v/>
      </c>
      <c r="L76" s="323">
        <f>IF(L14&gt;0,$C$76)*(1+$AI$11)</f>
        <v/>
      </c>
      <c r="M76" s="323">
        <f>IF(M14&gt;0,$C$76)*(1+$AI$11)</f>
        <v/>
      </c>
      <c r="N76" s="323">
        <f>IF(N14&gt;0,$C$76)*(1+$AI$11)</f>
        <v/>
      </c>
      <c r="O76" s="323">
        <f>IF(O14&gt;0,$C$76)*(1+$AI$11)</f>
        <v/>
      </c>
      <c r="P76" s="323">
        <f>IF(P14&gt;0,$C$76)*(1+$AI$11)</f>
        <v/>
      </c>
      <c r="Q76" s="323">
        <f>IF(Q14&gt;0,$C$76)*(1+$AI$11)</f>
        <v/>
      </c>
      <c r="R76" s="323">
        <f>IF(R14&gt;0,$C$76)*(1+$AI$11)</f>
        <v/>
      </c>
      <c r="S76" s="323">
        <f>IF(S14&gt;0,$C$76)*(1+$AI$11)</f>
        <v/>
      </c>
      <c r="T76" s="323">
        <f>IF(T14&gt;0,$C$76)*(1+$AI$11)</f>
        <v/>
      </c>
      <c r="U76" s="323">
        <f>IF(U14&gt;0,$C$76)*(1+$AI$11)</f>
        <v/>
      </c>
      <c r="V76" s="323">
        <f>IF(V14&gt;0,$C$76)*(1+$AI$11)</f>
        <v/>
      </c>
      <c r="W76" s="323">
        <f>IF(W14&gt;0,$C$76)*(1+$AI$11)</f>
        <v/>
      </c>
      <c r="X76" s="323">
        <f>IF(X14&gt;0,$C$76)*(1+$AI$11)</f>
        <v/>
      </c>
      <c r="Y76" s="323">
        <f>IF(Y14&gt;0,$C$76)*(1+$AI$11)</f>
        <v/>
      </c>
      <c r="Z76" s="323">
        <f>IF(Z14&gt;0,$C$76)*(1+$AI$11)</f>
        <v/>
      </c>
      <c r="AA76" s="323">
        <f>IF(AA14&gt;0,$C$76)*(1+$AI$11)</f>
        <v/>
      </c>
      <c r="AB76" s="323">
        <f>IF(AB14&gt;0,$C$76)*(1+$AI$11)</f>
        <v/>
      </c>
      <c r="AC76" s="323">
        <f>IF(AC14&gt;0,$C$76)*(1+$AI$11)</f>
        <v/>
      </c>
      <c r="AD76" s="323">
        <f>IF(AD14&gt;0,$C$76)*(1+$AI$11)</f>
        <v/>
      </c>
      <c r="AE76" s="323" t="n"/>
      <c r="AF76" s="370">
        <f>SUM(D76:AE76)</f>
        <v/>
      </c>
    </row>
    <row r="77">
      <c r="A77" s="4" t="n"/>
      <c r="B77" s="17" t="n"/>
      <c r="AF77" s="25" t="n"/>
    </row>
    <row r="78">
      <c r="A78" s="4" t="inlineStr">
        <is>
          <t>Coal Mining Costs</t>
        </is>
      </c>
      <c r="B78" s="17" t="inlineStr">
        <is>
          <t>AUD/ROMt</t>
        </is>
      </c>
      <c r="C78" s="424" t="n"/>
      <c r="D78" s="392">
        <f>IF(D11&gt;0,$C$78*(1+$AI$12),0)</f>
        <v/>
      </c>
      <c r="E78" s="392">
        <f>IF(E11&gt;0,$C$78*(1+$AI$12),0)</f>
        <v/>
      </c>
      <c r="F78" s="392">
        <f>IF(F11&gt;0,$C$78*(1+$AI$12),0)</f>
        <v/>
      </c>
      <c r="G78" s="392">
        <f>IF(G11&gt;0,$C$78*(1+$AI$12),0)</f>
        <v/>
      </c>
      <c r="H78" s="392">
        <f>IF(H11&gt;0,$C$78*(1+$AI$12),0)</f>
        <v/>
      </c>
      <c r="I78" s="392">
        <f>IF(I11&gt;0,$C$78*(1+$AI$12),0)</f>
        <v/>
      </c>
      <c r="J78" s="392">
        <f>IF(J11&gt;0,$C$78*(1+$AI$12),0)</f>
        <v/>
      </c>
      <c r="K78" s="392">
        <f>IF(K11&gt;0,$C$78*(1+$AI$12),0)</f>
        <v/>
      </c>
      <c r="L78" s="392">
        <f>IF(L11&gt;0,$C$78*(1+$AI$12),0)</f>
        <v/>
      </c>
      <c r="M78" s="392">
        <f>IF(M11&gt;0,$C$78*(1+$AI$12),0)</f>
        <v/>
      </c>
      <c r="N78" s="392">
        <f>IF(N11&gt;0,$C$78*(1+$AI$12),0)</f>
        <v/>
      </c>
      <c r="O78" s="392">
        <f>IF(O11&gt;0,$C$78*(1+$AI$12),0)</f>
        <v/>
      </c>
      <c r="P78" s="392">
        <f>IF(P11&gt;0,$C$78*(1+$AI$12),0)</f>
        <v/>
      </c>
      <c r="Q78" s="392">
        <f>IF(Q11&gt;0,$C$78*(1+$AI$12),0)</f>
        <v/>
      </c>
      <c r="R78" s="392">
        <f>IF(R11&gt;0,$C$78*(1+$AI$12),0)</f>
        <v/>
      </c>
      <c r="S78" s="392">
        <f>IF(S11&gt;0,$C$78*(1+$AI$12),0)</f>
        <v/>
      </c>
      <c r="T78" s="392">
        <f>IF(T11&gt;0,$C$78*(1+$AI$12),0)</f>
        <v/>
      </c>
      <c r="U78" s="392">
        <f>IF(U11&gt;0,$C$78*(1+$AI$12),0)</f>
        <v/>
      </c>
      <c r="V78" s="392">
        <f>IF(V11&gt;0,$C$78*(1+$AI$12),0)</f>
        <v/>
      </c>
      <c r="W78" s="392">
        <f>IF(W11&gt;0,$C$78*(1+$AI$12),0)</f>
        <v/>
      </c>
      <c r="X78" s="392">
        <f>IF(X11&gt;0,$C$78*(1+$AI$12),0)</f>
        <v/>
      </c>
      <c r="Y78" s="392">
        <f>IF(Y11&gt;0,$C$78*(1+$AI$12),0)</f>
        <v/>
      </c>
      <c r="Z78" s="392">
        <f>IF(Z11&gt;0,$C$78*(1+$AI$12),0)</f>
        <v/>
      </c>
      <c r="AA78" s="392">
        <f>IF(AA11&gt;0,$C$78*(1+$AI$12),0)</f>
        <v/>
      </c>
      <c r="AB78" s="392">
        <f>IF(AB11&gt;0,$C$78*(1+$AI$12),0)</f>
        <v/>
      </c>
      <c r="AC78" s="392">
        <f>IF(AC11&gt;0,$C$78*(1+$AI$12),0)</f>
        <v/>
      </c>
      <c r="AD78" s="392">
        <f>IF(AD11&gt;0,$C$78*(1+$AI$12),0)</f>
        <v/>
      </c>
      <c r="AE78" s="392" t="n"/>
      <c r="AF78" s="27" t="n"/>
    </row>
    <row r="79">
      <c r="A79" s="4" t="inlineStr">
        <is>
          <t>Total Coal Mining Costs</t>
        </is>
      </c>
      <c r="B79" s="17" t="inlineStr">
        <is>
          <t>AUDk</t>
        </is>
      </c>
      <c r="C79" s="323" t="n"/>
      <c r="D79" s="323">
        <f>D78*D11</f>
        <v/>
      </c>
      <c r="E79" s="323">
        <f>E78*E11</f>
        <v/>
      </c>
      <c r="F79" s="323">
        <f>F78*F11</f>
        <v/>
      </c>
      <c r="G79" s="323">
        <f>G78*G11</f>
        <v/>
      </c>
      <c r="H79" s="323">
        <f>H78*H11</f>
        <v/>
      </c>
      <c r="I79" s="323">
        <f>I78*I11</f>
        <v/>
      </c>
      <c r="J79" s="323">
        <f>J78*J11</f>
        <v/>
      </c>
      <c r="K79" s="323">
        <f>K78*K11</f>
        <v/>
      </c>
      <c r="L79" s="323">
        <f>L78*L11</f>
        <v/>
      </c>
      <c r="M79" s="323">
        <f>M78*M11</f>
        <v/>
      </c>
      <c r="N79" s="323">
        <f>N78*N11</f>
        <v/>
      </c>
      <c r="O79" s="323">
        <f>O78*O11</f>
        <v/>
      </c>
      <c r="P79" s="323">
        <f>P78*P11</f>
        <v/>
      </c>
      <c r="Q79" s="323">
        <f>Q78*Q11</f>
        <v/>
      </c>
      <c r="R79" s="323">
        <f>R78*R11</f>
        <v/>
      </c>
      <c r="S79" s="323">
        <f>S78*S11</f>
        <v/>
      </c>
      <c r="T79" s="323">
        <f>T78*T11</f>
        <v/>
      </c>
      <c r="U79" s="323">
        <f>U78*U11</f>
        <v/>
      </c>
      <c r="V79" s="323">
        <f>V78*V11</f>
        <v/>
      </c>
      <c r="W79" s="323">
        <f>W78*W11</f>
        <v/>
      </c>
      <c r="X79" s="323">
        <f>X78*X11</f>
        <v/>
      </c>
      <c r="Y79" s="323">
        <f>Y78*Y11</f>
        <v/>
      </c>
      <c r="Z79" s="323">
        <f>Z78*Z11</f>
        <v/>
      </c>
      <c r="AA79" s="323">
        <f>AA78*AA11</f>
        <v/>
      </c>
      <c r="AB79" s="323">
        <f>AB78*AB11</f>
        <v/>
      </c>
      <c r="AC79" s="323">
        <f>AC78*AC11</f>
        <v/>
      </c>
      <c r="AD79" s="323">
        <f>AD78*AD11</f>
        <v/>
      </c>
      <c r="AE79" s="323" t="n"/>
      <c r="AF79" s="370">
        <f>SUM(D79:AD79)</f>
        <v/>
      </c>
    </row>
    <row r="80">
      <c r="A80" s="4" t="n"/>
      <c r="B80" s="17" t="n"/>
      <c r="AF80" s="370" t="n"/>
    </row>
    <row r="81">
      <c r="A81" s="4" t="inlineStr">
        <is>
          <t>Total CHPP Costs (incl. haulage)</t>
        </is>
      </c>
      <c r="B81" s="17" t="inlineStr">
        <is>
          <t>AUD/feedt</t>
        </is>
      </c>
      <c r="C81" s="424" t="n"/>
      <c r="D81" s="392">
        <f>IF(D17&gt;0,$C$81*(1+$AI$13),0)</f>
        <v/>
      </c>
      <c r="E81" s="392">
        <f>IF(E17&gt;0,$C$81*(1+$AI$13),0)</f>
        <v/>
      </c>
      <c r="F81" s="392">
        <f>IF(F17&gt;0,$C$81*(1+$AI$13),0)</f>
        <v/>
      </c>
      <c r="G81" s="392">
        <f>IF(G17&gt;0,$C$81*(1+$AI$13),0)</f>
        <v/>
      </c>
      <c r="H81" s="392">
        <f>IF(H17&gt;0,$C$81*(1+$AI$13),0)</f>
        <v/>
      </c>
      <c r="I81" s="392">
        <f>IF(I17&gt;0,$C$81*(1+$AI$13),0)</f>
        <v/>
      </c>
      <c r="J81" s="392">
        <f>IF(J17&gt;0,$C$81*(1+$AI$13),0)</f>
        <v/>
      </c>
      <c r="K81" s="392">
        <f>IF(K17&gt;0,$C$81*(1+$AI$13),0)</f>
        <v/>
      </c>
      <c r="L81" s="392">
        <f>IF(L17&gt;0,$C$81*(1+$AI$13),0)</f>
        <v/>
      </c>
      <c r="M81" s="392">
        <f>IF(M17&gt;0,$C$81*(1+$AI$13),0)</f>
        <v/>
      </c>
      <c r="N81" s="392">
        <f>IF(N17&gt;0,$C$81*(1+$AI$13),0)</f>
        <v/>
      </c>
      <c r="O81" s="392">
        <f>IF(O17&gt;0,$C$81*(1+$AI$13),0)</f>
        <v/>
      </c>
      <c r="P81" s="392">
        <f>IF(P17&gt;0,$C$81*(1+$AI$13),0)</f>
        <v/>
      </c>
      <c r="Q81" s="392">
        <f>IF(Q17&gt;0,$C$81*(1+$AI$13),0)</f>
        <v/>
      </c>
      <c r="R81" s="392">
        <f>IF(R17&gt;0,$C$81*(1+$AI$13),0)</f>
        <v/>
      </c>
      <c r="S81" s="392">
        <f>IF(S17&gt;0,$C$81*(1+$AI$13),0)</f>
        <v/>
      </c>
      <c r="T81" s="392">
        <f>IF(T17&gt;0,$C$81*(1+$AI$13),0)</f>
        <v/>
      </c>
      <c r="U81" s="392">
        <f>IF(U17&gt;0,$C$81*(1+$AI$13),0)</f>
        <v/>
      </c>
      <c r="V81" s="392">
        <f>IF(V17&gt;0,$C$81*(1+$AI$13),0)</f>
        <v/>
      </c>
      <c r="W81" s="392">
        <f>IF(W17&gt;0,$C$81*(1+$AI$13),0)</f>
        <v/>
      </c>
      <c r="X81" s="392">
        <f>IF(X17&gt;0,$C$81*(1+$AI$13),0)</f>
        <v/>
      </c>
      <c r="Y81" s="392">
        <f>IF(Y17&gt;0,$C$81*(1+$AI$13),0)</f>
        <v/>
      </c>
      <c r="Z81" s="392">
        <f>IF(Z17&gt;0,$C$81*(1+$AI$13),0)</f>
        <v/>
      </c>
      <c r="AA81" s="392">
        <f>IF(AA17&gt;0,$C$81*(1+$AI$13),0)</f>
        <v/>
      </c>
      <c r="AB81" s="392">
        <f>IF(AB17&gt;0,$C$81*(1+$AI$13),0)</f>
        <v/>
      </c>
      <c r="AC81" s="392">
        <f>IF(AC17&gt;0,$C$81*(1+$AI$13),0)</f>
        <v/>
      </c>
      <c r="AD81" s="392">
        <f>IF(AD17&gt;0,$C$81*(1+$AI$13),0)</f>
        <v/>
      </c>
      <c r="AE81" s="392" t="n"/>
      <c r="AF81" s="27" t="n"/>
    </row>
    <row r="82">
      <c r="A82" s="4" t="inlineStr">
        <is>
          <t>Total CHPP Costs (incl. haulage)</t>
        </is>
      </c>
      <c r="B82" s="17" t="inlineStr">
        <is>
          <t>AUDk</t>
        </is>
      </c>
      <c r="C82" s="323" t="n"/>
      <c r="D82" s="323">
        <f>D17*D81</f>
        <v/>
      </c>
      <c r="E82" s="323">
        <f>E17*E81</f>
        <v/>
      </c>
      <c r="F82" s="323">
        <f>F17*F81</f>
        <v/>
      </c>
      <c r="G82" s="323">
        <f>G17*G81</f>
        <v/>
      </c>
      <c r="H82" s="323">
        <f>H17*H81</f>
        <v/>
      </c>
      <c r="I82" s="323">
        <f>I17*I81</f>
        <v/>
      </c>
      <c r="J82" s="323">
        <f>J17*J81</f>
        <v/>
      </c>
      <c r="K82" s="323">
        <f>K17*K81</f>
        <v/>
      </c>
      <c r="L82" s="323">
        <f>L17*L81</f>
        <v/>
      </c>
      <c r="M82" s="323">
        <f>M17*M81</f>
        <v/>
      </c>
      <c r="N82" s="323">
        <f>N17*N81</f>
        <v/>
      </c>
      <c r="O82" s="323">
        <f>O17*O81</f>
        <v/>
      </c>
      <c r="P82" s="323">
        <f>P17*P81</f>
        <v/>
      </c>
      <c r="Q82" s="323">
        <f>Q17*Q81</f>
        <v/>
      </c>
      <c r="R82" s="323">
        <f>R17*R81</f>
        <v/>
      </c>
      <c r="S82" s="323">
        <f>S17*S81</f>
        <v/>
      </c>
      <c r="T82" s="323">
        <f>T17*T81</f>
        <v/>
      </c>
      <c r="U82" s="323">
        <f>U17*U81</f>
        <v/>
      </c>
      <c r="V82" s="323">
        <f>V17*V81</f>
        <v/>
      </c>
      <c r="W82" s="323">
        <f>W17*W81</f>
        <v/>
      </c>
      <c r="X82" s="323">
        <f>X17*X81</f>
        <v/>
      </c>
      <c r="Y82" s="323">
        <f>Y17*Y81</f>
        <v/>
      </c>
      <c r="Z82" s="323">
        <f>Z17*Z81</f>
        <v/>
      </c>
      <c r="AA82" s="323">
        <f>AA17*AA81</f>
        <v/>
      </c>
      <c r="AB82" s="323">
        <f>AB17*AB81</f>
        <v/>
      </c>
      <c r="AC82" s="323">
        <f>AC17*AC81</f>
        <v/>
      </c>
      <c r="AD82" s="323">
        <f>AD17*AD81</f>
        <v/>
      </c>
      <c r="AE82" s="323" t="n"/>
      <c r="AF82" s="370">
        <f>SUM(D82:AD82)</f>
        <v/>
      </c>
    </row>
    <row r="83">
      <c r="A83" s="4" t="n"/>
      <c r="B83" s="17" t="n"/>
      <c r="AF83" s="25" t="n"/>
    </row>
    <row r="84">
      <c r="A84" s="4" t="inlineStr">
        <is>
          <t>Overhead - Site Administration</t>
        </is>
      </c>
      <c r="B84" s="17" t="inlineStr">
        <is>
          <t>AUDk</t>
        </is>
      </c>
      <c r="C84" s="391" t="n"/>
      <c r="D84" s="323">
        <f>IF(D$24&gt;0,$C84,0)</f>
        <v/>
      </c>
      <c r="E84" s="323">
        <f>IF(E$24&gt;0,$C84,0)</f>
        <v/>
      </c>
      <c r="F84" s="323">
        <f>IF(F$24&gt;0,$C84,0)</f>
        <v/>
      </c>
      <c r="G84" s="323">
        <f>IF(G$24&gt;0,$C84,0)</f>
        <v/>
      </c>
      <c r="H84" s="323">
        <f>IF(H$24&gt;0,$C84,0)</f>
        <v/>
      </c>
      <c r="I84" s="323">
        <f>IF(I$24&gt;0,$C84,0)</f>
        <v/>
      </c>
      <c r="J84" s="323">
        <f>IF(J$24&gt;0,$C84,0)</f>
        <v/>
      </c>
      <c r="K84" s="323">
        <f>IF(K$24&gt;0,$C84,0)</f>
        <v/>
      </c>
      <c r="L84" s="323">
        <f>IF(L$24&gt;0,$C84,0)</f>
        <v/>
      </c>
      <c r="M84" s="323">
        <f>IF(M$24&gt;0,$C84,0)</f>
        <v/>
      </c>
      <c r="N84" s="323">
        <f>IF(N$24&gt;0,$C84,0)</f>
        <v/>
      </c>
      <c r="O84" s="323">
        <f>IF(O$24&gt;0,$C84,0)</f>
        <v/>
      </c>
      <c r="P84" s="323">
        <f>IF(P$24&gt;0,$C84,0)</f>
        <v/>
      </c>
      <c r="Q84" s="323">
        <f>IF(Q$24&gt;0,$C84,0)</f>
        <v/>
      </c>
      <c r="R84" s="323">
        <f>IF(R$24&gt;0,$C84,0)</f>
        <v/>
      </c>
      <c r="S84" s="323">
        <f>IF(S$24&gt;0,$C84,0)</f>
        <v/>
      </c>
      <c r="T84" s="323">
        <f>IF(T$24&gt;0,$C84,0)</f>
        <v/>
      </c>
      <c r="U84" s="323">
        <f>IF(U$24&gt;0,$C84,0)</f>
        <v/>
      </c>
      <c r="V84" s="323">
        <f>IF(V$24&gt;0,$C84,0)</f>
        <v/>
      </c>
      <c r="W84" s="323">
        <f>IF(W$24&gt;0,$C84,0)</f>
        <v/>
      </c>
      <c r="X84" s="323">
        <f>IF(X$24&gt;0,$C84,0)</f>
        <v/>
      </c>
      <c r="Y84" s="323">
        <f>IF(Y$24&gt;0,$C84,0)</f>
        <v/>
      </c>
      <c r="Z84" s="323">
        <f>IF(Z$24&gt;0,$C84,0)</f>
        <v/>
      </c>
      <c r="AA84" s="323">
        <f>IF(AA$24&gt;0,$C84,0)</f>
        <v/>
      </c>
      <c r="AB84" s="323">
        <f>IF(AB$24&gt;0,$C84,0)</f>
        <v/>
      </c>
      <c r="AC84" s="323">
        <f>IF(AC$24&gt;0,$C84,0)</f>
        <v/>
      </c>
      <c r="AD84" s="323">
        <f>IF(AD$24&gt;0,$C84,0)</f>
        <v/>
      </c>
      <c r="AE84" s="323" t="n"/>
      <c r="AF84" s="25" t="n"/>
    </row>
    <row r="85">
      <c r="A85" s="4" t="inlineStr">
        <is>
          <t>Overhead - Town Management</t>
        </is>
      </c>
      <c r="B85" s="17" t="inlineStr">
        <is>
          <t>AUDk</t>
        </is>
      </c>
      <c r="C85" s="391" t="n"/>
      <c r="D85" s="323">
        <f>IF(D$24&gt;0,$C85,0)</f>
        <v/>
      </c>
      <c r="E85" s="323">
        <f>IF(E$24&gt;0,$C85,0)</f>
        <v/>
      </c>
      <c r="F85" s="323">
        <f>IF(F$24&gt;0,$C85,0)</f>
        <v/>
      </c>
      <c r="G85" s="323">
        <f>IF(G$24&gt;0,$C85,0)</f>
        <v/>
      </c>
      <c r="H85" s="323">
        <f>IF(H$24&gt;0,$C85,0)</f>
        <v/>
      </c>
      <c r="I85" s="323">
        <f>IF(I$24&gt;0,$C85,0)</f>
        <v/>
      </c>
      <c r="J85" s="323">
        <f>IF(J$24&gt;0,$C85,0)</f>
        <v/>
      </c>
      <c r="K85" s="323">
        <f>IF(K$24&gt;0,$C85,0)</f>
        <v/>
      </c>
      <c r="L85" s="323">
        <f>IF(L$24&gt;0,$C85,0)</f>
        <v/>
      </c>
      <c r="M85" s="323">
        <f>IF(M$24&gt;0,$C85,0)</f>
        <v/>
      </c>
      <c r="N85" s="323">
        <f>IF(N$24&gt;0,$C85,0)</f>
        <v/>
      </c>
      <c r="O85" s="323">
        <f>IF(O$24&gt;0,$C85,0)</f>
        <v/>
      </c>
      <c r="P85" s="323">
        <f>IF(P$24&gt;0,$C85,0)</f>
        <v/>
      </c>
      <c r="Q85" s="323">
        <f>IF(Q$24&gt;0,$C85,0)</f>
        <v/>
      </c>
      <c r="R85" s="323">
        <f>IF(R$24&gt;0,$C85,0)</f>
        <v/>
      </c>
      <c r="S85" s="323">
        <f>IF(S$24&gt;0,$C85,0)</f>
        <v/>
      </c>
      <c r="T85" s="323">
        <f>IF(T$24&gt;0,$C85,0)</f>
        <v/>
      </c>
      <c r="U85" s="323">
        <f>IF(U$24&gt;0,$C85,0)</f>
        <v/>
      </c>
      <c r="V85" s="323">
        <f>IF(V$24&gt;0,$C85,0)</f>
        <v/>
      </c>
      <c r="W85" s="323">
        <f>IF(W$24&gt;0,$C85,0)</f>
        <v/>
      </c>
      <c r="X85" s="323">
        <f>IF(X$24&gt;0,$C85,0)</f>
        <v/>
      </c>
      <c r="Y85" s="323">
        <f>IF(Y$24&gt;0,$C85,0)</f>
        <v/>
      </c>
      <c r="Z85" s="323">
        <f>IF(Z$24&gt;0,$C85,0)</f>
        <v/>
      </c>
      <c r="AA85" s="323">
        <f>IF(AA$24&gt;0,$C85,0)</f>
        <v/>
      </c>
      <c r="AB85" s="323">
        <f>IF(AB$24&gt;0,$C85,0)</f>
        <v/>
      </c>
      <c r="AC85" s="323">
        <f>IF(AC$24&gt;0,$C85,0)</f>
        <v/>
      </c>
      <c r="AD85" s="323">
        <f>IF(AD$24&gt;0,$C85,0)</f>
        <v/>
      </c>
      <c r="AE85" s="323" t="n"/>
      <c r="AF85" s="25" t="n"/>
    </row>
    <row r="86">
      <c r="A86" s="4" t="inlineStr">
        <is>
          <t>Overhead - Corporate Fees</t>
        </is>
      </c>
      <c r="B86" s="17" t="inlineStr">
        <is>
          <t>AUDk</t>
        </is>
      </c>
      <c r="C86" s="391" t="n"/>
      <c r="D86" s="323">
        <f>IF(D$24&gt;0,$C86,0)</f>
        <v/>
      </c>
      <c r="E86" s="323">
        <f>IF(E$24&gt;0,$C86,0)</f>
        <v/>
      </c>
      <c r="F86" s="323">
        <f>IF(F$24&gt;0,$C86,0)</f>
        <v/>
      </c>
      <c r="G86" s="323">
        <f>IF(G$24&gt;0,$C86,0)</f>
        <v/>
      </c>
      <c r="H86" s="323">
        <f>IF(H$24&gt;0,$C86,0)</f>
        <v/>
      </c>
      <c r="I86" s="323">
        <f>IF(I$24&gt;0,$C86,0)</f>
        <v/>
      </c>
      <c r="J86" s="323">
        <f>IF(J$24&gt;0,$C86,0)</f>
        <v/>
      </c>
      <c r="K86" s="323">
        <f>IF(K$24&gt;0,$C86,0)</f>
        <v/>
      </c>
      <c r="L86" s="323">
        <f>IF(L$24&gt;0,$C86,0)</f>
        <v/>
      </c>
      <c r="M86" s="323">
        <f>IF(M$24&gt;0,$C86,0)</f>
        <v/>
      </c>
      <c r="N86" s="323">
        <f>IF(N$24&gt;0,$C86,0)</f>
        <v/>
      </c>
      <c r="O86" s="323">
        <f>IF(O$24&gt;0,$C86,0)</f>
        <v/>
      </c>
      <c r="P86" s="323">
        <f>IF(P$24&gt;0,$C86,0)</f>
        <v/>
      </c>
      <c r="Q86" s="323">
        <f>IF(Q$24&gt;0,$C86,0)</f>
        <v/>
      </c>
      <c r="R86" s="323">
        <f>IF(R$24&gt;0,$C86,0)</f>
        <v/>
      </c>
      <c r="S86" s="323">
        <f>IF(S$24&gt;0,$C86,0)</f>
        <v/>
      </c>
      <c r="T86" s="323">
        <f>IF(T$24&gt;0,$C86,0)</f>
        <v/>
      </c>
      <c r="U86" s="323">
        <f>IF(U$24&gt;0,$C86,0)</f>
        <v/>
      </c>
      <c r="V86" s="323">
        <f>IF(V$24&gt;0,$C86,0)</f>
        <v/>
      </c>
      <c r="W86" s="323">
        <f>IF(W$24&gt;0,$C86,0)</f>
        <v/>
      </c>
      <c r="X86" s="323">
        <f>IF(X$24&gt;0,$C86,0)</f>
        <v/>
      </c>
      <c r="Y86" s="323">
        <f>IF(Y$24&gt;0,$C86,0)</f>
        <v/>
      </c>
      <c r="Z86" s="323">
        <f>IF(Z$24&gt;0,$C86,0)</f>
        <v/>
      </c>
      <c r="AA86" s="323">
        <f>IF(AA$24&gt;0,$C86,0)</f>
        <v/>
      </c>
      <c r="AB86" s="323">
        <f>IF(AB$24&gt;0,$C86,0)</f>
        <v/>
      </c>
      <c r="AC86" s="323">
        <f>IF(AC$24&gt;0,$C86,0)</f>
        <v/>
      </c>
      <c r="AD86" s="323">
        <f>IF(AD$24&gt;0,$C86,0)</f>
        <v/>
      </c>
      <c r="AE86" s="323" t="n"/>
      <c r="AF86" s="25" t="n"/>
    </row>
    <row r="87">
      <c r="A87" s="4" t="inlineStr">
        <is>
          <t>Overhead - Remote Innovation Division</t>
        </is>
      </c>
      <c r="B87" s="17" t="inlineStr">
        <is>
          <t>AUDk</t>
        </is>
      </c>
      <c r="C87" s="391" t="n"/>
      <c r="D87" s="323">
        <f>IF(D$24&gt;0,$C87,0)</f>
        <v/>
      </c>
      <c r="E87" s="323">
        <f>IF(E$24&gt;0,$C87,0)</f>
        <v/>
      </c>
      <c r="F87" s="323">
        <f>IF(F$24&gt;0,$C87,0)</f>
        <v/>
      </c>
      <c r="G87" s="323">
        <f>IF(G$24&gt;0,$C87,0)</f>
        <v/>
      </c>
      <c r="H87" s="323">
        <f>IF(H$24&gt;0,$C87,0)</f>
        <v/>
      </c>
      <c r="I87" s="323">
        <f>IF(I$24&gt;0,$C87,0)</f>
        <v/>
      </c>
      <c r="J87" s="323">
        <f>IF(J$24&gt;0,$C87,0)</f>
        <v/>
      </c>
      <c r="K87" s="323">
        <f>IF(K$24&gt;0,$C87,0)</f>
        <v/>
      </c>
      <c r="L87" s="323">
        <f>IF(L$24&gt;0,$C87,0)</f>
        <v/>
      </c>
      <c r="M87" s="323">
        <f>IF(M$24&gt;0,$C87,0)</f>
        <v/>
      </c>
      <c r="N87" s="323">
        <f>IF(N$24&gt;0,$C87,0)</f>
        <v/>
      </c>
      <c r="O87" s="323">
        <f>IF(O$24&gt;0,$C87,0)</f>
        <v/>
      </c>
      <c r="P87" s="323">
        <f>IF(P$24&gt;0,$C87,0)</f>
        <v/>
      </c>
      <c r="Q87" s="323">
        <f>IF(Q$24&gt;0,$C87,0)</f>
        <v/>
      </c>
      <c r="R87" s="323">
        <f>IF(R$24&gt;0,$C87,0)</f>
        <v/>
      </c>
      <c r="S87" s="323">
        <f>IF(S$24&gt;0,$C87,0)</f>
        <v/>
      </c>
      <c r="T87" s="323">
        <f>IF(T$24&gt;0,$C87,0)</f>
        <v/>
      </c>
      <c r="U87" s="323">
        <f>IF(U$24&gt;0,$C87,0)</f>
        <v/>
      </c>
      <c r="V87" s="323">
        <f>IF(V$24&gt;0,$C87,0)</f>
        <v/>
      </c>
      <c r="W87" s="323">
        <f>IF(W$24&gt;0,$C87,0)</f>
        <v/>
      </c>
      <c r="X87" s="323">
        <f>IF(X$24&gt;0,$C87,0)</f>
        <v/>
      </c>
      <c r="Y87" s="323">
        <f>IF(Y$24&gt;0,$C87,0)</f>
        <v/>
      </c>
      <c r="Z87" s="323">
        <f>IF(Z$24&gt;0,$C87,0)</f>
        <v/>
      </c>
      <c r="AA87" s="323">
        <f>IF(AA$24&gt;0,$C87,0)</f>
        <v/>
      </c>
      <c r="AB87" s="323">
        <f>IF(AB$24&gt;0,$C87,0)</f>
        <v/>
      </c>
      <c r="AC87" s="323">
        <f>IF(AC$24&gt;0,$C87,0)</f>
        <v/>
      </c>
      <c r="AD87" s="323">
        <f>IF(AD$24&gt;0,$C87,0)</f>
        <v/>
      </c>
      <c r="AE87" s="323" t="n"/>
      <c r="AF87" s="25" t="n"/>
    </row>
    <row r="88">
      <c r="A88" s="4" t="inlineStr">
        <is>
          <t>Total Overhead Costs</t>
        </is>
      </c>
      <c r="B88" s="17" t="inlineStr">
        <is>
          <t>AUDk</t>
        </is>
      </c>
      <c r="C88" s="394" t="n"/>
      <c r="D88" s="394">
        <f>IF(D9&gt;0,SUM(D84:D87)*(1+$AI$14),0)</f>
        <v/>
      </c>
      <c r="E88" s="394">
        <f>IF(E9&gt;0,SUM(E84:E87)*(1+$AI$14),0)</f>
        <v/>
      </c>
      <c r="F88" s="394">
        <f>IF(F9&gt;0,SUM(F84:F87)*(1+$AI$14),0)</f>
        <v/>
      </c>
      <c r="G88" s="394">
        <f>IF(G9&gt;0,SUM(G84:G87)*(1+$AI$14),0)</f>
        <v/>
      </c>
      <c r="H88" s="394">
        <f>IF(H9&gt;0,SUM(H84:H87)*(1+$AI$14),0)</f>
        <v/>
      </c>
      <c r="I88" s="394">
        <f>IF(I9&gt;0,SUM(I84:I87)*(1+$AI$14),0)</f>
        <v/>
      </c>
      <c r="J88" s="394">
        <f>IF(J9&gt;0,SUM(J84:J87)*(1+$AI$14),0)</f>
        <v/>
      </c>
      <c r="K88" s="394">
        <f>IF(K9&gt;0,SUM(K84:K87)*(1+$AI$14),0)</f>
        <v/>
      </c>
      <c r="L88" s="394">
        <f>IF(L9&gt;0,SUM(L84:L87)*(1+$AI$14),0)</f>
        <v/>
      </c>
      <c r="M88" s="394">
        <f>IF(M9&gt;0,SUM(M84:M87)*(1+$AI$14),0)</f>
        <v/>
      </c>
      <c r="N88" s="394">
        <f>IF(N9&gt;0,SUM(N84:N87)*(1+$AI$14),0)</f>
        <v/>
      </c>
      <c r="O88" s="394">
        <f>IF(O9&gt;0,SUM(O84:O87)*(1+$AI$14),0)</f>
        <v/>
      </c>
      <c r="P88" s="394">
        <f>IF(P9&gt;0,SUM(P84:P87)*(1+$AI$14),0)</f>
        <v/>
      </c>
      <c r="Q88" s="394">
        <f>IF(Q9&gt;0,SUM(Q84:Q87)*(1+$AI$14),0)</f>
        <v/>
      </c>
      <c r="R88" s="394">
        <f>IF(R9&gt;0,SUM(R84:R87)*(1+$AI$14),0)</f>
        <v/>
      </c>
      <c r="S88" s="394">
        <f>IF(S9&gt;0,SUM(S84:S87)*(1+$AI$14),0)</f>
        <v/>
      </c>
      <c r="T88" s="394">
        <f>IF(T9&gt;0,SUM(T84:T87)*(1+$AI$14),0)</f>
        <v/>
      </c>
      <c r="U88" s="394">
        <f>IF(U9&gt;0,SUM(U84:U87)*(1+$AI$14),0)</f>
        <v/>
      </c>
      <c r="V88" s="394">
        <f>IF(V9&gt;0,SUM(V84:V87)*(1+$AI$14),0)</f>
        <v/>
      </c>
      <c r="W88" s="394">
        <f>IF(W9&gt;0,SUM(W84:W87)*(1+$AI$14),0)</f>
        <v/>
      </c>
      <c r="X88" s="394">
        <f>IF(X9&gt;0,SUM(X84:X87)*(1+$AI$14),0)</f>
        <v/>
      </c>
      <c r="Y88" s="394">
        <f>IF(Y9&gt;0,SUM(Y84:Y87)*(1+$AI$14),0)</f>
        <v/>
      </c>
      <c r="Z88" s="394">
        <f>IF(Z9&gt;0,SUM(Z84:Z87)*(1+$AI$14),0)</f>
        <v/>
      </c>
      <c r="AA88" s="394">
        <f>IF(AA9&gt;0,SUM(AA84:AA87)*(1+$AI$14),0)</f>
        <v/>
      </c>
      <c r="AB88" s="394">
        <f>IF(AB9&gt;0,SUM(AB84:AB87)*(1+$AI$14),0)</f>
        <v/>
      </c>
      <c r="AC88" s="394">
        <f>IF(AC9&gt;0,SUM(AC84:AC87)*(1+$AI$14),0)</f>
        <v/>
      </c>
      <c r="AD88" s="394">
        <f>IF(AD9&gt;0,SUM(AD84:AD87)*(1+$AI$14),0)</f>
        <v/>
      </c>
      <c r="AE88" s="394" t="n"/>
      <c r="AF88" s="395">
        <f>SUM(D88:AD88)</f>
        <v/>
      </c>
    </row>
    <row r="89">
      <c r="A89" s="4" t="n"/>
      <c r="B89" s="17" t="n"/>
      <c r="C89" s="323" t="n"/>
      <c r="D89" s="323" t="n"/>
      <c r="E89" s="323" t="n"/>
      <c r="F89" s="323" t="n"/>
      <c r="G89" s="323" t="n"/>
      <c r="H89" s="323" t="n"/>
      <c r="I89" s="323" t="n"/>
      <c r="J89" s="323" t="n"/>
      <c r="K89" s="323" t="n"/>
      <c r="L89" s="323" t="n"/>
      <c r="M89" s="323" t="n"/>
      <c r="N89" s="323" t="n"/>
      <c r="O89" s="323" t="n"/>
      <c r="P89" s="323" t="n"/>
      <c r="Q89" s="323" t="n"/>
      <c r="R89" s="323" t="n"/>
      <c r="S89" s="323" t="n"/>
      <c r="T89" s="323" t="n"/>
      <c r="U89" s="323" t="n"/>
      <c r="V89" s="323" t="n"/>
      <c r="W89" s="323" t="n"/>
      <c r="X89" s="323" t="n"/>
      <c r="Y89" s="323" t="n"/>
      <c r="Z89" s="323" t="n"/>
      <c r="AA89" s="323" t="n"/>
      <c r="AB89" s="323" t="n"/>
      <c r="AC89" s="323" t="n"/>
      <c r="AD89" s="323" t="n"/>
      <c r="AE89" s="323" t="n"/>
      <c r="AF89" s="370" t="n"/>
    </row>
    <row r="90">
      <c r="A90" s="28" t="inlineStr">
        <is>
          <t>Total FOR Costs</t>
        </is>
      </c>
      <c r="B90" s="56" t="n"/>
      <c r="C90" s="333" t="n"/>
      <c r="D90" s="333">
        <f>SUM(D68,D71,D74,D76,D79,D82,D88)</f>
        <v/>
      </c>
      <c r="E90" s="333">
        <f>SUM(E68,E71,E74,E76,E79,E82,E88)</f>
        <v/>
      </c>
      <c r="F90" s="333">
        <f>SUM(F68,F71,F74,F76,F79,F82,F88)</f>
        <v/>
      </c>
      <c r="G90" s="333">
        <f>SUM(G68,G71,G74,G76,G79,G82,G88)</f>
        <v/>
      </c>
      <c r="H90" s="333">
        <f>SUM(H68,H71,H74,H76,H79,H82,H88)</f>
        <v/>
      </c>
      <c r="I90" s="333">
        <f>SUM(I68,I71,I74,I76,I79,I82,I88)</f>
        <v/>
      </c>
      <c r="J90" s="333">
        <f>SUM(J68,J71,J74,J76,J79,J82,J88)</f>
        <v/>
      </c>
      <c r="K90" s="333">
        <f>SUM(K68,K71,K74,K76,K79,K82,K88)</f>
        <v/>
      </c>
      <c r="L90" s="333">
        <f>SUM(L68,L71,L74,L76,L79,L82,L88)</f>
        <v/>
      </c>
      <c r="M90" s="333">
        <f>SUM(M68,M71,M74,M76,M79,M82,M88)</f>
        <v/>
      </c>
      <c r="N90" s="333">
        <f>SUM(N68,N71,N74,N76,N79,N82,N88)</f>
        <v/>
      </c>
      <c r="O90" s="333">
        <f>SUM(O68,O71,O74,O76,O79,O82,O88)</f>
        <v/>
      </c>
      <c r="P90" s="333">
        <f>SUM(P68,P71,P74,P76,P79,P82,P88)</f>
        <v/>
      </c>
      <c r="Q90" s="333">
        <f>SUM(Q68,Q71,Q74,Q76,Q79,Q82,Q88)</f>
        <v/>
      </c>
      <c r="R90" s="333">
        <f>SUM(R68,R71,R74,R76,R79,R82,R88)</f>
        <v/>
      </c>
      <c r="S90" s="333">
        <f>SUM(S68,S71,S74,S76,S79,S82,S88)</f>
        <v/>
      </c>
      <c r="T90" s="333">
        <f>SUM(T68,T71,T74,T76,T79,T82,T88)</f>
        <v/>
      </c>
      <c r="U90" s="333">
        <f>SUM(U68,U71,U74,U76,U79,U82,U88)</f>
        <v/>
      </c>
      <c r="V90" s="333">
        <f>SUM(V68,V71,V74,V76,V79,V82,V88)</f>
        <v/>
      </c>
      <c r="W90" s="333">
        <f>SUM(W68,W71,W74,W76,W79,W82,W88)</f>
        <v/>
      </c>
      <c r="X90" s="333">
        <f>SUM(X68,X71,X74,X76,X79,X82,X88)</f>
        <v/>
      </c>
      <c r="Y90" s="333">
        <f>SUM(Y68,Y71,Y74,Y76,Y79,Y82,Y88)</f>
        <v/>
      </c>
      <c r="Z90" s="333">
        <f>SUM(Z68,Z71,Z74,Z76,Z79,Z82,Z88)</f>
        <v/>
      </c>
      <c r="AA90" s="333">
        <f>SUM(AA68,AA71,AA74,AA76,AA79,AA82,AA88)</f>
        <v/>
      </c>
      <c r="AB90" s="333">
        <f>SUM(AB68,AB71,AB74,AB76,AB79,AB82,AB88)</f>
        <v/>
      </c>
      <c r="AC90" s="333">
        <f>SUM(AC68,AC71,AC74,AC76,AC79,AC82,AC88)</f>
        <v/>
      </c>
      <c r="AD90" s="333">
        <f>SUM(AD68,AD71,AD74,AD76,AD79,AD82,AD88)</f>
        <v/>
      </c>
      <c r="AE90" s="333" t="n"/>
      <c r="AF90" s="387">
        <f>SUM(D90:AD90)</f>
        <v/>
      </c>
    </row>
    <row r="91">
      <c r="A91" s="28" t="inlineStr">
        <is>
          <t>FOR Cost/t</t>
        </is>
      </c>
      <c r="B91" s="56" t="inlineStr">
        <is>
          <t>AUD/t</t>
        </is>
      </c>
      <c r="C91" s="386" t="n"/>
      <c r="D91" s="386">
        <f>IFERROR(D90/D24,0)</f>
        <v/>
      </c>
      <c r="E91" s="386">
        <f>IFERROR(E90/E24,0)</f>
        <v/>
      </c>
      <c r="F91" s="386">
        <f>IFERROR(F90/F24,0)</f>
        <v/>
      </c>
      <c r="G91" s="386">
        <f>IFERROR(G90/G24,0)</f>
        <v/>
      </c>
      <c r="H91" s="386">
        <f>IFERROR(H90/H24,0)</f>
        <v/>
      </c>
      <c r="I91" s="386">
        <f>IFERROR(I90/I24,0)</f>
        <v/>
      </c>
      <c r="J91" s="386">
        <f>IFERROR(J90/J24,0)</f>
        <v/>
      </c>
      <c r="K91" s="386">
        <f>IFERROR(K90/K24,0)</f>
        <v/>
      </c>
      <c r="L91" s="386">
        <f>IFERROR(L90/L24,0)</f>
        <v/>
      </c>
      <c r="M91" s="386">
        <f>IFERROR(M90/M24,0)</f>
        <v/>
      </c>
      <c r="N91" s="386">
        <f>IFERROR(N90/N24,0)</f>
        <v/>
      </c>
      <c r="O91" s="386">
        <f>IFERROR(O90/O24,0)</f>
        <v/>
      </c>
      <c r="P91" s="386">
        <f>IFERROR(P90/P24,0)</f>
        <v/>
      </c>
      <c r="Q91" s="386">
        <f>IFERROR(Q90/Q24,0)</f>
        <v/>
      </c>
      <c r="R91" s="386">
        <f>IFERROR(R90/R24,0)</f>
        <v/>
      </c>
      <c r="S91" s="386">
        <f>IFERROR(S90/S24,0)</f>
        <v/>
      </c>
      <c r="T91" s="386">
        <f>IFERROR(T90/T24,0)</f>
        <v/>
      </c>
      <c r="U91" s="386">
        <f>IFERROR(U90/U24,0)</f>
        <v/>
      </c>
      <c r="V91" s="386">
        <f>IFERROR(V90/V24,0)</f>
        <v/>
      </c>
      <c r="W91" s="386">
        <f>IFERROR(W90/W24,0)</f>
        <v/>
      </c>
      <c r="X91" s="386">
        <f>IFERROR(X90/X24,0)</f>
        <v/>
      </c>
      <c r="Y91" s="386">
        <f>IFERROR(Y90/Y24,0)</f>
        <v/>
      </c>
      <c r="Z91" s="386">
        <f>IFERROR(Z90/Z24,0)</f>
        <v/>
      </c>
      <c r="AA91" s="386">
        <f>IFERROR(AA90/AA24,0)</f>
        <v/>
      </c>
      <c r="AB91" s="386">
        <f>IFERROR(AB90/AB24,0)</f>
        <v/>
      </c>
      <c r="AC91" s="386">
        <f>IFERROR(AC90/AC24,0)</f>
        <v/>
      </c>
      <c r="AD91" s="386">
        <f>IFERROR(AD90/AD24,0)</f>
        <v/>
      </c>
      <c r="AE91" s="386" t="n"/>
      <c r="AF91" s="397">
        <f>IFERROR(AF90/AF24,0)</f>
        <v/>
      </c>
    </row>
    <row r="92">
      <c r="A92" s="4" t="n"/>
      <c r="B92" s="17" t="n"/>
      <c r="C92" s="344" t="n"/>
      <c r="D92" s="344" t="n"/>
      <c r="AF92" s="25" t="n"/>
    </row>
    <row r="93">
      <c r="A93" s="28" t="inlineStr">
        <is>
          <t>Direct Selling Expenses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AF93" s="25" t="n"/>
    </row>
    <row r="94">
      <c r="A94" s="4" t="inlineStr">
        <is>
          <t>Total Port, Rail and Selling Costs</t>
        </is>
      </c>
      <c r="B94" s="17" t="inlineStr">
        <is>
          <t>AUD/t</t>
        </is>
      </c>
      <c r="C94" s="323" t="n"/>
      <c r="D94" s="323">
        <f>$C$94*D36</f>
        <v/>
      </c>
      <c r="E94" s="323">
        <f>$C$94*E36</f>
        <v/>
      </c>
      <c r="F94" s="323">
        <f>$C$94*F36</f>
        <v/>
      </c>
      <c r="G94" s="323">
        <f>$C$94*G36</f>
        <v/>
      </c>
      <c r="H94" s="323">
        <f>$C$94*H36</f>
        <v/>
      </c>
      <c r="I94" s="323">
        <f>$C$94*I36</f>
        <v/>
      </c>
      <c r="J94" s="323">
        <f>$C$94*J36</f>
        <v/>
      </c>
      <c r="K94" s="323">
        <f>$C$94*K36</f>
        <v/>
      </c>
      <c r="L94" s="323">
        <f>$C$94*L36</f>
        <v/>
      </c>
      <c r="M94" s="323">
        <f>$C$94*M36</f>
        <v/>
      </c>
      <c r="N94" s="323">
        <f>$C$94*N36</f>
        <v/>
      </c>
      <c r="O94" s="323">
        <f>$C$94*O36</f>
        <v/>
      </c>
      <c r="P94" s="323">
        <f>$C$94*P36</f>
        <v/>
      </c>
      <c r="Q94" s="323">
        <f>$C$94*Q36</f>
        <v/>
      </c>
      <c r="R94" s="323">
        <f>$C$94*R36</f>
        <v/>
      </c>
      <c r="S94" s="323">
        <f>$C$94*S36</f>
        <v/>
      </c>
      <c r="T94" s="323">
        <f>$C$94*T36</f>
        <v/>
      </c>
      <c r="U94" s="323">
        <f>$C$94*U36</f>
        <v/>
      </c>
      <c r="V94" s="323">
        <f>$C$94*V36</f>
        <v/>
      </c>
      <c r="W94" s="323">
        <f>$C$94*W36</f>
        <v/>
      </c>
      <c r="X94" s="323">
        <f>$C$94*X36</f>
        <v/>
      </c>
      <c r="Y94" s="323">
        <f>$C$94*Y36</f>
        <v/>
      </c>
      <c r="Z94" s="323">
        <f>$C$94*Z36</f>
        <v/>
      </c>
      <c r="AA94" s="323">
        <f>$C$94*AA36</f>
        <v/>
      </c>
      <c r="AB94" s="323">
        <f>$C$94*AB36</f>
        <v/>
      </c>
      <c r="AC94" s="323">
        <f>$C$94*AC36</f>
        <v/>
      </c>
      <c r="AD94" s="323">
        <f>$C$94*AD36</f>
        <v/>
      </c>
      <c r="AE94" s="323" t="n"/>
      <c r="AF94" s="370">
        <f>SUM(D94:AD94)</f>
        <v/>
      </c>
    </row>
    <row r="95">
      <c r="A95" s="4" t="inlineStr">
        <is>
          <t>Additional take or pay liability</t>
        </is>
      </c>
      <c r="B95" s="17" t="inlineStr">
        <is>
          <t>AUD/t</t>
        </is>
      </c>
      <c r="C95" s="323" t="n"/>
      <c r="D95" s="323">
        <f>IF(D$93="Y",$C$95*D36,0)</f>
        <v/>
      </c>
      <c r="E95" s="323">
        <f>IF(E$93="Y",$C$95*E36,0)</f>
        <v/>
      </c>
      <c r="F95" s="323">
        <f>IF(F$93="Y",$C$95*F36,0)</f>
        <v/>
      </c>
      <c r="G95" s="323">
        <f>IF(G$93="Y",$C$95*G36,0)</f>
        <v/>
      </c>
      <c r="H95" s="323">
        <f>IF(H$93="Y",$C$95*H36,0)</f>
        <v/>
      </c>
      <c r="I95" s="323">
        <f>IF(I$93="Y",$C$95*I36,0)</f>
        <v/>
      </c>
      <c r="J95" s="323">
        <f>IF(J$93="Y",$C$95*J36,0)</f>
        <v/>
      </c>
      <c r="K95" s="323">
        <f>IF(K$93="Y",$C$95*K36,0)</f>
        <v/>
      </c>
      <c r="L95" s="323">
        <f>IF(L$93="Y",$C$95*L36,0)</f>
        <v/>
      </c>
      <c r="M95" s="323">
        <f>IF(M$93="Y",$C$95*M36,0)</f>
        <v/>
      </c>
      <c r="N95" s="323">
        <f>IF(N$93="Y",$C$95*N36,0)</f>
        <v/>
      </c>
      <c r="O95" s="323">
        <f>IF(O$93="Y",$C$95*O36,0)</f>
        <v/>
      </c>
      <c r="P95" s="323">
        <f>IF(P$93="Y",$C$95*P36,0)</f>
        <v/>
      </c>
      <c r="Q95" s="323">
        <f>IF(Q$93="Y",$C$95*Q36,0)</f>
        <v/>
      </c>
      <c r="R95" s="323">
        <f>IF(R$93="Y",$C$95*R36,0)</f>
        <v/>
      </c>
      <c r="S95" s="323">
        <f>IF(S$93="Y",$C$95*S36,0)</f>
        <v/>
      </c>
      <c r="T95" s="323">
        <f>IF(T$93="Y",$C$95*T36,0)</f>
        <v/>
      </c>
      <c r="U95" s="323">
        <f>IF(U$93="Y",$C$95*U36,0)</f>
        <v/>
      </c>
      <c r="V95" s="323">
        <f>IF(V$93="Y",$C$95*V36,0)</f>
        <v/>
      </c>
      <c r="W95" s="323">
        <f>IF(W$93="Y",$C$95*W36,0)</f>
        <v/>
      </c>
      <c r="X95" s="323">
        <f>IF(X$93="Y",$C$95*X36,0)</f>
        <v/>
      </c>
      <c r="Y95" s="323">
        <f>IF(Y$93="Y",$C$95*Y36,0)</f>
        <v/>
      </c>
      <c r="Z95" s="323">
        <f>IF(Z$93="Y",$C$95*Z36,0)</f>
        <v/>
      </c>
      <c r="AA95" s="323">
        <f>IF(AA$93="Y",$C$95*AA36,0)</f>
        <v/>
      </c>
      <c r="AB95" s="323">
        <f>IF(AB$93="Y",$C$95*AB36,0)</f>
        <v/>
      </c>
      <c r="AC95" s="323">
        <f>IF(AC$93="Y",$C$95*AC36,0)</f>
        <v/>
      </c>
      <c r="AD95" s="323">
        <f>IF(AD$93="Y",$C$95*AD36,0)</f>
        <v/>
      </c>
      <c r="AE95" s="323" t="n"/>
      <c r="AF95" s="370" t="n"/>
    </row>
    <row r="96">
      <c r="A96" s="4" t="inlineStr">
        <is>
          <t>Government Royalty</t>
        </is>
      </c>
      <c r="B96" s="32" t="inlineStr">
        <is>
          <t>AUDk</t>
        </is>
      </c>
      <c r="C96" s="323" t="n"/>
      <c r="D96" s="323">
        <f>D151*D36</f>
        <v/>
      </c>
      <c r="E96" s="323">
        <f>E151*E36</f>
        <v/>
      </c>
      <c r="F96" s="323">
        <f>F151*F36</f>
        <v/>
      </c>
      <c r="G96" s="323">
        <f>G151*G36</f>
        <v/>
      </c>
      <c r="H96" s="323">
        <f>H151*H36</f>
        <v/>
      </c>
      <c r="I96" s="323">
        <f>I151*I36</f>
        <v/>
      </c>
      <c r="J96" s="323">
        <f>J151*J36</f>
        <v/>
      </c>
      <c r="K96" s="323">
        <f>K151*K36</f>
        <v/>
      </c>
      <c r="L96" s="323">
        <f>L151*L36</f>
        <v/>
      </c>
      <c r="M96" s="323">
        <f>M151*M36</f>
        <v/>
      </c>
      <c r="N96" s="323">
        <f>N151*N36</f>
        <v/>
      </c>
      <c r="O96" s="323">
        <f>O151*O36</f>
        <v/>
      </c>
      <c r="P96" s="323">
        <f>P151*P36</f>
        <v/>
      </c>
      <c r="Q96" s="323">
        <f>Q151*Q36</f>
        <v/>
      </c>
      <c r="R96" s="323">
        <f>R151*R36</f>
        <v/>
      </c>
      <c r="S96" s="323">
        <f>S151*S36</f>
        <v/>
      </c>
      <c r="T96" s="323">
        <f>T151*T36</f>
        <v/>
      </c>
      <c r="U96" s="323">
        <f>U151*U36</f>
        <v/>
      </c>
      <c r="V96" s="323">
        <f>V151*V36</f>
        <v/>
      </c>
      <c r="W96" s="323">
        <f>W151*W36</f>
        <v/>
      </c>
      <c r="X96" s="323">
        <f>X151*X36</f>
        <v/>
      </c>
      <c r="Y96" s="323">
        <f>Y151*Y36</f>
        <v/>
      </c>
      <c r="Z96" s="323">
        <f>Z151*Z36</f>
        <v/>
      </c>
      <c r="AA96" s="323">
        <f>AA151*AA36</f>
        <v/>
      </c>
      <c r="AB96" s="323">
        <f>AB151*AB36</f>
        <v/>
      </c>
      <c r="AC96" s="323">
        <f>AC151*AC36</f>
        <v/>
      </c>
      <c r="AD96" s="323">
        <f>AD151*AD36</f>
        <v/>
      </c>
      <c r="AE96" s="323" t="n"/>
      <c r="AF96" s="370">
        <f>SUM(D96:AD96)</f>
        <v/>
      </c>
    </row>
    <row r="97">
      <c r="A97" s="4" t="inlineStr">
        <is>
          <t>Total Direct Selling Expenses</t>
        </is>
      </c>
      <c r="B97" s="17" t="inlineStr">
        <is>
          <t>AUDk</t>
        </is>
      </c>
      <c r="C97" s="347" t="n"/>
      <c r="D97" s="347">
        <f>SUM(D94:D96)</f>
        <v/>
      </c>
      <c r="E97" s="347">
        <f>SUM(E94:E96)</f>
        <v/>
      </c>
      <c r="F97" s="347">
        <f>SUM(F94:F96)</f>
        <v/>
      </c>
      <c r="G97" s="347">
        <f>SUM(G94:G96)</f>
        <v/>
      </c>
      <c r="H97" s="347">
        <f>SUM(H94:H96)</f>
        <v/>
      </c>
      <c r="I97" s="347">
        <f>SUM(I94:I96)</f>
        <v/>
      </c>
      <c r="J97" s="347">
        <f>SUM(J94:J96)</f>
        <v/>
      </c>
      <c r="K97" s="347">
        <f>SUM(K94:K96)</f>
        <v/>
      </c>
      <c r="L97" s="347">
        <f>SUM(L94:L96)</f>
        <v/>
      </c>
      <c r="M97" s="347">
        <f>SUM(M94:M96)</f>
        <v/>
      </c>
      <c r="N97" s="347">
        <f>SUM(N94:N96)</f>
        <v/>
      </c>
      <c r="O97" s="347">
        <f>SUM(O94:O96)</f>
        <v/>
      </c>
      <c r="P97" s="347">
        <f>SUM(P94:P96)</f>
        <v/>
      </c>
      <c r="Q97" s="347">
        <f>SUM(Q94:Q96)</f>
        <v/>
      </c>
      <c r="R97" s="347">
        <f>SUM(R94:R96)</f>
        <v/>
      </c>
      <c r="S97" s="347">
        <f>SUM(S94:S96)</f>
        <v/>
      </c>
      <c r="T97" s="347">
        <f>SUM(T94:T96)</f>
        <v/>
      </c>
      <c r="U97" s="347">
        <f>SUM(U94:U96)</f>
        <v/>
      </c>
      <c r="V97" s="347">
        <f>SUM(V94:V96)</f>
        <v/>
      </c>
      <c r="W97" s="347">
        <f>SUM(W94:W96)</f>
        <v/>
      </c>
      <c r="X97" s="347">
        <f>SUM(X94:X96)</f>
        <v/>
      </c>
      <c r="Y97" s="347">
        <f>SUM(Y94:Y96)</f>
        <v/>
      </c>
      <c r="Z97" s="347">
        <f>SUM(Z94:Z96)</f>
        <v/>
      </c>
      <c r="AA97" s="347">
        <f>SUM(AA94:AA96)</f>
        <v/>
      </c>
      <c r="AB97" s="347">
        <f>SUM(AB94:AB96)</f>
        <v/>
      </c>
      <c r="AC97" s="347">
        <f>SUM(AC94:AC96)</f>
        <v/>
      </c>
      <c r="AD97" s="347">
        <f>SUM(AD94:AD96)</f>
        <v/>
      </c>
      <c r="AE97" s="347" t="n"/>
      <c r="AF97" s="400">
        <f>SUM(AF94:AF96)</f>
        <v/>
      </c>
    </row>
    <row r="98">
      <c r="A98" s="4" t="n"/>
      <c r="B98" s="17" t="n"/>
      <c r="C98" s="323" t="n"/>
      <c r="D98" s="323" t="n"/>
      <c r="E98" s="323" t="n"/>
      <c r="F98" s="323" t="n"/>
      <c r="G98" s="323" t="n"/>
      <c r="H98" s="323" t="n"/>
      <c r="I98" s="323" t="n"/>
      <c r="J98" s="323" t="n"/>
      <c r="K98" s="323" t="n"/>
      <c r="L98" s="323" t="n"/>
      <c r="M98" s="323" t="n"/>
      <c r="N98" s="323" t="n"/>
      <c r="O98" s="323" t="n"/>
      <c r="P98" s="323" t="n"/>
      <c r="Q98" s="323" t="n"/>
      <c r="R98" s="323" t="n"/>
      <c r="S98" s="323" t="n"/>
      <c r="T98" s="323" t="n"/>
      <c r="U98" s="323" t="n"/>
      <c r="V98" s="323" t="n"/>
      <c r="W98" s="323" t="n"/>
      <c r="X98" s="323" t="n"/>
      <c r="Y98" s="323" t="n"/>
      <c r="Z98" s="323" t="n"/>
      <c r="AA98" s="323" t="n"/>
      <c r="AB98" s="323" t="n"/>
      <c r="AC98" s="323" t="n"/>
      <c r="AD98" s="323" t="n"/>
      <c r="AE98" s="323" t="n"/>
      <c r="AF98" s="370" t="n"/>
    </row>
    <row r="99">
      <c r="A99" s="28" t="inlineStr">
        <is>
          <t>Total FOB Costs</t>
        </is>
      </c>
      <c r="B99" s="56" t="inlineStr">
        <is>
          <t>AUDk</t>
        </is>
      </c>
      <c r="C99" s="333" t="n"/>
      <c r="D99" s="333">
        <f>D90+D97</f>
        <v/>
      </c>
      <c r="E99" s="333">
        <f>E90+E97</f>
        <v/>
      </c>
      <c r="F99" s="333">
        <f>F90+F97</f>
        <v/>
      </c>
      <c r="G99" s="333">
        <f>G90+G97</f>
        <v/>
      </c>
      <c r="H99" s="333">
        <f>H90+H97</f>
        <v/>
      </c>
      <c r="I99" s="333">
        <f>I90+I97</f>
        <v/>
      </c>
      <c r="J99" s="333">
        <f>J90+J97</f>
        <v/>
      </c>
      <c r="K99" s="333">
        <f>K90+K97</f>
        <v/>
      </c>
      <c r="L99" s="333">
        <f>L90+L97</f>
        <v/>
      </c>
      <c r="M99" s="333">
        <f>M90+M97</f>
        <v/>
      </c>
      <c r="N99" s="333">
        <f>N90+N97</f>
        <v/>
      </c>
      <c r="O99" s="333">
        <f>O90+O97</f>
        <v/>
      </c>
      <c r="P99" s="333">
        <f>P90+P97</f>
        <v/>
      </c>
      <c r="Q99" s="333">
        <f>Q90+Q97</f>
        <v/>
      </c>
      <c r="R99" s="333">
        <f>R90+R97</f>
        <v/>
      </c>
      <c r="S99" s="333">
        <f>S90+S97</f>
        <v/>
      </c>
      <c r="T99" s="333">
        <f>T90+T97</f>
        <v/>
      </c>
      <c r="U99" s="333">
        <f>U90+U97</f>
        <v/>
      </c>
      <c r="V99" s="333">
        <f>V90+V97</f>
        <v/>
      </c>
      <c r="W99" s="333">
        <f>W90+W97</f>
        <v/>
      </c>
      <c r="X99" s="333">
        <f>X90+X97</f>
        <v/>
      </c>
      <c r="Y99" s="333">
        <f>Y90+Y97</f>
        <v/>
      </c>
      <c r="Z99" s="333">
        <f>Z90+Z97</f>
        <v/>
      </c>
      <c r="AA99" s="333">
        <f>AA90+AA97</f>
        <v/>
      </c>
      <c r="AB99" s="333">
        <f>AB90+AB97</f>
        <v/>
      </c>
      <c r="AC99" s="333">
        <f>AC90+AC97</f>
        <v/>
      </c>
      <c r="AD99" s="333">
        <f>AD90+AD97</f>
        <v/>
      </c>
      <c r="AE99" s="333" t="n"/>
      <c r="AF99" s="387">
        <f>SUM(D99:AD99)</f>
        <v/>
      </c>
    </row>
    <row r="100">
      <c r="A100" s="28" t="inlineStr">
        <is>
          <t>FOB Cost/t</t>
        </is>
      </c>
      <c r="B100" s="56" t="inlineStr">
        <is>
          <t>AUD/t</t>
        </is>
      </c>
      <c r="C100" s="386" t="n"/>
      <c r="D100" s="386">
        <f>IFERROR(D99/D24,0)</f>
        <v/>
      </c>
      <c r="E100" s="386">
        <f>IFERROR(E99/E24,0)</f>
        <v/>
      </c>
      <c r="F100" s="386">
        <f>IFERROR(F99/F24,0)</f>
        <v/>
      </c>
      <c r="G100" s="386">
        <f>IFERROR(G99/G24,0)</f>
        <v/>
      </c>
      <c r="H100" s="386">
        <f>IFERROR(H99/H24,0)</f>
        <v/>
      </c>
      <c r="I100" s="386">
        <f>IFERROR(I99/I24,0)</f>
        <v/>
      </c>
      <c r="J100" s="386">
        <f>IFERROR(J99/J24,0)</f>
        <v/>
      </c>
      <c r="K100" s="386">
        <f>IFERROR(K99/K24,0)</f>
        <v/>
      </c>
      <c r="L100" s="386">
        <f>IFERROR(L99/L24,0)</f>
        <v/>
      </c>
      <c r="M100" s="386">
        <f>IFERROR(M99/M24,0)</f>
        <v/>
      </c>
      <c r="N100" s="386">
        <f>IFERROR(N99/N24,0)</f>
        <v/>
      </c>
      <c r="O100" s="386">
        <f>IFERROR(O99/O24,0)</f>
        <v/>
      </c>
      <c r="P100" s="386">
        <f>IFERROR(P99/P24,0)</f>
        <v/>
      </c>
      <c r="Q100" s="386">
        <f>IFERROR(Q99/Q24,0)</f>
        <v/>
      </c>
      <c r="R100" s="386">
        <f>IFERROR(R99/R24,0)</f>
        <v/>
      </c>
      <c r="S100" s="386">
        <f>IFERROR(S99/S24,0)</f>
        <v/>
      </c>
      <c r="T100" s="386">
        <f>IFERROR(T99/T24,0)</f>
        <v/>
      </c>
      <c r="U100" s="386">
        <f>IFERROR(U99/U24,0)</f>
        <v/>
      </c>
      <c r="V100" s="386">
        <f>IFERROR(V99/V24,0)</f>
        <v/>
      </c>
      <c r="W100" s="386">
        <f>IFERROR(W99/W24,0)</f>
        <v/>
      </c>
      <c r="X100" s="386">
        <f>IFERROR(X99/X24,0)</f>
        <v/>
      </c>
      <c r="Y100" s="386">
        <f>IFERROR(Y99/Y24,0)</f>
        <v/>
      </c>
      <c r="Z100" s="386">
        <f>IFERROR(Z99/Z24,0)</f>
        <v/>
      </c>
      <c r="AA100" s="386">
        <f>IFERROR(AA99/AA24,0)</f>
        <v/>
      </c>
      <c r="AB100" s="386">
        <f>IFERROR(AB99/AB24,0)</f>
        <v/>
      </c>
      <c r="AC100" s="386">
        <f>IFERROR(AC99/AC24,0)</f>
        <v/>
      </c>
      <c r="AD100" s="386">
        <f>IFERROR(AD99/AD24,0)</f>
        <v/>
      </c>
      <c r="AE100" s="386" t="n"/>
      <c r="AF100" s="397">
        <f>IFERROR(AF99/AF24,0)</f>
        <v/>
      </c>
    </row>
    <row r="101">
      <c r="A101" s="4" t="n"/>
      <c r="B101" s="17" t="n"/>
      <c r="C101" s="344" t="n"/>
      <c r="D101" s="344" t="n"/>
      <c r="E101" s="344" t="n"/>
      <c r="F101" s="344" t="n"/>
      <c r="G101" s="344" t="n"/>
      <c r="H101" s="344" t="n"/>
      <c r="I101" s="344" t="n"/>
      <c r="J101" s="344" t="n"/>
      <c r="K101" s="344" t="n"/>
      <c r="L101" s="344" t="n"/>
      <c r="M101" s="344" t="n"/>
      <c r="N101" s="344" t="n"/>
      <c r="O101" s="344" t="n"/>
      <c r="P101" s="344" t="n"/>
      <c r="Q101" s="344" t="n"/>
      <c r="R101" s="344" t="n"/>
      <c r="S101" s="344" t="n"/>
      <c r="T101" s="344" t="n"/>
      <c r="U101" s="344" t="n"/>
      <c r="V101" s="344" t="n"/>
      <c r="W101" s="344" t="n"/>
      <c r="X101" s="344" t="n"/>
      <c r="Y101" s="344" t="n"/>
      <c r="Z101" s="344" t="n"/>
      <c r="AA101" s="344" t="n"/>
      <c r="AB101" s="344" t="n"/>
      <c r="AC101" s="344" t="n"/>
      <c r="AD101" s="344" t="n"/>
      <c r="AE101" s="344" t="n"/>
      <c r="AF101" s="401" t="n"/>
    </row>
    <row r="102">
      <c r="A102" s="28" t="inlineStr">
        <is>
          <t>Mine Earnings before Other Costs and Taxes</t>
        </is>
      </c>
      <c r="B102" s="17" t="inlineStr">
        <is>
          <t>AUDk</t>
        </is>
      </c>
      <c r="C102" s="350" t="n"/>
      <c r="D102" s="350">
        <f>D60-D99</f>
        <v/>
      </c>
      <c r="E102" s="350">
        <f>E60-E99</f>
        <v/>
      </c>
      <c r="F102" s="350">
        <f>F60-F99</f>
        <v/>
      </c>
      <c r="G102" s="350">
        <f>G60-G99</f>
        <v/>
      </c>
      <c r="H102" s="350">
        <f>H60-H99</f>
        <v/>
      </c>
      <c r="I102" s="350">
        <f>I60-I99</f>
        <v/>
      </c>
      <c r="J102" s="350">
        <f>J60-J99</f>
        <v/>
      </c>
      <c r="K102" s="350">
        <f>K60-K99</f>
        <v/>
      </c>
      <c r="L102" s="350">
        <f>L60-L99</f>
        <v/>
      </c>
      <c r="M102" s="350">
        <f>M60-M99</f>
        <v/>
      </c>
      <c r="N102" s="350">
        <f>N60-N99</f>
        <v/>
      </c>
      <c r="O102" s="350">
        <f>O60-O99</f>
        <v/>
      </c>
      <c r="P102" s="350">
        <f>P60-P99</f>
        <v/>
      </c>
      <c r="Q102" s="350">
        <f>Q60-Q99</f>
        <v/>
      </c>
      <c r="R102" s="350">
        <f>R60-R99</f>
        <v/>
      </c>
      <c r="S102" s="350">
        <f>S60-S99</f>
        <v/>
      </c>
      <c r="T102" s="350">
        <f>T60-T99</f>
        <v/>
      </c>
      <c r="U102" s="350">
        <f>U60-U99</f>
        <v/>
      </c>
      <c r="V102" s="350">
        <f>V60-V99</f>
        <v/>
      </c>
      <c r="W102" s="350">
        <f>W60-W99</f>
        <v/>
      </c>
      <c r="X102" s="350">
        <f>X60-X99</f>
        <v/>
      </c>
      <c r="Y102" s="350">
        <f>Y60-Y99</f>
        <v/>
      </c>
      <c r="Z102" s="350">
        <f>Z60-Z99</f>
        <v/>
      </c>
      <c r="AA102" s="350">
        <f>AA60-AA99</f>
        <v/>
      </c>
      <c r="AB102" s="350">
        <f>AB60-AB99</f>
        <v/>
      </c>
      <c r="AC102" s="350">
        <f>AC60-AC99</f>
        <v/>
      </c>
      <c r="AD102" s="350">
        <f>AD60-AD99</f>
        <v/>
      </c>
      <c r="AE102" s="350" t="n"/>
      <c r="AF102" s="402">
        <f>AF60-AF99</f>
        <v/>
      </c>
    </row>
    <row r="103">
      <c r="A103" s="4" t="n"/>
      <c r="B103" s="17" t="n"/>
      <c r="AF103" s="25" t="n"/>
    </row>
    <row r="104">
      <c r="A104" s="28" t="inlineStr">
        <is>
          <t>Other Costs</t>
        </is>
      </c>
      <c r="B104" s="17" t="n"/>
      <c r="AF104" s="25" t="n"/>
    </row>
    <row r="105">
      <c r="A105" s="4" t="inlineStr">
        <is>
          <t>Progressive Rehabiliation Costs</t>
        </is>
      </c>
      <c r="B105" s="17" t="inlineStr">
        <is>
          <t>AUDk</t>
        </is>
      </c>
      <c r="C105" s="323" t="n"/>
      <c r="D105" s="323">
        <f>IF(D9&gt;0,$C$105,0)</f>
        <v/>
      </c>
      <c r="E105" s="323">
        <f>IF(E9&gt;0,$C$105,0)</f>
        <v/>
      </c>
      <c r="F105" s="323">
        <f>IF(F9&gt;0,$C$105,0)</f>
        <v/>
      </c>
      <c r="G105" s="323">
        <f>IF(G9&gt;0,$C$105,0)</f>
        <v/>
      </c>
      <c r="H105" s="323">
        <f>IF(H9&gt;0,$C$105,0)</f>
        <v/>
      </c>
      <c r="I105" s="323">
        <f>IF(I9&gt;0,$C$105,0)</f>
        <v/>
      </c>
      <c r="J105" s="323">
        <f>IF(J9&gt;0,$C$105,0)</f>
        <v/>
      </c>
      <c r="K105" s="323">
        <f>IF(K9&gt;0,$C$105,0)</f>
        <v/>
      </c>
      <c r="L105" s="323">
        <f>IF(L9&gt;0,$C$105,0)</f>
        <v/>
      </c>
      <c r="M105" s="323">
        <f>IF(M9&gt;0,$C$105,0)</f>
        <v/>
      </c>
      <c r="N105" s="323">
        <f>IF(N9&gt;0,$C$105,0)</f>
        <v/>
      </c>
      <c r="O105" s="323">
        <f>IF(O9&gt;0,$C$105,0)</f>
        <v/>
      </c>
      <c r="P105" s="323">
        <f>IF(P9&gt;0,$C$105,0)</f>
        <v/>
      </c>
      <c r="Q105" s="323">
        <f>IF(Q9&gt;0,$C$105,0)</f>
        <v/>
      </c>
      <c r="R105" s="323">
        <f>IF(R9&gt;0,$C$105,0)</f>
        <v/>
      </c>
      <c r="S105" s="323">
        <f>IF(S9&gt;0,$C$105,0)</f>
        <v/>
      </c>
      <c r="T105" s="323">
        <f>IF(T9&gt;0,$C$105,0)</f>
        <v/>
      </c>
      <c r="U105" s="323">
        <f>IF(U9&gt;0,$C$105,0)</f>
        <v/>
      </c>
      <c r="V105" s="323">
        <f>IF(V9&gt;0,$C$105,0)</f>
        <v/>
      </c>
      <c r="W105" s="323">
        <f>IF(W9&gt;0,$C$105,0)</f>
        <v/>
      </c>
      <c r="X105" s="323">
        <f>IF(X9&gt;0,$C$105,0)</f>
        <v/>
      </c>
      <c r="Y105" s="323">
        <f>IF(Y9&gt;0,$C$105,0)</f>
        <v/>
      </c>
      <c r="Z105" s="323">
        <f>IF(Z9&gt;0,$C$105,0)</f>
        <v/>
      </c>
      <c r="AA105" s="323">
        <f>IF(AA9&gt;0,$C$105,0)</f>
        <v/>
      </c>
      <c r="AB105" s="323">
        <f>IF(AB9&gt;0,$C$105,0)</f>
        <v/>
      </c>
      <c r="AC105" s="323">
        <f>IF(AC9&gt;0,$C$105,0)</f>
        <v/>
      </c>
      <c r="AD105" s="323">
        <f>IF(AD9&gt;0,$C$105,0)</f>
        <v/>
      </c>
      <c r="AE105" s="323" t="n"/>
      <c r="AF105" s="370">
        <f>SUM(D105:AD105)</f>
        <v/>
      </c>
    </row>
    <row r="106">
      <c r="A106" s="4" t="inlineStr">
        <is>
          <t>Mine Closure Costs</t>
        </is>
      </c>
      <c r="B106" s="17" t="inlineStr">
        <is>
          <t>AUDk</t>
        </is>
      </c>
      <c r="C106" s="323" t="n"/>
      <c r="D106" s="323" t="n"/>
      <c r="E106" s="323" t="n"/>
      <c r="F106" s="323" t="n"/>
      <c r="G106" s="323" t="n"/>
      <c r="H106" s="323" t="n"/>
      <c r="I106" s="323" t="n"/>
      <c r="J106" s="323" t="n"/>
      <c r="K106" s="323" t="n"/>
      <c r="L106" s="323" t="n"/>
      <c r="M106" s="323" t="n"/>
      <c r="N106" s="323" t="n"/>
      <c r="O106" s="323" t="n"/>
      <c r="P106" s="323" t="n"/>
      <c r="Q106" s="323" t="n"/>
      <c r="R106" s="323" t="n"/>
      <c r="S106" s="323" t="n"/>
      <c r="T106" s="323" t="n"/>
      <c r="U106" s="323" t="n"/>
      <c r="V106" s="323" t="n"/>
      <c r="W106" s="323" t="n"/>
      <c r="X106" s="323" t="n"/>
      <c r="Y106" s="323" t="n"/>
      <c r="Z106" s="323" t="n"/>
      <c r="AA106" s="323" t="n"/>
      <c r="AB106" s="323" t="n"/>
      <c r="AC106" s="323" t="n"/>
      <c r="AD106" s="323" t="n"/>
      <c r="AE106" s="323" t="n"/>
      <c r="AF106" s="370">
        <f>SUM(D106:AD106)</f>
        <v/>
      </c>
      <c r="AH106" s="344" t="n"/>
    </row>
    <row r="107">
      <c r="A107" s="4" t="inlineStr">
        <is>
          <t>Carbon Costs</t>
        </is>
      </c>
      <c r="B107" s="17" t="inlineStr">
        <is>
          <t>AUDk</t>
        </is>
      </c>
      <c r="C107" s="323" t="n"/>
      <c r="D107" s="323">
        <f>IF(Assumptions!$C$20="Zero Carbon Liability",'OC Clean'!D29*Carbon!B2,'OC Clean'!D29*Carbon!B3)/1000</f>
        <v/>
      </c>
      <c r="E107" s="323">
        <f>IF(Assumptions!$C$20="Zero Carbon Liability",'OC Clean'!E29*Carbon!C2,'OC Clean'!E29*Carbon!C3)/1000</f>
        <v/>
      </c>
      <c r="F107" s="323">
        <f>IF(Assumptions!$C$20="Zero Carbon Liability",'OC Clean'!F29*Carbon!D2,'OC Clean'!F29*Carbon!D3)/1000</f>
        <v/>
      </c>
      <c r="G107" s="323">
        <f>IF(Assumptions!$C$20="Zero Carbon Liability",'OC Clean'!G29*Carbon!E2,'OC Clean'!G29*Carbon!E3)/1000</f>
        <v/>
      </c>
      <c r="H107" s="323">
        <f>IF(Assumptions!$C$20="Zero Carbon Liability",'OC Clean'!H29*Carbon!F2,'OC Clean'!H29*Carbon!F3)/1000</f>
        <v/>
      </c>
      <c r="I107" s="323">
        <f>IF(Assumptions!$C$20="Zero Carbon Liability",'OC Clean'!I29*Carbon!G2,'OC Clean'!I29*Carbon!G3)/1000</f>
        <v/>
      </c>
      <c r="J107" s="323">
        <f>IF(Assumptions!$C$20="Zero Carbon Liability",'OC Clean'!J29*Carbon!H2,'OC Clean'!J29*Carbon!H3)/1000</f>
        <v/>
      </c>
      <c r="K107" s="323">
        <f>IF(Assumptions!$C$20="Zero Carbon Liability",'OC Clean'!K29*Carbon!I2,'OC Clean'!K29*Carbon!I3)/1000</f>
        <v/>
      </c>
      <c r="L107" s="323">
        <f>IF(Assumptions!$C$20="Zero Carbon Liability",'OC Clean'!L29*Carbon!J2,'OC Clean'!L29*Carbon!J3)/1000</f>
        <v/>
      </c>
      <c r="M107" s="323">
        <f>IF(Assumptions!$C$20="Zero Carbon Liability",'OC Clean'!M29*Carbon!K2,'OC Clean'!M29*Carbon!K3)/1000</f>
        <v/>
      </c>
      <c r="N107" s="323">
        <f>IF(Assumptions!$C$20="Zero Carbon Liability",'OC Clean'!N29*Carbon!L2,'OC Clean'!N29*Carbon!L3)/1000</f>
        <v/>
      </c>
      <c r="O107" s="323">
        <f>IF(Assumptions!$C$20="Zero Carbon Liability",'OC Clean'!O29*Carbon!M2,'OC Clean'!O29*Carbon!M3)/1000</f>
        <v/>
      </c>
      <c r="P107" s="323">
        <f>IF(Assumptions!$C$20="Zero Carbon Liability",'OC Clean'!P29*Carbon!N2,'OC Clean'!P29*Carbon!N3)/1000</f>
        <v/>
      </c>
      <c r="Q107" s="323">
        <f>IF(Assumptions!$C$20="Zero Carbon Liability",'OC Clean'!Q29*Carbon!O2,'OC Clean'!Q29*Carbon!O3)/1000</f>
        <v/>
      </c>
      <c r="R107" s="323">
        <f>IF(Assumptions!$C$20="Zero Carbon Liability",'OC Clean'!R29*Carbon!P2,'OC Clean'!R29*Carbon!P3)/1000</f>
        <v/>
      </c>
      <c r="S107" s="323">
        <f>IF(Assumptions!$C$20="Zero Carbon Liability",'OC Clean'!S29*Carbon!Q2,'OC Clean'!S29*Carbon!Q3)/1000</f>
        <v/>
      </c>
      <c r="T107" s="323">
        <f>IF(Assumptions!$C$20="Zero Carbon Liability",'OC Clean'!T29*Carbon!R2,'OC Clean'!T29*Carbon!R3)/1000</f>
        <v/>
      </c>
      <c r="U107" s="323">
        <f>IF(Assumptions!$C$20="Zero Carbon Liability",'OC Clean'!U29*Carbon!S2,'OC Clean'!U29*Carbon!S3)/1000</f>
        <v/>
      </c>
      <c r="V107" s="323">
        <f>IF(Assumptions!$C$20="Zero Carbon Liability",'OC Clean'!V29*Carbon!T2,'OC Clean'!V29*Carbon!T3)/1000</f>
        <v/>
      </c>
      <c r="W107" s="323">
        <f>IF(Assumptions!$C$20="Zero Carbon Liability",'OC Clean'!W29*Carbon!U2,'OC Clean'!W29*Carbon!U3)/1000</f>
        <v/>
      </c>
      <c r="X107" s="323">
        <f>IF(Assumptions!$C$20="Zero Carbon Liability",'OC Clean'!X29*Carbon!V2,'OC Clean'!X29*Carbon!V3)/1000</f>
        <v/>
      </c>
      <c r="Y107" s="323">
        <f>IF(Assumptions!$C$20="Zero Carbon Liability",'OC Clean'!Y29*Carbon!W2,'OC Clean'!Y29*Carbon!W3)/1000</f>
        <v/>
      </c>
      <c r="Z107" s="323">
        <f>IF(Assumptions!$C$20="Zero Carbon Liability",'OC Clean'!Z29*Carbon!X2,'OC Clean'!Z29*Carbon!X3)/1000</f>
        <v/>
      </c>
      <c r="AA107" s="323">
        <f>IF(Assumptions!$C$20="Zero Carbon Liability",'OC Clean'!AA29*Carbon!Y2,'OC Clean'!AA29*Carbon!Y3)/1000</f>
        <v/>
      </c>
      <c r="AB107" s="323">
        <f>IF(Assumptions!$C$20="Zero Carbon Liability",'OC Clean'!AB29*Carbon!Z2,'OC Clean'!AB29*Carbon!Z3)/1000</f>
        <v/>
      </c>
      <c r="AC107" s="323">
        <f>IF(Assumptions!$C$20="Zero Carbon Liability",'OC Clean'!AC29*Carbon!AA2,'OC Clean'!AC29*Carbon!AA3)/1000</f>
        <v/>
      </c>
      <c r="AD107" s="323">
        <f>IF(Assumptions!$C$20="Zero Carbon Liability",'OC Clean'!AD29*Carbon!AB2,'OC Clean'!AD29*Carbon!AB3)/1000</f>
        <v/>
      </c>
      <c r="AE107" s="323" t="n"/>
      <c r="AF107" s="370" t="n"/>
    </row>
    <row r="108">
      <c r="A108" s="4" t="inlineStr">
        <is>
          <t>Other Revenue</t>
        </is>
      </c>
      <c r="B108" s="17" t="inlineStr">
        <is>
          <t>AUDk</t>
        </is>
      </c>
      <c r="C108" s="323" t="n"/>
      <c r="D108" s="323" t="n">
        <v>0</v>
      </c>
      <c r="E108" s="323" t="n">
        <v>0</v>
      </c>
      <c r="F108" s="323" t="n">
        <v>0</v>
      </c>
      <c r="G108" s="323" t="n">
        <v>0</v>
      </c>
      <c r="H108" s="323" t="n">
        <v>0</v>
      </c>
      <c r="I108" s="323" t="n">
        <v>0</v>
      </c>
      <c r="J108" s="323" t="n">
        <v>0</v>
      </c>
      <c r="K108" s="323" t="n">
        <v>0</v>
      </c>
      <c r="L108" s="323" t="n">
        <v>0</v>
      </c>
      <c r="M108" s="323" t="n">
        <v>0</v>
      </c>
      <c r="N108" s="323" t="n">
        <v>0</v>
      </c>
      <c r="O108" s="323" t="n">
        <v>0</v>
      </c>
      <c r="P108" s="323" t="n">
        <v>0</v>
      </c>
      <c r="Q108" s="323" t="n">
        <v>0</v>
      </c>
      <c r="R108" s="323" t="n">
        <v>0</v>
      </c>
      <c r="S108" s="323" t="n">
        <v>0</v>
      </c>
      <c r="T108" s="323" t="n">
        <v>0</v>
      </c>
      <c r="U108" s="323" t="n">
        <v>0</v>
      </c>
      <c r="V108" s="323" t="n">
        <v>0</v>
      </c>
      <c r="W108" s="323" t="n">
        <v>0</v>
      </c>
      <c r="X108" s="323" t="n">
        <v>0</v>
      </c>
      <c r="Y108" s="323" t="n">
        <v>0</v>
      </c>
      <c r="Z108" s="323" t="n">
        <v>0</v>
      </c>
      <c r="AA108" s="323" t="n">
        <v>0</v>
      </c>
      <c r="AB108" s="323" t="n">
        <v>0</v>
      </c>
      <c r="AC108" s="323" t="n">
        <v>0</v>
      </c>
      <c r="AD108" s="323" t="n">
        <v>0</v>
      </c>
      <c r="AE108" s="323" t="n"/>
      <c r="AF108" s="370" t="n"/>
    </row>
    <row r="109">
      <c r="A109" s="4" t="inlineStr">
        <is>
          <t>Saleable Tonne Royalty</t>
        </is>
      </c>
      <c r="B109" s="17" t="inlineStr">
        <is>
          <t>AUDk</t>
        </is>
      </c>
      <c r="C109" s="391" t="n"/>
      <c r="D109" s="323">
        <f>$C$109*D36</f>
        <v/>
      </c>
      <c r="E109" s="323">
        <f>$C$109*E36</f>
        <v/>
      </c>
      <c r="F109" s="323">
        <f>$C$109*F36</f>
        <v/>
      </c>
      <c r="G109" s="323">
        <f>$C$109*G36</f>
        <v/>
      </c>
      <c r="H109" s="323">
        <f>$C$109*H36</f>
        <v/>
      </c>
      <c r="I109" s="323">
        <f>$C$109*I36</f>
        <v/>
      </c>
      <c r="J109" s="323">
        <f>$C$109*J36</f>
        <v/>
      </c>
      <c r="K109" s="323">
        <f>$C$109*K36</f>
        <v/>
      </c>
      <c r="L109" s="323">
        <f>$C$109*L36</f>
        <v/>
      </c>
      <c r="M109" s="323">
        <f>$C$109*M36</f>
        <v/>
      </c>
      <c r="N109" s="323">
        <f>$C$109*N36</f>
        <v/>
      </c>
      <c r="O109" s="323">
        <f>$C$109*O36</f>
        <v/>
      </c>
      <c r="P109" s="323">
        <f>$C$109*P36</f>
        <v/>
      </c>
      <c r="Q109" s="323">
        <f>$C$109*Q36</f>
        <v/>
      </c>
      <c r="R109" s="323">
        <f>$C$109*R36</f>
        <v/>
      </c>
      <c r="S109" s="323">
        <f>$C$109*S36</f>
        <v/>
      </c>
      <c r="T109" s="323">
        <f>$C$109*T36</f>
        <v/>
      </c>
      <c r="U109" s="323">
        <f>$C$109*U36</f>
        <v/>
      </c>
      <c r="V109" s="323">
        <f>$C$109*V36</f>
        <v/>
      </c>
      <c r="W109" s="323">
        <f>$C$109*W36</f>
        <v/>
      </c>
      <c r="X109" s="323">
        <f>$C$109*X36</f>
        <v/>
      </c>
      <c r="Y109" s="323">
        <f>$C$109*Y36</f>
        <v/>
      </c>
      <c r="Z109" s="323">
        <f>$C$109*Z36</f>
        <v/>
      </c>
      <c r="AA109" s="323">
        <f>$C$109*AA36</f>
        <v/>
      </c>
      <c r="AB109" s="323">
        <f>$C$109*AB36</f>
        <v/>
      </c>
      <c r="AC109" s="323">
        <f>$C$109*AC36</f>
        <v/>
      </c>
      <c r="AD109" s="323">
        <f>$C$109*AD36</f>
        <v/>
      </c>
      <c r="AE109" s="323" t="n"/>
      <c r="AF109" s="370" t="n"/>
    </row>
    <row r="110">
      <c r="A110" s="4" t="inlineStr">
        <is>
          <t>Total Other Costs</t>
        </is>
      </c>
      <c r="B110" s="17" t="inlineStr">
        <is>
          <t>AUDk</t>
        </is>
      </c>
      <c r="C110" s="347" t="n"/>
      <c r="D110" s="347">
        <f>SUM(D105:D108)</f>
        <v/>
      </c>
      <c r="E110" s="347">
        <f>SUM(E105:E108)</f>
        <v/>
      </c>
      <c r="F110" s="347">
        <f>SUM(F105:F108)</f>
        <v/>
      </c>
      <c r="G110" s="347">
        <f>SUM(G105:G108)</f>
        <v/>
      </c>
      <c r="H110" s="347">
        <f>SUM(H105:H108)</f>
        <v/>
      </c>
      <c r="I110" s="347">
        <f>SUM(I105:I108)</f>
        <v/>
      </c>
      <c r="J110" s="347">
        <f>SUM(J105:J108)</f>
        <v/>
      </c>
      <c r="K110" s="347">
        <f>SUM(K105:K108)</f>
        <v/>
      </c>
      <c r="L110" s="347">
        <f>SUM(L105:L108)</f>
        <v/>
      </c>
      <c r="M110" s="347">
        <f>SUM(M105:M108)</f>
        <v/>
      </c>
      <c r="N110" s="347">
        <f>SUM(N105:N108)</f>
        <v/>
      </c>
      <c r="O110" s="347">
        <f>SUM(O105:O108)</f>
        <v/>
      </c>
      <c r="P110" s="347">
        <f>SUM(P105:P108)</f>
        <v/>
      </c>
      <c r="Q110" s="347">
        <f>SUM(Q105:Q108)</f>
        <v/>
      </c>
      <c r="R110" s="347">
        <f>SUM(R105:R108)</f>
        <v/>
      </c>
      <c r="S110" s="347">
        <f>SUM(S105:S108)</f>
        <v/>
      </c>
      <c r="T110" s="347">
        <f>SUM(T105:T108)</f>
        <v/>
      </c>
      <c r="U110" s="347">
        <f>SUM(U105:U108)</f>
        <v/>
      </c>
      <c r="V110" s="347">
        <f>SUM(V105:V108)</f>
        <v/>
      </c>
      <c r="W110" s="347">
        <f>SUM(W105:W108)</f>
        <v/>
      </c>
      <c r="X110" s="347">
        <f>SUM(X105:X108)</f>
        <v/>
      </c>
      <c r="Y110" s="347">
        <f>SUM(Y105:Y108)</f>
        <v/>
      </c>
      <c r="Z110" s="347">
        <f>SUM(Z105:Z108)</f>
        <v/>
      </c>
      <c r="AA110" s="347">
        <f>SUM(AA105:AA108)</f>
        <v/>
      </c>
      <c r="AB110" s="347">
        <f>SUM(AB105:AB108)</f>
        <v/>
      </c>
      <c r="AC110" s="347">
        <f>SUM(AC105:AC108)</f>
        <v/>
      </c>
      <c r="AD110" s="347">
        <f>SUM(AD105:AD108)</f>
        <v/>
      </c>
      <c r="AE110" s="347" t="n"/>
      <c r="AF110" s="400">
        <f>SUM(AF105:AF106)</f>
        <v/>
      </c>
    </row>
    <row r="111">
      <c r="A111" s="119" t="inlineStr">
        <is>
          <t>Total other - closure credits</t>
        </is>
      </c>
      <c r="B111" s="17" t="n"/>
      <c r="C111" s="344" t="n"/>
      <c r="D111" s="344">
        <f>IF(D106&lt;=0,(D105+D107),D110)</f>
        <v/>
      </c>
      <c r="E111" s="344">
        <f>IF(E106&lt;=0,(E105+E107),E110)</f>
        <v/>
      </c>
      <c r="F111" s="344">
        <f>IF(F106&lt;=0,(F105+F107),F110)</f>
        <v/>
      </c>
      <c r="G111" s="344">
        <f>IF(G106&lt;=0,(G105+G107),G110)</f>
        <v/>
      </c>
      <c r="H111" s="344">
        <f>IF(H106&lt;=0,(H105+H107),H110)</f>
        <v/>
      </c>
      <c r="I111" s="344">
        <f>IF(I106&lt;=0,(I105+I107),I110)</f>
        <v/>
      </c>
      <c r="J111" s="344">
        <f>IF(J106&lt;=0,(J105+J107),J110)</f>
        <v/>
      </c>
      <c r="K111" s="344">
        <f>IF(K106&lt;=0,(K105+K107),K110)</f>
        <v/>
      </c>
      <c r="L111" s="344">
        <f>IF(L106&lt;=0,(L105+L107),L110)</f>
        <v/>
      </c>
      <c r="M111" s="344">
        <f>IF(M106&lt;=0,(M105+M107),M110)</f>
        <v/>
      </c>
      <c r="N111" s="344">
        <f>IF(N106&lt;=0,(N105+N107),N110)</f>
        <v/>
      </c>
      <c r="O111" s="344">
        <f>IF(O106&lt;=0,(O105+O107),O110)</f>
        <v/>
      </c>
      <c r="P111" s="344">
        <f>IF(P106&lt;=0,(P105+P107),P110)</f>
        <v/>
      </c>
      <c r="Q111" s="344">
        <f>IF(Q106&lt;=0,(Q105+Q107),Q110)</f>
        <v/>
      </c>
      <c r="R111" s="344">
        <f>IF(R106&lt;=0,(R105+R107),R110)</f>
        <v/>
      </c>
      <c r="S111" s="344">
        <f>IF(S106&lt;=0,(S105+S107),S110)</f>
        <v/>
      </c>
      <c r="T111" s="344">
        <f>IF(T106&lt;=0,(T105+T107),T110)</f>
        <v/>
      </c>
      <c r="U111" s="344">
        <f>IF(U106&lt;=0,(U105+U107),U110)</f>
        <v/>
      </c>
      <c r="V111" s="344">
        <f>IF(V106&lt;=0,(V105+V107),V110)</f>
        <v/>
      </c>
      <c r="W111" s="344">
        <f>IF(W106&lt;=0,(W105+W107),W110)</f>
        <v/>
      </c>
      <c r="X111" s="344">
        <f>IF(X106&lt;=0,(X105+X107),X110)</f>
        <v/>
      </c>
      <c r="Y111" s="344">
        <f>IF(Y106&lt;=0,(Y105+Y107),Y110)</f>
        <v/>
      </c>
      <c r="Z111" s="344">
        <f>IF(Z106&lt;=0,(Z105+Z107),Z110)</f>
        <v/>
      </c>
      <c r="AA111" s="344">
        <f>IF(AA106&lt;=0,(AA105+AA107),AA110)</f>
        <v/>
      </c>
      <c r="AB111" s="344">
        <f>IF(AB106&lt;=0,(AB105+AB107),AB110)</f>
        <v/>
      </c>
      <c r="AC111" s="344">
        <f>IF(AC106&lt;=0,(AC105+AC107),AC110)</f>
        <v/>
      </c>
      <c r="AD111" s="344">
        <f>IF(AD106&lt;=0,(AD105+AD107),AD110)</f>
        <v/>
      </c>
      <c r="AE111" s="344" t="n"/>
      <c r="AF111" s="401" t="n"/>
    </row>
    <row r="112">
      <c r="A112" s="4" t="n"/>
      <c r="B112" s="17" t="n"/>
      <c r="L112" s="344" t="n"/>
      <c r="M112" s="344" t="n"/>
      <c r="N112" s="344" t="n"/>
      <c r="O112" s="344" t="n"/>
      <c r="P112" s="344" t="n"/>
      <c r="Q112" s="344" t="n"/>
      <c r="R112" s="344" t="n"/>
      <c r="S112" s="344" t="n"/>
      <c r="T112" s="344" t="n"/>
      <c r="U112" s="344" t="n"/>
      <c r="V112" s="344" t="n"/>
      <c r="W112" s="344" t="n"/>
      <c r="X112" s="344" t="n"/>
      <c r="Y112" s="344" t="n"/>
      <c r="Z112" s="344" t="n"/>
      <c r="AA112" s="344" t="n"/>
      <c r="AB112" s="344" t="n"/>
      <c r="AC112" s="344" t="n"/>
      <c r="AD112" s="344" t="n"/>
      <c r="AE112" s="344" t="n"/>
      <c r="AF112" s="25" t="n"/>
    </row>
    <row r="113">
      <c r="A113" s="28" t="inlineStr">
        <is>
          <t>Capital Costs</t>
        </is>
      </c>
      <c r="B113" s="17" t="n"/>
      <c r="AF113" s="25" t="n"/>
    </row>
    <row r="114">
      <c r="A114" s="4" t="inlineStr">
        <is>
          <t>Project Capital</t>
        </is>
      </c>
      <c r="B114" s="17" t="inlineStr">
        <is>
          <t>AUDk</t>
        </is>
      </c>
      <c r="C114" s="323" t="n"/>
      <c r="D114" s="323" t="n">
        <v>0</v>
      </c>
      <c r="E114" s="323" t="n">
        <v>0</v>
      </c>
      <c r="F114" s="323" t="n">
        <v>0</v>
      </c>
      <c r="G114" s="323" t="n">
        <v>0</v>
      </c>
      <c r="H114" s="323" t="n">
        <v>0</v>
      </c>
      <c r="I114" s="323" t="n">
        <v>0</v>
      </c>
      <c r="J114" s="323" t="n">
        <v>0</v>
      </c>
      <c r="K114" s="323" t="n">
        <v>0</v>
      </c>
      <c r="L114" s="323" t="n">
        <v>0</v>
      </c>
      <c r="M114" s="323" t="n">
        <v>0</v>
      </c>
      <c r="N114" s="323" t="n">
        <v>0</v>
      </c>
      <c r="O114" s="323" t="n">
        <v>0</v>
      </c>
      <c r="P114" s="323" t="n">
        <v>0</v>
      </c>
      <c r="Q114" s="323" t="n">
        <v>0</v>
      </c>
      <c r="R114" s="323" t="n">
        <v>0</v>
      </c>
      <c r="S114" s="323" t="n">
        <v>0</v>
      </c>
      <c r="T114" s="323" t="n">
        <v>0</v>
      </c>
      <c r="U114" s="323" t="n">
        <v>0</v>
      </c>
      <c r="V114" s="323" t="n">
        <v>0</v>
      </c>
      <c r="W114" s="323" t="n">
        <v>0</v>
      </c>
      <c r="X114" s="323" t="n">
        <v>0</v>
      </c>
      <c r="Y114" s="323" t="n">
        <v>0</v>
      </c>
      <c r="Z114" s="323" t="n">
        <v>0</v>
      </c>
      <c r="AA114" s="323" t="n">
        <v>0</v>
      </c>
      <c r="AB114" s="323" t="n">
        <v>0</v>
      </c>
      <c r="AC114" s="323" t="n">
        <v>0</v>
      </c>
      <c r="AD114" s="323" t="n">
        <v>0</v>
      </c>
      <c r="AE114" s="323" t="n"/>
      <c r="AF114" s="370">
        <f>SUM(D114:AD114)</f>
        <v/>
      </c>
    </row>
    <row r="115">
      <c r="A115" s="4" t="inlineStr">
        <is>
          <t>Mining Equipment/Major Capital</t>
        </is>
      </c>
      <c r="B115" s="17" t="inlineStr">
        <is>
          <t>AUDk</t>
        </is>
      </c>
      <c r="C115" s="323" t="n"/>
      <c r="D115" s="323">
        <f>'OC Clean Capital'!D62</f>
        <v/>
      </c>
      <c r="E115" s="323">
        <f>'OC Clean Capital'!E62</f>
        <v/>
      </c>
      <c r="F115" s="323">
        <f>'OC Clean Capital'!F62</f>
        <v/>
      </c>
      <c r="G115" s="323">
        <f>'OC Clean Capital'!G62</f>
        <v/>
      </c>
      <c r="H115" s="323">
        <f>'OC Clean Capital'!H62</f>
        <v/>
      </c>
      <c r="I115" s="323">
        <f>'OC Clean Capital'!I62</f>
        <v/>
      </c>
      <c r="J115" s="323">
        <f>'OC Clean Capital'!J62</f>
        <v/>
      </c>
      <c r="K115" s="323">
        <f>'OC Clean Capital'!K62</f>
        <v/>
      </c>
      <c r="L115" s="323">
        <f>'OC Clean Capital'!L62</f>
        <v/>
      </c>
      <c r="M115" s="323">
        <f>'OC Clean Capital'!M62</f>
        <v/>
      </c>
      <c r="N115" s="323">
        <f>'OC Clean Capital'!N62</f>
        <v/>
      </c>
      <c r="O115" s="323">
        <f>'OC Clean Capital'!O62</f>
        <v/>
      </c>
      <c r="P115" s="323">
        <f>'OC Clean Capital'!P62</f>
        <v/>
      </c>
      <c r="Q115" s="323">
        <f>'OC Clean Capital'!Q62</f>
        <v/>
      </c>
      <c r="R115" s="323">
        <f>'OC Clean Capital'!R62</f>
        <v/>
      </c>
      <c r="S115" s="323">
        <f>'OC Clean Capital'!S62</f>
        <v/>
      </c>
      <c r="T115" s="323">
        <f>'OC Clean Capital'!T62</f>
        <v/>
      </c>
      <c r="U115" s="323">
        <f>'OC Clean Capital'!U62</f>
        <v/>
      </c>
      <c r="V115" s="323">
        <f>'OC Clean Capital'!V62</f>
        <v/>
      </c>
      <c r="W115" s="323">
        <f>'OC Clean Capital'!W62</f>
        <v/>
      </c>
      <c r="X115" s="323">
        <f>'OC Clean Capital'!X62</f>
        <v/>
      </c>
      <c r="Y115" s="323">
        <f>'OC Clean Capital'!Y62</f>
        <v/>
      </c>
      <c r="Z115" s="323">
        <f>'OC Clean Capital'!Z62</f>
        <v/>
      </c>
      <c r="AA115" s="323">
        <f>'OC Clean Capital'!AA62</f>
        <v/>
      </c>
      <c r="AB115" s="323">
        <f>'OC Clean Capital'!AB62</f>
        <v/>
      </c>
      <c r="AC115" s="323">
        <f>'OC Clean Capital'!AA62</f>
        <v/>
      </c>
      <c r="AD115" s="323">
        <f>'OC Clean Capital'!AB62</f>
        <v/>
      </c>
      <c r="AE115" s="323" t="n"/>
      <c r="AF115" s="370">
        <f>SUM(D115:AD115)</f>
        <v/>
      </c>
    </row>
    <row r="116">
      <c r="A116" s="4" t="inlineStr">
        <is>
          <t>Sustaining Capital</t>
        </is>
      </c>
      <c r="B116" s="17" t="inlineStr">
        <is>
          <t>AUD/ROMt</t>
        </is>
      </c>
      <c r="C116" s="403" t="n"/>
      <c r="D116" s="403">
        <f>$C$116*D11</f>
        <v/>
      </c>
      <c r="E116" s="403">
        <f>$C$116*E11</f>
        <v/>
      </c>
      <c r="F116" s="403">
        <f>$C$116*F11</f>
        <v/>
      </c>
      <c r="G116" s="403">
        <f>$C$116*G11</f>
        <v/>
      </c>
      <c r="H116" s="403">
        <f>$C$116*H11</f>
        <v/>
      </c>
      <c r="I116" s="403">
        <f>$C$116*I11</f>
        <v/>
      </c>
      <c r="J116" s="403">
        <f>$C$116*J11</f>
        <v/>
      </c>
      <c r="K116" s="403">
        <f>$C$116*K11</f>
        <v/>
      </c>
      <c r="L116" s="403">
        <f>$C$116*L11</f>
        <v/>
      </c>
      <c r="M116" s="403">
        <f>$C$116*M11</f>
        <v/>
      </c>
      <c r="N116" s="403">
        <f>$C$116*N11</f>
        <v/>
      </c>
      <c r="O116" s="403">
        <f>$C$116*O11</f>
        <v/>
      </c>
      <c r="P116" s="403">
        <f>$C$116*P11</f>
        <v/>
      </c>
      <c r="Q116" s="403">
        <f>$C$116*Q11</f>
        <v/>
      </c>
      <c r="R116" s="403">
        <f>$C$116*R11</f>
        <v/>
      </c>
      <c r="S116" s="403">
        <f>$C$116*S11</f>
        <v/>
      </c>
      <c r="T116" s="403">
        <f>$C$116*T11</f>
        <v/>
      </c>
      <c r="U116" s="403">
        <f>$C$116*U11</f>
        <v/>
      </c>
      <c r="V116" s="403">
        <f>$C$116*V11</f>
        <v/>
      </c>
      <c r="W116" s="403">
        <f>$C$116*W11</f>
        <v/>
      </c>
      <c r="X116" s="403">
        <f>$C$116*X11</f>
        <v/>
      </c>
      <c r="Y116" s="403">
        <f>$C$116*Y11</f>
        <v/>
      </c>
      <c r="Z116" s="403">
        <f>$C$116*Z11</f>
        <v/>
      </c>
      <c r="AA116" s="403">
        <f>$C$116*AA11</f>
        <v/>
      </c>
      <c r="AB116" s="403">
        <f>$C$116*AB11</f>
        <v/>
      </c>
      <c r="AC116" s="403">
        <f>$C$116*AC11</f>
        <v/>
      </c>
      <c r="AD116" s="403">
        <f>$C$116*AD11</f>
        <v/>
      </c>
      <c r="AE116" s="403" t="n"/>
      <c r="AF116" s="383">
        <f>SUM(D116:AD116)</f>
        <v/>
      </c>
    </row>
    <row r="117">
      <c r="A117" s="4" t="inlineStr">
        <is>
          <t>Total Capital</t>
        </is>
      </c>
      <c r="B117" s="17" t="inlineStr">
        <is>
          <t>AUDk</t>
        </is>
      </c>
      <c r="C117" s="344" t="n"/>
      <c r="D117" s="344">
        <f>SUM(D114:D116)*(1+$AI$15)</f>
        <v/>
      </c>
      <c r="E117" s="344">
        <f>SUM(E114:E116)*(1+$AI$15)</f>
        <v/>
      </c>
      <c r="F117" s="344">
        <f>SUM(F114:F116)*(1+$AI$15)</f>
        <v/>
      </c>
      <c r="G117" s="344">
        <f>SUM(G114:G116)*(1+$AI$15)</f>
        <v/>
      </c>
      <c r="H117" s="344">
        <f>SUM(H114:H116)*(1+$AI$15)</f>
        <v/>
      </c>
      <c r="I117" s="344">
        <f>SUM(I114:I116)*(1+$AI$15)</f>
        <v/>
      </c>
      <c r="J117" s="344">
        <f>SUM(J114:J116)*(1+$AI$15)</f>
        <v/>
      </c>
      <c r="K117" s="344">
        <f>SUM(K114:K116)*(1+$AI$15)</f>
        <v/>
      </c>
      <c r="L117" s="344">
        <f>SUM(L114:L116)*(1+$AI$15)</f>
        <v/>
      </c>
      <c r="M117" s="344">
        <f>SUM(M114:M116)*(1+$AI$15)</f>
        <v/>
      </c>
      <c r="N117" s="344">
        <f>SUM(N114:N116)*(1+$AI$15)</f>
        <v/>
      </c>
      <c r="O117" s="344">
        <f>SUM(O114:O116)*(1+$AI$15)</f>
        <v/>
      </c>
      <c r="P117" s="344">
        <f>SUM(P114:P116)*(1+$AI$15)</f>
        <v/>
      </c>
      <c r="Q117" s="344">
        <f>SUM(Q114:Q116)*(1+$AI$15)</f>
        <v/>
      </c>
      <c r="R117" s="344">
        <f>SUM(R114:R116)*(1+$AI$15)</f>
        <v/>
      </c>
      <c r="S117" s="344">
        <f>SUM(S114:S116)*(1+$AI$15)</f>
        <v/>
      </c>
      <c r="T117" s="344">
        <f>SUM(T114:T116)*(1+$AI$15)</f>
        <v/>
      </c>
      <c r="U117" s="344">
        <f>SUM(U114:U116)*(1+$AI$15)</f>
        <v/>
      </c>
      <c r="V117" s="344">
        <f>SUM(V114:V116)*(1+$AI$15)</f>
        <v/>
      </c>
      <c r="W117" s="344">
        <f>SUM(W114:W116)*(1+$AI$15)</f>
        <v/>
      </c>
      <c r="X117" s="344">
        <f>SUM(X114:X116)*(1+$AI$15)</f>
        <v/>
      </c>
      <c r="Y117" s="344">
        <f>SUM(Y114:Y116)*(1+$AI$15)</f>
        <v/>
      </c>
      <c r="Z117" s="344">
        <f>SUM(Z114:Z116)*(1+$AI$15)</f>
        <v/>
      </c>
      <c r="AA117" s="344">
        <f>SUM(AA114:AA116)*(1+$AI$15)</f>
        <v/>
      </c>
      <c r="AB117" s="344">
        <f>SUM(AB114:AB116)*(1+$AI$15)</f>
        <v/>
      </c>
      <c r="AC117" s="344">
        <f>SUM(AC114:AC116)*(1+$AI$15)</f>
        <v/>
      </c>
      <c r="AD117" s="344">
        <f>SUM(AD114:AD116)*(1+$AI$15)</f>
        <v/>
      </c>
      <c r="AE117" s="344" t="n"/>
      <c r="AF117" s="370">
        <f>SUM(D117:AD117)</f>
        <v/>
      </c>
    </row>
    <row r="118">
      <c r="A118" s="4" t="inlineStr">
        <is>
          <t>Depreciation</t>
        </is>
      </c>
      <c r="B118" s="17" t="inlineStr">
        <is>
          <t>AUDk</t>
        </is>
      </c>
      <c r="C118" s="344" t="n"/>
      <c r="D118" s="344">
        <f>D134</f>
        <v/>
      </c>
      <c r="E118" s="344">
        <f>E134</f>
        <v/>
      </c>
      <c r="F118" s="344">
        <f>F134</f>
        <v/>
      </c>
      <c r="G118" s="344">
        <f>G134</f>
        <v/>
      </c>
      <c r="H118" s="344">
        <f>H134</f>
        <v/>
      </c>
      <c r="I118" s="344">
        <f>I134</f>
        <v/>
      </c>
      <c r="J118" s="344">
        <f>J134</f>
        <v/>
      </c>
      <c r="K118" s="344">
        <f>K134</f>
        <v/>
      </c>
      <c r="L118" s="344">
        <f>L134</f>
        <v/>
      </c>
      <c r="M118" s="344">
        <f>M134</f>
        <v/>
      </c>
      <c r="N118" s="344">
        <f>N134</f>
        <v/>
      </c>
      <c r="O118" s="344">
        <f>O134</f>
        <v/>
      </c>
      <c r="P118" s="344">
        <f>P134</f>
        <v/>
      </c>
      <c r="Q118" s="344">
        <f>Q134</f>
        <v/>
      </c>
      <c r="R118" s="344">
        <f>R134</f>
        <v/>
      </c>
      <c r="S118" s="344">
        <f>S134</f>
        <v/>
      </c>
      <c r="T118" s="344">
        <f>T134</f>
        <v/>
      </c>
      <c r="U118" s="344">
        <f>U134</f>
        <v/>
      </c>
      <c r="V118" s="344">
        <f>V134</f>
        <v/>
      </c>
      <c r="W118" s="344">
        <f>W134</f>
        <v/>
      </c>
      <c r="X118" s="344">
        <f>X134</f>
        <v/>
      </c>
      <c r="Y118" s="344">
        <f>Y134</f>
        <v/>
      </c>
      <c r="Z118" s="344">
        <f>Z134</f>
        <v/>
      </c>
      <c r="AA118" s="344">
        <f>AA134</f>
        <v/>
      </c>
      <c r="AB118" s="344">
        <f>AB134</f>
        <v/>
      </c>
      <c r="AC118" s="344">
        <f>AC134</f>
        <v/>
      </c>
      <c r="AD118" s="344">
        <f>AD134</f>
        <v/>
      </c>
      <c r="AE118" s="344" t="n"/>
      <c r="AF118" s="370">
        <f>SUM(D118:AD118)</f>
        <v/>
      </c>
    </row>
    <row r="119">
      <c r="A119" s="4" t="n"/>
      <c r="B119" s="17" t="n"/>
      <c r="C119" s="344" t="n"/>
      <c r="D119" s="344" t="n"/>
      <c r="E119" s="344" t="n"/>
      <c r="F119" s="344" t="n"/>
      <c r="G119" s="344" t="n"/>
      <c r="H119" s="344" t="n"/>
      <c r="I119" s="344" t="n"/>
      <c r="J119" s="344" t="n"/>
      <c r="K119" s="344" t="n"/>
      <c r="L119" s="344" t="n"/>
      <c r="M119" s="344" t="n"/>
      <c r="N119" s="344" t="n"/>
      <c r="O119" s="344" t="n"/>
      <c r="P119" s="344" t="n"/>
      <c r="Q119" s="344" t="n"/>
      <c r="R119" s="344" t="n"/>
      <c r="S119" s="344" t="n"/>
      <c r="T119" s="344" t="n"/>
      <c r="U119" s="344" t="n"/>
      <c r="V119" s="344" t="n"/>
      <c r="W119" s="344" t="n"/>
      <c r="X119" s="344" t="n"/>
      <c r="Y119" s="344" t="n"/>
      <c r="Z119" s="344" t="n"/>
      <c r="AA119" s="344" t="n"/>
      <c r="AB119" s="344" t="n"/>
      <c r="AC119" s="344" t="n"/>
      <c r="AD119" s="344" t="n"/>
      <c r="AE119" s="344" t="n"/>
      <c r="AF119" s="370" t="n"/>
    </row>
    <row r="120">
      <c r="A120" s="28" t="inlineStr">
        <is>
          <t>Net Cashflow Before Tax</t>
        </is>
      </c>
      <c r="B120" s="56" t="inlineStr">
        <is>
          <t>AUDk</t>
        </is>
      </c>
      <c r="C120" s="404" t="n"/>
      <c r="D120" s="404">
        <f>D102-D110-D117</f>
        <v/>
      </c>
      <c r="E120" s="404">
        <f>E102-E110-E117</f>
        <v/>
      </c>
      <c r="F120" s="404">
        <f>F102-F110-F117</f>
        <v/>
      </c>
      <c r="G120" s="404">
        <f>G102-G110-G117</f>
        <v/>
      </c>
      <c r="H120" s="404">
        <f>H102-H110-H117</f>
        <v/>
      </c>
      <c r="I120" s="404">
        <f>I102-I110-I117</f>
        <v/>
      </c>
      <c r="J120" s="404">
        <f>J102-J110-J117</f>
        <v/>
      </c>
      <c r="K120" s="404">
        <f>K102-K110-K117</f>
        <v/>
      </c>
      <c r="L120" s="404">
        <f>L102-L110-L117</f>
        <v/>
      </c>
      <c r="M120" s="404">
        <f>M102-M110-M117</f>
        <v/>
      </c>
      <c r="N120" s="404">
        <f>N102-N110-N117</f>
        <v/>
      </c>
      <c r="O120" s="404">
        <f>O102-O110-O117</f>
        <v/>
      </c>
      <c r="P120" s="404">
        <f>P102-P110-P117</f>
        <v/>
      </c>
      <c r="Q120" s="404">
        <f>Q102-Q110-Q117</f>
        <v/>
      </c>
      <c r="R120" s="404">
        <f>R102-R110-R117</f>
        <v/>
      </c>
      <c r="S120" s="404">
        <f>S102-S110-S117</f>
        <v/>
      </c>
      <c r="T120" s="404">
        <f>T102-T110-T117</f>
        <v/>
      </c>
      <c r="U120" s="404">
        <f>U102-U110-U117</f>
        <v/>
      </c>
      <c r="V120" s="404">
        <f>V102-V110-V117</f>
        <v/>
      </c>
      <c r="W120" s="404">
        <f>W102-W110-W117</f>
        <v/>
      </c>
      <c r="X120" s="404">
        <f>X102-X110-X117</f>
        <v/>
      </c>
      <c r="Y120" s="404">
        <f>Y102-Y110-Y117</f>
        <v/>
      </c>
      <c r="Z120" s="404">
        <f>Z102-Z110-Z117</f>
        <v/>
      </c>
      <c r="AA120" s="404">
        <f>AA102-AA110-AA117</f>
        <v/>
      </c>
      <c r="AB120" s="404">
        <f>AB102-AB110-AB117</f>
        <v/>
      </c>
      <c r="AC120" s="404">
        <f>AC102-AC110-AC117</f>
        <v/>
      </c>
      <c r="AD120" s="404">
        <f>AD102-AD110-AD117</f>
        <v/>
      </c>
      <c r="AE120" s="404" t="n"/>
      <c r="AF120" s="402">
        <f>AF102-AF110-AF117</f>
        <v/>
      </c>
    </row>
    <row r="121">
      <c r="A121" s="4" t="inlineStr">
        <is>
          <t>Tax Paid</t>
        </is>
      </c>
      <c r="B121" s="17" t="inlineStr">
        <is>
          <t>AUDk</t>
        </is>
      </c>
      <c r="C121" s="391" t="n">
        <v>0.3</v>
      </c>
      <c r="D121" s="323">
        <f>IF((D102-D111-D118)*$C$121&gt;0,(D102-D111-D118)*$C$121,0)</f>
        <v/>
      </c>
      <c r="E121" s="323">
        <f>IF((E102-E111-E118)*$C$121&gt;0,(E102-E111-E118)*$C$121,0)</f>
        <v/>
      </c>
      <c r="F121" s="323">
        <f>IF((F102-F111-F118)*$C$121&gt;0,(F102-F111-F118)*$C$121,0)</f>
        <v/>
      </c>
      <c r="G121" s="323">
        <f>IF((G102-G111-G118)*$C$121&gt;0,(G102-G111-G118)*$C$121,0)</f>
        <v/>
      </c>
      <c r="H121" s="323">
        <f>IF((H102-H111-H118)*$C$121&gt;0,(H102-H111-H118)*$C$121,0)</f>
        <v/>
      </c>
      <c r="I121" s="323">
        <f>IF((I102-I111-I118)*$C$121&gt;0,(I102-I111-I118)*$C$121,0)</f>
        <v/>
      </c>
      <c r="J121" s="323">
        <f>IF((J102-J111-J118)*$C$121&gt;0,(J102-J111-J118)*$C$121,0)</f>
        <v/>
      </c>
      <c r="K121" s="323">
        <f>IF((K102-K111-K118)*$C$121&gt;0,(K102-K111-K118)*$C$121,0)</f>
        <v/>
      </c>
      <c r="L121" s="323">
        <f>IF((L102-L111-L118)*$C$121&gt;0,(L102-L111-L118)*$C$121,0)</f>
        <v/>
      </c>
      <c r="M121" s="323">
        <f>IF((M102-M111-M118)*$C$121&gt;0,(M102-M111-M118)*$C$121,0)</f>
        <v/>
      </c>
      <c r="N121" s="323">
        <f>IF((N102-N111-N118)*$C$121&gt;0,(N102-N111-N118)*$C$121,0)</f>
        <v/>
      </c>
      <c r="O121" s="323">
        <f>IF((O102-O111-O118)*$C$121&gt;0,(O102-O111-O118)*$C$121,0)</f>
        <v/>
      </c>
      <c r="P121" s="323">
        <f>IF((P102-P111-P118)*$C$121&gt;0,(P102-P111-P118)*$C$121,0)</f>
        <v/>
      </c>
      <c r="Q121" s="323">
        <f>IF((Q102-Q111-Q118)*$C$121&gt;0,(Q102-Q111-Q118)*$C$121,0)</f>
        <v/>
      </c>
      <c r="R121" s="323">
        <f>IF((R102-R111-R118)*$C$121&gt;0,(R102-R111-R118)*$C$121,0)</f>
        <v/>
      </c>
      <c r="S121" s="323">
        <f>IF((S102-S111-S118)*$C$121&gt;0,(S102-S111-S118)*$C$121,0)</f>
        <v/>
      </c>
      <c r="T121" s="323">
        <f>IF((T102-T111-T118)*$C$121&gt;0,(T102-T111-T118)*$C$121,0)</f>
        <v/>
      </c>
      <c r="U121" s="323">
        <f>IF((U102-U111-U118)*$C$121&gt;0,(U102-U111-U118)*$C$121,0)</f>
        <v/>
      </c>
      <c r="V121" s="323">
        <f>IF((V102-V111-V118)*$C$121&gt;0,(V102-V111-V118)*$C$121,0)</f>
        <v/>
      </c>
      <c r="W121" s="323">
        <f>IF((W102-W111-W118)*$C$121&gt;0,(W102-W111-W118)*$C$121,0)</f>
        <v/>
      </c>
      <c r="X121" s="323">
        <f>IF((X102-X111-X118)*$C$121&gt;0,(X102-X111-X118)*$C$121,0)</f>
        <v/>
      </c>
      <c r="Y121" s="323">
        <f>IF((Y102-Y111-Y118)*$C$121&gt;0,(Y102-Y111-Y118)*$C$121,0)</f>
        <v/>
      </c>
      <c r="Z121" s="323">
        <f>IF((Z102-Z111-Z118)*$C$121&gt;0,(Z102-Z111-Z118)*$C$121,0)</f>
        <v/>
      </c>
      <c r="AA121" s="323">
        <f>IF((AA102-AA111-AA118)*$C$121&gt;0,(AA102-AA111-AA118)*$C$121,0)</f>
        <v/>
      </c>
      <c r="AB121" s="323">
        <f>IF((AB102-AB111-AB118)*$C$121&gt;0,(AB102-AB111-AB118)*$C$121,0)</f>
        <v/>
      </c>
      <c r="AC121" s="323">
        <f>IF((AC102-AC111-AC118)*$C$121&gt;0,(AC102-AC111-AC118)*$C$121,0)</f>
        <v/>
      </c>
      <c r="AD121" s="323">
        <f>IF((AD102-AD111-AD118)*$C$121&gt;0,(AD102-AD111-AD118)*$C$121,0)</f>
        <v/>
      </c>
      <c r="AE121" s="323" t="n"/>
      <c r="AF121" s="370">
        <f>SUM(D121:AD121)</f>
        <v/>
      </c>
    </row>
    <row r="122" hidden="1">
      <c r="A122" s="4" t="n"/>
      <c r="B122" s="17" t="n"/>
      <c r="C122" s="344" t="n"/>
      <c r="D122" s="344" t="n">
        <v>1</v>
      </c>
      <c r="E122" s="344" t="n">
        <v>1</v>
      </c>
      <c r="F122" s="344" t="n">
        <v>1</v>
      </c>
      <c r="G122" s="344" t="n">
        <v>1</v>
      </c>
      <c r="H122" s="344" t="n">
        <v>1</v>
      </c>
      <c r="I122" s="344" t="n">
        <v>1</v>
      </c>
      <c r="J122" s="344" t="n">
        <v>1</v>
      </c>
      <c r="K122" s="344" t="n">
        <v>1</v>
      </c>
      <c r="L122" s="344" t="n">
        <v>1</v>
      </c>
      <c r="M122" s="344" t="n">
        <v>1</v>
      </c>
      <c r="N122" s="344" t="n">
        <v>1</v>
      </c>
      <c r="O122" s="344" t="n">
        <v>1</v>
      </c>
      <c r="P122" s="344" t="n">
        <v>1</v>
      </c>
      <c r="Q122" s="344" t="n">
        <v>1</v>
      </c>
      <c r="R122" s="344" t="n">
        <v>1</v>
      </c>
      <c r="S122" s="344" t="n">
        <v>1</v>
      </c>
      <c r="T122" s="344" t="n">
        <v>1</v>
      </c>
      <c r="U122" s="344" t="n">
        <v>1</v>
      </c>
      <c r="V122" s="344" t="n">
        <v>1</v>
      </c>
      <c r="W122" s="344" t="n">
        <v>1</v>
      </c>
      <c r="X122" s="344" t="n">
        <v>1</v>
      </c>
      <c r="Y122" s="344" t="n">
        <v>1</v>
      </c>
      <c r="Z122" s="344" t="n">
        <v>1</v>
      </c>
      <c r="AA122" s="344" t="n">
        <v>1</v>
      </c>
      <c r="AB122" s="344" t="n">
        <v>1</v>
      </c>
      <c r="AC122" s="344" t="n">
        <v>1</v>
      </c>
      <c r="AD122" s="344" t="n">
        <v>1</v>
      </c>
      <c r="AE122" s="344" t="n"/>
      <c r="AF122" s="370" t="n"/>
    </row>
    <row r="123">
      <c r="A123" s="4" t="n"/>
      <c r="B123" s="17" t="n"/>
      <c r="C123" s="344" t="n"/>
      <c r="D123" s="344" t="n"/>
      <c r="E123" s="344" t="n"/>
      <c r="F123" s="344" t="n"/>
      <c r="G123" s="344" t="n"/>
      <c r="H123" s="344" t="n"/>
      <c r="I123" s="344" t="n"/>
      <c r="J123" s="344" t="n"/>
      <c r="K123" s="344" t="n"/>
      <c r="L123" s="344" t="n"/>
      <c r="M123" s="344" t="n"/>
      <c r="N123" s="344" t="n"/>
      <c r="O123" s="344" t="n"/>
      <c r="P123" s="344" t="n"/>
      <c r="Q123" s="344" t="n"/>
      <c r="R123" s="344" t="n"/>
      <c r="S123" s="344" t="n"/>
      <c r="T123" s="344" t="n"/>
      <c r="U123" s="344" t="n"/>
      <c r="V123" s="344" t="n"/>
      <c r="W123" s="344" t="n"/>
      <c r="X123" s="344" t="n"/>
      <c r="Y123" s="344" t="n"/>
      <c r="Z123" s="344" t="n"/>
      <c r="AA123" s="344" t="n"/>
      <c r="AB123" s="344" t="n"/>
      <c r="AC123" s="344" t="n"/>
      <c r="AD123" s="344" t="n"/>
      <c r="AE123" s="344" t="n"/>
      <c r="AF123" s="370" t="n"/>
    </row>
    <row r="124">
      <c r="A124" s="28" t="inlineStr">
        <is>
          <t>Cashflows After Tax</t>
        </is>
      </c>
      <c r="B124" s="56" t="inlineStr">
        <is>
          <t>AUDk</t>
        </is>
      </c>
      <c r="C124" s="404" t="n"/>
      <c r="D124" s="404">
        <f>D120-D121</f>
        <v/>
      </c>
      <c r="E124" s="404">
        <f>E120-E121</f>
        <v/>
      </c>
      <c r="F124" s="404">
        <f>F120-F121</f>
        <v/>
      </c>
      <c r="G124" s="404">
        <f>G120-G121</f>
        <v/>
      </c>
      <c r="H124" s="404">
        <f>H120-H121</f>
        <v/>
      </c>
      <c r="I124" s="404">
        <f>I120-I121</f>
        <v/>
      </c>
      <c r="J124" s="404">
        <f>J120-J121</f>
        <v/>
      </c>
      <c r="K124" s="404">
        <f>K120-K121</f>
        <v/>
      </c>
      <c r="L124" s="404">
        <f>L120-L121</f>
        <v/>
      </c>
      <c r="M124" s="404">
        <f>M120-M121</f>
        <v/>
      </c>
      <c r="N124" s="404">
        <f>N120-N121</f>
        <v/>
      </c>
      <c r="O124" s="404">
        <f>O120-O121</f>
        <v/>
      </c>
      <c r="P124" s="404">
        <f>P120-P121</f>
        <v/>
      </c>
      <c r="Q124" s="404">
        <f>Q120-Q121</f>
        <v/>
      </c>
      <c r="R124" s="404">
        <f>R120-R121</f>
        <v/>
      </c>
      <c r="S124" s="404">
        <f>S120-S121</f>
        <v/>
      </c>
      <c r="T124" s="404">
        <f>T120-T121</f>
        <v/>
      </c>
      <c r="U124" s="404">
        <f>U120-U121</f>
        <v/>
      </c>
      <c r="V124" s="404">
        <f>V120-V121</f>
        <v/>
      </c>
      <c r="W124" s="404">
        <f>W120-W121</f>
        <v/>
      </c>
      <c r="X124" s="404">
        <f>X120-X121</f>
        <v/>
      </c>
      <c r="Y124" s="404">
        <f>Y120-Y121</f>
        <v/>
      </c>
      <c r="Z124" s="404">
        <f>Z120-Z121</f>
        <v/>
      </c>
      <c r="AA124" s="404">
        <f>AA120-AA121</f>
        <v/>
      </c>
      <c r="AB124" s="404">
        <f>AB120-AB121</f>
        <v/>
      </c>
      <c r="AC124" s="404">
        <f>AC120-AC121</f>
        <v/>
      </c>
      <c r="AD124" s="404">
        <f>AD120-AD121</f>
        <v/>
      </c>
      <c r="AE124" s="404" t="n"/>
      <c r="AF124" s="405">
        <f>AF120-AF121</f>
        <v/>
      </c>
    </row>
    <row r="125">
      <c r="A125" s="28" t="inlineStr">
        <is>
          <t>Attributable Cashflow After Tax (60%)</t>
        </is>
      </c>
      <c r="B125" s="56" t="inlineStr">
        <is>
          <t>AUDk</t>
        </is>
      </c>
      <c r="C125" s="404" t="n"/>
      <c r="D125" s="404">
        <f>IFERROR(D124*$C$125,0)</f>
        <v/>
      </c>
      <c r="E125" s="404">
        <f>IFERROR(E124*$C$125,0)</f>
        <v/>
      </c>
      <c r="F125" s="404">
        <f>IFERROR(F124*$C$125,0)</f>
        <v/>
      </c>
      <c r="G125" s="404">
        <f>IFERROR(G124*$C$125,0)</f>
        <v/>
      </c>
      <c r="H125" s="404">
        <f>IFERROR(H124*$C$125,0)</f>
        <v/>
      </c>
      <c r="I125" s="404">
        <f>IFERROR(I124*$C$125,0)</f>
        <v/>
      </c>
      <c r="J125" s="404">
        <f>IFERROR(J124*$C$125,0)</f>
        <v/>
      </c>
      <c r="K125" s="404">
        <f>IFERROR(K124*$C$125,0)</f>
        <v/>
      </c>
      <c r="L125" s="404">
        <f>IFERROR(L124*$C$125,0)</f>
        <v/>
      </c>
      <c r="M125" s="404">
        <f>IFERROR(M124*$C$125,0)</f>
        <v/>
      </c>
      <c r="N125" s="404">
        <f>IFERROR(N124*$C$125,0)</f>
        <v/>
      </c>
      <c r="O125" s="404">
        <f>IFERROR(O124*$C$125,0)</f>
        <v/>
      </c>
      <c r="P125" s="404">
        <f>IFERROR(P124*$C$125,0)</f>
        <v/>
      </c>
      <c r="Q125" s="404">
        <f>IFERROR(Q124*$C$125,0)</f>
        <v/>
      </c>
      <c r="R125" s="404">
        <f>IFERROR(R124*$C$125,0)</f>
        <v/>
      </c>
      <c r="S125" s="404">
        <f>IFERROR(S124*$C$125,0)</f>
        <v/>
      </c>
      <c r="T125" s="404">
        <f>IFERROR(T124*$C$125,0)</f>
        <v/>
      </c>
      <c r="U125" s="404">
        <f>IFERROR(U124*$C$125,0)</f>
        <v/>
      </c>
      <c r="V125" s="404">
        <f>IFERROR(V124*$C$125,0)</f>
        <v/>
      </c>
      <c r="W125" s="404">
        <f>IFERROR(W124*$C$125,0)</f>
        <v/>
      </c>
      <c r="X125" s="404">
        <f>IFERROR(X124*$C$125,0)</f>
        <v/>
      </c>
      <c r="Y125" s="404">
        <f>IFERROR(Y124*$C$125,0)</f>
        <v/>
      </c>
      <c r="Z125" s="404">
        <f>IFERROR(Z124*$C$125,0)</f>
        <v/>
      </c>
      <c r="AA125" s="404">
        <f>IFERROR(AA124*$C$125,0)</f>
        <v/>
      </c>
      <c r="AB125" s="404">
        <f>IFERROR(AB124*$C$125,0)</f>
        <v/>
      </c>
      <c r="AC125" s="404">
        <f>IFERROR(AC124*$C$125,0)</f>
        <v/>
      </c>
      <c r="AD125" s="404">
        <f>IFERROR(AD124*$C$125,0)</f>
        <v/>
      </c>
      <c r="AE125" s="404" t="n"/>
      <c r="AF125" s="405" t="n"/>
    </row>
    <row r="126">
      <c r="A126" s="28" t="inlineStr">
        <is>
          <t>Discounted Cashflows</t>
        </is>
      </c>
      <c r="B126" s="56" t="inlineStr">
        <is>
          <t>AUDk</t>
        </is>
      </c>
      <c r="C126" s="404" t="n"/>
      <c r="D126" s="404">
        <f>D124*Assumptions!I2</f>
        <v/>
      </c>
      <c r="E126" s="404">
        <f>E124*Assumptions!J2</f>
        <v/>
      </c>
      <c r="F126" s="404">
        <f>F124*Assumptions!K2</f>
        <v/>
      </c>
      <c r="G126" s="404">
        <f>G124*Assumptions!L2</f>
        <v/>
      </c>
      <c r="H126" s="404">
        <f>H124*Assumptions!M2</f>
        <v/>
      </c>
      <c r="I126" s="404">
        <f>I124*Assumptions!N2</f>
        <v/>
      </c>
      <c r="J126" s="404">
        <f>J124*Assumptions!O2</f>
        <v/>
      </c>
      <c r="K126" s="404">
        <f>K124*Assumptions!P2</f>
        <v/>
      </c>
      <c r="L126" s="404">
        <f>L124*Assumptions!Q2</f>
        <v/>
      </c>
      <c r="M126" s="404">
        <f>M124*Assumptions!R2</f>
        <v/>
      </c>
      <c r="N126" s="404">
        <f>N124*Assumptions!S2</f>
        <v/>
      </c>
      <c r="O126" s="404">
        <f>O124*Assumptions!T2</f>
        <v/>
      </c>
      <c r="P126" s="404">
        <f>P124*Assumptions!U2</f>
        <v/>
      </c>
      <c r="Q126" s="404">
        <f>Q124*Assumptions!V2</f>
        <v/>
      </c>
      <c r="R126" s="404">
        <f>R124*Assumptions!W2</f>
        <v/>
      </c>
      <c r="S126" s="404">
        <f>S124*Assumptions!X2</f>
        <v/>
      </c>
      <c r="T126" s="404">
        <f>T124*Assumptions!Y2</f>
        <v/>
      </c>
      <c r="U126" s="404">
        <f>U124*Assumptions!Z2</f>
        <v/>
      </c>
      <c r="V126" s="404">
        <f>V124*Assumptions!AA2</f>
        <v/>
      </c>
      <c r="W126" s="404">
        <f>W124*Assumptions!AB2</f>
        <v/>
      </c>
      <c r="X126" s="404">
        <f>X124*Assumptions!AC2</f>
        <v/>
      </c>
      <c r="Y126" s="404">
        <f>Y124*Assumptions!AD2</f>
        <v/>
      </c>
      <c r="Z126" s="404">
        <f>Z124*Assumptions!AE2</f>
        <v/>
      </c>
      <c r="AA126" s="404">
        <f>AA124*Assumptions!AF2</f>
        <v/>
      </c>
      <c r="AB126" s="404">
        <f>AB124*Assumptions!AG2</f>
        <v/>
      </c>
      <c r="AC126" s="404">
        <f>AC124*Assumptions!AH2</f>
        <v/>
      </c>
      <c r="AD126" s="404">
        <f>AD124*Assumptions!AI2</f>
        <v/>
      </c>
      <c r="AE126" s="404" t="n"/>
      <c r="AF126" s="387">
        <f>SUM(D126:AD126)</f>
        <v/>
      </c>
    </row>
    <row r="127" hidden="1">
      <c r="A127" s="28" t="inlineStr">
        <is>
          <t>Payback Calculation</t>
        </is>
      </c>
      <c r="B127" s="56" t="n"/>
      <c r="C127" s="404" t="n"/>
      <c r="D127" s="404">
        <f>IFERROR(IF(SUM($D$124:D124)/ABS(D124)&gt;1,0,IF(SUM($D$124:D124)&lt;=0,1*D122,1-(SUM($D$124:D124)/D124)*D122)),0)</f>
        <v/>
      </c>
      <c r="E127" s="404">
        <f>IFERROR(IF(SUM($D$124:E124)/ABS(E124)&gt;1,0,IF(SUM($D$124:E124)&lt;=0,1*E122,1-(SUM($D$124:E124)/E124)*E122)),0)</f>
        <v/>
      </c>
      <c r="F127" s="404">
        <f>IFERROR(IF(SUM($D$124:F124)/ABS(F124)&gt;1,0,IF(SUM($D$124:F124)&lt;=0,1*F122,1-(SUM($D$124:F124)/F124)*F122)),0)</f>
        <v/>
      </c>
      <c r="G127" s="404">
        <f>IFERROR(IF(SUM($D$124:G124)/ABS(G124)&gt;1,0,IF(SUM($D$124:G124)&lt;=0,1*G122,1-(SUM($D$124:G124)/G124)*G122)),0)</f>
        <v/>
      </c>
      <c r="H127" s="404">
        <f>IFERROR(IF(SUM($D$124:H124)/ABS(H124)&gt;1,0,IF(SUM($D$124:H124)&lt;=0,1*H122,1-(SUM($D$124:H124)/H124)*H122)),0)</f>
        <v/>
      </c>
      <c r="I127" s="404">
        <f>IFERROR(IF(SUM($D$124:I124)/ABS(I124)&gt;1,0,IF(SUM($D$124:I124)&lt;=0,1*I122,1-(SUM($D$124:I124)/I124)*I122)),0)</f>
        <v/>
      </c>
      <c r="J127" s="404">
        <f>IFERROR(IF(SUM($D$124:J124)/ABS(J124)&gt;1,0,IF(SUM($D$124:J124)&lt;=0,1*J122,1-(SUM($D$124:J124)/J124)*J122)),0)</f>
        <v/>
      </c>
      <c r="K127" s="404">
        <f>IFERROR(IF(SUM($D$124:K124)/ABS(K124)&gt;1,0,IF(SUM($D$124:K124)&lt;=0,1*K122,1-(SUM($D$124:K124)/K124)*K122)),0)</f>
        <v/>
      </c>
      <c r="L127" s="404">
        <f>IFERROR(IF(SUM($D$124:L124)/ABS(L124)&gt;1,0,IF(SUM($D$124:L124)&lt;=0,1*L122,1-(SUM($D$124:L124)/L124)*L122)),0)</f>
        <v/>
      </c>
      <c r="M127" s="404">
        <f>IFERROR(IF(SUM($D$124:M124)/ABS(M124)&gt;1,0,IF(SUM($D$124:M124)&lt;=0,1*M122,1-(SUM($D$124:M124)/M124)*M122)),0)</f>
        <v/>
      </c>
      <c r="N127" s="404">
        <f>IFERROR(IF(SUM($D$124:N124)/ABS(N124)&gt;1,0,IF(SUM($D$124:N124)&lt;=0,1*N122,1-(SUM($D$124:N124)/N124)*N122)),0)</f>
        <v/>
      </c>
      <c r="O127" s="404">
        <f>IFERROR(IF(SUM($D$124:O124)/ABS(O124)&gt;1,0,IF(SUM($D$124:O124)&lt;=0,1*O122,1-(SUM($D$124:O124)/O124)*O122)),0)</f>
        <v/>
      </c>
      <c r="P127" s="404">
        <f>IFERROR(IF(SUM($D$124:P124)/ABS(P124)&gt;1,0,IF(SUM($D$124:P124)&lt;=0,1*P122,1-(SUM($D$124:P124)/P124)*P122)),0)</f>
        <v/>
      </c>
      <c r="Q127" s="404">
        <f>IFERROR(IF(SUM($D$124:Q124)/ABS(Q124)&gt;1,0,IF(SUM($D$124:Q124)&lt;=0,1*Q122,1-(SUM($D$124:Q124)/Q124)*Q122)),0)</f>
        <v/>
      </c>
      <c r="R127" s="404">
        <f>IFERROR(IF(SUM($D$124:R124)/ABS(R124)&gt;1,0,IF(SUM($D$124:R124)&lt;=0,1*R122,1-(SUM($D$124:R124)/R124)*R122)),0)</f>
        <v/>
      </c>
      <c r="S127" s="404">
        <f>IFERROR(IF(SUM($D$124:S124)/ABS(S124)&gt;1,0,IF(SUM($D$124:S124)&lt;=0,1*S122,1-(SUM($D$124:S124)/S124)*S122)),0)</f>
        <v/>
      </c>
      <c r="T127" s="404">
        <f>IFERROR(IF(SUM($D$124:T124)/ABS(T124)&gt;1,0,IF(SUM($D$124:T124)&lt;=0,1*T122,1-(SUM($D$124:T124)/T124)*T122)),0)</f>
        <v/>
      </c>
      <c r="U127" s="404">
        <f>IFERROR(IF(SUM($D$124:U124)/ABS(U124)&gt;1,0,IF(SUM($D$124:U124)&lt;=0,1*U122,1-(SUM($D$124:U124)/U124)*U122)),0)</f>
        <v/>
      </c>
      <c r="V127" s="404">
        <f>IFERROR(IF(SUM($D$124:V124)/ABS(V124)&gt;1,0,IF(SUM($D$124:V124)&lt;=0,1*V122,1-(SUM($D$124:V124)/V124)*V122)),0)</f>
        <v/>
      </c>
      <c r="W127" s="404">
        <f>IFERROR(IF(SUM($D$124:W124)/ABS(W124)&gt;1,0,IF(SUM($D$124:W124)&lt;=0,1*W122,1-(SUM($D$124:W124)/W124)*W122)),0)</f>
        <v/>
      </c>
      <c r="X127" s="404">
        <f>IFERROR(IF(SUM($D$124:X124)/ABS(X124)&gt;1,0,IF(SUM($D$124:X124)&lt;=0,1*X122,1-(SUM($D$124:X124)/X124)*X122)),0)</f>
        <v/>
      </c>
      <c r="Y127" s="404">
        <f>IFERROR(IF(SUM($D$124:Y124)/ABS(Y124)&gt;1,0,IF(SUM($D$124:Y124)&lt;=0,1*Y122,1-(SUM($D$124:Y124)/Y124)*Y122)),0)</f>
        <v/>
      </c>
      <c r="Z127" s="404">
        <f>IFERROR(IF(SUM($D$124:Z124)/ABS(Z124)&gt;1,0,IF(SUM($D$124:Z124)&lt;=0,1*Z122,1-(SUM($D$124:Z124)/Z124)*Z122)),0)</f>
        <v/>
      </c>
      <c r="AA127" s="404">
        <f>IFERROR(IF(SUM($D$124:AA124)/ABS(AA124)&gt;1,0,IF(SUM($D$124:AA124)&lt;=0,1*AA122,1-(SUM($D$124:AA124)/AA124)*AA122)),0)</f>
        <v/>
      </c>
      <c r="AB127" s="404">
        <f>IFERROR(IF(SUM($D$124:AB124)/ABS(AB124)&gt;1,0,IF(SUM($D$124:AB124)&lt;=0,1*AB122,1-(SUM($D$124:AB124)/AB124)*AB122)),0)</f>
        <v/>
      </c>
      <c r="AC127" s="404">
        <f>IFERROR(IF(SUM($D$124:AC124)/ABS(AC124)&gt;1,0,IF(SUM($D$124:AC124)&lt;=0,1*AC122,1-(SUM($D$124:AC124)/AC124)*AC122)),0)</f>
        <v/>
      </c>
      <c r="AD127" s="404">
        <f>IFERROR(IF(SUM($D$124:AD124)/ABS(AD124)&gt;1,0,IF(SUM($D$124:AD124)&lt;=0,1*AD122,1-(SUM($D$124:AD124)/AD124)*AD122)),0)</f>
        <v/>
      </c>
      <c r="AE127" s="404" t="n"/>
      <c r="AF127" s="387" t="n"/>
    </row>
    <row r="128">
      <c r="A128" s="28" t="inlineStr">
        <is>
          <t>Net Present Value</t>
        </is>
      </c>
      <c r="B128" s="56" t="inlineStr">
        <is>
          <t>AUDk</t>
        </is>
      </c>
      <c r="C128" s="404">
        <f>SUM(D126:AD126)</f>
        <v/>
      </c>
      <c r="D128" s="404" t="n"/>
      <c r="E128" s="404" t="n"/>
      <c r="F128" s="404" t="n"/>
      <c r="G128" s="404" t="n"/>
      <c r="H128" s="404" t="n"/>
      <c r="I128" s="404" t="n"/>
      <c r="J128" s="404" t="n"/>
      <c r="K128" s="404" t="n"/>
      <c r="L128" s="404" t="n"/>
      <c r="M128" s="404" t="n"/>
      <c r="N128" s="404" t="n"/>
      <c r="O128" s="404" t="n"/>
      <c r="P128" s="404" t="n"/>
      <c r="Q128" s="404" t="n"/>
      <c r="R128" s="404" t="n"/>
      <c r="S128" s="404" t="n"/>
      <c r="T128" s="404" t="n"/>
      <c r="U128" s="404" t="n"/>
      <c r="V128" s="404" t="n"/>
      <c r="W128" s="404" t="n"/>
      <c r="X128" s="404" t="n"/>
      <c r="Y128" s="404" t="n"/>
      <c r="Z128" s="404" t="n"/>
      <c r="AA128" s="404" t="n"/>
      <c r="AB128" s="404" t="n"/>
      <c r="AC128" s="404" t="n"/>
      <c r="AD128" s="404" t="n"/>
      <c r="AE128" s="404" t="n"/>
      <c r="AF128" s="405" t="n"/>
    </row>
    <row r="129">
      <c r="A129" s="28" t="inlineStr">
        <is>
          <t>Simple Payback</t>
        </is>
      </c>
      <c r="B129" s="56" t="inlineStr">
        <is>
          <t>years</t>
        </is>
      </c>
      <c r="C129" s="404">
        <f>SUM(D127:W127)</f>
        <v/>
      </c>
      <c r="D129" s="404" t="n"/>
      <c r="E129" s="404" t="n"/>
      <c r="F129" s="404" t="n"/>
      <c r="G129" s="404" t="n"/>
      <c r="H129" s="404" t="n"/>
      <c r="I129" s="404" t="n"/>
      <c r="J129" s="404" t="n"/>
      <c r="K129" s="404" t="n"/>
      <c r="L129" s="404" t="n"/>
      <c r="M129" s="404" t="n"/>
      <c r="N129" s="404" t="n"/>
      <c r="O129" s="404" t="n"/>
      <c r="P129" s="404" t="n"/>
      <c r="Q129" s="404" t="n"/>
      <c r="R129" s="404" t="n"/>
      <c r="S129" s="404" t="n"/>
      <c r="T129" s="404" t="n"/>
      <c r="U129" s="404" t="n"/>
      <c r="V129" s="404" t="n"/>
      <c r="W129" s="404" t="n"/>
      <c r="X129" s="404" t="n"/>
      <c r="Y129" s="404" t="n"/>
      <c r="Z129" s="404" t="n"/>
      <c r="AA129" s="404" t="n"/>
      <c r="AB129" s="404" t="n"/>
      <c r="AC129" s="404" t="n"/>
      <c r="AD129" s="404" t="n"/>
      <c r="AE129" s="404" t="n"/>
      <c r="AF129" s="405" t="n"/>
    </row>
    <row r="130">
      <c r="A130" s="71" t="inlineStr">
        <is>
          <t>IRR</t>
        </is>
      </c>
      <c r="B130" s="92" t="inlineStr">
        <is>
          <t>%</t>
        </is>
      </c>
      <c r="C130" s="407">
        <f>IRR(D126:R126)</f>
        <v/>
      </c>
      <c r="D130" s="407" t="n"/>
      <c r="E130" s="407" t="n"/>
      <c r="F130" s="407" t="n"/>
      <c r="G130" s="407" t="n"/>
      <c r="H130" s="407" t="n"/>
      <c r="I130" s="407" t="n"/>
      <c r="J130" s="407" t="n"/>
      <c r="K130" s="407" t="n"/>
      <c r="L130" s="407" t="n"/>
      <c r="M130" s="407" t="n"/>
      <c r="N130" s="407" t="n"/>
      <c r="O130" s="407" t="n"/>
      <c r="P130" s="407" t="n"/>
      <c r="Q130" s="407" t="n"/>
      <c r="R130" s="407" t="n"/>
      <c r="S130" s="407" t="n"/>
      <c r="T130" s="407" t="n"/>
      <c r="U130" s="407" t="n"/>
      <c r="V130" s="407" t="n"/>
      <c r="W130" s="407" t="n"/>
      <c r="X130" s="407" t="n"/>
      <c r="Y130" s="407" t="n"/>
      <c r="Z130" s="407" t="n"/>
      <c r="AA130" s="407" t="n"/>
      <c r="AB130" s="407" t="n"/>
      <c r="AC130" s="407" t="n"/>
      <c r="AD130" s="407" t="n"/>
      <c r="AE130" s="407" t="n"/>
      <c r="AF130" s="383" t="n"/>
    </row>
    <row r="131">
      <c r="A131" s="2" t="inlineStr">
        <is>
          <t>Depreciation Summary</t>
        </is>
      </c>
      <c r="B131" s="36" t="n"/>
      <c r="C131" s="347" t="n"/>
      <c r="D131" s="347" t="n"/>
      <c r="E131" s="347" t="n"/>
      <c r="F131" s="347" t="n"/>
      <c r="G131" s="347" t="n"/>
      <c r="H131" s="347" t="n"/>
      <c r="I131" s="347" t="n"/>
      <c r="J131" s="347" t="n"/>
      <c r="K131" s="347" t="n"/>
      <c r="L131" s="347" t="n"/>
      <c r="M131" s="347" t="n"/>
      <c r="N131" s="347" t="n"/>
      <c r="O131" s="347" t="n"/>
      <c r="P131" s="347" t="n"/>
      <c r="Q131" s="347" t="n"/>
      <c r="R131" s="347" t="n"/>
      <c r="S131" s="347" t="n"/>
      <c r="T131" s="347" t="n"/>
      <c r="U131" s="347" t="n"/>
      <c r="V131" s="347" t="n"/>
      <c r="W131" s="347" t="n"/>
      <c r="X131" s="347" t="n"/>
      <c r="Y131" s="347" t="n"/>
      <c r="Z131" s="347" t="n"/>
      <c r="AA131" s="347" t="n"/>
      <c r="AB131" s="347" t="n"/>
      <c r="AC131" s="347" t="n"/>
      <c r="AD131" s="347" t="n"/>
      <c r="AE131" s="347" t="n"/>
      <c r="AF131" s="395" t="n"/>
    </row>
    <row r="132">
      <c r="A132" s="4" t="inlineStr">
        <is>
          <t>Opening Balance</t>
        </is>
      </c>
      <c r="B132" s="17" t="inlineStr">
        <is>
          <t>AUDk</t>
        </is>
      </c>
      <c r="C132" s="408" t="n"/>
      <c r="D132" s="408" t="n">
        <v>0</v>
      </c>
      <c r="E132" s="323">
        <f>D135</f>
        <v/>
      </c>
      <c r="F132" s="323">
        <f>E135</f>
        <v/>
      </c>
      <c r="G132" s="323">
        <f>F135</f>
        <v/>
      </c>
      <c r="H132" s="323">
        <f>G135</f>
        <v/>
      </c>
      <c r="I132" s="323">
        <f>H135</f>
        <v/>
      </c>
      <c r="J132" s="323">
        <f>I135</f>
        <v/>
      </c>
      <c r="K132" s="323">
        <f>J135</f>
        <v/>
      </c>
      <c r="L132" s="323">
        <f>K135</f>
        <v/>
      </c>
      <c r="M132" s="323">
        <f>L135</f>
        <v/>
      </c>
      <c r="N132" s="323">
        <f>M135</f>
        <v/>
      </c>
      <c r="O132" s="323">
        <f>N135</f>
        <v/>
      </c>
      <c r="P132" s="323">
        <f>O135</f>
        <v/>
      </c>
      <c r="Q132" s="323">
        <f>P135</f>
        <v/>
      </c>
      <c r="R132" s="323">
        <f>Q135</f>
        <v/>
      </c>
      <c r="S132" s="323">
        <f>R135</f>
        <v/>
      </c>
      <c r="T132" s="323">
        <f>S135</f>
        <v/>
      </c>
      <c r="U132" s="323">
        <f>T135</f>
        <v/>
      </c>
      <c r="V132" s="323">
        <f>U135</f>
        <v/>
      </c>
      <c r="W132" s="323">
        <f>V135</f>
        <v/>
      </c>
      <c r="X132" s="323">
        <f>W135</f>
        <v/>
      </c>
      <c r="Y132" s="323">
        <f>X135</f>
        <v/>
      </c>
      <c r="Z132" s="323">
        <f>Y135</f>
        <v/>
      </c>
      <c r="AA132" s="323">
        <f>Z135</f>
        <v/>
      </c>
      <c r="AB132" s="323">
        <f>AA135</f>
        <v/>
      </c>
      <c r="AC132" s="323">
        <f>AB135</f>
        <v/>
      </c>
      <c r="AD132" s="323">
        <f>AC135</f>
        <v/>
      </c>
      <c r="AE132" s="323" t="n"/>
      <c r="AF132" s="370" t="n"/>
    </row>
    <row r="133">
      <c r="A133" s="4" t="inlineStr">
        <is>
          <t>Add: Capital Purchases</t>
        </is>
      </c>
      <c r="B133" s="17" t="inlineStr">
        <is>
          <t>AUDk</t>
        </is>
      </c>
      <c r="C133" s="323" t="n"/>
      <c r="D133" s="323">
        <f>D117</f>
        <v/>
      </c>
      <c r="E133" s="323">
        <f>E117</f>
        <v/>
      </c>
      <c r="F133" s="323">
        <f>F117</f>
        <v/>
      </c>
      <c r="G133" s="323">
        <f>G117</f>
        <v/>
      </c>
      <c r="H133" s="323">
        <f>H117</f>
        <v/>
      </c>
      <c r="I133" s="323">
        <f>I117</f>
        <v/>
      </c>
      <c r="J133" s="323">
        <f>J117</f>
        <v/>
      </c>
      <c r="K133" s="323">
        <f>K117</f>
        <v/>
      </c>
      <c r="L133" s="323">
        <f>L117</f>
        <v/>
      </c>
      <c r="M133" s="323">
        <f>M117</f>
        <v/>
      </c>
      <c r="N133" s="323">
        <f>N117</f>
        <v/>
      </c>
      <c r="O133" s="323">
        <f>O117</f>
        <v/>
      </c>
      <c r="P133" s="323">
        <f>P117</f>
        <v/>
      </c>
      <c r="Q133" s="323">
        <f>Q117</f>
        <v/>
      </c>
      <c r="R133" s="323">
        <f>R117</f>
        <v/>
      </c>
      <c r="S133" s="323">
        <f>S117</f>
        <v/>
      </c>
      <c r="T133" s="323">
        <f>T117</f>
        <v/>
      </c>
      <c r="U133" s="323">
        <f>U117</f>
        <v/>
      </c>
      <c r="V133" s="323">
        <f>V117</f>
        <v/>
      </c>
      <c r="W133" s="323">
        <f>W117</f>
        <v/>
      </c>
      <c r="X133" s="323">
        <f>X117</f>
        <v/>
      </c>
      <c r="Y133" s="323">
        <f>Y117</f>
        <v/>
      </c>
      <c r="Z133" s="323">
        <f>Z117</f>
        <v/>
      </c>
      <c r="AA133" s="323">
        <f>AA117</f>
        <v/>
      </c>
      <c r="AB133" s="323">
        <f>AB117</f>
        <v/>
      </c>
      <c r="AC133" s="323">
        <f>AC117</f>
        <v/>
      </c>
      <c r="AD133" s="323">
        <f>AD117</f>
        <v/>
      </c>
      <c r="AE133" s="323" t="n"/>
      <c r="AF133" s="370" t="n"/>
    </row>
    <row r="134">
      <c r="A134" s="4" t="inlineStr">
        <is>
          <t>Less: Depreciation</t>
        </is>
      </c>
      <c r="B134" s="17" t="inlineStr">
        <is>
          <t>AUDk</t>
        </is>
      </c>
      <c r="C134" s="398" t="n"/>
      <c r="D134" s="398">
        <f>IF(D2=$B$137,D132+D133,(D132+D133)/($B$137-1-D2))</f>
        <v/>
      </c>
      <c r="E134" s="323">
        <f>IFERROR(IF(E2=$B$137,E132+E133,E132/($B$137+1-E2)),0)</f>
        <v/>
      </c>
      <c r="F134" s="323">
        <f>IFERROR(IF(F2=$B$137,F132+F133,F132/($B$137+1-F2)),0)</f>
        <v/>
      </c>
      <c r="G134" s="323">
        <f>IFERROR(IF(G2=$B$137,G132+G133,G132/($B$137+1-G2)),0)</f>
        <v/>
      </c>
      <c r="H134" s="323">
        <f>IFERROR(IF(H2=$B$137,H132+H133,H132/($B$137+1-H2)),0)</f>
        <v/>
      </c>
      <c r="I134" s="323">
        <f>IFERROR(IF(I2=$B$137,I132+I133,I132/($B$137+1-I2)),0)</f>
        <v/>
      </c>
      <c r="J134" s="323">
        <f>IFERROR(IF(J2=$B$137,J132+J133,J132/($B$137+1-J2)),0)</f>
        <v/>
      </c>
      <c r="K134" s="323">
        <f>IFERROR(IF(K2=$B$137,K132+K133,K132/($B$137+1-K2)),0)</f>
        <v/>
      </c>
      <c r="L134" s="323">
        <f>IFERROR(IF(L2=$B$137,L132+L133,L132/($B$137+1-L2)),0)</f>
        <v/>
      </c>
      <c r="M134" s="323">
        <f>IFERROR(IF(M2=$B$137,M132+M133,M132/($B$137+1-M2)),0)</f>
        <v/>
      </c>
      <c r="N134" s="323">
        <f>IFERROR(IF(N2=$B$137,N132+N133,N132/($B$137+1-N2)),0)</f>
        <v/>
      </c>
      <c r="O134" s="323">
        <f>IFERROR(IF(O2=$B$137,O132+O133,O132/($B$137+1-O2)),0)</f>
        <v/>
      </c>
      <c r="P134" s="323">
        <f>IFERROR(IF(P2=$B$137,P132+P133,P132/($B$137+1-P2)),0)</f>
        <v/>
      </c>
      <c r="Q134" s="323">
        <f>IFERROR(IF(Q2=$B$137,Q132+Q133,Q132/($B$137+1-Q2)),0)</f>
        <v/>
      </c>
      <c r="R134" s="323">
        <f>IFERROR(IF(R2=$B$137,R132+R133,R132/($B$137+1-R2)),0)</f>
        <v/>
      </c>
      <c r="S134" s="323">
        <f>IFERROR(IF(S2=$B$137,S132+S133,S132/($B$137+1-S2)),0)</f>
        <v/>
      </c>
      <c r="T134" s="323">
        <f>IFERROR(IF(T2=$B$137,T132+T133,T132/($B$137+1-T2)),0)</f>
        <v/>
      </c>
      <c r="U134" s="323">
        <f>IFERROR(IF(U2=$B$137,U132+U133,U132/($B$137+1-U2)),0)</f>
        <v/>
      </c>
      <c r="V134" s="323">
        <f>IFERROR(IF(V2=$B$137,V132+V133,V132/($B$137+1-V2)),0)</f>
        <v/>
      </c>
      <c r="W134" s="323">
        <f>IFERROR(IF(W2=$B$137,W132+W133,W132/($B$137+1-W2)),0)</f>
        <v/>
      </c>
      <c r="X134" s="323">
        <f>IFERROR(IF(X2=$B$137,X132+X133,X132/($B$137+1-X2)),0)</f>
        <v/>
      </c>
      <c r="Y134" s="323">
        <f>IFERROR(IF(Y2=$B$137,Y132+Y133,Y132/($B$137+1-Y2)),0)</f>
        <v/>
      </c>
      <c r="Z134" s="323">
        <f>IFERROR(IF(Z2=$B$137,Z132+Z133,Z132/($B$137+1-Z2)),0)</f>
        <v/>
      </c>
      <c r="AA134" s="323">
        <f>IFERROR(IF(AA2=$B$137,AA132+AA133,AA132/($B$137+1-AA2)),0)</f>
        <v/>
      </c>
      <c r="AB134" s="323">
        <f>IFERROR(IF(AB2=$B$137,AB132+AB133,AB132/($B$137+1-AB2)),0)</f>
        <v/>
      </c>
      <c r="AC134" s="323">
        <f>IFERROR(IF(AC2=$B$137,AC132+AC133,AC132/($B$137+1-AC2)),0)</f>
        <v/>
      </c>
      <c r="AD134" s="323">
        <f>IFERROR(IF(AD2=$B$137,AD132+AD133,AD132/($B$137+1-AD2)),0)</f>
        <v/>
      </c>
      <c r="AE134" s="323" t="n"/>
      <c r="AF134" s="370" t="n"/>
    </row>
    <row r="135">
      <c r="A135" s="4" t="inlineStr">
        <is>
          <t>Closing Balance</t>
        </is>
      </c>
      <c r="B135" s="17" t="inlineStr">
        <is>
          <t>AUDk</t>
        </is>
      </c>
      <c r="C135" s="323" t="n"/>
      <c r="D135" s="323">
        <f>D132+D133-D134</f>
        <v/>
      </c>
      <c r="E135" s="323">
        <f>E132+E133-E134</f>
        <v/>
      </c>
      <c r="F135" s="323">
        <f>F132+F133-F134</f>
        <v/>
      </c>
      <c r="G135" s="323">
        <f>G132+G133-G134</f>
        <v/>
      </c>
      <c r="H135" s="323">
        <f>H132+H133-H134</f>
        <v/>
      </c>
      <c r="I135" s="323">
        <f>I132+I133-I134</f>
        <v/>
      </c>
      <c r="J135" s="323">
        <f>J132+J133-J134</f>
        <v/>
      </c>
      <c r="K135" s="323">
        <f>K132+K133-K134</f>
        <v/>
      </c>
      <c r="L135" s="323">
        <f>L132+L133-L134</f>
        <v/>
      </c>
      <c r="M135" s="323">
        <f>M132+M133-M134</f>
        <v/>
      </c>
      <c r="N135" s="323">
        <f>N132+N133-N134</f>
        <v/>
      </c>
      <c r="O135" s="323">
        <f>O132+O133-O134</f>
        <v/>
      </c>
      <c r="P135" s="323">
        <f>P132+P133-P134</f>
        <v/>
      </c>
      <c r="Q135" s="323">
        <f>Q132+Q133-Q134</f>
        <v/>
      </c>
      <c r="R135" s="323">
        <f>R132+R133-R134</f>
        <v/>
      </c>
      <c r="S135" s="323">
        <f>S132+S133-S134</f>
        <v/>
      </c>
      <c r="T135" s="323">
        <f>T132+T133-T134</f>
        <v/>
      </c>
      <c r="U135" s="323">
        <f>U132+U133-U134</f>
        <v/>
      </c>
      <c r="V135" s="323">
        <f>V132+V133-V134</f>
        <v/>
      </c>
      <c r="W135" s="323">
        <f>W132+W133-W134</f>
        <v/>
      </c>
      <c r="X135" s="323">
        <f>X132+X133-X134</f>
        <v/>
      </c>
      <c r="Y135" s="323">
        <f>Y132+Y133-Y134</f>
        <v/>
      </c>
      <c r="Z135" s="323">
        <f>Z132+Z133-Z134</f>
        <v/>
      </c>
      <c r="AA135" s="323">
        <f>AA132+AA133-AA134</f>
        <v/>
      </c>
      <c r="AB135" s="323">
        <f>AB132+AB133-AB134</f>
        <v/>
      </c>
      <c r="AC135" s="323">
        <f>AC132+AC133-AC134</f>
        <v/>
      </c>
      <c r="AD135" s="323">
        <f>AD132+AD133-AD134</f>
        <v/>
      </c>
      <c r="AE135" s="323" t="n"/>
      <c r="AF135" s="370" t="n"/>
    </row>
    <row r="136">
      <c r="A136" s="4" t="n"/>
      <c r="C136" s="323" t="n"/>
      <c r="D136" s="323" t="n"/>
      <c r="E136" s="323" t="n"/>
      <c r="F136" s="323" t="n"/>
      <c r="G136" s="323" t="n"/>
      <c r="H136" s="323" t="n"/>
      <c r="I136" s="323" t="n"/>
      <c r="J136" s="323" t="n"/>
      <c r="K136" s="323" t="n"/>
      <c r="L136" s="323" t="n"/>
      <c r="M136" s="323" t="n"/>
      <c r="N136" s="323" t="n"/>
      <c r="O136" s="323" t="n"/>
      <c r="P136" s="323" t="n"/>
      <c r="Q136" s="323" t="n"/>
      <c r="R136" s="323" t="n"/>
      <c r="S136" s="323" t="n"/>
      <c r="T136" s="323" t="n"/>
      <c r="U136" s="323" t="n"/>
      <c r="V136" s="323" t="n"/>
      <c r="W136" s="323" t="n"/>
      <c r="X136" s="323" t="n"/>
      <c r="Y136" s="323" t="n"/>
      <c r="Z136" s="323" t="n"/>
      <c r="AA136" s="323" t="n"/>
      <c r="AB136" s="323" t="n"/>
      <c r="AC136" s="323" t="n"/>
      <c r="AD136" s="323" t="n"/>
      <c r="AE136" s="323" t="n"/>
      <c r="AF136" s="370" t="n"/>
    </row>
    <row r="137">
      <c r="A137" s="66" t="inlineStr">
        <is>
          <t>Last year of mining</t>
        </is>
      </c>
      <c r="B137" s="17" t="n">
        <v>2046</v>
      </c>
      <c r="C137" s="323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  <c r="O137" s="323" t="n"/>
      <c r="P137" s="323" t="n"/>
      <c r="Q137" s="323" t="n"/>
      <c r="R137" s="323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3" t="n"/>
      <c r="AC137" s="323" t="n"/>
      <c r="AD137" s="323" t="n"/>
      <c r="AE137" s="323" t="n"/>
      <c r="AF137" s="370" t="n"/>
    </row>
    <row r="138">
      <c r="A138" s="8" t="n"/>
      <c r="B138" s="26" t="n"/>
      <c r="C138" s="403" t="n"/>
      <c r="D138" s="403" t="n"/>
      <c r="E138" s="403" t="n"/>
      <c r="F138" s="403" t="n"/>
      <c r="G138" s="403" t="n"/>
      <c r="H138" s="403" t="n"/>
      <c r="I138" s="403" t="n"/>
      <c r="J138" s="403" t="n"/>
      <c r="K138" s="403" t="n"/>
      <c r="L138" s="403" t="n"/>
      <c r="M138" s="403" t="n"/>
      <c r="N138" s="403" t="n"/>
      <c r="O138" s="403" t="n"/>
      <c r="P138" s="403" t="n"/>
      <c r="Q138" s="403" t="n"/>
      <c r="R138" s="403" t="n"/>
      <c r="S138" s="403" t="n"/>
      <c r="T138" s="403" t="n"/>
      <c r="U138" s="403" t="n"/>
      <c r="V138" s="403" t="n"/>
      <c r="W138" s="403" t="n"/>
      <c r="X138" s="403" t="n"/>
      <c r="Y138" s="403" t="n"/>
      <c r="Z138" s="403" t="n"/>
      <c r="AA138" s="403" t="n"/>
      <c r="AB138" s="403" t="n"/>
      <c r="AC138" s="403" t="n"/>
      <c r="AD138" s="403" t="n"/>
      <c r="AE138" s="403" t="n"/>
      <c r="AF138" s="383" t="n"/>
    </row>
    <row r="139">
      <c r="C139" s="17" t="n"/>
      <c r="D139" s="323" t="n"/>
      <c r="E139" s="323" t="n"/>
      <c r="F139" s="323" t="n"/>
      <c r="G139" s="323" t="n"/>
      <c r="H139" s="323" t="n"/>
      <c r="I139" s="323" t="n"/>
      <c r="J139" s="323" t="n"/>
      <c r="K139" s="323" t="n"/>
      <c r="L139" s="323" t="n"/>
      <c r="M139" s="323" t="n"/>
      <c r="N139" s="323" t="n"/>
      <c r="O139" s="323" t="n"/>
      <c r="P139" s="323" t="n"/>
      <c r="Q139" s="323" t="n"/>
      <c r="R139" s="323" t="n"/>
      <c r="S139" s="323" t="n"/>
      <c r="T139" s="323" t="n"/>
      <c r="U139" s="323" t="n"/>
      <c r="V139" s="323" t="n"/>
      <c r="W139" s="323" t="n"/>
      <c r="X139" s="323" t="n"/>
      <c r="Y139" s="323" t="n"/>
      <c r="Z139" s="323" t="n"/>
      <c r="AA139" s="323" t="n"/>
      <c r="AB139" s="323" t="n"/>
      <c r="AC139" s="323" t="n"/>
      <c r="AD139" s="323" t="n"/>
      <c r="AE139" s="323" t="n"/>
      <c r="AF139" s="323" t="n"/>
    </row>
    <row r="140">
      <c r="C140" s="17" t="n"/>
      <c r="D140" s="323" t="n"/>
      <c r="E140" s="323" t="n"/>
      <c r="F140" s="323" t="n"/>
      <c r="G140" s="323" t="n"/>
      <c r="H140" s="323" t="n"/>
      <c r="I140" s="323" t="n"/>
      <c r="J140" s="323" t="n"/>
      <c r="K140" s="323" t="n"/>
      <c r="L140" s="323" t="n"/>
      <c r="M140" s="323" t="n"/>
      <c r="N140" s="323" t="n"/>
      <c r="O140" s="323" t="n"/>
      <c r="P140" s="323" t="n"/>
      <c r="Q140" s="323" t="n"/>
      <c r="R140" s="323" t="n"/>
      <c r="S140" s="323" t="n"/>
      <c r="T140" s="323" t="n"/>
      <c r="U140" s="323" t="n"/>
      <c r="V140" s="323" t="n"/>
      <c r="W140" s="323" t="n"/>
      <c r="X140" s="323" t="n"/>
      <c r="Y140" s="323" t="n"/>
      <c r="Z140" s="323" t="n"/>
      <c r="AA140" s="323" t="n"/>
      <c r="AB140" s="323" t="n"/>
      <c r="AC140" s="323" t="n"/>
      <c r="AD140" s="323" t="n"/>
      <c r="AE140" s="323" t="n"/>
      <c r="AF140" s="323" t="n"/>
    </row>
    <row r="141">
      <c r="C141" s="17" t="n"/>
    </row>
    <row r="142">
      <c r="C142" s="17" t="n"/>
    </row>
    <row r="143">
      <c r="A143" t="inlineStr">
        <is>
          <t>QLD Royalty Calculation</t>
        </is>
      </c>
      <c r="C143" s="17" t="n"/>
    </row>
    <row r="144">
      <c r="C144" s="17" t="n"/>
    </row>
    <row r="145" hidden="1" outlineLevel="1">
      <c r="A145" t="inlineStr">
        <is>
          <t>AUD CPI inflator</t>
        </is>
      </c>
      <c r="C145" s="17" t="n"/>
      <c r="D145" s="324" t="n">
        <v>1</v>
      </c>
      <c r="E145" s="324">
        <f>D145*(1+Assumptions!J49)</f>
        <v/>
      </c>
      <c r="F145" s="324">
        <f>E145*(1+Assumptions!K49)</f>
        <v/>
      </c>
      <c r="G145" s="324">
        <f>F145*(1+Assumptions!L49)</f>
        <v/>
      </c>
      <c r="H145" s="324">
        <f>G145*(1+Assumptions!M49)</f>
        <v/>
      </c>
      <c r="I145" s="324">
        <f>H145*(1+Assumptions!N49)</f>
        <v/>
      </c>
      <c r="J145" s="324">
        <f>I145*(1+Assumptions!O49)</f>
        <v/>
      </c>
      <c r="K145" s="324">
        <f>J145*(1+Assumptions!P49)</f>
        <v/>
      </c>
      <c r="L145" s="324">
        <f>K145*(1+Assumptions!Q49)</f>
        <v/>
      </c>
      <c r="M145" s="324">
        <f>L145*(1+Assumptions!R49)</f>
        <v/>
      </c>
      <c r="N145" s="324">
        <f>M145*(1+Assumptions!S49)</f>
        <v/>
      </c>
      <c r="O145" s="324">
        <f>N145*(1+Assumptions!T49)</f>
        <v/>
      </c>
      <c r="P145" s="324">
        <f>O145*(1+Assumptions!U49)</f>
        <v/>
      </c>
      <c r="Q145" s="324">
        <f>P145*(1+Assumptions!V49)</f>
        <v/>
      </c>
      <c r="R145" s="324">
        <f>Q145*(1+Assumptions!W49)</f>
        <v/>
      </c>
      <c r="S145" s="324">
        <f>R145*(1+Assumptions!X49)</f>
        <v/>
      </c>
      <c r="T145" s="324">
        <f>S145*(1+Assumptions!Y49)</f>
        <v/>
      </c>
      <c r="U145" s="324">
        <f>T145*(1+Assumptions!Z49)</f>
        <v/>
      </c>
      <c r="V145" s="324">
        <f>U145*(1+Assumptions!AA49)</f>
        <v/>
      </c>
      <c r="W145" s="324">
        <f>V145*(1+Assumptions!AB49)</f>
        <v/>
      </c>
      <c r="X145" s="324">
        <f>W145*(1+Assumptions!AC49)</f>
        <v/>
      </c>
      <c r="Y145" s="324">
        <f>X145*(1+Assumptions!AD49)</f>
        <v/>
      </c>
      <c r="Z145" s="324">
        <f>Y145*(1+Assumptions!AE49)</f>
        <v/>
      </c>
      <c r="AA145" s="324">
        <f>Z145*(1+Assumptions!AF49)</f>
        <v/>
      </c>
      <c r="AB145" s="324">
        <f>AA145*(1+Assumptions!AG49)</f>
        <v/>
      </c>
      <c r="AC145" s="324">
        <f>AB145*(1+Assumptions!AH49)</f>
        <v/>
      </c>
      <c r="AD145" s="324">
        <f>AC145*(1+Assumptions!AI49)</f>
        <v/>
      </c>
    </row>
    <row r="146" hidden="1" outlineLevel="1">
      <c r="A146" t="inlineStr">
        <is>
          <t>Export sales</t>
        </is>
      </c>
    </row>
    <row r="147" hidden="1" outlineLevel="1">
      <c r="A147" t="inlineStr">
        <is>
          <t>Nominal realised price</t>
        </is>
      </c>
      <c r="B147" t="inlineStr">
        <is>
          <t xml:space="preserve">A$/t  </t>
        </is>
      </c>
      <c r="D147" s="369">
        <f>D145*D61</f>
        <v/>
      </c>
      <c r="E147" s="369">
        <f>E145*E61</f>
        <v/>
      </c>
      <c r="F147" s="369">
        <f>F145*F61</f>
        <v/>
      </c>
      <c r="G147" s="369">
        <f>G145*G61</f>
        <v/>
      </c>
      <c r="H147" s="369">
        <f>H145*H61</f>
        <v/>
      </c>
      <c r="I147" s="369">
        <f>I145*I61</f>
        <v/>
      </c>
      <c r="J147" s="369">
        <f>J145*J61</f>
        <v/>
      </c>
      <c r="K147" s="369">
        <f>K145*K61</f>
        <v/>
      </c>
      <c r="L147" s="369">
        <f>L145*L61</f>
        <v/>
      </c>
      <c r="M147" s="369">
        <f>M145*M61</f>
        <v/>
      </c>
      <c r="N147" s="369">
        <f>N145*N61</f>
        <v/>
      </c>
      <c r="O147" s="369">
        <f>O145*O61</f>
        <v/>
      </c>
      <c r="P147" s="369">
        <f>P145*P61</f>
        <v/>
      </c>
      <c r="Q147" s="369">
        <f>Q145*Q61</f>
        <v/>
      </c>
      <c r="R147" s="369">
        <f>R145*R61</f>
        <v/>
      </c>
      <c r="S147" s="369">
        <f>S145*S61</f>
        <v/>
      </c>
      <c r="T147" s="369">
        <f>T145*T61</f>
        <v/>
      </c>
      <c r="U147" s="369">
        <f>U145*U61</f>
        <v/>
      </c>
      <c r="V147" s="369">
        <f>V145*V61</f>
        <v/>
      </c>
      <c r="W147" s="369">
        <f>W145*W61</f>
        <v/>
      </c>
      <c r="X147" s="369">
        <f>X145*X61</f>
        <v/>
      </c>
      <c r="Y147" s="369">
        <f>Y145*Y61</f>
        <v/>
      </c>
      <c r="Z147" s="369">
        <f>Z145*Z61</f>
        <v/>
      </c>
      <c r="AA147" s="369">
        <f>AA145*AA61</f>
        <v/>
      </c>
      <c r="AB147" s="369">
        <f>AB145*AB61</f>
        <v/>
      </c>
      <c r="AC147" s="369">
        <f>AC145*AC61</f>
        <v/>
      </c>
      <c r="AD147" s="369">
        <f>AD145*AD61</f>
        <v/>
      </c>
    </row>
    <row r="148" hidden="1" outlineLevel="1">
      <c r="A148" t="inlineStr">
        <is>
          <t>Royalty rate</t>
        </is>
      </c>
      <c r="B148" t="inlineStr">
        <is>
          <t>%</t>
        </is>
      </c>
      <c r="D148" s="296">
        <f>IF(D147&lt;Assumptions!I$29,Assumptions!I$35,IF(D147&lt;Assumptions!I$30,(Assumptions!I$42+(D147-Assumptions!I$29)*Assumptions!I$36)/D147,IF(D147&lt;Assumptions!I$31,(Assumptions!I$43+(D147-Assumptions!I$30)*Assumptions!I$37)/D147,IF(D147&lt;Assumptions!I$32,(Assumptions!I$44+(D147-Assumptions!I$31)*Assumptions!I$38)/D147,IF(D147&lt;Assumptions!I$33,(Assumptions!I$45+(D147-Assumptions!I$32)*Assumptions!I$39)/D147,(Assumptions!I$46+(D147-Assumptions!I$33)*Assumptions!I$40)/D147)))))</f>
        <v/>
      </c>
      <c r="E148" s="296">
        <f>IF(E147&lt;Assumptions!J$29,Assumptions!J$35,IF(E147&lt;Assumptions!J$30,(Assumptions!J$42+(E147-Assumptions!J$29)*Assumptions!J$36)/E147,IF(E147&lt;Assumptions!J$31,(Assumptions!J$43+(E147-Assumptions!J$30)*Assumptions!J$37)/E147,IF(E147&lt;Assumptions!J$32,(Assumptions!J$44+(E147-Assumptions!J$31)*Assumptions!J$38)/E147,IF(E147&lt;Assumptions!J$33,(Assumptions!J$45+(E147-Assumptions!J$32)*Assumptions!J$39)/E147,(Assumptions!J$46+(E147-Assumptions!J$33)*Assumptions!J$40)/E147)))))</f>
        <v/>
      </c>
      <c r="F148" s="296">
        <f>IF(F147&lt;Assumptions!K$29,Assumptions!K$35,IF(F147&lt;Assumptions!K$30,(Assumptions!K$42+(F147-Assumptions!K$29)*Assumptions!K$36)/F147,IF(F147&lt;Assumptions!K$31,(Assumptions!K$43+(F147-Assumptions!K$30)*Assumptions!K$37)/F147,IF(F147&lt;Assumptions!K$32,(Assumptions!K$44+(F147-Assumptions!K$31)*Assumptions!K$38)/F147,IF(F147&lt;Assumptions!K$33,(Assumptions!K$45+(F147-Assumptions!K$32)*Assumptions!K$39)/F147,(Assumptions!K$46+(F147-Assumptions!K$33)*Assumptions!K$40)/F147)))))</f>
        <v/>
      </c>
      <c r="G148" s="296">
        <f>IF(G147&lt;Assumptions!L$29,Assumptions!L$35,IF(G147&lt;Assumptions!L$30,(Assumptions!L$42+(G147-Assumptions!L$29)*Assumptions!L$36)/G147,IF(G147&lt;Assumptions!L$31,(Assumptions!L$43+(G147-Assumptions!L$30)*Assumptions!L$37)/G147,IF(G147&lt;Assumptions!L$32,(Assumptions!L$44+(G147-Assumptions!L$31)*Assumptions!L$38)/G147,IF(G147&lt;Assumptions!L$33,(Assumptions!L$45+(G147-Assumptions!L$32)*Assumptions!L$39)/G147,(Assumptions!L$46+(G147-Assumptions!L$33)*Assumptions!L$40)/G147)))))</f>
        <v/>
      </c>
      <c r="H148" s="296">
        <f>IF(H147&lt;Assumptions!M$29,Assumptions!M$35,IF(H147&lt;Assumptions!M$30,(Assumptions!M$42+(H147-Assumptions!M$29)*Assumptions!M$36)/H147,IF(H147&lt;Assumptions!M$31,(Assumptions!M$43+(H147-Assumptions!M$30)*Assumptions!M$37)/H147,IF(H147&lt;Assumptions!M$32,(Assumptions!M$44+(H147-Assumptions!M$31)*Assumptions!M$38)/H147,IF(H147&lt;Assumptions!M$33,(Assumptions!M$45+(H147-Assumptions!M$32)*Assumptions!M$39)/H147,(Assumptions!M$46+(H147-Assumptions!M$33)*Assumptions!M$40)/H147)))))</f>
        <v/>
      </c>
      <c r="I148" s="296">
        <f>IF(I147&lt;Assumptions!N$29,Assumptions!N$35,IF(I147&lt;Assumptions!N$30,(Assumptions!N$42+(I147-Assumptions!N$29)*Assumptions!N$36)/I147,IF(I147&lt;Assumptions!N$31,(Assumptions!N$43+(I147-Assumptions!N$30)*Assumptions!N$37)/I147,IF(I147&lt;Assumptions!N$32,(Assumptions!N$44+(I147-Assumptions!N$31)*Assumptions!N$38)/I147,IF(I147&lt;Assumptions!N$33,(Assumptions!N$45+(I147-Assumptions!N$32)*Assumptions!N$39)/I147,(Assumptions!N$46+(I147-Assumptions!N$33)*Assumptions!N$40)/I147)))))</f>
        <v/>
      </c>
      <c r="J148" s="296">
        <f>IF(J147&lt;Assumptions!O$29,Assumptions!O$35,IF(J147&lt;Assumptions!O$30,(Assumptions!O$42+(J147-Assumptions!O$29)*Assumptions!O$36)/J147,IF(J147&lt;Assumptions!O$31,(Assumptions!O$43+(J147-Assumptions!O$30)*Assumptions!O$37)/J147,IF(J147&lt;Assumptions!O$32,(Assumptions!O$44+(J147-Assumptions!O$31)*Assumptions!O$38)/J147,IF(J147&lt;Assumptions!O$33,(Assumptions!O$45+(J147-Assumptions!O$32)*Assumptions!O$39)/J147,(Assumptions!O$46+(J147-Assumptions!O$33)*Assumptions!O$40)/J147)))))</f>
        <v/>
      </c>
      <c r="K148" s="296">
        <f>IF(K147&lt;Assumptions!P$29,Assumptions!P$35,IF(K147&lt;Assumptions!P$30,(Assumptions!P$42+(K147-Assumptions!P$29)*Assumptions!P$36)/K147,IF(K147&lt;Assumptions!P$31,(Assumptions!P$43+(K147-Assumptions!P$30)*Assumptions!P$37)/K147,IF(K147&lt;Assumptions!P$32,(Assumptions!P$44+(K147-Assumptions!P$31)*Assumptions!P$38)/K147,IF(K147&lt;Assumptions!P$33,(Assumptions!P$45+(K147-Assumptions!P$32)*Assumptions!P$39)/K147,(Assumptions!P$46+(K147-Assumptions!P$33)*Assumptions!P$40)/K147)))))</f>
        <v/>
      </c>
      <c r="L148" s="296">
        <f>IF(L147&lt;Assumptions!Q$29,Assumptions!Q$35,IF(L147&lt;Assumptions!Q$30,(Assumptions!Q$42+(L147-Assumptions!Q$29)*Assumptions!Q$36)/L147,IF(L147&lt;Assumptions!Q$31,(Assumptions!Q$43+(L147-Assumptions!Q$30)*Assumptions!Q$37)/L147,IF(L147&lt;Assumptions!Q$32,(Assumptions!Q$44+(L147-Assumptions!Q$31)*Assumptions!Q$38)/L147,IF(L147&lt;Assumptions!Q$33,(Assumptions!Q$45+(L147-Assumptions!Q$32)*Assumptions!Q$39)/L147,(Assumptions!Q$46+(L147-Assumptions!Q$33)*Assumptions!Q$40)/L147)))))</f>
        <v/>
      </c>
      <c r="M148" s="296">
        <f>IF(M147&lt;Assumptions!R$29,Assumptions!R$35,IF(M147&lt;Assumptions!R$30,(Assumptions!R$42+(M147-Assumptions!R$29)*Assumptions!R$36)/M147,IF(M147&lt;Assumptions!R$31,(Assumptions!R$43+(M147-Assumptions!R$30)*Assumptions!R$37)/M147,IF(M147&lt;Assumptions!R$32,(Assumptions!R$44+(M147-Assumptions!R$31)*Assumptions!R$38)/M147,IF(M147&lt;Assumptions!R$33,(Assumptions!R$45+(M147-Assumptions!R$32)*Assumptions!R$39)/M147,(Assumptions!R$46+(M147-Assumptions!R$33)*Assumptions!R$40)/M147)))))</f>
        <v/>
      </c>
      <c r="N148" s="296">
        <f>IF(N147&lt;Assumptions!S$29,Assumptions!S$35,IF(N147&lt;Assumptions!S$30,(Assumptions!S$42+(N147-Assumptions!S$29)*Assumptions!S$36)/N147,IF(N147&lt;Assumptions!S$31,(Assumptions!S$43+(N147-Assumptions!S$30)*Assumptions!S$37)/N147,IF(N147&lt;Assumptions!S$32,(Assumptions!S$44+(N147-Assumptions!S$31)*Assumptions!S$38)/N147,IF(N147&lt;Assumptions!S$33,(Assumptions!S$45+(N147-Assumptions!S$32)*Assumptions!S$39)/N147,(Assumptions!S$46+(N147-Assumptions!S$33)*Assumptions!S$40)/N147)))))</f>
        <v/>
      </c>
      <c r="O148" s="296">
        <f>IF(O147&lt;Assumptions!T$29,Assumptions!T$35,IF(O147&lt;Assumptions!T$30,(Assumptions!T$42+(O147-Assumptions!T$29)*Assumptions!T$36)/O147,IF(O147&lt;Assumptions!T$31,(Assumptions!T$43+(O147-Assumptions!T$30)*Assumptions!T$37)/O147,IF(O147&lt;Assumptions!T$32,(Assumptions!T$44+(O147-Assumptions!T$31)*Assumptions!T$38)/O147,IF(O147&lt;Assumptions!T$33,(Assumptions!T$45+(O147-Assumptions!T$32)*Assumptions!T$39)/O147,(Assumptions!T$46+(O147-Assumptions!T$33)*Assumptions!T$40)/O147)))))</f>
        <v/>
      </c>
      <c r="P148" s="296">
        <f>IF(P147&lt;Assumptions!U$29,Assumptions!U$35,IF(P147&lt;Assumptions!U$30,(Assumptions!U$42+(P147-Assumptions!U$29)*Assumptions!U$36)/P147,IF(P147&lt;Assumptions!U$31,(Assumptions!U$43+(P147-Assumptions!U$30)*Assumptions!U$37)/P147,IF(P147&lt;Assumptions!U$32,(Assumptions!U$44+(P147-Assumptions!U$31)*Assumptions!U$38)/P147,IF(P147&lt;Assumptions!U$33,(Assumptions!U$45+(P147-Assumptions!U$32)*Assumptions!U$39)/P147,(Assumptions!U$46+(P147-Assumptions!U$33)*Assumptions!U$40)/P147)))))</f>
        <v/>
      </c>
      <c r="Q148" s="296">
        <f>IF(Q147&lt;Assumptions!V$29,Assumptions!V$35,IF(Q147&lt;Assumptions!V$30,(Assumptions!V$42+(Q147-Assumptions!V$29)*Assumptions!V$36)/Q147,IF(Q147&lt;Assumptions!V$31,(Assumptions!V$43+(Q147-Assumptions!V$30)*Assumptions!V$37)/Q147,IF(Q147&lt;Assumptions!V$32,(Assumptions!V$44+(Q147-Assumptions!V$31)*Assumptions!V$38)/Q147,IF(Q147&lt;Assumptions!V$33,(Assumptions!V$45+(Q147-Assumptions!V$32)*Assumptions!V$39)/Q147,(Assumptions!V$46+(Q147-Assumptions!V$33)*Assumptions!V$40)/Q147)))))</f>
        <v/>
      </c>
      <c r="R148" s="296">
        <f>IF(R147&lt;Assumptions!W$29,Assumptions!W$35,IF(R147&lt;Assumptions!W$30,(Assumptions!W$42+(R147-Assumptions!W$29)*Assumptions!W$36)/R147,IF(R147&lt;Assumptions!W$31,(Assumptions!W$43+(R147-Assumptions!W$30)*Assumptions!W$37)/R147,IF(R147&lt;Assumptions!W$32,(Assumptions!W$44+(R147-Assumptions!W$31)*Assumptions!W$38)/R147,IF(R147&lt;Assumptions!W$33,(Assumptions!W$45+(R147-Assumptions!W$32)*Assumptions!W$39)/R147,(Assumptions!W$46+(R147-Assumptions!W$33)*Assumptions!W$40)/R147)))))</f>
        <v/>
      </c>
      <c r="S148" s="296">
        <f>IF(S147&lt;Assumptions!X$29,Assumptions!X$35,IF(S147&lt;Assumptions!X$30,(Assumptions!X$42+(S147-Assumptions!X$29)*Assumptions!X$36)/S147,IF(S147&lt;Assumptions!X$31,(Assumptions!X$43+(S147-Assumptions!X$30)*Assumptions!X$37)/S147,IF(S147&lt;Assumptions!X$32,(Assumptions!X$44+(S147-Assumptions!X$31)*Assumptions!X$38)/S147,IF(S147&lt;Assumptions!X$33,(Assumptions!X$45+(S147-Assumptions!X$32)*Assumptions!X$39)/S147,(Assumptions!X$46+(S147-Assumptions!X$33)*Assumptions!X$40)/S147)))))</f>
        <v/>
      </c>
      <c r="T148" s="296">
        <f>IF(T147&lt;Assumptions!Y$29,Assumptions!Y$35,IF(T147&lt;Assumptions!Y$30,(Assumptions!Y$42+(T147-Assumptions!Y$29)*Assumptions!Y$36)/T147,IF(T147&lt;Assumptions!Y$31,(Assumptions!Y$43+(T147-Assumptions!Y$30)*Assumptions!Y$37)/T147,IF(T147&lt;Assumptions!Y$32,(Assumptions!Y$44+(T147-Assumptions!Y$31)*Assumptions!Y$38)/T147,IF(T147&lt;Assumptions!Y$33,(Assumptions!Y$45+(T147-Assumptions!Y$32)*Assumptions!Y$39)/T147,(Assumptions!Y$46+(T147-Assumptions!Y$33)*Assumptions!Y$40)/T147)))))</f>
        <v/>
      </c>
      <c r="U148" s="296">
        <f>IF(U147&lt;Assumptions!Z$29,Assumptions!Z$35,IF(U147&lt;Assumptions!Z$30,(Assumptions!Z$42+(U147-Assumptions!Z$29)*Assumptions!Z$36)/U147,IF(U147&lt;Assumptions!Z$31,(Assumptions!Z$43+(U147-Assumptions!Z$30)*Assumptions!Z$37)/U147,IF(U147&lt;Assumptions!Z$32,(Assumptions!Z$44+(U147-Assumptions!Z$31)*Assumptions!Z$38)/U147,IF(U147&lt;Assumptions!Z$33,(Assumptions!Z$45+(U147-Assumptions!Z$32)*Assumptions!Z$39)/U147,(Assumptions!Z$46+(U147-Assumptions!Z$33)*Assumptions!Z$40)/U147)))))</f>
        <v/>
      </c>
      <c r="V148" s="296">
        <f>IF(V147&lt;Assumptions!AA$29,Assumptions!AA$35,IF(V147&lt;Assumptions!AA$30,(Assumptions!AA$42+(V147-Assumptions!AA$29)*Assumptions!AA$36)/V147,IF(V147&lt;Assumptions!AA$31,(Assumptions!AA$43+(V147-Assumptions!AA$30)*Assumptions!AA$37)/V147,IF(V147&lt;Assumptions!AA$32,(Assumptions!AA$44+(V147-Assumptions!AA$31)*Assumptions!AA$38)/V147,IF(V147&lt;Assumptions!AA$33,(Assumptions!AA$45+(V147-Assumptions!AA$32)*Assumptions!AA$39)/V147,(Assumptions!AA$46+(V147-Assumptions!AA$33)*Assumptions!AA$40)/V147)))))</f>
        <v/>
      </c>
      <c r="W148" s="296">
        <f>IF(W147&lt;Assumptions!AB$29,Assumptions!AB$35,IF(W147&lt;Assumptions!AB$30,(Assumptions!AB$42+(W147-Assumptions!AB$29)*Assumptions!AB$36)/W147,IF(W147&lt;Assumptions!AB$31,(Assumptions!AB$43+(W147-Assumptions!AB$30)*Assumptions!AB$37)/W147,IF(W147&lt;Assumptions!AB$32,(Assumptions!AB$44+(W147-Assumptions!AB$31)*Assumptions!AB$38)/W147,IF(W147&lt;Assumptions!AB$33,(Assumptions!AB$45+(W147-Assumptions!AB$32)*Assumptions!AB$39)/W147,(Assumptions!AB$46+(W147-Assumptions!AB$33)*Assumptions!AB$40)/W147)))))</f>
        <v/>
      </c>
      <c r="X148" s="296">
        <f>IF(X147&lt;Assumptions!AC$29,Assumptions!AC$35,IF(X147&lt;Assumptions!AC$30,(Assumptions!AC$42+(X147-Assumptions!AC$29)*Assumptions!AC$36)/X147,IF(X147&lt;Assumptions!AC$31,(Assumptions!AC$43+(X147-Assumptions!AC$30)*Assumptions!AC$37)/X147,IF(X147&lt;Assumptions!AC$32,(Assumptions!AC$44+(X147-Assumptions!AC$31)*Assumptions!AC$38)/X147,IF(X147&lt;Assumptions!AC$33,(Assumptions!AC$45+(X147-Assumptions!AC$32)*Assumptions!AC$39)/X147,(Assumptions!AC$46+(X147-Assumptions!AC$33)*Assumptions!AC$40)/X147)))))</f>
        <v/>
      </c>
      <c r="Y148" s="296">
        <f>IF(Y147&lt;Assumptions!AD$29,Assumptions!AD$35,IF(Y147&lt;Assumptions!AD$30,(Assumptions!AD$42+(Y147-Assumptions!AD$29)*Assumptions!AD$36)/Y147,IF(Y147&lt;Assumptions!AD$31,(Assumptions!AD$43+(Y147-Assumptions!AD$30)*Assumptions!AD$37)/Y147,IF(Y147&lt;Assumptions!AD$32,(Assumptions!AD$44+(Y147-Assumptions!AD$31)*Assumptions!AD$38)/Y147,IF(Y147&lt;Assumptions!AD$33,(Assumptions!AD$45+(Y147-Assumptions!AD$32)*Assumptions!AD$39)/Y147,(Assumptions!AD$46+(Y147-Assumptions!AD$33)*Assumptions!AD$40)/Y147)))))</f>
        <v/>
      </c>
      <c r="Z148" s="296">
        <f>IF(Z147&lt;Assumptions!AE$29,Assumptions!AE$35,IF(Z147&lt;Assumptions!AE$30,(Assumptions!AE$42+(Z147-Assumptions!AE$29)*Assumptions!AE$36)/Z147,IF(Z147&lt;Assumptions!AE$31,(Assumptions!AE$43+(Z147-Assumptions!AE$30)*Assumptions!AE$37)/Z147,IF(Z147&lt;Assumptions!AE$32,(Assumptions!AE$44+(Z147-Assumptions!AE$31)*Assumptions!AE$38)/Z147,IF(Z147&lt;Assumptions!AE$33,(Assumptions!AE$45+(Z147-Assumptions!AE$32)*Assumptions!AE$39)/Z147,(Assumptions!AE$46+(Z147-Assumptions!AE$33)*Assumptions!AE$40)/Z147)))))</f>
        <v/>
      </c>
      <c r="AA148" s="296">
        <f>IF(AA147&lt;Assumptions!AF$29,Assumptions!AF$35,IF(AA147&lt;Assumptions!AF$30,(Assumptions!AF$42+(AA147-Assumptions!AF$29)*Assumptions!AF$36)/AA147,IF(AA147&lt;Assumptions!AF$31,(Assumptions!AF$43+(AA147-Assumptions!AF$30)*Assumptions!AF$37)/AA147,IF(AA147&lt;Assumptions!AF$32,(Assumptions!AF$44+(AA147-Assumptions!AF$31)*Assumptions!AF$38)/AA147,IF(AA147&lt;Assumptions!AF$33,(Assumptions!AF$45+(AA147-Assumptions!AF$32)*Assumptions!AF$39)/AA147,(Assumptions!AF$46+(AA147-Assumptions!AF$33)*Assumptions!AF$40)/AA147)))))</f>
        <v/>
      </c>
      <c r="AB148" s="296">
        <f>IF(AB147&lt;Assumptions!AG$29,Assumptions!AG$35,IF(AB147&lt;Assumptions!AG$30,(Assumptions!AG$42+(AB147-Assumptions!AG$29)*Assumptions!AG$36)/AB147,IF(AB147&lt;Assumptions!AG$31,(Assumptions!AG$43+(AB147-Assumptions!AG$30)*Assumptions!AG$37)/AB147,IF(AB147&lt;Assumptions!AG$32,(Assumptions!AG$44+(AB147-Assumptions!AG$31)*Assumptions!AG$38)/AB147,IF(AB147&lt;Assumptions!AG$33,(Assumptions!AG$45+(AB147-Assumptions!AG$32)*Assumptions!AG$39)/AB147,(Assumptions!AG$46+(AB147-Assumptions!AG$33)*Assumptions!AG$40)/AB147)))))</f>
        <v/>
      </c>
      <c r="AC148" s="296">
        <f>IF(AC147&lt;Assumptions!AH$29,Assumptions!AH$35,IF(AC147&lt;Assumptions!AH$30,(Assumptions!AH$42+(AC147-Assumptions!AH$29)*Assumptions!AH$36)/AC147,IF(AC147&lt;Assumptions!AH$31,(Assumptions!AH$43+(AC147-Assumptions!AH$30)*Assumptions!AH$37)/AC147,IF(AC147&lt;Assumptions!AH$32,(Assumptions!AH$44+(AC147-Assumptions!AH$31)*Assumptions!AH$38)/AC147,IF(AC147&lt;Assumptions!AH$33,(Assumptions!AH$45+(AC147-Assumptions!AH$32)*Assumptions!AH$39)/AC147,(Assumptions!AH$46+(AC147-Assumptions!AH$33)*Assumptions!AH$40)/AC147)))))</f>
        <v/>
      </c>
      <c r="AD148" s="296">
        <f>IF(AD147&lt;Assumptions!AI$29,Assumptions!AI$35,IF(AD147&lt;Assumptions!AI$30,(Assumptions!AI$42+(AD147-Assumptions!AI$29)*Assumptions!AI$36)/AD147,IF(AD147&lt;Assumptions!AI$31,(Assumptions!AI$43+(AD147-Assumptions!AI$30)*Assumptions!AI$37)/AD147,IF(AD147&lt;Assumptions!AI$32,(Assumptions!AI$44+(AD147-Assumptions!AI$31)*Assumptions!AI$38)/AD147,IF(AD147&lt;Assumptions!AI$33,(Assumptions!AI$45+(AD147-Assumptions!AI$32)*Assumptions!AI$39)/AD147,(Assumptions!AI$46+(AD147-Assumptions!AI$33)*Assumptions!AI$40)/AD147)))))</f>
        <v/>
      </c>
    </row>
    <row r="149" hidden="1" outlineLevel="1">
      <c r="A149" t="inlineStr">
        <is>
          <t>Nominal deduction</t>
        </is>
      </c>
      <c r="B149" t="inlineStr">
        <is>
          <t xml:space="preserve">A$/t  </t>
        </is>
      </c>
      <c r="D149">
        <f>IFERROR((D94+D95)/D36,0)</f>
        <v/>
      </c>
      <c r="E149">
        <f>IFERROR((E94+E95)/E36,0)</f>
        <v/>
      </c>
      <c r="F149">
        <f>IFERROR((F94+F95)/F36,0)</f>
        <v/>
      </c>
      <c r="G149">
        <f>IFERROR((G94+G95)/G36,0)</f>
        <v/>
      </c>
      <c r="H149">
        <f>IFERROR((H94+H95)/H36,0)</f>
        <v/>
      </c>
      <c r="I149">
        <f>IFERROR((I94+I95)/I36,0)</f>
        <v/>
      </c>
      <c r="J149">
        <f>IFERROR((J94+J95)/J36,0)</f>
        <v/>
      </c>
      <c r="K149">
        <f>IFERROR((K94+K95)/K36,0)</f>
        <v/>
      </c>
      <c r="L149">
        <f>IFERROR((L94+L95)/L36,0)</f>
        <v/>
      </c>
      <c r="M149">
        <f>IFERROR((M94+M95)/M36,0)</f>
        <v/>
      </c>
      <c r="N149">
        <f>IFERROR((N94+N95)/N36,0)</f>
        <v/>
      </c>
      <c r="O149">
        <f>IFERROR((O94+O95)/O36,0)</f>
        <v/>
      </c>
      <c r="P149">
        <f>IFERROR((P94+P95)/P36,0)</f>
        <v/>
      </c>
      <c r="Q149">
        <f>IFERROR((Q94+Q95)/Q36,0)</f>
        <v/>
      </c>
      <c r="R149">
        <f>IFERROR((R94+R95)/R36,0)</f>
        <v/>
      </c>
      <c r="S149">
        <f>IFERROR((S94+S95)/S36,0)</f>
        <v/>
      </c>
      <c r="T149">
        <f>IFERROR((T94+T95)/T36,0)</f>
        <v/>
      </c>
      <c r="U149">
        <f>IFERROR((U94+U95)/U36,0)</f>
        <v/>
      </c>
      <c r="V149">
        <f>IFERROR((V94+V95)/V36,0)</f>
        <v/>
      </c>
      <c r="W149">
        <f>IFERROR((W94+W95)/W36,0)</f>
        <v/>
      </c>
      <c r="X149">
        <f>IFERROR((X94+X95)/X36,0)</f>
        <v/>
      </c>
      <c r="Y149">
        <f>IFERROR((Y94+Y95)/Y36,0)</f>
        <v/>
      </c>
      <c r="Z149">
        <f>IFERROR((Z94+Z95)/Z36,0)</f>
        <v/>
      </c>
      <c r="AA149">
        <f>IFERROR((AA94+AA95)/AA36,0)</f>
        <v/>
      </c>
      <c r="AB149">
        <f>IFERROR((AB94+AB95)/AB36,0)</f>
        <v/>
      </c>
      <c r="AC149">
        <f>IFERROR((AC94+AC95)/AC36,0)</f>
        <v/>
      </c>
      <c r="AD149">
        <f>IFERROR((AD94+AD95)/AD36,0)</f>
        <v/>
      </c>
    </row>
    <row r="150" hidden="1" outlineLevel="1">
      <c r="A150" t="inlineStr">
        <is>
          <t>Nominal royalty payable</t>
        </is>
      </c>
      <c r="B150" t="inlineStr">
        <is>
          <t xml:space="preserve">A$/t  </t>
        </is>
      </c>
      <c r="D150" s="363">
        <f>(D147-D149)*D148</f>
        <v/>
      </c>
      <c r="E150" s="363">
        <f>(E147-E149)*E148</f>
        <v/>
      </c>
      <c r="F150" s="363">
        <f>(F147-F149)*F148</f>
        <v/>
      </c>
      <c r="G150" s="363">
        <f>(G147-G149)*G148</f>
        <v/>
      </c>
      <c r="H150" s="363">
        <f>(H147-H149)*H148</f>
        <v/>
      </c>
      <c r="I150" s="363">
        <f>(I147-I149)*I148</f>
        <v/>
      </c>
      <c r="J150" s="363">
        <f>(J147-J149)*J148</f>
        <v/>
      </c>
      <c r="K150" s="363">
        <f>(K147-K149)*K148</f>
        <v/>
      </c>
      <c r="L150" s="363">
        <f>(L147-L149)*L148</f>
        <v/>
      </c>
      <c r="M150" s="363">
        <f>(M147-M149)*M148</f>
        <v/>
      </c>
      <c r="N150" s="363">
        <f>(N147-N149)*N148</f>
        <v/>
      </c>
      <c r="O150" s="363">
        <f>(O147-O149)*O148</f>
        <v/>
      </c>
      <c r="P150" s="363">
        <f>(P147-P149)*P148</f>
        <v/>
      </c>
      <c r="Q150" s="363">
        <f>(Q147-Q149)*Q148</f>
        <v/>
      </c>
      <c r="R150" s="363">
        <f>(R147-R149)*R148</f>
        <v/>
      </c>
      <c r="S150" s="363">
        <f>(S147-S149)*S148</f>
        <v/>
      </c>
      <c r="T150" s="363">
        <f>(T147-T149)*T148</f>
        <v/>
      </c>
      <c r="U150" s="363">
        <f>(U147-U149)*U148</f>
        <v/>
      </c>
      <c r="V150" s="363">
        <f>(V147-V149)*V148</f>
        <v/>
      </c>
      <c r="W150" s="363">
        <f>(W147-W149)*W148</f>
        <v/>
      </c>
      <c r="X150" s="363">
        <f>(X147-X149)*X148</f>
        <v/>
      </c>
      <c r="Y150" s="363">
        <f>(Y147-Y149)*Y148</f>
        <v/>
      </c>
      <c r="Z150" s="363">
        <f>(Z147-Z149)*Z148</f>
        <v/>
      </c>
      <c r="AA150" s="363">
        <f>(AA147-AA149)*AA148</f>
        <v/>
      </c>
      <c r="AB150" s="363">
        <f>(AB147-AB149)*AB148</f>
        <v/>
      </c>
      <c r="AC150" s="363">
        <f>(AC147-AC149)*AC148</f>
        <v/>
      </c>
      <c r="AD150" s="363">
        <f>(AD147-AD149)*AD148</f>
        <v/>
      </c>
    </row>
    <row r="151" hidden="1" outlineLevel="1">
      <c r="A151" t="inlineStr">
        <is>
          <t>Real royalty payable</t>
        </is>
      </c>
      <c r="B151" t="inlineStr">
        <is>
          <t xml:space="preserve">A$/t  </t>
        </is>
      </c>
      <c r="D151" s="363">
        <f>D150/D145</f>
        <v/>
      </c>
      <c r="E151" s="363">
        <f>E150/E145</f>
        <v/>
      </c>
      <c r="F151" s="363">
        <f>F150/F145</f>
        <v/>
      </c>
      <c r="G151" s="363">
        <f>G150/G145</f>
        <v/>
      </c>
      <c r="H151" s="363">
        <f>H150/H145</f>
        <v/>
      </c>
      <c r="I151" s="363">
        <f>I150/I145</f>
        <v/>
      </c>
      <c r="J151" s="363">
        <f>J150/J145</f>
        <v/>
      </c>
      <c r="K151" s="363">
        <f>K150/K145</f>
        <v/>
      </c>
      <c r="L151" s="363">
        <f>L150/L145</f>
        <v/>
      </c>
      <c r="M151" s="363">
        <f>M150/M145</f>
        <v/>
      </c>
      <c r="N151" s="363">
        <f>N150/N145</f>
        <v/>
      </c>
      <c r="O151" s="363">
        <f>O150/O145</f>
        <v/>
      </c>
      <c r="P151" s="363">
        <f>P150/P145</f>
        <v/>
      </c>
      <c r="Q151" s="363">
        <f>Q150/Q145</f>
        <v/>
      </c>
      <c r="R151" s="363">
        <f>R150/R145</f>
        <v/>
      </c>
      <c r="S151" s="363">
        <f>S150/S145</f>
        <v/>
      </c>
      <c r="T151" s="363">
        <f>T150/T145</f>
        <v/>
      </c>
      <c r="U151" s="363">
        <f>U150/U145</f>
        <v/>
      </c>
      <c r="V151" s="363">
        <f>V150/V145</f>
        <v/>
      </c>
      <c r="W151" s="363">
        <f>W150/W145</f>
        <v/>
      </c>
      <c r="X151" s="363">
        <f>X150/X145</f>
        <v/>
      </c>
      <c r="Y151" s="363">
        <f>Y150/Y145</f>
        <v/>
      </c>
      <c r="Z151" s="363">
        <f>Z150/Z145</f>
        <v/>
      </c>
      <c r="AA151" s="363">
        <f>AA150/AA145</f>
        <v/>
      </c>
      <c r="AB151" s="363">
        <f>AB150/AB145</f>
        <v/>
      </c>
      <c r="AC151" s="363">
        <f>AC150/AC145</f>
        <v/>
      </c>
      <c r="AD151" s="363">
        <f>AD150/AD145</f>
        <v/>
      </c>
    </row>
    <row r="152" hidden="1" outlineLevel="1"/>
    <row r="153" hidden="1" outlineLevel="1">
      <c r="A153" t="inlineStr">
        <is>
          <t>Royalty - Government Export (FOB) excl Nominal Deduction</t>
        </is>
      </c>
      <c r="D153" s="363">
        <f>D147*D148</f>
        <v/>
      </c>
      <c r="E153" s="363">
        <f>E147*E148</f>
        <v/>
      </c>
      <c r="F153" s="363">
        <f>F147*F148</f>
        <v/>
      </c>
      <c r="G153" s="363">
        <f>G147*G148</f>
        <v/>
      </c>
      <c r="H153" s="363">
        <f>H147*H148</f>
        <v/>
      </c>
      <c r="I153" s="363">
        <f>I147*I148</f>
        <v/>
      </c>
      <c r="J153" s="363">
        <f>J147*J148</f>
        <v/>
      </c>
      <c r="K153" s="363">
        <f>K147*K148</f>
        <v/>
      </c>
      <c r="L153" s="363">
        <f>L147*L148</f>
        <v/>
      </c>
      <c r="M153" s="363">
        <f>M147*M148</f>
        <v/>
      </c>
      <c r="N153" s="363">
        <f>N147*N148</f>
        <v/>
      </c>
      <c r="O153" s="363">
        <f>O147*O148</f>
        <v/>
      </c>
      <c r="P153" s="363">
        <f>P147*P148</f>
        <v/>
      </c>
      <c r="Q153" s="363">
        <f>Q147*Q148</f>
        <v/>
      </c>
      <c r="R153" s="363">
        <f>R147*R148</f>
        <v/>
      </c>
      <c r="S153" s="363">
        <f>S147*S148</f>
        <v/>
      </c>
      <c r="T153" s="363">
        <f>T147*T148</f>
        <v/>
      </c>
      <c r="U153" s="363">
        <f>U147*U148</f>
        <v/>
      </c>
      <c r="V153" s="363">
        <f>V147*V148</f>
        <v/>
      </c>
      <c r="W153" s="363">
        <f>W147*W148</f>
        <v/>
      </c>
      <c r="X153" s="363">
        <f>X147*X148</f>
        <v/>
      </c>
      <c r="Y153" s="363">
        <f>Y147*Y148</f>
        <v/>
      </c>
      <c r="Z153" s="363">
        <f>Z147*Z148</f>
        <v/>
      </c>
      <c r="AA153" s="363">
        <f>AA147*AA148</f>
        <v/>
      </c>
      <c r="AB153" s="363">
        <f>AB147*AB148</f>
        <v/>
      </c>
      <c r="AC153" s="363">
        <f>AC147*AC148</f>
        <v/>
      </c>
      <c r="AD153" s="363">
        <f>AD147*AD148</f>
        <v/>
      </c>
    </row>
    <row r="154" collapsed="1"/>
  </sheetData>
  <pageMargins left="0.7" right="0.7" top="0.75" bottom="0.75" header="0.3" footer="0.3"/>
  <pageSetup orientation="portrait" paperSize="8" scale="3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00B050"/>
    <outlinePr summaryBelow="1" summaryRight="1"/>
    <pageSetUpPr/>
  </sheetPr>
  <dimension ref="A1:Y7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1" sqref="C61"/>
    </sheetView>
  </sheetViews>
  <sheetFormatPr baseColWidth="10" defaultColWidth="8.83203125" defaultRowHeight="15"/>
  <cols>
    <col width="42.5" customWidth="1" min="1" max="1"/>
    <col width="15.83203125" customWidth="1" min="2" max="2"/>
    <col width="12.5" bestFit="1" customWidth="1" min="3" max="3"/>
  </cols>
  <sheetData>
    <row r="1">
      <c r="A1" s="307" t="inlineStr">
        <is>
          <t>SandsEnd Capital</t>
        </is>
      </c>
      <c r="C1" s="52" t="n"/>
      <c r="D1" s="306">
        <f>'OC Clean'!D2</f>
        <v/>
      </c>
      <c r="E1" s="306">
        <f>D1+1</f>
        <v/>
      </c>
      <c r="F1" s="306">
        <f>E1+1</f>
        <v/>
      </c>
      <c r="G1" s="306">
        <f>F1+1</f>
        <v/>
      </c>
      <c r="H1" s="306">
        <f>G1+1</f>
        <v/>
      </c>
      <c r="I1" s="306">
        <f>H1+1</f>
        <v/>
      </c>
      <c r="J1" s="306">
        <f>I1+1</f>
        <v/>
      </c>
      <c r="K1" s="306">
        <f>J1+1</f>
        <v/>
      </c>
      <c r="L1" s="306">
        <f>K1+1</f>
        <v/>
      </c>
      <c r="M1" s="306">
        <f>L1+1</f>
        <v/>
      </c>
      <c r="N1" s="306">
        <f>M1+1</f>
        <v/>
      </c>
      <c r="O1" s="306">
        <f>N1+1</f>
        <v/>
      </c>
      <c r="P1" s="306">
        <f>O1+1</f>
        <v/>
      </c>
      <c r="Q1" s="306">
        <f>P1+1</f>
        <v/>
      </c>
      <c r="R1" s="306">
        <f>Q1+1</f>
        <v/>
      </c>
      <c r="S1" s="306">
        <f>R1+1</f>
        <v/>
      </c>
      <c r="T1" s="306">
        <f>S1+1</f>
        <v/>
      </c>
      <c r="U1" s="306">
        <f>T1+1</f>
        <v/>
      </c>
      <c r="V1" s="306">
        <f>U1+1</f>
        <v/>
      </c>
      <c r="W1" s="306">
        <f>V1+1</f>
        <v/>
      </c>
      <c r="X1" s="306">
        <f>W1+1</f>
        <v/>
      </c>
      <c r="Y1" s="306">
        <f>X1+1</f>
        <v/>
      </c>
    </row>
    <row r="2" ht="16" customHeight="1" thickBot="1"/>
    <row r="3">
      <c r="A3" s="96" t="inlineStr">
        <is>
          <t xml:space="preserve">Capital Items - Units </t>
        </is>
      </c>
      <c r="B3" s="97" t="n"/>
      <c r="C3" s="97" t="n"/>
      <c r="D3" s="98" t="inlineStr">
        <is>
          <t>Insert Unit Numbers by Year Below</t>
        </is>
      </c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</row>
    <row r="4">
      <c r="A4" s="100" t="inlineStr">
        <is>
          <t>Project Cost (Feasibility and exploration)</t>
        </is>
      </c>
      <c r="B4" t="inlineStr">
        <is>
          <t>AUD$k</t>
        </is>
      </c>
      <c r="C4" s="409" t="n">
        <v>8000</v>
      </c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  <c r="Y4" s="102" t="n"/>
    </row>
    <row r="5">
      <c r="A5" s="151" t="inlineStr">
        <is>
          <t>1 x 300t Excavator</t>
        </is>
      </c>
      <c r="B5" s="113" t="inlineStr">
        <is>
          <t>AUD$k</t>
        </is>
      </c>
      <c r="C5" s="410" t="n">
        <v>5000</v>
      </c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</row>
    <row r="6">
      <c r="A6" s="151" t="inlineStr">
        <is>
          <t>1 x 400t Excavator</t>
        </is>
      </c>
      <c r="B6" s="113" t="inlineStr">
        <is>
          <t>AUD$k</t>
        </is>
      </c>
      <c r="C6" s="410" t="n">
        <v>10000</v>
      </c>
      <c r="D6" s="102" t="n"/>
      <c r="E6" s="102" t="n"/>
      <c r="F6" s="102" t="n"/>
      <c r="G6" s="102" t="n"/>
      <c r="H6" s="102" t="n"/>
      <c r="I6" s="102" t="n"/>
      <c r="J6" s="102" t="n"/>
      <c r="K6" s="102" t="n"/>
      <c r="L6" s="102" t="n"/>
      <c r="M6" s="102" t="n"/>
      <c r="N6" s="102" t="n"/>
      <c r="O6" s="102" t="n"/>
      <c r="P6" s="102" t="n"/>
      <c r="Q6" s="102" t="n"/>
      <c r="R6" s="102" t="n"/>
      <c r="S6" s="102" t="n"/>
      <c r="T6" s="102" t="n"/>
      <c r="U6" s="102" t="n"/>
      <c r="V6" s="102" t="n"/>
      <c r="W6" s="102" t="n"/>
      <c r="X6" s="102" t="n"/>
      <c r="Y6" s="102" t="n"/>
    </row>
    <row r="7">
      <c r="A7" s="151" t="inlineStr">
        <is>
          <t>1 x 600t Excavator</t>
        </is>
      </c>
      <c r="B7" s="113" t="inlineStr">
        <is>
          <t>AUD$k</t>
        </is>
      </c>
      <c r="C7" s="410" t="n">
        <v>14000</v>
      </c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P7" s="102" t="n"/>
      <c r="Q7" s="102" t="n"/>
      <c r="R7" s="102" t="n"/>
      <c r="S7" s="102" t="n"/>
      <c r="T7" s="102" t="n"/>
      <c r="U7" s="102" t="n"/>
      <c r="V7" s="102" t="n"/>
      <c r="W7" s="102" t="n"/>
      <c r="X7" s="102" t="n"/>
      <c r="Y7" s="102" t="n"/>
    </row>
    <row r="8">
      <c r="A8" s="151" t="inlineStr">
        <is>
          <t>1 x 800t Excavator</t>
        </is>
      </c>
      <c r="B8" s="113" t="inlineStr">
        <is>
          <t>AUD$k</t>
        </is>
      </c>
      <c r="C8" s="410" t="n">
        <v>20000</v>
      </c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P8" s="102" t="n"/>
      <c r="Q8" s="102" t="n"/>
      <c r="R8" s="102" t="n"/>
      <c r="S8" s="102" t="n"/>
      <c r="T8" s="102" t="n"/>
      <c r="U8" s="102" t="n"/>
      <c r="V8" s="102" t="n"/>
      <c r="W8" s="102" t="n"/>
      <c r="X8" s="102" t="n"/>
      <c r="Y8" s="102" t="n"/>
    </row>
    <row r="9">
      <c r="A9" s="151" t="inlineStr">
        <is>
          <t>1 x 320t  Truck</t>
        </is>
      </c>
      <c r="B9" s="113" t="inlineStr">
        <is>
          <t>AUD$k</t>
        </is>
      </c>
      <c r="C9" s="410" t="n">
        <v>8000</v>
      </c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W9" s="102" t="n"/>
      <c r="X9" s="102" t="n"/>
      <c r="Y9" s="102" t="n"/>
    </row>
    <row r="10">
      <c r="A10" s="151" t="inlineStr">
        <is>
          <t>1 x 230t  Truck</t>
        </is>
      </c>
      <c r="B10" s="113" t="inlineStr">
        <is>
          <t>AUD$k</t>
        </is>
      </c>
      <c r="C10" s="410" t="n">
        <v>6000</v>
      </c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02" t="n"/>
      <c r="Q10" s="102" t="n"/>
      <c r="R10" s="102" t="n"/>
      <c r="S10" s="102" t="n"/>
      <c r="T10" s="102" t="n"/>
      <c r="U10" s="102" t="n"/>
      <c r="V10" s="102" t="n"/>
      <c r="W10" s="102" t="n"/>
      <c r="X10" s="102" t="n"/>
      <c r="Y10" s="102" t="n"/>
    </row>
    <row r="11">
      <c r="A11" s="151" t="inlineStr">
        <is>
          <t>1 x 190t  Truck</t>
        </is>
      </c>
      <c r="B11" s="113" t="inlineStr">
        <is>
          <t>AUD$k</t>
        </is>
      </c>
      <c r="C11" s="410" t="n">
        <v>5000</v>
      </c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2" t="n"/>
      <c r="W11" s="102" t="n"/>
      <c r="X11" s="102" t="n"/>
      <c r="Y11" s="102" t="n"/>
    </row>
    <row r="12">
      <c r="A12" s="151" t="inlineStr">
        <is>
          <t>1 x 130t  Truck</t>
        </is>
      </c>
      <c r="B12" s="113" t="inlineStr">
        <is>
          <t>AUD$k</t>
        </is>
      </c>
      <c r="C12" s="410" t="n">
        <v>3000</v>
      </c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</row>
    <row r="13">
      <c r="A13" s="151" t="inlineStr">
        <is>
          <t>Dragline</t>
        </is>
      </c>
      <c r="B13" s="113" t="inlineStr">
        <is>
          <t>AUD$k</t>
        </is>
      </c>
      <c r="C13" s="410" t="n">
        <v>100000</v>
      </c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</row>
    <row r="14">
      <c r="A14" s="100" t="inlineStr">
        <is>
          <t>1 x D11 Dozer</t>
        </is>
      </c>
      <c r="B14" t="inlineStr">
        <is>
          <t>AUD$k</t>
        </is>
      </c>
      <c r="C14" s="410" t="n">
        <v>3000</v>
      </c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</row>
    <row r="15" ht="14.25" customHeight="1">
      <c r="A15" s="100" t="inlineStr">
        <is>
          <t>1 x D10 Dozer</t>
        </is>
      </c>
      <c r="B15" t="inlineStr">
        <is>
          <t>AUD$k</t>
        </is>
      </c>
      <c r="C15" s="410" t="n">
        <v>2000</v>
      </c>
      <c r="D15" s="147" t="n"/>
      <c r="E15" s="147" t="n"/>
      <c r="F15" s="147" t="n"/>
      <c r="G15" s="147" t="n"/>
      <c r="H15" s="147" t="n"/>
      <c r="I15" s="147" t="n"/>
      <c r="J15" s="102" t="n"/>
      <c r="K15" s="102" t="n"/>
      <c r="L15" s="102" t="n"/>
      <c r="M15" s="102" t="n"/>
      <c r="N15" s="102" t="n"/>
      <c r="O15" s="102" t="n"/>
      <c r="P15" s="102" t="n"/>
      <c r="Q15" s="102" t="n"/>
      <c r="R15" s="102" t="n"/>
      <c r="S15" s="102" t="n"/>
      <c r="T15" s="102" t="n"/>
      <c r="U15" s="102" t="n"/>
      <c r="V15" s="102" t="n"/>
      <c r="W15" s="102" t="n"/>
      <c r="X15" s="102" t="n"/>
      <c r="Y15" s="102" t="n"/>
    </row>
    <row r="16">
      <c r="A16" s="100" t="inlineStr">
        <is>
          <t>1 x Water truck</t>
        </is>
      </c>
      <c r="B16" t="inlineStr">
        <is>
          <t>AUD$k</t>
        </is>
      </c>
      <c r="C16" s="410" t="n">
        <v>1500</v>
      </c>
      <c r="D16" s="147" t="n"/>
      <c r="E16" s="147" t="n"/>
      <c r="F16" s="147" t="n"/>
      <c r="G16" s="147" t="n"/>
      <c r="H16" s="147" t="n"/>
      <c r="I16" s="147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02" t="n"/>
      <c r="V16" s="102" t="n"/>
      <c r="W16" s="102" t="n"/>
      <c r="X16" s="102" t="n"/>
      <c r="Y16" s="102" t="n"/>
    </row>
    <row r="17">
      <c r="A17" s="100" t="inlineStr">
        <is>
          <t>1 x Overburden Drill</t>
        </is>
      </c>
      <c r="B17" t="inlineStr">
        <is>
          <t>AUD$k</t>
        </is>
      </c>
      <c r="C17" s="409" t="n">
        <v>1500</v>
      </c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</row>
    <row r="18">
      <c r="A18" s="100" t="inlineStr">
        <is>
          <t>1 x Grader</t>
        </is>
      </c>
      <c r="B18" t="inlineStr">
        <is>
          <t>AUD$k</t>
        </is>
      </c>
      <c r="C18" s="409" t="n">
        <v>1500</v>
      </c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</row>
    <row r="19">
      <c r="A19" s="100" t="inlineStr">
        <is>
          <t>ROM Pad</t>
        </is>
      </c>
      <c r="B19" t="inlineStr">
        <is>
          <t>AUD$k</t>
        </is>
      </c>
      <c r="C19" s="409" t="n">
        <v>20000</v>
      </c>
      <c r="D19" s="102" t="n"/>
      <c r="E19" s="102" t="n"/>
      <c r="F19" s="102" t="n"/>
      <c r="G19" s="102" t="n"/>
      <c r="H19" s="102" t="n"/>
      <c r="I19" s="102" t="n"/>
      <c r="J19" s="102" t="n"/>
      <c r="K19" s="102" t="n"/>
      <c r="L19" s="102" t="n"/>
      <c r="M19" s="102" t="n"/>
      <c r="N19" s="102" t="n"/>
      <c r="O19" s="102" t="n"/>
      <c r="P19" s="102" t="n"/>
      <c r="Q19" s="102" t="n"/>
      <c r="R19" s="102" t="n"/>
      <c r="S19" s="102" t="n"/>
      <c r="T19" s="102" t="n"/>
      <c r="U19" s="102" t="n"/>
      <c r="V19" s="102" t="n"/>
      <c r="W19" s="102" t="n"/>
      <c r="X19" s="102" t="n"/>
      <c r="Y19" s="102" t="n"/>
    </row>
    <row r="20">
      <c r="A20" s="100" t="inlineStr">
        <is>
          <t>CHPP Upgrade</t>
        </is>
      </c>
      <c r="B20" t="inlineStr">
        <is>
          <t>AUD$k</t>
        </is>
      </c>
      <c r="C20" s="409" t="n">
        <v>50000</v>
      </c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  <c r="W20" s="102" t="n"/>
      <c r="X20" s="102" t="n"/>
      <c r="Y20" s="102" t="n"/>
    </row>
    <row r="21">
      <c r="A21" s="100" t="inlineStr">
        <is>
          <t>Topsoil Stripping</t>
        </is>
      </c>
      <c r="B21" t="inlineStr">
        <is>
          <t>AUD$k</t>
        </is>
      </c>
      <c r="C21" s="409" t="n">
        <v>5000</v>
      </c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</row>
    <row r="22">
      <c r="A22" s="100" t="inlineStr">
        <is>
          <t>Comms Tower Installation</t>
        </is>
      </c>
      <c r="B22" t="inlineStr">
        <is>
          <t>AUD$k</t>
        </is>
      </c>
      <c r="C22" s="409" t="n">
        <v>10000</v>
      </c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</row>
    <row r="23">
      <c r="A23" s="100" t="inlineStr">
        <is>
          <t>25 km Powerline</t>
        </is>
      </c>
      <c r="B23" t="inlineStr">
        <is>
          <t>AUD$k</t>
        </is>
      </c>
      <c r="C23" s="409" t="n">
        <v>20000</v>
      </c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</row>
    <row r="24">
      <c r="A24" s="100" t="inlineStr">
        <is>
          <t>Substation</t>
        </is>
      </c>
      <c r="B24" t="inlineStr">
        <is>
          <t>AUD$k</t>
        </is>
      </c>
      <c r="C24" s="409" t="n">
        <v>10000</v>
      </c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</row>
    <row r="25">
      <c r="A25" s="100" t="inlineStr">
        <is>
          <t>Crib Hut &amp; Muster Area</t>
        </is>
      </c>
      <c r="B25" t="inlineStr">
        <is>
          <t>AUD$k</t>
        </is>
      </c>
      <c r="C25" s="409" t="n">
        <v>10000</v>
      </c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</row>
    <row r="26">
      <c r="A26" s="100" t="inlineStr">
        <is>
          <t>Water Management Dams</t>
        </is>
      </c>
      <c r="B26" t="inlineStr">
        <is>
          <t>AUD$k</t>
        </is>
      </c>
      <c r="C26" s="409" t="n">
        <v>7500</v>
      </c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102" t="n"/>
      <c r="Q26" s="102" t="n"/>
      <c r="R26" s="102" t="n"/>
      <c r="S26" s="102" t="n"/>
      <c r="T26" s="102" t="n"/>
      <c r="U26" s="102" t="n"/>
      <c r="V26" s="102" t="n"/>
      <c r="W26" s="102" t="n"/>
      <c r="X26" s="102" t="n"/>
      <c r="Y26" s="102" t="n"/>
    </row>
    <row r="27">
      <c r="A27" s="100" t="inlineStr">
        <is>
          <t>Creek Crossing Civil Work</t>
        </is>
      </c>
      <c r="B27" t="inlineStr">
        <is>
          <t>AUD$k</t>
        </is>
      </c>
      <c r="C27" s="409" t="n">
        <v>20000</v>
      </c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  <c r="P27" s="102" t="n"/>
      <c r="Q27" s="102" t="n"/>
      <c r="R27" s="102" t="n"/>
      <c r="S27" s="102" t="n"/>
      <c r="T27" s="102" t="n"/>
      <c r="U27" s="102" t="n"/>
      <c r="V27" s="102" t="n"/>
      <c r="W27" s="102" t="n"/>
      <c r="X27" s="102" t="n"/>
      <c r="Y27" s="102" t="n"/>
    </row>
    <row r="28">
      <c r="A28" s="100" t="inlineStr">
        <is>
          <t>Haul Road Access</t>
        </is>
      </c>
      <c r="B28" t="inlineStr">
        <is>
          <t>AUD$k</t>
        </is>
      </c>
      <c r="C28" s="409" t="n">
        <v>3000</v>
      </c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  <c r="Q28" s="102" t="n"/>
      <c r="R28" s="102" t="n"/>
      <c r="S28" s="102" t="n"/>
      <c r="T28" s="102" t="n"/>
      <c r="U28" s="102" t="n"/>
      <c r="V28" s="102" t="n"/>
      <c r="W28" s="102" t="n"/>
      <c r="X28" s="102" t="n"/>
      <c r="Y28" s="102" t="n"/>
    </row>
    <row r="29">
      <c r="A29" s="151" t="inlineStr">
        <is>
          <t>Dry Processing Plant</t>
        </is>
      </c>
      <c r="B29" t="inlineStr">
        <is>
          <t>AUD$k</t>
        </is>
      </c>
      <c r="C29" s="409" t="n">
        <v>20000</v>
      </c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  <c r="P29" s="102" t="n"/>
      <c r="Q29" s="102" t="n"/>
      <c r="R29" s="102" t="n"/>
      <c r="S29" s="102" t="n"/>
      <c r="T29" s="102" t="n"/>
      <c r="U29" s="102" t="n"/>
      <c r="V29" s="102" t="n"/>
      <c r="W29" s="102" t="n"/>
      <c r="X29" s="102" t="n"/>
      <c r="Y29" s="102" t="n"/>
    </row>
    <row r="30">
      <c r="A30" s="100" t="n"/>
      <c r="C30" s="409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P30" s="102" t="n"/>
      <c r="Q30" s="102" t="n"/>
      <c r="R30" s="102" t="n"/>
      <c r="S30" s="102" t="n"/>
      <c r="T30" s="102" t="n"/>
      <c r="U30" s="102" t="n"/>
      <c r="V30" s="102" t="n"/>
      <c r="W30" s="102" t="n"/>
      <c r="X30" s="102" t="n"/>
      <c r="Y30" s="102" t="n"/>
    </row>
    <row r="31" ht="16" customHeight="1" thickBot="1">
      <c r="A31" s="105" t="n"/>
      <c r="B31" s="106" t="n"/>
      <c r="C31" s="409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P31" s="102" t="n"/>
      <c r="Q31" s="102" t="n"/>
      <c r="R31" s="102" t="n"/>
      <c r="S31" s="102" t="n"/>
      <c r="T31" s="102" t="n"/>
      <c r="U31" s="102" t="n"/>
      <c r="V31" s="102" t="n"/>
      <c r="W31" s="102" t="n"/>
      <c r="X31" s="102" t="n"/>
      <c r="Y31" s="102" t="n"/>
    </row>
    <row r="32">
      <c r="A32" s="97" t="n"/>
      <c r="B32" s="97" t="n"/>
      <c r="C32" s="412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</row>
    <row r="33" ht="16" customHeight="1" thickBot="1">
      <c r="A33" s="106" t="n"/>
      <c r="B33" s="106" t="n"/>
      <c r="C33" s="413" t="n"/>
      <c r="D33" s="106" t="n"/>
      <c r="E33" s="106" t="n"/>
      <c r="F33" s="106" t="n"/>
      <c r="G33" s="106" t="n"/>
      <c r="H33" s="106" t="n"/>
      <c r="I33" s="106" t="n"/>
      <c r="J33" s="106" t="n"/>
      <c r="K33" s="106" t="n"/>
      <c r="L33" s="106" t="n"/>
      <c r="M33" s="106" t="n"/>
      <c r="N33" s="106" t="n"/>
      <c r="O33" s="106" t="n"/>
      <c r="P33" s="106" t="n"/>
      <c r="Q33" s="106" t="n"/>
      <c r="R33" s="106" t="n"/>
      <c r="S33" s="106" t="n"/>
      <c r="T33" s="106" t="n"/>
      <c r="U33" s="106" t="n"/>
      <c r="V33" s="106" t="n"/>
      <c r="W33" s="106" t="n"/>
      <c r="X33" s="106" t="n"/>
      <c r="Y33" s="106" t="n"/>
    </row>
    <row r="34">
      <c r="A34" s="96" t="inlineStr">
        <is>
          <t xml:space="preserve">Capital Cost - Cost </t>
        </is>
      </c>
      <c r="B34" s="97" t="n"/>
      <c r="C34" s="412" t="n"/>
      <c r="D34" s="98" t="inlineStr">
        <is>
          <t xml:space="preserve">Do not change cells below </t>
        </is>
      </c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</row>
    <row r="35">
      <c r="A35" s="100">
        <f>A4</f>
        <v/>
      </c>
      <c r="B35" t="inlineStr">
        <is>
          <t>AUD$k</t>
        </is>
      </c>
      <c r="C35" s="409">
        <f>C4</f>
        <v/>
      </c>
      <c r="D35" s="414">
        <f>$C4*D4</f>
        <v/>
      </c>
      <c r="E35" s="414">
        <f>$C4*E4</f>
        <v/>
      </c>
      <c r="F35" s="414">
        <f>$C4*F4</f>
        <v/>
      </c>
      <c r="G35" s="414">
        <f>$C4*G4</f>
        <v/>
      </c>
      <c r="H35" s="414">
        <f>$C4*H4</f>
        <v/>
      </c>
      <c r="I35" s="414">
        <f>$C4*I4</f>
        <v/>
      </c>
      <c r="J35" s="414">
        <f>$C4*J4</f>
        <v/>
      </c>
      <c r="K35" s="414">
        <f>$C4*K4</f>
        <v/>
      </c>
      <c r="L35" s="414">
        <f>$C4*L4</f>
        <v/>
      </c>
      <c r="M35" s="414">
        <f>$C4*M4</f>
        <v/>
      </c>
      <c r="N35" s="414">
        <f>$C4*N4</f>
        <v/>
      </c>
      <c r="O35" s="414">
        <f>$C4*O4</f>
        <v/>
      </c>
      <c r="P35" s="414">
        <f>$C4*P4</f>
        <v/>
      </c>
      <c r="Q35" s="414">
        <f>$C4*Q4</f>
        <v/>
      </c>
      <c r="R35" s="414">
        <f>$C4*R4</f>
        <v/>
      </c>
      <c r="S35" s="414">
        <f>$C4*S4</f>
        <v/>
      </c>
      <c r="T35" s="414">
        <f>$C4*T4</f>
        <v/>
      </c>
      <c r="U35" s="414">
        <f>$C4*U4</f>
        <v/>
      </c>
      <c r="V35" s="414">
        <f>$C4*V4</f>
        <v/>
      </c>
      <c r="W35" s="414">
        <f>$C4*W4</f>
        <v/>
      </c>
      <c r="X35" s="414">
        <f>$C4*X4</f>
        <v/>
      </c>
      <c r="Y35" s="414">
        <f>$C4*Y4</f>
        <v/>
      </c>
    </row>
    <row r="36">
      <c r="A36" s="100">
        <f>A5</f>
        <v/>
      </c>
      <c r="B36" t="inlineStr">
        <is>
          <t>AUD$k</t>
        </is>
      </c>
      <c r="C36" s="409">
        <f>C5</f>
        <v/>
      </c>
      <c r="D36" s="414">
        <f>$C5*D5</f>
        <v/>
      </c>
      <c r="E36" s="414">
        <f>$C5*E5</f>
        <v/>
      </c>
      <c r="F36" s="414">
        <f>$C5*F5</f>
        <v/>
      </c>
      <c r="G36" s="414">
        <f>$C5*G5</f>
        <v/>
      </c>
      <c r="H36" s="414">
        <f>$C5*H5</f>
        <v/>
      </c>
      <c r="I36" s="414">
        <f>$C5*I5</f>
        <v/>
      </c>
      <c r="J36" s="414">
        <f>$C5*J5</f>
        <v/>
      </c>
      <c r="K36" s="414">
        <f>$C5*K5</f>
        <v/>
      </c>
      <c r="L36" s="414">
        <f>$C5*L5</f>
        <v/>
      </c>
      <c r="M36" s="414">
        <f>$C5*M5</f>
        <v/>
      </c>
      <c r="N36" s="414">
        <f>$C5*N5</f>
        <v/>
      </c>
      <c r="O36" s="414">
        <f>$C5*O5</f>
        <v/>
      </c>
      <c r="P36" s="414">
        <f>$C5*P5</f>
        <v/>
      </c>
      <c r="Q36" s="414">
        <f>$C5*Q5</f>
        <v/>
      </c>
      <c r="R36" s="414">
        <f>$C5*R5</f>
        <v/>
      </c>
      <c r="S36" s="414">
        <f>$C5*S5</f>
        <v/>
      </c>
      <c r="T36" s="414">
        <f>$C5*T5</f>
        <v/>
      </c>
      <c r="U36" s="414">
        <f>$C5*U5</f>
        <v/>
      </c>
      <c r="V36" s="414">
        <f>$C5*V5</f>
        <v/>
      </c>
      <c r="W36" s="414">
        <f>$C5*W5</f>
        <v/>
      </c>
      <c r="X36" s="414">
        <f>$C5*X5</f>
        <v/>
      </c>
      <c r="Y36" s="414">
        <f>$C5*Y5</f>
        <v/>
      </c>
    </row>
    <row r="37">
      <c r="A37" s="100">
        <f>A6</f>
        <v/>
      </c>
      <c r="B37" t="inlineStr">
        <is>
          <t>AUD$k</t>
        </is>
      </c>
      <c r="C37" s="409">
        <f>C6</f>
        <v/>
      </c>
      <c r="D37" s="414">
        <f>$C6*D6</f>
        <v/>
      </c>
      <c r="E37" s="414">
        <f>$C6*E6</f>
        <v/>
      </c>
      <c r="F37" s="414">
        <f>$C6*F6</f>
        <v/>
      </c>
      <c r="G37" s="414">
        <f>$C6*G6</f>
        <v/>
      </c>
      <c r="H37" s="414">
        <f>$C6*H6</f>
        <v/>
      </c>
      <c r="I37" s="414">
        <f>$C6*I6</f>
        <v/>
      </c>
      <c r="J37" s="414">
        <f>$C6*J6</f>
        <v/>
      </c>
      <c r="K37" s="414">
        <f>$C6*K6</f>
        <v/>
      </c>
      <c r="L37" s="414">
        <f>$C6*L6</f>
        <v/>
      </c>
      <c r="M37" s="414">
        <f>$C6*M6</f>
        <v/>
      </c>
      <c r="N37" s="414">
        <f>$C6*N6</f>
        <v/>
      </c>
      <c r="O37" s="414">
        <f>$C6*O6</f>
        <v/>
      </c>
      <c r="P37" s="414">
        <f>$C6*P6</f>
        <v/>
      </c>
      <c r="Q37" s="414">
        <f>$C6*Q6</f>
        <v/>
      </c>
      <c r="R37" s="414">
        <f>$C6*R6</f>
        <v/>
      </c>
      <c r="S37" s="414">
        <f>$C6*S6</f>
        <v/>
      </c>
      <c r="T37" s="414">
        <f>$C6*T6</f>
        <v/>
      </c>
      <c r="U37" s="414">
        <f>$C6*U6</f>
        <v/>
      </c>
      <c r="V37" s="414">
        <f>$C6*V6</f>
        <v/>
      </c>
      <c r="W37" s="414">
        <f>$C6*W6</f>
        <v/>
      </c>
      <c r="X37" s="414">
        <f>$C6*X6</f>
        <v/>
      </c>
      <c r="Y37" s="414">
        <f>$C6*Y6</f>
        <v/>
      </c>
    </row>
    <row r="38">
      <c r="A38" s="100">
        <f>A7</f>
        <v/>
      </c>
      <c r="B38" t="inlineStr">
        <is>
          <t>AUD$k</t>
        </is>
      </c>
      <c r="C38" s="409">
        <f>C7</f>
        <v/>
      </c>
      <c r="D38" s="414">
        <f>$C7*D7</f>
        <v/>
      </c>
      <c r="E38" s="414">
        <f>$C7*E7</f>
        <v/>
      </c>
      <c r="F38" s="414">
        <f>$C7*F7</f>
        <v/>
      </c>
      <c r="G38" s="414">
        <f>$C7*G7</f>
        <v/>
      </c>
      <c r="H38" s="414">
        <f>$C7*H7</f>
        <v/>
      </c>
      <c r="I38" s="414">
        <f>$C7*I7</f>
        <v/>
      </c>
      <c r="J38" s="414">
        <f>$C7*J7</f>
        <v/>
      </c>
      <c r="K38" s="414">
        <f>$C7*K7</f>
        <v/>
      </c>
      <c r="L38" s="414">
        <f>$C7*L7</f>
        <v/>
      </c>
      <c r="M38" s="414">
        <f>$C7*M7</f>
        <v/>
      </c>
      <c r="N38" s="414">
        <f>$C7*N7</f>
        <v/>
      </c>
      <c r="O38" s="414">
        <f>$C7*O7</f>
        <v/>
      </c>
      <c r="P38" s="414">
        <f>$C7*P7</f>
        <v/>
      </c>
      <c r="Q38" s="414">
        <f>$C7*Q7</f>
        <v/>
      </c>
      <c r="R38" s="414">
        <f>$C7*R7</f>
        <v/>
      </c>
      <c r="S38" s="414">
        <f>$C7*S7</f>
        <v/>
      </c>
      <c r="T38" s="414">
        <f>$C7*T7</f>
        <v/>
      </c>
      <c r="U38" s="414">
        <f>$C7*U7</f>
        <v/>
      </c>
      <c r="V38" s="414">
        <f>$C7*V7</f>
        <v/>
      </c>
      <c r="W38" s="414">
        <f>$C7*W7</f>
        <v/>
      </c>
      <c r="X38" s="414">
        <f>$C7*X7</f>
        <v/>
      </c>
      <c r="Y38" s="414">
        <f>$C7*Y7</f>
        <v/>
      </c>
    </row>
    <row r="39">
      <c r="A39" s="100">
        <f>A9</f>
        <v/>
      </c>
      <c r="B39" t="inlineStr">
        <is>
          <t>AUD$k</t>
        </is>
      </c>
      <c r="C39" s="409">
        <f>C9</f>
        <v/>
      </c>
      <c r="D39" s="414">
        <f>$C9*D9</f>
        <v/>
      </c>
      <c r="E39" s="414">
        <f>$C9*E9</f>
        <v/>
      </c>
      <c r="F39" s="414">
        <f>$C9*F9</f>
        <v/>
      </c>
      <c r="G39" s="414">
        <f>$C9*G9</f>
        <v/>
      </c>
      <c r="H39" s="414">
        <f>$C9*H9</f>
        <v/>
      </c>
      <c r="I39" s="414">
        <f>$C9*I9</f>
        <v/>
      </c>
      <c r="J39" s="414">
        <f>$C9*J9</f>
        <v/>
      </c>
      <c r="K39" s="414">
        <f>$C9*K9</f>
        <v/>
      </c>
      <c r="L39" s="414">
        <f>$C9*L9</f>
        <v/>
      </c>
      <c r="M39" s="414">
        <f>$C9*M9</f>
        <v/>
      </c>
      <c r="N39" s="414">
        <f>$C9*N9</f>
        <v/>
      </c>
      <c r="O39" s="414">
        <f>$C9*O9</f>
        <v/>
      </c>
      <c r="P39" s="414">
        <f>$C9*P9</f>
        <v/>
      </c>
      <c r="Q39" s="414">
        <f>$C9*Q9</f>
        <v/>
      </c>
      <c r="R39" s="414">
        <f>$C9*R9</f>
        <v/>
      </c>
      <c r="S39" s="414">
        <f>$C9*S9</f>
        <v/>
      </c>
      <c r="T39" s="414">
        <f>$C9*T9</f>
        <v/>
      </c>
      <c r="U39" s="414">
        <f>$C9*U9</f>
        <v/>
      </c>
      <c r="V39" s="414">
        <f>$C9*V9</f>
        <v/>
      </c>
      <c r="W39" s="414">
        <f>$C9*W9</f>
        <v/>
      </c>
      <c r="X39" s="414">
        <f>$C9*X9</f>
        <v/>
      </c>
      <c r="Y39" s="414">
        <f>$C9*Y9</f>
        <v/>
      </c>
    </row>
    <row r="40">
      <c r="A40" s="100">
        <f>A10</f>
        <v/>
      </c>
      <c r="B40" t="inlineStr">
        <is>
          <t>AUD$k</t>
        </is>
      </c>
      <c r="C40" s="409">
        <f>C10</f>
        <v/>
      </c>
      <c r="D40" s="414">
        <f>$C10*D10</f>
        <v/>
      </c>
      <c r="E40" s="414">
        <f>$C10*E10</f>
        <v/>
      </c>
      <c r="F40" s="414">
        <f>$C10*F10</f>
        <v/>
      </c>
      <c r="G40" s="414">
        <f>$C10*G10</f>
        <v/>
      </c>
      <c r="H40" s="414">
        <f>$C10*H10</f>
        <v/>
      </c>
      <c r="I40" s="414">
        <f>$C10*I10</f>
        <v/>
      </c>
      <c r="J40" s="414">
        <f>$C10*J10</f>
        <v/>
      </c>
      <c r="K40" s="414">
        <f>$C10*K10</f>
        <v/>
      </c>
      <c r="L40" s="414">
        <f>$C10*L10</f>
        <v/>
      </c>
      <c r="M40" s="414">
        <f>$C10*M10</f>
        <v/>
      </c>
      <c r="N40" s="414">
        <f>$C10*N10</f>
        <v/>
      </c>
      <c r="O40" s="414">
        <f>$C10*O10</f>
        <v/>
      </c>
      <c r="P40" s="414">
        <f>$C10*P10</f>
        <v/>
      </c>
      <c r="Q40" s="414">
        <f>$C10*Q10</f>
        <v/>
      </c>
      <c r="R40" s="414">
        <f>$C10*R10</f>
        <v/>
      </c>
      <c r="S40" s="414">
        <f>$C10*S10</f>
        <v/>
      </c>
      <c r="T40" s="414">
        <f>$C10*T10</f>
        <v/>
      </c>
      <c r="U40" s="414">
        <f>$C10*U10</f>
        <v/>
      </c>
      <c r="V40" s="414">
        <f>$C10*V10</f>
        <v/>
      </c>
      <c r="W40" s="414">
        <f>$C10*W10</f>
        <v/>
      </c>
      <c r="X40" s="414">
        <f>$C10*X10</f>
        <v/>
      </c>
      <c r="Y40" s="414">
        <f>$C10*Y10</f>
        <v/>
      </c>
    </row>
    <row r="41">
      <c r="A41" s="100">
        <f>A13</f>
        <v/>
      </c>
      <c r="B41" t="inlineStr">
        <is>
          <t>AUD$k</t>
        </is>
      </c>
      <c r="C41" s="409">
        <f>C13</f>
        <v/>
      </c>
      <c r="D41" s="414">
        <f>$C13*D13</f>
        <v/>
      </c>
      <c r="E41" s="414">
        <f>$C13*E13</f>
        <v/>
      </c>
      <c r="F41" s="414">
        <f>$C13*F13</f>
        <v/>
      </c>
      <c r="G41" s="414">
        <f>$C13*G13</f>
        <v/>
      </c>
      <c r="H41" s="414">
        <f>$C13*H13</f>
        <v/>
      </c>
      <c r="I41" s="414">
        <f>$C13*I13</f>
        <v/>
      </c>
      <c r="J41" s="414">
        <f>$C13*J13</f>
        <v/>
      </c>
      <c r="K41" s="414">
        <f>$C13*K13</f>
        <v/>
      </c>
      <c r="L41" s="414">
        <f>$C13*L13</f>
        <v/>
      </c>
      <c r="M41" s="414">
        <f>$C13*M13</f>
        <v/>
      </c>
      <c r="N41" s="414">
        <f>$C13*N13</f>
        <v/>
      </c>
      <c r="O41" s="414">
        <f>$C13*O13</f>
        <v/>
      </c>
      <c r="P41" s="414">
        <f>$C13*P13</f>
        <v/>
      </c>
      <c r="Q41" s="414">
        <f>$C13*Q13</f>
        <v/>
      </c>
      <c r="R41" s="414">
        <f>$C13*R13</f>
        <v/>
      </c>
      <c r="S41" s="414">
        <f>$C13*S13</f>
        <v/>
      </c>
      <c r="T41" s="414">
        <f>$C13*T13</f>
        <v/>
      </c>
      <c r="U41" s="414">
        <f>$C13*U13</f>
        <v/>
      </c>
      <c r="V41" s="414">
        <f>$C13*V13</f>
        <v/>
      </c>
      <c r="W41" s="414">
        <f>$C13*W13</f>
        <v/>
      </c>
      <c r="X41" s="414">
        <f>$C13*X13</f>
        <v/>
      </c>
      <c r="Y41" s="414">
        <f>$C13*Y13</f>
        <v/>
      </c>
    </row>
    <row r="42">
      <c r="A42" s="100">
        <f>A14</f>
        <v/>
      </c>
      <c r="B42" t="inlineStr">
        <is>
          <t>AUD$k</t>
        </is>
      </c>
      <c r="C42" s="409">
        <f>C14</f>
        <v/>
      </c>
      <c r="D42" s="414">
        <f>$C14*D14</f>
        <v/>
      </c>
      <c r="E42" s="414">
        <f>$C14*E14</f>
        <v/>
      </c>
      <c r="F42" s="414">
        <f>$C14*F14</f>
        <v/>
      </c>
      <c r="G42" s="414">
        <f>$C14*G14</f>
        <v/>
      </c>
      <c r="H42" s="414">
        <f>$C14*H14</f>
        <v/>
      </c>
      <c r="I42" s="414">
        <f>$C14*I14</f>
        <v/>
      </c>
      <c r="J42" s="414">
        <f>$C14*J14</f>
        <v/>
      </c>
      <c r="K42" s="414">
        <f>$C14*K14</f>
        <v/>
      </c>
      <c r="L42" s="414">
        <f>$C14*L14</f>
        <v/>
      </c>
      <c r="M42" s="414">
        <f>$C14*M14</f>
        <v/>
      </c>
      <c r="N42" s="414">
        <f>$C14*N14</f>
        <v/>
      </c>
      <c r="O42" s="414">
        <f>$C14*O14</f>
        <v/>
      </c>
      <c r="P42" s="414">
        <f>$C14*P14</f>
        <v/>
      </c>
      <c r="Q42" s="414">
        <f>$C14*Q14</f>
        <v/>
      </c>
      <c r="R42" s="414">
        <f>$C14*R14</f>
        <v/>
      </c>
      <c r="S42" s="414">
        <f>$C14*S14</f>
        <v/>
      </c>
      <c r="T42" s="414">
        <f>$C14*T14</f>
        <v/>
      </c>
      <c r="U42" s="414">
        <f>$C14*U14</f>
        <v/>
      </c>
      <c r="V42" s="414">
        <f>$C14*V14</f>
        <v/>
      </c>
      <c r="W42" s="414">
        <f>$C14*W14</f>
        <v/>
      </c>
      <c r="X42" s="414">
        <f>$C14*X14</f>
        <v/>
      </c>
      <c r="Y42" s="414">
        <f>$C14*Y14</f>
        <v/>
      </c>
    </row>
    <row r="43">
      <c r="A43" s="100">
        <f>A15</f>
        <v/>
      </c>
      <c r="B43" t="inlineStr">
        <is>
          <t>AUD$k</t>
        </is>
      </c>
      <c r="C43" s="409">
        <f>C15</f>
        <v/>
      </c>
      <c r="D43" s="414">
        <f>$C15*D15</f>
        <v/>
      </c>
      <c r="E43" s="414">
        <f>$C15*E15</f>
        <v/>
      </c>
      <c r="F43" s="414">
        <f>$C15*F15</f>
        <v/>
      </c>
      <c r="G43" s="414">
        <f>$C15*G15</f>
        <v/>
      </c>
      <c r="H43" s="414">
        <f>$C15*H15</f>
        <v/>
      </c>
      <c r="I43" s="414">
        <f>$C15*I15</f>
        <v/>
      </c>
      <c r="J43" s="414">
        <f>$C15*J15</f>
        <v/>
      </c>
      <c r="K43" s="414">
        <f>$C15*K15</f>
        <v/>
      </c>
      <c r="L43" s="414">
        <f>$C15*L15</f>
        <v/>
      </c>
      <c r="M43" s="414">
        <f>$C15*M15</f>
        <v/>
      </c>
      <c r="N43" s="414">
        <f>$C15*N15</f>
        <v/>
      </c>
      <c r="O43" s="414">
        <f>$C15*O15</f>
        <v/>
      </c>
      <c r="P43" s="414">
        <f>$C15*P15</f>
        <v/>
      </c>
      <c r="Q43" s="414">
        <f>$C15*Q15</f>
        <v/>
      </c>
      <c r="R43" s="414">
        <f>$C15*R15</f>
        <v/>
      </c>
      <c r="S43" s="414">
        <f>$C15*S15</f>
        <v/>
      </c>
      <c r="T43" s="414">
        <f>$C15*T15</f>
        <v/>
      </c>
      <c r="U43" s="414">
        <f>$C15*U15</f>
        <v/>
      </c>
      <c r="V43" s="414">
        <f>$C15*V15</f>
        <v/>
      </c>
      <c r="W43" s="414">
        <f>$C15*W15</f>
        <v/>
      </c>
      <c r="X43" s="414">
        <f>$C15*X15</f>
        <v/>
      </c>
      <c r="Y43" s="414">
        <f>$C15*Y15</f>
        <v/>
      </c>
    </row>
    <row r="44">
      <c r="A44" s="100">
        <f>A16</f>
        <v/>
      </c>
      <c r="B44" t="inlineStr">
        <is>
          <t>AUD$k</t>
        </is>
      </c>
      <c r="C44" s="409">
        <f>C16</f>
        <v/>
      </c>
      <c r="D44" s="414">
        <f>$C16*D16</f>
        <v/>
      </c>
      <c r="E44" s="414">
        <f>$C16*E16</f>
        <v/>
      </c>
      <c r="F44" s="414">
        <f>$C16*F16</f>
        <v/>
      </c>
      <c r="G44" s="414">
        <f>$C16*G16</f>
        <v/>
      </c>
      <c r="H44" s="414">
        <f>$C16*H16</f>
        <v/>
      </c>
      <c r="I44" s="414">
        <f>$C16*I16</f>
        <v/>
      </c>
      <c r="J44" s="414">
        <f>$C16*J16</f>
        <v/>
      </c>
      <c r="K44" s="414">
        <f>$C16*K16</f>
        <v/>
      </c>
      <c r="L44" s="414">
        <f>$C16*L16</f>
        <v/>
      </c>
      <c r="M44" s="414">
        <f>$C16*M16</f>
        <v/>
      </c>
      <c r="N44" s="414">
        <f>$C16*N16</f>
        <v/>
      </c>
      <c r="O44" s="414">
        <f>$C16*O16</f>
        <v/>
      </c>
      <c r="P44" s="414">
        <f>$C16*P16</f>
        <v/>
      </c>
      <c r="Q44" s="414">
        <f>$C16*Q16</f>
        <v/>
      </c>
      <c r="R44" s="414">
        <f>$C16*R16</f>
        <v/>
      </c>
      <c r="S44" s="414">
        <f>$C16*S16</f>
        <v/>
      </c>
      <c r="T44" s="414">
        <f>$C16*T16</f>
        <v/>
      </c>
      <c r="U44" s="414">
        <f>$C16*U16</f>
        <v/>
      </c>
      <c r="V44" s="414">
        <f>$C16*V16</f>
        <v/>
      </c>
      <c r="W44" s="414">
        <f>$C16*W16</f>
        <v/>
      </c>
      <c r="X44" s="414">
        <f>$C16*X16</f>
        <v/>
      </c>
      <c r="Y44" s="414">
        <f>$C16*Y16</f>
        <v/>
      </c>
    </row>
    <row r="45">
      <c r="A45" s="100">
        <f>A17</f>
        <v/>
      </c>
      <c r="B45" t="inlineStr">
        <is>
          <t>AUD$k</t>
        </is>
      </c>
      <c r="C45" s="409">
        <f>C17</f>
        <v/>
      </c>
      <c r="D45" s="414">
        <f>$C17*D17</f>
        <v/>
      </c>
      <c r="E45" s="414">
        <f>$C17*E17</f>
        <v/>
      </c>
      <c r="F45" s="414">
        <f>$C17*F17</f>
        <v/>
      </c>
      <c r="G45" s="414">
        <f>$C17*G17</f>
        <v/>
      </c>
      <c r="H45" s="414">
        <f>$C17*H17</f>
        <v/>
      </c>
      <c r="I45" s="414">
        <f>$C17*I17</f>
        <v/>
      </c>
      <c r="J45" s="414">
        <f>$C17*J17</f>
        <v/>
      </c>
      <c r="K45" s="414">
        <f>$C17*K17</f>
        <v/>
      </c>
      <c r="L45" s="414">
        <f>$C17*L17</f>
        <v/>
      </c>
      <c r="M45" s="414">
        <f>$C17*M17</f>
        <v/>
      </c>
      <c r="N45" s="414">
        <f>$C17*N17</f>
        <v/>
      </c>
      <c r="O45" s="414">
        <f>$C17*O17</f>
        <v/>
      </c>
      <c r="P45" s="414">
        <f>$C17*P17</f>
        <v/>
      </c>
      <c r="Q45" s="414">
        <f>$C17*Q17</f>
        <v/>
      </c>
      <c r="R45" s="414">
        <f>$C17*R17</f>
        <v/>
      </c>
      <c r="S45" s="414">
        <f>$C17*S17</f>
        <v/>
      </c>
      <c r="T45" s="414">
        <f>$C17*T17</f>
        <v/>
      </c>
      <c r="U45" s="414">
        <f>$C17*U17</f>
        <v/>
      </c>
      <c r="V45" s="414">
        <f>$C17*V17</f>
        <v/>
      </c>
      <c r="W45" s="414">
        <f>$C17*W17</f>
        <v/>
      </c>
      <c r="X45" s="414">
        <f>$C17*X17</f>
        <v/>
      </c>
      <c r="Y45" s="414">
        <f>$C17*Y17</f>
        <v/>
      </c>
    </row>
    <row r="46">
      <c r="A46" s="100">
        <f>A18</f>
        <v/>
      </c>
      <c r="B46" t="inlineStr">
        <is>
          <t>AUD$k</t>
        </is>
      </c>
      <c r="C46" s="409">
        <f>C18</f>
        <v/>
      </c>
      <c r="D46" s="414">
        <f>$C18*D18</f>
        <v/>
      </c>
      <c r="E46" s="414">
        <f>$C18*E18</f>
        <v/>
      </c>
      <c r="F46" s="414">
        <f>$C18*F18</f>
        <v/>
      </c>
      <c r="G46" s="414">
        <f>$C18*G18</f>
        <v/>
      </c>
      <c r="H46" s="414">
        <f>$C18*H18</f>
        <v/>
      </c>
      <c r="I46" s="414">
        <f>$C18*I18</f>
        <v/>
      </c>
      <c r="J46" s="414">
        <f>$C18*J18</f>
        <v/>
      </c>
      <c r="K46" s="414">
        <f>$C18*K18</f>
        <v/>
      </c>
      <c r="L46" s="414">
        <f>$C18*L18</f>
        <v/>
      </c>
      <c r="M46" s="414">
        <f>$C18*M18</f>
        <v/>
      </c>
      <c r="N46" s="414">
        <f>$C18*N18</f>
        <v/>
      </c>
      <c r="O46" s="414">
        <f>$C18*O18</f>
        <v/>
      </c>
      <c r="P46" s="414">
        <f>$C18*P18</f>
        <v/>
      </c>
      <c r="Q46" s="414">
        <f>$C18*Q18</f>
        <v/>
      </c>
      <c r="R46" s="414">
        <f>$C18*R18</f>
        <v/>
      </c>
      <c r="S46" s="414">
        <f>$C18*S18</f>
        <v/>
      </c>
      <c r="T46" s="414">
        <f>$C18*T18</f>
        <v/>
      </c>
      <c r="U46" s="414">
        <f>$C18*U18</f>
        <v/>
      </c>
      <c r="V46" s="414">
        <f>$C18*V18</f>
        <v/>
      </c>
      <c r="W46" s="414">
        <f>$C18*W18</f>
        <v/>
      </c>
      <c r="X46" s="414">
        <f>$C18*X18</f>
        <v/>
      </c>
      <c r="Y46" s="414">
        <f>$C18*Y18</f>
        <v/>
      </c>
    </row>
    <row r="47">
      <c r="A47" s="100">
        <f>A19</f>
        <v/>
      </c>
      <c r="B47" t="inlineStr">
        <is>
          <t>AUD$k</t>
        </is>
      </c>
      <c r="C47" s="409">
        <f>C19</f>
        <v/>
      </c>
      <c r="D47" s="414">
        <f>$C19*D19</f>
        <v/>
      </c>
      <c r="E47" s="414">
        <f>$C19*E19</f>
        <v/>
      </c>
      <c r="F47" s="414">
        <f>$C19*F19</f>
        <v/>
      </c>
      <c r="G47" s="414">
        <f>$C19*G19</f>
        <v/>
      </c>
      <c r="H47" s="414">
        <f>$C19*H19</f>
        <v/>
      </c>
      <c r="I47" s="414">
        <f>$C19*I19</f>
        <v/>
      </c>
      <c r="J47" s="414">
        <f>$C19*J19</f>
        <v/>
      </c>
      <c r="K47" s="414">
        <f>$C19*K19</f>
        <v/>
      </c>
      <c r="L47" s="414">
        <f>$C19*L19</f>
        <v/>
      </c>
      <c r="M47" s="414">
        <f>$C19*M19</f>
        <v/>
      </c>
      <c r="N47" s="414">
        <f>$C19*N19</f>
        <v/>
      </c>
      <c r="O47" s="414">
        <f>$C19*O19</f>
        <v/>
      </c>
      <c r="P47" s="414">
        <f>$C19*P19</f>
        <v/>
      </c>
      <c r="Q47" s="414">
        <f>$C19*Q19</f>
        <v/>
      </c>
      <c r="R47" s="414">
        <f>$C19*R19</f>
        <v/>
      </c>
      <c r="S47" s="414">
        <f>$C19*S19</f>
        <v/>
      </c>
      <c r="T47" s="414">
        <f>$C19*T19</f>
        <v/>
      </c>
      <c r="U47" s="414">
        <f>$C19*U19</f>
        <v/>
      </c>
      <c r="V47" s="414">
        <f>$C19*V19</f>
        <v/>
      </c>
      <c r="W47" s="414">
        <f>$C19*W19</f>
        <v/>
      </c>
      <c r="X47" s="414">
        <f>$C19*X19</f>
        <v/>
      </c>
      <c r="Y47" s="414">
        <f>$C19*Y19</f>
        <v/>
      </c>
    </row>
    <row r="48">
      <c r="A48" s="100">
        <f>A20</f>
        <v/>
      </c>
      <c r="B48" t="inlineStr">
        <is>
          <t>AUD$k</t>
        </is>
      </c>
      <c r="C48" s="409">
        <f>C20</f>
        <v/>
      </c>
      <c r="D48" s="414">
        <f>$C20*D20</f>
        <v/>
      </c>
      <c r="E48" s="414">
        <f>$C20*E20</f>
        <v/>
      </c>
      <c r="F48" s="414">
        <f>$C20*F20</f>
        <v/>
      </c>
      <c r="G48" s="414">
        <f>$C20*G20</f>
        <v/>
      </c>
      <c r="H48" s="414">
        <f>$C20*H20</f>
        <v/>
      </c>
      <c r="I48" s="414">
        <f>$C20*I20</f>
        <v/>
      </c>
      <c r="J48" s="414">
        <f>$C20*J20</f>
        <v/>
      </c>
      <c r="K48" s="414">
        <f>$C20*K20</f>
        <v/>
      </c>
      <c r="L48" s="414">
        <f>$C20*L20</f>
        <v/>
      </c>
      <c r="M48" s="414">
        <f>$C20*M20</f>
        <v/>
      </c>
      <c r="N48" s="414">
        <f>$C20*N20</f>
        <v/>
      </c>
      <c r="O48" s="414">
        <f>$C20*O20</f>
        <v/>
      </c>
      <c r="P48" s="414">
        <f>$C20*P20</f>
        <v/>
      </c>
      <c r="Q48" s="414">
        <f>$C20*Q20</f>
        <v/>
      </c>
      <c r="R48" s="414">
        <f>$C20*R20</f>
        <v/>
      </c>
      <c r="S48" s="414">
        <f>$C20*S20</f>
        <v/>
      </c>
      <c r="T48" s="414">
        <f>$C20*T20</f>
        <v/>
      </c>
      <c r="U48" s="414">
        <f>$C20*U20</f>
        <v/>
      </c>
      <c r="V48" s="414">
        <f>$C20*V20</f>
        <v/>
      </c>
      <c r="W48" s="414">
        <f>$C20*W20</f>
        <v/>
      </c>
      <c r="X48" s="414">
        <f>$C20*X20</f>
        <v/>
      </c>
      <c r="Y48" s="414">
        <f>$C20*Y20</f>
        <v/>
      </c>
    </row>
    <row r="49">
      <c r="A49" s="100">
        <f>A21</f>
        <v/>
      </c>
      <c r="B49" t="inlineStr">
        <is>
          <t>AUD$k</t>
        </is>
      </c>
      <c r="C49" s="409">
        <f>C21</f>
        <v/>
      </c>
      <c r="D49" s="414">
        <f>$C21*D21</f>
        <v/>
      </c>
      <c r="E49" s="414">
        <f>$C21*E21</f>
        <v/>
      </c>
      <c r="F49" s="414">
        <f>$C21*F21</f>
        <v/>
      </c>
      <c r="G49" s="414">
        <f>$C21*G21</f>
        <v/>
      </c>
      <c r="H49" s="414">
        <f>$C21*H21</f>
        <v/>
      </c>
      <c r="I49" s="414">
        <f>$C21*I21</f>
        <v/>
      </c>
      <c r="J49" s="414">
        <f>$C21*J21</f>
        <v/>
      </c>
      <c r="K49" s="414">
        <f>$C21*K21</f>
        <v/>
      </c>
      <c r="L49" s="414">
        <f>$C21*L21</f>
        <v/>
      </c>
      <c r="M49" s="414">
        <f>$C21*M21</f>
        <v/>
      </c>
      <c r="N49" s="414">
        <f>$C21*N21</f>
        <v/>
      </c>
      <c r="O49" s="414">
        <f>$C21*O21</f>
        <v/>
      </c>
      <c r="P49" s="414">
        <f>$C21*P21</f>
        <v/>
      </c>
      <c r="Q49" s="414">
        <f>$C21*Q21</f>
        <v/>
      </c>
      <c r="R49" s="414">
        <f>$C21*R21</f>
        <v/>
      </c>
      <c r="S49" s="414">
        <f>$C21*S21</f>
        <v/>
      </c>
      <c r="T49" s="414">
        <f>$C21*T21</f>
        <v/>
      </c>
      <c r="U49" s="414">
        <f>$C21*U21</f>
        <v/>
      </c>
      <c r="V49" s="414">
        <f>$C21*V21</f>
        <v/>
      </c>
      <c r="W49" s="414">
        <f>$C21*W21</f>
        <v/>
      </c>
      <c r="X49" s="414">
        <f>$C21*X21</f>
        <v/>
      </c>
      <c r="Y49" s="414">
        <f>$C21*Y21</f>
        <v/>
      </c>
    </row>
    <row r="50">
      <c r="A50" s="100">
        <f>A22</f>
        <v/>
      </c>
      <c r="B50" t="inlineStr">
        <is>
          <t>AUD$k</t>
        </is>
      </c>
      <c r="C50" s="409">
        <f>C22</f>
        <v/>
      </c>
      <c r="D50" s="414">
        <f>$C22*D22</f>
        <v/>
      </c>
      <c r="E50" s="414">
        <f>$C22*E22</f>
        <v/>
      </c>
      <c r="F50" s="414">
        <f>$C22*F22</f>
        <v/>
      </c>
      <c r="G50" s="414">
        <f>$C22*G22</f>
        <v/>
      </c>
      <c r="H50" s="414">
        <f>$C22*H22</f>
        <v/>
      </c>
      <c r="I50" s="414">
        <f>$C22*I22</f>
        <v/>
      </c>
      <c r="J50" s="414">
        <f>$C22*J22</f>
        <v/>
      </c>
      <c r="K50" s="414">
        <f>$C22*K22</f>
        <v/>
      </c>
      <c r="L50" s="414">
        <f>$C22*L22</f>
        <v/>
      </c>
      <c r="M50" s="414">
        <f>$C22*M22</f>
        <v/>
      </c>
      <c r="N50" s="414">
        <f>$C22*N22</f>
        <v/>
      </c>
      <c r="O50" s="414">
        <f>$C22*O22</f>
        <v/>
      </c>
      <c r="P50" s="414">
        <f>$C22*P22</f>
        <v/>
      </c>
      <c r="Q50" s="414">
        <f>$C22*Q22</f>
        <v/>
      </c>
      <c r="R50" s="414">
        <f>$C22*R22</f>
        <v/>
      </c>
      <c r="S50" s="414">
        <f>$C22*S22</f>
        <v/>
      </c>
      <c r="T50" s="414">
        <f>$C22*T22</f>
        <v/>
      </c>
      <c r="U50" s="414">
        <f>$C22*U22</f>
        <v/>
      </c>
      <c r="V50" s="414">
        <f>$C22*V22</f>
        <v/>
      </c>
      <c r="W50" s="414">
        <f>$C22*W22</f>
        <v/>
      </c>
      <c r="X50" s="414">
        <f>$C22*X22</f>
        <v/>
      </c>
      <c r="Y50" s="414">
        <f>$C22*Y22</f>
        <v/>
      </c>
    </row>
    <row r="51">
      <c r="A51" s="100">
        <f>A23</f>
        <v/>
      </c>
      <c r="B51" t="inlineStr">
        <is>
          <t>AUD$k</t>
        </is>
      </c>
      <c r="C51" s="409">
        <f>C23</f>
        <v/>
      </c>
      <c r="D51" s="414">
        <f>$C23*D23</f>
        <v/>
      </c>
      <c r="E51" s="414">
        <f>$C23*E23</f>
        <v/>
      </c>
      <c r="F51" s="414">
        <f>$C23*F23</f>
        <v/>
      </c>
      <c r="G51" s="414">
        <f>$C23*G23</f>
        <v/>
      </c>
      <c r="H51" s="414">
        <f>$C23*H23</f>
        <v/>
      </c>
      <c r="I51" s="414">
        <f>$C23*I23</f>
        <v/>
      </c>
      <c r="J51" s="414">
        <f>$C23*J23</f>
        <v/>
      </c>
      <c r="K51" s="414">
        <f>$C23*K23</f>
        <v/>
      </c>
      <c r="L51" s="414">
        <f>$C23*L23</f>
        <v/>
      </c>
      <c r="M51" s="414">
        <f>$C23*M23</f>
        <v/>
      </c>
      <c r="N51" s="414">
        <f>$C23*N23</f>
        <v/>
      </c>
      <c r="O51" s="414">
        <f>$C23*O23</f>
        <v/>
      </c>
      <c r="P51" s="414">
        <f>$C23*P23</f>
        <v/>
      </c>
      <c r="Q51" s="414">
        <f>$C23*Q23</f>
        <v/>
      </c>
      <c r="R51" s="414">
        <f>$C23*R23</f>
        <v/>
      </c>
      <c r="S51" s="414">
        <f>$C23*S23</f>
        <v/>
      </c>
      <c r="T51" s="414">
        <f>$C23*T23</f>
        <v/>
      </c>
      <c r="U51" s="414">
        <f>$C23*U23</f>
        <v/>
      </c>
      <c r="V51" s="414">
        <f>$C23*V23</f>
        <v/>
      </c>
      <c r="W51" s="414">
        <f>$C23*W23</f>
        <v/>
      </c>
      <c r="X51" s="414">
        <f>$C23*X23</f>
        <v/>
      </c>
      <c r="Y51" s="414">
        <f>$C23*Y23</f>
        <v/>
      </c>
    </row>
    <row r="52">
      <c r="A52" s="100">
        <f>A24</f>
        <v/>
      </c>
      <c r="B52" t="inlineStr">
        <is>
          <t>AUD$k</t>
        </is>
      </c>
      <c r="C52" s="409">
        <f>C24</f>
        <v/>
      </c>
      <c r="D52" s="414">
        <f>$C24*D24</f>
        <v/>
      </c>
      <c r="E52" s="414">
        <f>$C24*E24</f>
        <v/>
      </c>
      <c r="F52" s="414">
        <f>$C24*F24</f>
        <v/>
      </c>
      <c r="G52" s="414">
        <f>$C24*G24</f>
        <v/>
      </c>
      <c r="H52" s="414">
        <f>$C24*H24</f>
        <v/>
      </c>
      <c r="I52" s="414">
        <f>$C24*I24</f>
        <v/>
      </c>
      <c r="J52" s="414">
        <f>$C24*J24</f>
        <v/>
      </c>
      <c r="K52" s="414">
        <f>$C24*K24</f>
        <v/>
      </c>
      <c r="L52" s="414">
        <f>$C24*L24</f>
        <v/>
      </c>
      <c r="M52" s="414">
        <f>$C24*M24</f>
        <v/>
      </c>
      <c r="N52" s="414">
        <f>$C24*N24</f>
        <v/>
      </c>
      <c r="O52" s="414">
        <f>$C24*O24</f>
        <v/>
      </c>
      <c r="P52" s="414">
        <f>$C24*P24</f>
        <v/>
      </c>
      <c r="Q52" s="414">
        <f>$C24*Q24</f>
        <v/>
      </c>
      <c r="R52" s="414">
        <f>$C24*R24</f>
        <v/>
      </c>
      <c r="S52" s="414">
        <f>$C24*S24</f>
        <v/>
      </c>
      <c r="T52" s="414">
        <f>$C24*T24</f>
        <v/>
      </c>
      <c r="U52" s="414">
        <f>$C24*U24</f>
        <v/>
      </c>
      <c r="V52" s="414">
        <f>$C24*V24</f>
        <v/>
      </c>
      <c r="W52" s="414">
        <f>$C24*W24</f>
        <v/>
      </c>
      <c r="X52" s="414">
        <f>$C24*X24</f>
        <v/>
      </c>
      <c r="Y52" s="414">
        <f>$C24*Y24</f>
        <v/>
      </c>
    </row>
    <row r="53">
      <c r="A53" s="100">
        <f>A25</f>
        <v/>
      </c>
      <c r="B53" t="inlineStr">
        <is>
          <t>AUD$k</t>
        </is>
      </c>
      <c r="C53" s="409">
        <f>C25</f>
        <v/>
      </c>
      <c r="D53" s="414">
        <f>$C25*D25</f>
        <v/>
      </c>
      <c r="E53" s="414">
        <f>$C25*E25</f>
        <v/>
      </c>
      <c r="F53" s="414">
        <f>$C25*F25</f>
        <v/>
      </c>
      <c r="G53" s="414">
        <f>$C25*G25</f>
        <v/>
      </c>
      <c r="H53" s="414">
        <f>$C25*H25</f>
        <v/>
      </c>
      <c r="I53" s="414">
        <f>$C25*I25</f>
        <v/>
      </c>
      <c r="J53" s="414">
        <f>$C25*J25</f>
        <v/>
      </c>
      <c r="K53" s="414">
        <f>$C25*K25</f>
        <v/>
      </c>
      <c r="L53" s="414">
        <f>$C25*L25</f>
        <v/>
      </c>
      <c r="M53" s="414">
        <f>$C25*M25</f>
        <v/>
      </c>
      <c r="N53" s="414">
        <f>$C25*N25</f>
        <v/>
      </c>
      <c r="O53" s="414">
        <f>$C25*O25</f>
        <v/>
      </c>
      <c r="P53" s="414">
        <f>$C25*P25</f>
        <v/>
      </c>
      <c r="Q53" s="414">
        <f>$C25*Q25</f>
        <v/>
      </c>
      <c r="R53" s="414">
        <f>$C25*R25</f>
        <v/>
      </c>
      <c r="S53" s="414">
        <f>$C25*S25</f>
        <v/>
      </c>
      <c r="T53" s="414">
        <f>$C25*T25</f>
        <v/>
      </c>
      <c r="U53" s="414">
        <f>$C25*U25</f>
        <v/>
      </c>
      <c r="V53" s="414">
        <f>$C25*V25</f>
        <v/>
      </c>
      <c r="W53" s="414">
        <f>$C25*W25</f>
        <v/>
      </c>
      <c r="X53" s="414">
        <f>$C25*X25</f>
        <v/>
      </c>
      <c r="Y53" s="414">
        <f>$C25*Y25</f>
        <v/>
      </c>
    </row>
    <row r="54">
      <c r="A54" s="100">
        <f>A26</f>
        <v/>
      </c>
      <c r="B54" t="inlineStr">
        <is>
          <t>AUD$k</t>
        </is>
      </c>
      <c r="C54" s="409">
        <f>C26</f>
        <v/>
      </c>
      <c r="D54" s="414">
        <f>$C26*D26</f>
        <v/>
      </c>
      <c r="E54" s="414">
        <f>$C26*E26</f>
        <v/>
      </c>
      <c r="F54" s="414">
        <f>$C26*F26</f>
        <v/>
      </c>
      <c r="G54" s="414">
        <f>$C26*G26</f>
        <v/>
      </c>
      <c r="H54" s="414">
        <f>$C26*H26</f>
        <v/>
      </c>
      <c r="I54" s="414">
        <f>$C26*I26</f>
        <v/>
      </c>
      <c r="J54" s="414">
        <f>$C26*J26</f>
        <v/>
      </c>
      <c r="K54" s="414">
        <f>$C26*K26</f>
        <v/>
      </c>
      <c r="L54" s="414">
        <f>$C26*L26</f>
        <v/>
      </c>
      <c r="M54" s="414">
        <f>$C26*M26</f>
        <v/>
      </c>
      <c r="N54" s="414">
        <f>$C26*N26</f>
        <v/>
      </c>
      <c r="O54" s="414">
        <f>$C26*O26</f>
        <v/>
      </c>
      <c r="P54" s="414">
        <f>$C26*P26</f>
        <v/>
      </c>
      <c r="Q54" s="414">
        <f>$C26*Q26</f>
        <v/>
      </c>
      <c r="R54" s="414">
        <f>$C26*R26</f>
        <v/>
      </c>
      <c r="S54" s="414">
        <f>$C26*S26</f>
        <v/>
      </c>
      <c r="T54" s="414">
        <f>$C26*T26</f>
        <v/>
      </c>
      <c r="U54" s="414">
        <f>$C26*U26</f>
        <v/>
      </c>
      <c r="V54" s="414">
        <f>$C26*V26</f>
        <v/>
      </c>
      <c r="W54" s="414">
        <f>$C26*W26</f>
        <v/>
      </c>
      <c r="X54" s="414">
        <f>$C26*X26</f>
        <v/>
      </c>
      <c r="Y54" s="414">
        <f>$C26*Y26</f>
        <v/>
      </c>
    </row>
    <row r="55">
      <c r="A55" s="100">
        <f>A27</f>
        <v/>
      </c>
      <c r="B55" t="inlineStr">
        <is>
          <t>AUD$k</t>
        </is>
      </c>
      <c r="C55" s="409">
        <f>C27</f>
        <v/>
      </c>
      <c r="D55" s="414">
        <f>$C27*D27</f>
        <v/>
      </c>
      <c r="E55" s="414">
        <f>$C27*E27</f>
        <v/>
      </c>
      <c r="F55" s="414">
        <f>$C27*F27</f>
        <v/>
      </c>
      <c r="G55" s="414">
        <f>$C27*G27</f>
        <v/>
      </c>
      <c r="H55" s="414">
        <f>$C27*H27</f>
        <v/>
      </c>
      <c r="I55" s="414">
        <f>$C27*I27</f>
        <v/>
      </c>
      <c r="J55" s="414">
        <f>$C27*J27</f>
        <v/>
      </c>
      <c r="K55" s="414">
        <f>$C27*K27</f>
        <v/>
      </c>
      <c r="L55" s="414">
        <f>$C27*L27</f>
        <v/>
      </c>
      <c r="M55" s="414">
        <f>$C27*M27</f>
        <v/>
      </c>
      <c r="N55" s="414">
        <f>$C27*N27</f>
        <v/>
      </c>
      <c r="O55" s="414">
        <f>$C27*O27</f>
        <v/>
      </c>
      <c r="P55" s="414">
        <f>$C27*P27</f>
        <v/>
      </c>
      <c r="Q55" s="414">
        <f>$C27*Q27</f>
        <v/>
      </c>
      <c r="R55" s="414">
        <f>$C27*R27</f>
        <v/>
      </c>
      <c r="S55" s="414">
        <f>$C27*S27</f>
        <v/>
      </c>
      <c r="T55" s="414">
        <f>$C27*T27</f>
        <v/>
      </c>
      <c r="U55" s="414">
        <f>$C27*U27</f>
        <v/>
      </c>
      <c r="V55" s="414">
        <f>$C27*V27</f>
        <v/>
      </c>
      <c r="W55" s="414">
        <f>$C27*W27</f>
        <v/>
      </c>
      <c r="X55" s="414">
        <f>$C27*X27</f>
        <v/>
      </c>
      <c r="Y55" s="414">
        <f>$C27*Y27</f>
        <v/>
      </c>
    </row>
    <row r="56">
      <c r="A56" s="100">
        <f>A28</f>
        <v/>
      </c>
      <c r="B56" t="inlineStr">
        <is>
          <t>AUD$k</t>
        </is>
      </c>
      <c r="C56" s="409">
        <f>C28</f>
        <v/>
      </c>
      <c r="D56" s="414">
        <f>$C28*D28</f>
        <v/>
      </c>
      <c r="E56" s="414">
        <f>$C28*E28</f>
        <v/>
      </c>
      <c r="F56" s="414">
        <f>$C28*F28</f>
        <v/>
      </c>
      <c r="G56" s="414">
        <f>$C28*G28</f>
        <v/>
      </c>
      <c r="H56" s="414">
        <f>$C28*H28</f>
        <v/>
      </c>
      <c r="I56" s="414">
        <f>$C28*I28</f>
        <v/>
      </c>
      <c r="J56" s="414">
        <f>$C28*J28</f>
        <v/>
      </c>
      <c r="K56" s="414">
        <f>$C28*K28</f>
        <v/>
      </c>
      <c r="L56" s="414">
        <f>$C28*L28</f>
        <v/>
      </c>
      <c r="M56" s="414">
        <f>$C28*M28</f>
        <v/>
      </c>
      <c r="N56" s="414">
        <f>$C28*N28</f>
        <v/>
      </c>
      <c r="O56" s="414">
        <f>$C28*O28</f>
        <v/>
      </c>
      <c r="P56" s="414">
        <f>$C28*P28</f>
        <v/>
      </c>
      <c r="Q56" s="414">
        <f>$C28*Q28</f>
        <v/>
      </c>
      <c r="R56" s="414">
        <f>$C28*R28</f>
        <v/>
      </c>
      <c r="S56" s="414">
        <f>$C28*S28</f>
        <v/>
      </c>
      <c r="T56" s="414">
        <f>$C28*T28</f>
        <v/>
      </c>
      <c r="U56" s="414">
        <f>$C28*U28</f>
        <v/>
      </c>
      <c r="V56" s="414">
        <f>$C28*V28</f>
        <v/>
      </c>
      <c r="W56" s="414">
        <f>$C28*W28</f>
        <v/>
      </c>
      <c r="X56" s="414">
        <f>$C28*X28</f>
        <v/>
      </c>
      <c r="Y56" s="414">
        <f>$C28*Y28</f>
        <v/>
      </c>
    </row>
    <row r="57">
      <c r="A57" s="100">
        <f>A29</f>
        <v/>
      </c>
      <c r="B57" t="inlineStr">
        <is>
          <t>AUD$k</t>
        </is>
      </c>
      <c r="C57" s="409">
        <f>C29</f>
        <v/>
      </c>
      <c r="D57" s="414">
        <f>$C29*D29</f>
        <v/>
      </c>
      <c r="E57" s="414">
        <f>$C29*E29</f>
        <v/>
      </c>
      <c r="F57" s="414">
        <f>$C29*F29</f>
        <v/>
      </c>
      <c r="G57" s="414">
        <f>$C29*G29</f>
        <v/>
      </c>
      <c r="H57" s="414">
        <f>$C29*H29</f>
        <v/>
      </c>
      <c r="I57" s="414">
        <f>$C29*I29</f>
        <v/>
      </c>
      <c r="J57" s="414">
        <f>$C29*J29</f>
        <v/>
      </c>
      <c r="K57" s="414">
        <f>$C29*K29</f>
        <v/>
      </c>
      <c r="L57" s="414">
        <f>$C29*L29</f>
        <v/>
      </c>
      <c r="M57" s="414">
        <f>$C29*M29</f>
        <v/>
      </c>
      <c r="N57" s="414">
        <f>$C29*N29</f>
        <v/>
      </c>
      <c r="O57" s="414">
        <f>$C29*O29</f>
        <v/>
      </c>
      <c r="P57" s="414">
        <f>$C29*P29</f>
        <v/>
      </c>
      <c r="Q57" s="414">
        <f>$C29*Q29</f>
        <v/>
      </c>
      <c r="R57" s="414">
        <f>$C29*R29</f>
        <v/>
      </c>
      <c r="S57" s="414">
        <f>$C29*S29</f>
        <v/>
      </c>
      <c r="T57" s="414">
        <f>$C29*T29</f>
        <v/>
      </c>
      <c r="U57" s="414">
        <f>$C29*U29</f>
        <v/>
      </c>
      <c r="V57" s="414">
        <f>$C29*V29</f>
        <v/>
      </c>
      <c r="W57" s="414">
        <f>$C29*W29</f>
        <v/>
      </c>
      <c r="X57" s="414">
        <f>$C29*X29</f>
        <v/>
      </c>
      <c r="Y57" s="414">
        <f>$C29*Y29</f>
        <v/>
      </c>
    </row>
    <row r="58">
      <c r="A58" s="100">
        <f>A30</f>
        <v/>
      </c>
      <c r="B58" t="inlineStr">
        <is>
          <t>AUD$k</t>
        </is>
      </c>
      <c r="C58" s="409">
        <f>C30</f>
        <v/>
      </c>
      <c r="D58" s="414">
        <f>$C30*D30</f>
        <v/>
      </c>
      <c r="E58" s="414">
        <f>$C30*E30</f>
        <v/>
      </c>
      <c r="F58" s="414">
        <f>$C30*F30</f>
        <v/>
      </c>
      <c r="G58" s="414">
        <f>$C30*G30</f>
        <v/>
      </c>
      <c r="H58" s="414">
        <f>$C30*H30</f>
        <v/>
      </c>
      <c r="I58" s="414">
        <f>$C30*I30</f>
        <v/>
      </c>
      <c r="J58" s="414">
        <f>$C30*J30</f>
        <v/>
      </c>
      <c r="K58" s="414">
        <f>$C30*K30</f>
        <v/>
      </c>
      <c r="L58" s="414">
        <f>$C30*L30</f>
        <v/>
      </c>
      <c r="M58" s="414">
        <f>$C30*M30</f>
        <v/>
      </c>
      <c r="N58" s="414">
        <f>$C30*N30</f>
        <v/>
      </c>
      <c r="O58" s="414">
        <f>$C30*O30</f>
        <v/>
      </c>
      <c r="P58" s="414">
        <f>$C30*P30</f>
        <v/>
      </c>
      <c r="Q58" s="414">
        <f>$C30*Q30</f>
        <v/>
      </c>
      <c r="R58" s="414">
        <f>$C30*R30</f>
        <v/>
      </c>
      <c r="S58" s="414">
        <f>$C30*S30</f>
        <v/>
      </c>
      <c r="T58" s="414">
        <f>$C30*T30</f>
        <v/>
      </c>
      <c r="U58" s="414">
        <f>$C30*U30</f>
        <v/>
      </c>
      <c r="V58" s="414">
        <f>$C30*V30</f>
        <v/>
      </c>
      <c r="W58" s="414">
        <f>$C30*W30</f>
        <v/>
      </c>
      <c r="X58" s="414">
        <f>$C30*X30</f>
        <v/>
      </c>
      <c r="Y58" s="414">
        <f>$C30*Y30</f>
        <v/>
      </c>
    </row>
    <row r="59">
      <c r="A59" s="100">
        <f>A31</f>
        <v/>
      </c>
      <c r="B59" t="inlineStr">
        <is>
          <t>AUD$k</t>
        </is>
      </c>
      <c r="C59" s="409">
        <f>C31</f>
        <v/>
      </c>
      <c r="D59" s="414">
        <f>$C31*D31</f>
        <v/>
      </c>
      <c r="E59" s="414">
        <f>$C31*E31</f>
        <v/>
      </c>
      <c r="F59" s="414">
        <f>$C31*F31</f>
        <v/>
      </c>
      <c r="G59" s="414">
        <f>$C31*G31</f>
        <v/>
      </c>
      <c r="H59" s="414">
        <f>$C31*H31</f>
        <v/>
      </c>
      <c r="I59" s="414">
        <f>$C31*I31</f>
        <v/>
      </c>
      <c r="J59" s="414">
        <f>$C31*J31</f>
        <v/>
      </c>
      <c r="K59" s="414">
        <f>$C31*K31</f>
        <v/>
      </c>
      <c r="L59" s="414">
        <f>$C31*L31</f>
        <v/>
      </c>
      <c r="M59" s="414">
        <f>$C31*M31</f>
        <v/>
      </c>
      <c r="N59" s="414">
        <f>$C31*N31</f>
        <v/>
      </c>
      <c r="O59" s="414">
        <f>$C31*O31</f>
        <v/>
      </c>
      <c r="P59" s="414">
        <f>$C31*P31</f>
        <v/>
      </c>
      <c r="Q59" s="414">
        <f>$C31*Q31</f>
        <v/>
      </c>
      <c r="R59" s="414">
        <f>$C31*R31</f>
        <v/>
      </c>
      <c r="S59" s="414">
        <f>$C31*S31</f>
        <v/>
      </c>
      <c r="T59" s="414">
        <f>$C31*T31</f>
        <v/>
      </c>
      <c r="U59" s="414">
        <f>$C31*U31</f>
        <v/>
      </c>
      <c r="V59" s="414">
        <f>$C31*V31</f>
        <v/>
      </c>
      <c r="W59" s="414">
        <f>$C31*W31</f>
        <v/>
      </c>
      <c r="X59" s="414">
        <f>$C31*X31</f>
        <v/>
      </c>
      <c r="Y59" s="414">
        <f>$C31*Y31</f>
        <v/>
      </c>
    </row>
    <row r="60">
      <c r="A60" s="100" t="inlineStr">
        <is>
          <t>Total</t>
        </is>
      </c>
      <c r="D60" s="414">
        <f>SUM(D35:D59)</f>
        <v/>
      </c>
      <c r="E60" s="414">
        <f>SUM(E35:E59)</f>
        <v/>
      </c>
      <c r="F60" s="414">
        <f>SUM(F35:F59)</f>
        <v/>
      </c>
      <c r="G60" s="414">
        <f>SUM(G35:G59)</f>
        <v/>
      </c>
      <c r="H60" s="414">
        <f>SUM(H35:H59)</f>
        <v/>
      </c>
      <c r="I60" s="414">
        <f>SUM(I35:I59)</f>
        <v/>
      </c>
      <c r="J60" s="414">
        <f>SUM(J35:J59)</f>
        <v/>
      </c>
      <c r="K60" s="414">
        <f>SUM(K35:K59)</f>
        <v/>
      </c>
      <c r="L60" s="414">
        <f>SUM(L35:L59)</f>
        <v/>
      </c>
      <c r="M60" s="414">
        <f>SUM(M35:M59)</f>
        <v/>
      </c>
      <c r="N60" s="414">
        <f>SUM(N35:N59)</f>
        <v/>
      </c>
      <c r="O60" s="414">
        <f>SUM(O35:O59)</f>
        <v/>
      </c>
      <c r="P60" s="414">
        <f>SUM(P35:P59)</f>
        <v/>
      </c>
      <c r="Q60" s="414">
        <f>SUM(Q35:Q59)</f>
        <v/>
      </c>
      <c r="R60" s="414">
        <f>SUM(R35:R59)</f>
        <v/>
      </c>
      <c r="S60" s="414">
        <f>SUM(S35:S59)</f>
        <v/>
      </c>
      <c r="T60" s="414">
        <f>SUM(T35:T59)</f>
        <v/>
      </c>
      <c r="U60" s="414">
        <f>SUM(U35:U59)</f>
        <v/>
      </c>
      <c r="V60" s="414">
        <f>SUM(V35:V59)</f>
        <v/>
      </c>
      <c r="W60" s="414">
        <f>SUM(W35:W59)</f>
        <v/>
      </c>
      <c r="X60" s="414">
        <f>SUM(X35:X59)</f>
        <v/>
      </c>
      <c r="Y60" s="414">
        <f>SUM(Y35:Y59)</f>
        <v/>
      </c>
    </row>
    <row r="61">
      <c r="A61" s="100" t="inlineStr">
        <is>
          <t xml:space="preserve">Contingency </t>
        </is>
      </c>
      <c r="B61" s="34" t="inlineStr">
        <is>
          <t>%</t>
        </is>
      </c>
      <c r="C61" s="43" t="n">
        <v>0.2</v>
      </c>
      <c r="D61" s="414">
        <f>$C$61*D60</f>
        <v/>
      </c>
      <c r="E61" s="414">
        <f>$C$61*E60</f>
        <v/>
      </c>
      <c r="F61" s="414">
        <f>$C$61*F60</f>
        <v/>
      </c>
      <c r="G61" s="414">
        <f>$C$61*G60</f>
        <v/>
      </c>
      <c r="H61" s="414">
        <f>$C$61*H60</f>
        <v/>
      </c>
      <c r="I61" s="414">
        <f>$C$61*I60</f>
        <v/>
      </c>
      <c r="J61" s="414">
        <f>$C$61*J60</f>
        <v/>
      </c>
      <c r="K61" s="414">
        <f>$C$61*K60</f>
        <v/>
      </c>
      <c r="L61" s="414">
        <f>$C$61*L60</f>
        <v/>
      </c>
      <c r="M61" s="414">
        <f>$C$61*M60</f>
        <v/>
      </c>
      <c r="N61" s="414">
        <f>$C$61*N60</f>
        <v/>
      </c>
      <c r="O61" s="414">
        <f>$C$61*O60</f>
        <v/>
      </c>
      <c r="P61" s="414">
        <f>$C$61*P60</f>
        <v/>
      </c>
      <c r="Q61" s="414">
        <f>$C$61*Q60</f>
        <v/>
      </c>
      <c r="R61" s="414">
        <f>$C$61*R60</f>
        <v/>
      </c>
      <c r="S61" s="414">
        <f>$C$61*S60</f>
        <v/>
      </c>
      <c r="T61" s="414">
        <f>$C$61*T60</f>
        <v/>
      </c>
      <c r="U61" s="414">
        <f>$C$61*U60</f>
        <v/>
      </c>
      <c r="V61" s="414">
        <f>$C$61*V60</f>
        <v/>
      </c>
      <c r="W61" s="414">
        <f>$C$61*W60</f>
        <v/>
      </c>
      <c r="X61" s="414">
        <f>$C$61*X60</f>
        <v/>
      </c>
      <c r="Y61" s="414">
        <f>$C$61*Y60</f>
        <v/>
      </c>
    </row>
    <row r="62" ht="16" customHeight="1" thickBot="1">
      <c r="A62" s="105" t="inlineStr">
        <is>
          <t xml:space="preserve">Total Capital </t>
        </is>
      </c>
      <c r="B62" s="106" t="n"/>
      <c r="C62" s="106" t="n"/>
      <c r="D62" s="416">
        <f>D61+D60</f>
        <v/>
      </c>
      <c r="E62" s="416">
        <f>E61+E60</f>
        <v/>
      </c>
      <c r="F62" s="416">
        <f>F61+F60</f>
        <v/>
      </c>
      <c r="G62" s="416">
        <f>G61+G60</f>
        <v/>
      </c>
      <c r="H62" s="416">
        <f>H61+H60</f>
        <v/>
      </c>
      <c r="I62" s="416">
        <f>I61+I60</f>
        <v/>
      </c>
      <c r="J62" s="416">
        <f>J61+J60</f>
        <v/>
      </c>
      <c r="K62" s="416">
        <f>K61+K60</f>
        <v/>
      </c>
      <c r="L62" s="416">
        <f>L61+L60</f>
        <v/>
      </c>
      <c r="M62" s="416">
        <f>M61+M60</f>
        <v/>
      </c>
      <c r="N62" s="416">
        <f>N61+N60</f>
        <v/>
      </c>
      <c r="O62" s="416">
        <f>O61+O60</f>
        <v/>
      </c>
      <c r="P62" s="416">
        <f>P61+P60</f>
        <v/>
      </c>
      <c r="Q62" s="416">
        <f>Q61+Q60</f>
        <v/>
      </c>
      <c r="R62" s="416">
        <f>R61+R60</f>
        <v/>
      </c>
      <c r="S62" s="416">
        <f>S61+S60</f>
        <v/>
      </c>
      <c r="T62" s="416">
        <f>T61+T60</f>
        <v/>
      </c>
      <c r="U62" s="416">
        <f>U61+U60</f>
        <v/>
      </c>
      <c r="V62" s="416">
        <f>V61+V60</f>
        <v/>
      </c>
      <c r="W62" s="416">
        <f>W61+W60</f>
        <v/>
      </c>
      <c r="X62" s="416">
        <f>X61+X60</f>
        <v/>
      </c>
      <c r="Y62" s="416">
        <f>Y61+Y60</f>
        <v/>
      </c>
    </row>
    <row r="67">
      <c r="B67" s="89" t="n"/>
    </row>
    <row r="68">
      <c r="B68" s="89" t="n"/>
    </row>
    <row r="69">
      <c r="B69" s="89" t="n"/>
    </row>
    <row r="70">
      <c r="B70" s="89" t="n"/>
    </row>
    <row r="71">
      <c r="B71" s="89" t="n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AY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3203125" defaultRowHeight="15"/>
  <cols>
    <col width="21.1640625" bestFit="1" customWidth="1" min="1" max="1"/>
  </cols>
  <sheetData>
    <row r="1">
      <c r="A1" t="inlineStr">
        <is>
          <t>Carbon Cost</t>
        </is>
      </c>
      <c r="B1" s="306" t="n">
        <v>2026</v>
      </c>
      <c r="C1" s="306">
        <f>B1+1</f>
        <v/>
      </c>
      <c r="D1" s="306">
        <f>C1+1</f>
        <v/>
      </c>
      <c r="E1" s="306">
        <f>D1+1</f>
        <v/>
      </c>
      <c r="F1" s="306">
        <f>E1+1</f>
        <v/>
      </c>
      <c r="G1" s="306">
        <f>F1+1</f>
        <v/>
      </c>
      <c r="H1" s="306">
        <f>G1+1</f>
        <v/>
      </c>
      <c r="I1" s="306">
        <f>H1+1</f>
        <v/>
      </c>
      <c r="J1" s="306">
        <f>I1+1</f>
        <v/>
      </c>
      <c r="K1" s="306">
        <f>J1+1</f>
        <v/>
      </c>
      <c r="L1" s="306">
        <f>K1+1</f>
        <v/>
      </c>
      <c r="M1" s="306">
        <f>L1+1</f>
        <v/>
      </c>
      <c r="N1" s="306">
        <f>M1+1</f>
        <v/>
      </c>
      <c r="O1" s="306">
        <f>N1+1</f>
        <v/>
      </c>
      <c r="P1" s="306">
        <f>O1+1</f>
        <v/>
      </c>
      <c r="Q1" s="306">
        <f>P1+1</f>
        <v/>
      </c>
      <c r="R1" s="306">
        <f>Q1+1</f>
        <v/>
      </c>
      <c r="S1" s="306">
        <f>R1+1</f>
        <v/>
      </c>
      <c r="T1" s="306">
        <f>S1+1</f>
        <v/>
      </c>
      <c r="U1" s="306">
        <f>T1+1</f>
        <v/>
      </c>
      <c r="V1" s="306">
        <f>U1+1</f>
        <v/>
      </c>
      <c r="W1" s="306">
        <f>V1+1</f>
        <v/>
      </c>
      <c r="X1" s="306">
        <f>W1+1</f>
        <v/>
      </c>
      <c r="Y1" s="306">
        <f>X1+1</f>
        <v/>
      </c>
      <c r="Z1" s="306">
        <f>Y1+1</f>
        <v/>
      </c>
      <c r="AA1" s="306">
        <f>Z1+1</f>
        <v/>
      </c>
      <c r="AB1" s="306">
        <f>AA1+1</f>
        <v/>
      </c>
      <c r="AC1" s="306">
        <f>AB1+1</f>
        <v/>
      </c>
      <c r="AD1" s="306">
        <f>AC1+1</f>
        <v/>
      </c>
      <c r="AE1" s="306">
        <f>AD1+1</f>
        <v/>
      </c>
      <c r="AF1" s="306">
        <f>AE1+1</f>
        <v/>
      </c>
      <c r="AG1" s="306">
        <f>AF1+1</f>
        <v/>
      </c>
      <c r="AH1" s="306">
        <f>AG1+1</f>
        <v/>
      </c>
      <c r="AI1" s="306">
        <f>AH1+1</f>
        <v/>
      </c>
      <c r="AJ1" s="306">
        <f>AI1+1</f>
        <v/>
      </c>
      <c r="AK1" s="306">
        <f>AJ1+1</f>
        <v/>
      </c>
      <c r="AL1" s="306">
        <f>AK1+1</f>
        <v/>
      </c>
      <c r="AM1" s="306">
        <f>AL1+1</f>
        <v/>
      </c>
      <c r="AN1" s="306">
        <f>AM1+1</f>
        <v/>
      </c>
      <c r="AO1" s="306">
        <f>AN1+1</f>
        <v/>
      </c>
      <c r="AP1" s="306">
        <f>AO1+1</f>
        <v/>
      </c>
      <c r="AQ1" s="306">
        <f>AP1+1</f>
        <v/>
      </c>
      <c r="AR1" s="306">
        <f>AQ1+1</f>
        <v/>
      </c>
      <c r="AS1" s="306">
        <f>AR1+1</f>
        <v/>
      </c>
      <c r="AT1" s="306">
        <f>AS1+1</f>
        <v/>
      </c>
      <c r="AU1" s="306">
        <f>AT1+1</f>
        <v/>
      </c>
      <c r="AV1" s="306">
        <f>AU1+1</f>
        <v/>
      </c>
      <c r="AW1" s="306">
        <f>AV1+1</f>
        <v/>
      </c>
      <c r="AX1" s="306">
        <f>AW1+1</f>
        <v/>
      </c>
      <c r="AY1" s="306">
        <f>AX1+1</f>
        <v/>
      </c>
    </row>
    <row r="2">
      <c r="A2" t="inlineStr">
        <is>
          <t>Zero Carbon Liability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Accelerated Transition</t>
        </is>
      </c>
      <c r="B3" s="353" t="n">
        <v>45</v>
      </c>
      <c r="C3" s="353" t="n">
        <v>50</v>
      </c>
      <c r="D3" s="353" t="n">
        <v>55</v>
      </c>
      <c r="E3" s="353" t="n">
        <v>65</v>
      </c>
      <c r="F3" s="353" t="n">
        <v>80</v>
      </c>
      <c r="G3" s="353" t="n">
        <v>90</v>
      </c>
      <c r="H3" s="353" t="n">
        <v>100</v>
      </c>
      <c r="I3" s="353" t="n">
        <v>105</v>
      </c>
      <c r="J3" s="353" t="n">
        <v>110</v>
      </c>
      <c r="K3" s="353" t="n">
        <v>115</v>
      </c>
      <c r="L3" s="353" t="n">
        <v>115</v>
      </c>
      <c r="M3" s="353" t="n">
        <v>115</v>
      </c>
      <c r="N3" s="353" t="n">
        <v>120</v>
      </c>
      <c r="O3" s="353" t="n">
        <v>120</v>
      </c>
      <c r="P3" s="353" t="n">
        <v>120</v>
      </c>
      <c r="Q3" s="353" t="n">
        <v>120</v>
      </c>
      <c r="R3" s="353" t="n">
        <v>120</v>
      </c>
      <c r="S3" s="353" t="n">
        <v>120</v>
      </c>
      <c r="T3" s="353" t="n">
        <v>115</v>
      </c>
      <c r="U3" s="353" t="n">
        <v>115</v>
      </c>
      <c r="V3" s="353" t="n">
        <v>115</v>
      </c>
      <c r="W3" s="353" t="n">
        <v>120</v>
      </c>
      <c r="X3" s="353" t="n">
        <v>130</v>
      </c>
      <c r="Y3" s="353" t="n">
        <v>140</v>
      </c>
      <c r="Z3" s="353" t="n">
        <v>140</v>
      </c>
      <c r="AA3" s="353" t="n">
        <v>145</v>
      </c>
      <c r="AB3" s="353" t="n">
        <v>150</v>
      </c>
      <c r="AC3" s="353" t="n">
        <v>150</v>
      </c>
      <c r="AD3" s="353" t="n">
        <v>155</v>
      </c>
      <c r="AE3" s="353" t="n">
        <v>155</v>
      </c>
      <c r="AF3" s="353" t="n">
        <v>160</v>
      </c>
      <c r="AG3" s="353" t="n">
        <v>165</v>
      </c>
      <c r="AH3" s="353" t="n">
        <v>165</v>
      </c>
      <c r="AI3" s="353" t="n">
        <v>170</v>
      </c>
      <c r="AJ3" s="353" t="n">
        <v>175</v>
      </c>
      <c r="AK3" s="353" t="n">
        <v>175</v>
      </c>
      <c r="AL3" s="353" t="n">
        <v>180</v>
      </c>
      <c r="AM3" s="353" t="n">
        <v>185</v>
      </c>
      <c r="AN3" s="353" t="n">
        <v>190</v>
      </c>
      <c r="AO3" s="353" t="n">
        <v>190</v>
      </c>
      <c r="AP3" s="353" t="n">
        <v>195</v>
      </c>
      <c r="AQ3" s="353" t="n">
        <v>200</v>
      </c>
      <c r="AR3" s="353" t="n">
        <v>200</v>
      </c>
      <c r="AS3" s="353" t="n">
        <v>200</v>
      </c>
      <c r="AT3" s="353" t="n">
        <v>200</v>
      </c>
      <c r="AU3" s="353" t="n">
        <v>200</v>
      </c>
      <c r="AV3" s="353" t="n">
        <v>200</v>
      </c>
      <c r="AW3" s="353" t="n">
        <v>200</v>
      </c>
      <c r="AX3" s="353" t="n">
        <v>200</v>
      </c>
      <c r="AY3" s="353" t="n">
        <v>200</v>
      </c>
    </row>
    <row r="5">
      <c r="B5" s="353" t="n"/>
      <c r="C5" s="353" t="n"/>
      <c r="D5" s="353" t="n"/>
      <c r="E5" s="353" t="n"/>
      <c r="F5" s="353" t="n"/>
      <c r="G5" s="353" t="n"/>
      <c r="H5" s="353" t="n"/>
      <c r="I5" s="353" t="n"/>
      <c r="J5" s="353" t="n"/>
      <c r="K5" s="353" t="n"/>
      <c r="L5" s="353" t="n"/>
      <c r="M5" s="353" t="n"/>
      <c r="N5" s="353" t="n"/>
      <c r="O5" s="353" t="n"/>
      <c r="P5" s="353" t="n"/>
      <c r="Q5" s="353" t="n"/>
      <c r="R5" s="353" t="n"/>
      <c r="S5" s="353" t="n"/>
      <c r="T5" s="353" t="n"/>
      <c r="U5" s="353" t="n"/>
      <c r="V5" s="353" t="n"/>
      <c r="W5" s="353" t="n"/>
      <c r="X5" s="353" t="n"/>
      <c r="Y5" s="353" t="n"/>
      <c r="Z5" s="353" t="n"/>
      <c r="AA5" s="353" t="n"/>
      <c r="AB5" s="353" t="n"/>
    </row>
    <row r="6">
      <c r="B6" s="353" t="n"/>
      <c r="C6" s="353" t="n"/>
      <c r="D6" s="353" t="n"/>
      <c r="E6" s="353" t="n"/>
      <c r="F6" s="353" t="n"/>
      <c r="G6" s="353" t="n"/>
      <c r="H6" s="353" t="n"/>
      <c r="I6" s="353" t="n"/>
      <c r="J6" s="353" t="n"/>
      <c r="K6" s="353" t="n"/>
      <c r="L6" s="353" t="n"/>
      <c r="M6" s="353" t="n"/>
      <c r="N6" s="353" t="n"/>
      <c r="O6" s="353" t="n"/>
      <c r="P6" s="353" t="n"/>
      <c r="Q6" s="353" t="n"/>
      <c r="R6" s="353" t="n"/>
      <c r="S6" s="353" t="n"/>
      <c r="T6" s="353" t="n"/>
      <c r="U6" s="353" t="n"/>
      <c r="V6" s="353" t="n"/>
      <c r="W6" s="353" t="n"/>
      <c r="X6" s="353" t="n"/>
      <c r="Y6" s="353" t="n"/>
      <c r="Z6" s="353" t="n"/>
      <c r="AA6" s="353" t="n"/>
      <c r="AB6" s="353" t="n"/>
      <c r="AC6" s="353" t="n"/>
      <c r="AD6" s="353" t="n"/>
      <c r="AE6" s="353" t="n"/>
      <c r="AF6" s="353" t="n"/>
      <c r="AG6" s="353" t="n"/>
      <c r="AH6" s="353" t="n"/>
      <c r="AI6" s="353" t="n"/>
      <c r="AJ6" s="353" t="n"/>
      <c r="AK6" s="353" t="n"/>
      <c r="AL6" s="353" t="n"/>
      <c r="AM6" s="353" t="n"/>
      <c r="AN6" s="353" t="n"/>
      <c r="AO6" s="353" t="n"/>
      <c r="AP6" s="353" t="n"/>
      <c r="AQ6" s="353" t="n"/>
      <c r="AR6" s="353" t="n"/>
      <c r="AS6" s="353" t="n"/>
      <c r="AT6" s="353" t="n"/>
      <c r="AU6" s="353" t="n"/>
      <c r="AV6" s="353" t="n"/>
      <c r="AW6" s="353" t="n"/>
      <c r="AX6" s="353" t="n"/>
      <c r="AY6" s="35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D36"/>
  <sheetViews>
    <sheetView topLeftCell="A14" workbookViewId="0">
      <selection activeCell="J12" sqref="J12"/>
    </sheetView>
  </sheetViews>
  <sheetFormatPr baseColWidth="10" defaultColWidth="10.5" defaultRowHeight="13"/>
  <cols>
    <col width="53.5" customWidth="1" style="238" min="1" max="1"/>
    <col width="19.5" customWidth="1" style="238" min="2" max="2"/>
    <col width="13.5" customWidth="1" style="238" min="3" max="3"/>
    <col width="31.83203125" customWidth="1" style="238" min="4" max="4"/>
    <col width="15.5" customWidth="1" style="238" min="5" max="11"/>
    <col width="15.5" customWidth="1" style="265" min="12" max="12"/>
    <col width="15.5" customWidth="1" style="266" min="13" max="13"/>
    <col width="15.5" customWidth="1" style="238" min="14" max="26"/>
    <col width="15.1640625" customWidth="1" style="238" min="27" max="47"/>
    <col width="15.5" bestFit="1" customWidth="1" style="238" min="48" max="48"/>
    <col width="16.5" bestFit="1" customWidth="1" style="238" min="49" max="49"/>
    <col width="15.1640625" customWidth="1" style="238" min="50" max="51"/>
    <col width="44.5" bestFit="1" customWidth="1" style="238" min="52" max="52"/>
    <col width="7.5" bestFit="1" customWidth="1" style="238" min="53" max="53"/>
    <col width="20.5" bestFit="1" customWidth="1" style="238" min="54" max="54"/>
    <col width="11.5" bestFit="1" customWidth="1" style="238" min="55" max="55"/>
    <col width="12" bestFit="1" customWidth="1" style="238" min="56" max="56"/>
    <col width="10.5" customWidth="1" style="238" min="57" max="57"/>
    <col width="44.5" bestFit="1" customWidth="1" style="238" min="58" max="58"/>
    <col width="7.5" bestFit="1" customWidth="1" style="238" min="59" max="59"/>
    <col width="20.5" bestFit="1" customWidth="1" style="238" min="60" max="60"/>
    <col width="11.5" bestFit="1" customWidth="1" style="238" min="61" max="61"/>
    <col width="12" bestFit="1" customWidth="1" style="238" min="62" max="62"/>
    <col width="10.5" customWidth="1" style="238" min="63" max="63"/>
    <col width="44.5" bestFit="1" customWidth="1" style="238" min="64" max="64"/>
    <col width="7.5" bestFit="1" customWidth="1" style="238" min="65" max="65"/>
    <col width="20.5" bestFit="1" customWidth="1" style="238" min="66" max="66"/>
    <col width="11.5" bestFit="1" customWidth="1" style="238" min="67" max="67"/>
    <col width="12" bestFit="1" customWidth="1" style="238" min="68" max="68"/>
    <col width="10.5" customWidth="1" style="238" min="69" max="69"/>
    <col width="44.5" bestFit="1" customWidth="1" style="238" min="70" max="70"/>
    <col width="7.5" bestFit="1" customWidth="1" style="238" min="71" max="71"/>
    <col width="20.5" bestFit="1" customWidth="1" style="238" min="72" max="72"/>
    <col width="11.5" bestFit="1" customWidth="1" style="238" min="73" max="73"/>
    <col width="12" bestFit="1" customWidth="1" style="238" min="74" max="74"/>
    <col width="10.5" customWidth="1" style="238" min="75" max="75"/>
    <col width="44.5" bestFit="1" customWidth="1" style="238" min="76" max="76"/>
    <col width="7.5" bestFit="1" customWidth="1" style="238" min="77" max="77"/>
    <col width="20.5" bestFit="1" customWidth="1" style="238" min="78" max="78"/>
    <col width="11.5" bestFit="1" customWidth="1" style="238" min="79" max="79"/>
    <col width="12" bestFit="1" customWidth="1" style="238" min="80" max="80"/>
    <col width="10.5" customWidth="1" style="238" min="81" max="81"/>
    <col width="44.5" bestFit="1" customWidth="1" style="238" min="82" max="82"/>
    <col width="7.5" bestFit="1" customWidth="1" style="238" min="83" max="83"/>
    <col width="20.5" bestFit="1" customWidth="1" style="238" min="84" max="84"/>
    <col width="11.5" bestFit="1" customWidth="1" style="238" min="85" max="85"/>
    <col width="12" bestFit="1" customWidth="1" style="238" min="86" max="86"/>
    <col width="10.5" customWidth="1" style="238" min="87" max="87"/>
    <col width="44.5" bestFit="1" customWidth="1" style="238" min="88" max="88"/>
    <col width="7.5" bestFit="1" customWidth="1" style="238" min="89" max="89"/>
    <col width="20.5" bestFit="1" customWidth="1" style="238" min="90" max="90"/>
    <col width="11.5" bestFit="1" customWidth="1" style="238" min="91" max="91"/>
    <col width="12" bestFit="1" customWidth="1" style="238" min="92" max="92"/>
    <col width="10.5" customWidth="1" style="238" min="93" max="93"/>
    <col width="44.5" bestFit="1" customWidth="1" style="238" min="94" max="94"/>
    <col width="7.5" bestFit="1" customWidth="1" style="238" min="95" max="95"/>
    <col width="20.5" bestFit="1" customWidth="1" style="238" min="96" max="96"/>
    <col width="11.5" bestFit="1" customWidth="1" style="238" min="97" max="97"/>
    <col width="12" bestFit="1" customWidth="1" style="238" min="98" max="98"/>
    <col width="10.5" customWidth="1" style="238" min="99" max="16384"/>
  </cols>
  <sheetData>
    <row r="1">
      <c r="A1" s="237" t="inlineStr">
        <is>
          <t>Decommissioned Mines</t>
        </is>
      </c>
      <c r="E1" s="425">
        <f>E5</f>
        <v/>
      </c>
      <c r="F1" s="425">
        <f>F5</f>
        <v/>
      </c>
      <c r="G1" s="425">
        <f>G5</f>
        <v/>
      </c>
      <c r="H1" s="425">
        <f>H5</f>
        <v/>
      </c>
      <c r="I1" s="425">
        <f>I5</f>
        <v/>
      </c>
      <c r="J1" s="425">
        <f>J5</f>
        <v/>
      </c>
      <c r="K1" s="425">
        <f>K5</f>
        <v/>
      </c>
      <c r="L1" s="425">
        <f>L5</f>
        <v/>
      </c>
      <c r="M1" s="425">
        <f>M5</f>
        <v/>
      </c>
      <c r="N1" s="425">
        <f>N5</f>
        <v/>
      </c>
      <c r="O1" s="425">
        <f>O5</f>
        <v/>
      </c>
      <c r="P1" s="425">
        <f>P5</f>
        <v/>
      </c>
      <c r="Q1" s="425">
        <f>Q5</f>
        <v/>
      </c>
      <c r="R1" s="425">
        <f>R5</f>
        <v/>
      </c>
      <c r="S1" s="425">
        <f>S5</f>
        <v/>
      </c>
      <c r="T1" s="425">
        <f>T5</f>
        <v/>
      </c>
      <c r="U1" s="425">
        <f>U5</f>
        <v/>
      </c>
      <c r="V1" s="425">
        <f>V5</f>
        <v/>
      </c>
      <c r="W1" s="425">
        <f>W5</f>
        <v/>
      </c>
      <c r="X1" s="425">
        <f>X5</f>
        <v/>
      </c>
      <c r="Y1" s="425">
        <f>Y5</f>
        <v/>
      </c>
      <c r="Z1" s="425">
        <f>Z5</f>
        <v/>
      </c>
      <c r="AA1" s="425">
        <f>AA5</f>
        <v/>
      </c>
      <c r="AB1" s="425">
        <f>AB5</f>
        <v/>
      </c>
      <c r="AC1" s="425">
        <f>AC5</f>
        <v/>
      </c>
      <c r="AD1" s="425">
        <f>AD5</f>
        <v/>
      </c>
      <c r="AE1" s="425">
        <f>AE5</f>
        <v/>
      </c>
      <c r="AF1" s="425">
        <f>AF5</f>
        <v/>
      </c>
      <c r="AG1" s="425">
        <f>AG5</f>
        <v/>
      </c>
      <c r="AH1" s="425">
        <f>AH5</f>
        <v/>
      </c>
      <c r="AI1" s="425">
        <f>AI5</f>
        <v/>
      </c>
      <c r="AJ1" s="425">
        <f>AJ5</f>
        <v/>
      </c>
      <c r="AK1" s="425">
        <f>AK5</f>
        <v/>
      </c>
      <c r="AL1" s="425">
        <f>AL5</f>
        <v/>
      </c>
      <c r="AM1" s="425">
        <f>AM5</f>
        <v/>
      </c>
      <c r="AN1" s="425">
        <f>AN5</f>
        <v/>
      </c>
      <c r="AO1" s="425">
        <f>AO5</f>
        <v/>
      </c>
      <c r="AP1" s="425">
        <f>AP5</f>
        <v/>
      </c>
      <c r="AQ1" s="425">
        <f>AQ5</f>
        <v/>
      </c>
      <c r="AR1" s="425">
        <f>AR5</f>
        <v/>
      </c>
      <c r="AS1" s="425">
        <f>AS5</f>
        <v/>
      </c>
      <c r="AT1" s="425">
        <f>AT5</f>
        <v/>
      </c>
      <c r="AU1" s="425">
        <f>AU5</f>
        <v/>
      </c>
      <c r="AV1" s="425">
        <f>AV5</f>
        <v/>
      </c>
      <c r="AW1" s="425">
        <f>AW5</f>
        <v/>
      </c>
    </row>
    <row r="2" ht="18" customHeight="1">
      <c r="A2" s="240" t="inlineStr">
        <is>
          <t>Methane (CH4)</t>
        </is>
      </c>
      <c r="B2" s="241">
        <f>CONCATENATE("Emissions from Decom Mine: "," ",B5)</f>
        <v/>
      </c>
      <c r="D2" s="242" t="inlineStr">
        <is>
          <t>tCO2-e</t>
        </is>
      </c>
      <c r="E2" s="426">
        <f>IFERROR(IF(E5&lt;$B$11,IF(E5&gt;$B$6,MAX(E3:E4),0),0),0)</f>
        <v/>
      </c>
      <c r="F2" s="426">
        <f>IFERROR(IF(F5&lt;$B$11,IF(F5&gt;$B$6,MAX(F3:F4),0),0),0)</f>
        <v/>
      </c>
      <c r="G2" s="426">
        <f>IFERROR(IF(G5&lt;$B$11,IF(G5&gt;$B$6,MAX(G3:G4),0),0),0)</f>
        <v/>
      </c>
      <c r="H2" s="426">
        <f>IFERROR(IF(H5&lt;$B$11,IF(H5&gt;$B$6,MAX(H3:H4),0),0),0)</f>
        <v/>
      </c>
      <c r="I2" s="426">
        <f>IFERROR(IF(I5&lt;$B$11,IF(I5&gt;$B$6,MAX(I3:I4),0),0),0)</f>
        <v/>
      </c>
      <c r="J2" s="426">
        <f>IFERROR(IF(J5&lt;$B$11,IF(J5&gt;$B$6,MAX(J3:J4),0),0),0)</f>
        <v/>
      </c>
      <c r="K2" s="426">
        <f>IFERROR(IF(K5&lt;$B$11,IF(K5&gt;$B$6,MAX(K3:K4),0),0),0)</f>
        <v/>
      </c>
      <c r="L2" s="426">
        <f>IFERROR(IF(L5&lt;$B$11,IF(L5&gt;$B$6,MAX(L3:L4),0),0),0)</f>
        <v/>
      </c>
      <c r="M2" s="426">
        <f>IFERROR(IF(M5&lt;$B$11,IF(M5&gt;$B$6,MAX(M3:M4),0),0),0)</f>
        <v/>
      </c>
      <c r="N2" s="426">
        <f>IFERROR(IF(N5&lt;$B$11,IF(N5&gt;$B$6,MAX(N3:N4),0),0),0)</f>
        <v/>
      </c>
      <c r="O2" s="426">
        <f>IFERROR(IF(O5&lt;$B$11,IF(O5&gt;$B$6,MAX(O3:O4),0),0),0)</f>
        <v/>
      </c>
      <c r="P2" s="426">
        <f>IFERROR(IF(P5&lt;$B$11,IF(P5&gt;$B$6,MAX(P3:P4),0),0),0)</f>
        <v/>
      </c>
      <c r="Q2" s="426">
        <f>IFERROR(IF(Q5&lt;$B$11,IF(Q5&gt;$B$6,MAX(Q3:Q4),0),0),0)</f>
        <v/>
      </c>
      <c r="R2" s="426">
        <f>IFERROR(IF(R5&lt;$B$11,IF(R5&gt;$B$6,MAX(R3:R4),0),0),0)</f>
        <v/>
      </c>
      <c r="S2" s="426">
        <f>IFERROR(IF(S5&lt;$B$11,IF(S5&gt;$B$6,MAX(S3:S4),0),0),0)</f>
        <v/>
      </c>
      <c r="T2" s="426">
        <f>IFERROR(IF(T5&lt;$B$11,IF(T5&gt;$B$6,MAX(T3:T4),0),0),0)</f>
        <v/>
      </c>
      <c r="U2" s="426">
        <f>IFERROR(IF(U5&lt;$B$11,IF(U5&gt;$B$6,MAX(U3:U4),0),0),0)</f>
        <v/>
      </c>
      <c r="V2" s="426">
        <f>IFERROR(IF(V5&lt;$B$11,IF(V5&gt;$B$6,MAX(V3:V4),0),0),0)</f>
        <v/>
      </c>
      <c r="W2" s="426">
        <f>IFERROR(IF(W5&lt;$B$11,IF(W5&gt;$B$6,MAX(W3:W4),0),0),0)</f>
        <v/>
      </c>
      <c r="X2" s="426">
        <f>IFERROR(IF(X5&lt;$B$11,IF(X5&gt;$B$6,MAX(X3:X4),0),0),0)</f>
        <v/>
      </c>
      <c r="Y2" s="426">
        <f>IFERROR(IF(Y5&lt;$B$11,IF(Y5&gt;$B$6,MAX(Y3:Y4),0),0),0)</f>
        <v/>
      </c>
      <c r="Z2" s="426">
        <f>IFERROR(IF(Z5&lt;$B$11,IF(Z5&gt;$B$6,MAX(Z3:Z4),0),0),0)</f>
        <v/>
      </c>
      <c r="AA2" s="426">
        <f>IFERROR(IF(AA5&lt;$B$11,IF(AA5&gt;$B$6,MAX(AA3:AA4),0),0),0)</f>
        <v/>
      </c>
      <c r="AB2" s="426">
        <f>IFERROR(IF(AB5&lt;$B$11,IF(AB5&gt;$B$6,MAX(AB3:AB4),0),0),0)</f>
        <v/>
      </c>
      <c r="AC2" s="426">
        <f>IFERROR(IF(AC5&lt;$B$11,IF(AC5&gt;$B$6,MAX(AC3:AC4),0),0),0)</f>
        <v/>
      </c>
      <c r="AD2" s="426">
        <f>IFERROR(IF(AD5&lt;$B$11,IF(AD5&gt;$B$6,MAX(AD3:AD4),0),0),0)</f>
        <v/>
      </c>
      <c r="AE2" s="426">
        <f>IFERROR(IF(AE5&lt;$B$11,IF(AE5&gt;$B$6,MAX(AE3:AE4),0),0),0)</f>
        <v/>
      </c>
      <c r="AF2" s="426">
        <f>IFERROR(IF(AF5&lt;$B$11,IF(AF5&gt;$B$6,MAX(AF3:AF4),0),0),0)</f>
        <v/>
      </c>
      <c r="AG2" s="426">
        <f>IFERROR(IF(AG5&lt;$B$11,IF(AG5&gt;$B$6,MAX(AG3:AG4),0),0),0)</f>
        <v/>
      </c>
      <c r="AH2" s="426">
        <f>IFERROR(IF(AH5&lt;$B$11,IF(AH5&gt;$B$6,MAX(AH3:AH4),0),0),0)</f>
        <v/>
      </c>
      <c r="AI2" s="426">
        <f>IFERROR(IF(AI5&lt;$B$11,IF(AI5&gt;$B$6,MAX(AI3:AI4),0),0),0)</f>
        <v/>
      </c>
      <c r="AJ2" s="426">
        <f>IFERROR(IF(AJ5&lt;$B$11,IF(AJ5&gt;$B$6,MAX(AJ3:AJ4),0),0),0)</f>
        <v/>
      </c>
      <c r="AK2" s="426">
        <f>IFERROR(IF(AK5&lt;$B$11,IF(AK5&gt;$B$6,MAX(AK3:AK4),0),0),0)</f>
        <v/>
      </c>
      <c r="AL2" s="426">
        <f>IFERROR(IF(AL5&lt;$B$11,IF(AL5&gt;$B$6,MAX(AL3:AL4),0),0),0)</f>
        <v/>
      </c>
      <c r="AM2" s="426">
        <f>IFERROR(IF(AM5&lt;$B$11,IF(AM5&gt;$B$6,MAX(AM3:AM4),0),0),0)</f>
        <v/>
      </c>
      <c r="AN2" s="426">
        <f>IFERROR(IF(AN5&lt;$B$11,IF(AN5&gt;$B$6,MAX(AN3:AN4),0),0),0)</f>
        <v/>
      </c>
      <c r="AO2" s="426">
        <f>IFERROR(IF(AO5&lt;$B$11,IF(AO5&gt;$B$6,MAX(AO3:AO4),0),0),0)</f>
        <v/>
      </c>
      <c r="AP2" s="426">
        <f>IFERROR(IF(AP5&lt;$B$11,IF(AP5&gt;$B$6,MAX(AP3:AP4),0),0),0)</f>
        <v/>
      </c>
      <c r="AQ2" s="426">
        <f>IFERROR(IF(AQ5&lt;$B$11,IF(AQ5&gt;$B$6,MAX(AQ3:AQ4),0),0),0)</f>
        <v/>
      </c>
      <c r="AR2" s="426">
        <f>IFERROR(IF(AR5&lt;$B$11,IF(AR5&gt;$B$6,MAX(AR3:AR4),0),0),0)</f>
        <v/>
      </c>
      <c r="AS2" s="426">
        <f>IFERROR(IF(AS5&lt;$B$11,IF(AS5&gt;$B$6,MAX(AS3:AS4),0),0),0)</f>
        <v/>
      </c>
      <c r="AT2" s="426">
        <f>IFERROR(IF(AT5&lt;$B$11,IF(AT5&gt;$B$6,MAX(AT3:AT4),0),0),0)</f>
        <v/>
      </c>
      <c r="AU2" s="426">
        <f>IFERROR(IF(AU5&lt;$B$11,IF(AU5&gt;$B$6,MAX(AU3:AU4),0),0),0)</f>
        <v/>
      </c>
      <c r="AV2" s="426">
        <f>IFERROR(IF(AV5&lt;$B$11,IF(AV5&gt;$B$6,MAX(AV3:AV4),0),0),0)</f>
        <v/>
      </c>
      <c r="AW2" s="426">
        <f>IFERROR(IF(AW5&lt;$B$11,IF(AW5&gt;$B$6,MAX(AW3:AW4),0),0),0)</f>
        <v/>
      </c>
    </row>
    <row r="3">
      <c r="D3" s="238" t="inlineStr">
        <is>
          <t>(3.32 (1))</t>
        </is>
      </c>
      <c r="E3" s="427">
        <f>E16</f>
        <v/>
      </c>
      <c r="F3" s="427">
        <f>F16</f>
        <v/>
      </c>
      <c r="G3" s="427">
        <f>G16</f>
        <v/>
      </c>
      <c r="H3" s="427">
        <f>H16</f>
        <v/>
      </c>
      <c r="I3" s="427">
        <f>I16</f>
        <v/>
      </c>
      <c r="J3" s="427">
        <f>J16</f>
        <v/>
      </c>
      <c r="K3" s="427">
        <f>K16</f>
        <v/>
      </c>
      <c r="L3" s="427">
        <f>L16</f>
        <v/>
      </c>
      <c r="M3" s="427">
        <f>M16</f>
        <v/>
      </c>
      <c r="N3" s="427">
        <f>N16</f>
        <v/>
      </c>
      <c r="O3" s="427">
        <f>O16</f>
        <v/>
      </c>
      <c r="P3" s="427">
        <f>P16</f>
        <v/>
      </c>
      <c r="Q3" s="427">
        <f>Q16</f>
        <v/>
      </c>
      <c r="R3" s="427">
        <f>R16</f>
        <v/>
      </c>
      <c r="S3" s="427">
        <f>S16</f>
        <v/>
      </c>
      <c r="T3" s="427">
        <f>T16</f>
        <v/>
      </c>
      <c r="U3" s="427">
        <f>U16</f>
        <v/>
      </c>
      <c r="V3" s="427">
        <f>V16</f>
        <v/>
      </c>
      <c r="W3" s="427">
        <f>W16</f>
        <v/>
      </c>
      <c r="X3" s="427">
        <f>X16</f>
        <v/>
      </c>
      <c r="Y3" s="427">
        <f>Y16</f>
        <v/>
      </c>
      <c r="Z3" s="427">
        <f>Z16</f>
        <v/>
      </c>
      <c r="AA3" s="427">
        <f>AA16</f>
        <v/>
      </c>
      <c r="AB3" s="427">
        <f>AB16</f>
        <v/>
      </c>
      <c r="AC3" s="427">
        <f>AC16</f>
        <v/>
      </c>
      <c r="AD3" s="427">
        <f>AD16</f>
        <v/>
      </c>
      <c r="AE3" s="427">
        <f>AE16</f>
        <v/>
      </c>
      <c r="AF3" s="427">
        <f>AF16</f>
        <v/>
      </c>
      <c r="AG3" s="427">
        <f>AG16</f>
        <v/>
      </c>
      <c r="AH3" s="427">
        <f>AH16</f>
        <v/>
      </c>
      <c r="AI3" s="427">
        <f>AI16</f>
        <v/>
      </c>
      <c r="AJ3" s="427">
        <f>AJ16</f>
        <v/>
      </c>
      <c r="AK3" s="427">
        <f>AK16</f>
        <v/>
      </c>
      <c r="AL3" s="427">
        <f>AL16</f>
        <v/>
      </c>
      <c r="AM3" s="427">
        <f>AM16</f>
        <v/>
      </c>
      <c r="AN3" s="427">
        <f>AN16</f>
        <v/>
      </c>
      <c r="AO3" s="427">
        <f>AO16</f>
        <v/>
      </c>
      <c r="AP3" s="427">
        <f>AP16</f>
        <v/>
      </c>
      <c r="AQ3" s="427">
        <f>AQ16</f>
        <v/>
      </c>
      <c r="AR3" s="427">
        <f>AR16</f>
        <v/>
      </c>
      <c r="AS3" s="427">
        <f>AS16</f>
        <v/>
      </c>
      <c r="AT3" s="427">
        <f>AT16</f>
        <v/>
      </c>
      <c r="AU3" s="427">
        <f>AU16</f>
        <v/>
      </c>
      <c r="AV3" s="427">
        <f>AV16</f>
        <v/>
      </c>
      <c r="AW3" s="427">
        <f>AW16</f>
        <v/>
      </c>
    </row>
    <row r="4" ht="14" customHeight="1" thickBot="1">
      <c r="A4" s="308" t="inlineStr">
        <is>
          <t>DATA ENTRY</t>
        </is>
      </c>
      <c r="B4" s="26" t="n"/>
      <c r="D4" s="238" t="inlineStr">
        <is>
          <t>(3.32 (2))</t>
        </is>
      </c>
      <c r="E4" s="428">
        <f>0.02*E6</f>
        <v/>
      </c>
      <c r="F4" s="428">
        <f>0.02*F6</f>
        <v/>
      </c>
      <c r="G4" s="428">
        <f>0.02*G6</f>
        <v/>
      </c>
      <c r="H4" s="428">
        <f>0.02*H6</f>
        <v/>
      </c>
      <c r="I4" s="428">
        <f>0.02*I6</f>
        <v/>
      </c>
      <c r="J4" s="428">
        <f>0.02*J6</f>
        <v/>
      </c>
      <c r="K4" s="428">
        <f>0.02*K6</f>
        <v/>
      </c>
      <c r="L4" s="428">
        <f>0.02*L6</f>
        <v/>
      </c>
      <c r="M4" s="428">
        <f>0.02*M6</f>
        <v/>
      </c>
      <c r="N4" s="428">
        <f>0.02*N6</f>
        <v/>
      </c>
      <c r="O4" s="428">
        <f>0.02*O6</f>
        <v/>
      </c>
      <c r="P4" s="428">
        <f>0.02*P6</f>
        <v/>
      </c>
      <c r="Q4" s="428">
        <f>0.02*Q6</f>
        <v/>
      </c>
      <c r="R4" s="428">
        <f>0.02*R6</f>
        <v/>
      </c>
      <c r="S4" s="428">
        <f>0.02*S6</f>
        <v/>
      </c>
      <c r="T4" s="428">
        <f>0.02*T6</f>
        <v/>
      </c>
      <c r="U4" s="428">
        <f>0.02*U6</f>
        <v/>
      </c>
      <c r="V4" s="428">
        <f>0.02*V6</f>
        <v/>
      </c>
      <c r="W4" s="428">
        <f>0.02*W6</f>
        <v/>
      </c>
      <c r="X4" s="428">
        <f>0.02*X6</f>
        <v/>
      </c>
      <c r="Y4" s="428">
        <f>0.02*Y6</f>
        <v/>
      </c>
      <c r="Z4" s="428">
        <f>0.02*Z6</f>
        <v/>
      </c>
      <c r="AA4" s="428">
        <f>0.02*AA6</f>
        <v/>
      </c>
      <c r="AB4" s="428">
        <f>0.02*AB6</f>
        <v/>
      </c>
      <c r="AC4" s="428">
        <f>0.02*AC6</f>
        <v/>
      </c>
      <c r="AD4" s="428">
        <f>0.02*AD6</f>
        <v/>
      </c>
      <c r="AE4" s="428">
        <f>0.02*AE6</f>
        <v/>
      </c>
      <c r="AF4" s="428">
        <f>0.02*AF6</f>
        <v/>
      </c>
      <c r="AG4" s="428">
        <f>0.02*AG6</f>
        <v/>
      </c>
      <c r="AH4" s="428">
        <f>0.02*AH6</f>
        <v/>
      </c>
      <c r="AI4" s="428">
        <f>0.02*AI6</f>
        <v/>
      </c>
      <c r="AJ4" s="428">
        <f>0.02*AJ6</f>
        <v/>
      </c>
      <c r="AK4" s="428">
        <f>0.02*AK6</f>
        <v/>
      </c>
      <c r="AL4" s="428">
        <f>0.02*AL6</f>
        <v/>
      </c>
      <c r="AM4" s="428">
        <f>0.02*AM6</f>
        <v/>
      </c>
      <c r="AN4" s="428">
        <f>0.02*AN6</f>
        <v/>
      </c>
      <c r="AO4" s="428">
        <f>0.02*AO6</f>
        <v/>
      </c>
      <c r="AP4" s="428">
        <f>0.02*AP6</f>
        <v/>
      </c>
      <c r="AQ4" s="428">
        <f>0.02*AQ6</f>
        <v/>
      </c>
      <c r="AR4" s="428">
        <f>0.02*AR6</f>
        <v/>
      </c>
      <c r="AS4" s="428">
        <f>0.02*AS6</f>
        <v/>
      </c>
      <c r="AT4" s="428">
        <f>0.02*AT6</f>
        <v/>
      </c>
      <c r="AU4" s="428">
        <f>0.02*AU6</f>
        <v/>
      </c>
      <c r="AV4" s="428">
        <f>0.02*AV6</f>
        <v/>
      </c>
      <c r="AW4" s="428">
        <f>0.02*AW6</f>
        <v/>
      </c>
    </row>
    <row r="5" ht="14" customHeight="1" thickBot="1">
      <c r="A5" s="246" t="inlineStr">
        <is>
          <t>Site</t>
        </is>
      </c>
      <c r="B5" s="294" t="inlineStr">
        <is>
          <t>Springbok + Brave Blossom</t>
        </is>
      </c>
      <c r="D5" s="247" t="n"/>
      <c r="E5" s="292" t="n">
        <v>46752</v>
      </c>
      <c r="F5" s="292">
        <f>E5+366</f>
        <v/>
      </c>
      <c r="G5" s="292">
        <f>F5+365</f>
        <v/>
      </c>
      <c r="H5" s="292">
        <f>G5+365</f>
        <v/>
      </c>
      <c r="I5" s="292">
        <f>H5+365</f>
        <v/>
      </c>
      <c r="J5" s="292">
        <f>I5+366</f>
        <v/>
      </c>
      <c r="K5" s="292">
        <f>J5+365</f>
        <v/>
      </c>
      <c r="L5" s="292">
        <f>K5+365</f>
        <v/>
      </c>
      <c r="M5" s="292">
        <f>L5+365</f>
        <v/>
      </c>
      <c r="N5" s="292">
        <f>M5+366</f>
        <v/>
      </c>
      <c r="O5" s="292">
        <f>N5+365</f>
        <v/>
      </c>
      <c r="P5" s="292">
        <f>O5+365</f>
        <v/>
      </c>
      <c r="Q5" s="292">
        <f>P5+365</f>
        <v/>
      </c>
      <c r="R5" s="292">
        <f>Q5+366</f>
        <v/>
      </c>
      <c r="S5" s="292">
        <f>R5+365</f>
        <v/>
      </c>
      <c r="T5" s="292">
        <f>S5+365</f>
        <v/>
      </c>
      <c r="U5" s="292">
        <f>T5+365</f>
        <v/>
      </c>
      <c r="V5" s="292">
        <f>U5+366</f>
        <v/>
      </c>
      <c r="W5" s="292">
        <f>V5+365</f>
        <v/>
      </c>
      <c r="X5" s="292">
        <f>W5+365</f>
        <v/>
      </c>
      <c r="Y5" s="292">
        <f>X5+365</f>
        <v/>
      </c>
      <c r="Z5" s="292">
        <f>Y5+366</f>
        <v/>
      </c>
      <c r="AA5" s="292">
        <f>Z5+365</f>
        <v/>
      </c>
      <c r="AB5" s="292">
        <f>AA5+365</f>
        <v/>
      </c>
      <c r="AC5" s="292">
        <f>AB5+365</f>
        <v/>
      </c>
      <c r="AD5" s="292">
        <f>AC5+366</f>
        <v/>
      </c>
      <c r="AE5" s="292">
        <f>AD5+365</f>
        <v/>
      </c>
      <c r="AF5" s="292">
        <f>AE5+365</f>
        <v/>
      </c>
      <c r="AG5" s="292">
        <f>AF5+365</f>
        <v/>
      </c>
      <c r="AH5" s="292">
        <f>AG5+366</f>
        <v/>
      </c>
      <c r="AI5" s="292">
        <f>AH5+365</f>
        <v/>
      </c>
      <c r="AJ5" s="292">
        <f>AI5+365</f>
        <v/>
      </c>
      <c r="AK5" s="292">
        <f>AJ5+365</f>
        <v/>
      </c>
      <c r="AL5" s="292">
        <f>AK5+366</f>
        <v/>
      </c>
      <c r="AM5" s="292">
        <f>AL5+365</f>
        <v/>
      </c>
      <c r="AN5" s="292">
        <f>AM5+365</f>
        <v/>
      </c>
      <c r="AO5" s="292">
        <f>AN5+365</f>
        <v/>
      </c>
      <c r="AP5" s="292">
        <f>AO5+366</f>
        <v/>
      </c>
      <c r="AQ5" s="292">
        <f>AP5+365</f>
        <v/>
      </c>
      <c r="AR5" s="292">
        <f>AQ5+365</f>
        <v/>
      </c>
      <c r="AS5" s="292">
        <f>AR5+365</f>
        <v/>
      </c>
      <c r="AT5" s="292">
        <f>AS5+366</f>
        <v/>
      </c>
      <c r="AU5" s="292">
        <f>AT5+365</f>
        <v/>
      </c>
      <c r="AV5" s="292">
        <f>AU5+365</f>
        <v/>
      </c>
      <c r="AW5" s="292">
        <f>AV5+365</f>
        <v/>
      </c>
    </row>
    <row r="6">
      <c r="A6" s="248" t="inlineStr">
        <is>
          <t>Date Mine Closed</t>
        </is>
      </c>
      <c r="B6" s="249">
        <f>VLOOKUP(B5,A29:J31,6)</f>
        <v/>
      </c>
      <c r="D6" s="250" t="inlineStr">
        <is>
          <t>Etdm</t>
        </is>
      </c>
      <c r="E6" s="426">
        <f>$B$8</f>
        <v/>
      </c>
      <c r="F6" s="426">
        <f>$B$8</f>
        <v/>
      </c>
      <c r="G6" s="426">
        <f>$B$8</f>
        <v/>
      </c>
      <c r="H6" s="426">
        <f>$B$8</f>
        <v/>
      </c>
      <c r="I6" s="426">
        <f>$B$8</f>
        <v/>
      </c>
      <c r="J6" s="426">
        <f>$B$8</f>
        <v/>
      </c>
      <c r="K6" s="426">
        <f>$B$8</f>
        <v/>
      </c>
      <c r="L6" s="426">
        <f>$B$8</f>
        <v/>
      </c>
      <c r="M6" s="426">
        <f>$B$8</f>
        <v/>
      </c>
      <c r="N6" s="426">
        <f>$B$8</f>
        <v/>
      </c>
      <c r="O6" s="426">
        <f>$B$8</f>
        <v/>
      </c>
      <c r="P6" s="426">
        <f>$B$8</f>
        <v/>
      </c>
      <c r="Q6" s="426">
        <f>$B$8</f>
        <v/>
      </c>
      <c r="R6" s="426">
        <f>$B$8</f>
        <v/>
      </c>
      <c r="S6" s="426">
        <f>$B$8</f>
        <v/>
      </c>
      <c r="T6" s="426">
        <f>$B$8</f>
        <v/>
      </c>
      <c r="U6" s="426">
        <f>$B$8</f>
        <v/>
      </c>
      <c r="V6" s="426">
        <f>$B$8</f>
        <v/>
      </c>
      <c r="W6" s="426">
        <f>$B$8</f>
        <v/>
      </c>
      <c r="X6" s="426">
        <f>$B$8</f>
        <v/>
      </c>
      <c r="Y6" s="426">
        <f>$B$8</f>
        <v/>
      </c>
      <c r="Z6" s="426">
        <f>$B$8</f>
        <v/>
      </c>
      <c r="AA6" s="426">
        <f>$B$8</f>
        <v/>
      </c>
      <c r="AB6" s="426">
        <f>$B$8</f>
        <v/>
      </c>
      <c r="AC6" s="426">
        <f>$B$8</f>
        <v/>
      </c>
      <c r="AD6" s="426">
        <f>$B$8</f>
        <v/>
      </c>
      <c r="AE6" s="426">
        <f>$B$8</f>
        <v/>
      </c>
      <c r="AF6" s="426">
        <f>$B$8</f>
        <v/>
      </c>
      <c r="AG6" s="426">
        <f>$B$8</f>
        <v/>
      </c>
      <c r="AH6" s="426">
        <f>$B$8</f>
        <v/>
      </c>
      <c r="AI6" s="426">
        <f>$B$8</f>
        <v/>
      </c>
      <c r="AJ6" s="426">
        <f>$B$8</f>
        <v/>
      </c>
      <c r="AK6" s="426">
        <f>$B$8</f>
        <v/>
      </c>
      <c r="AL6" s="426">
        <f>$B$8</f>
        <v/>
      </c>
      <c r="AM6" s="426">
        <f>$B$8</f>
        <v/>
      </c>
      <c r="AN6" s="426">
        <f>$B$8</f>
        <v/>
      </c>
      <c r="AO6" s="426">
        <f>$B$8</f>
        <v/>
      </c>
      <c r="AP6" s="426">
        <f>$B$8</f>
        <v/>
      </c>
      <c r="AQ6" s="426">
        <f>$B$8</f>
        <v/>
      </c>
      <c r="AR6" s="426">
        <f>$B$8</f>
        <v/>
      </c>
      <c r="AS6" s="426">
        <f>$B$8</f>
        <v/>
      </c>
      <c r="AT6" s="426">
        <f>$B$8</f>
        <v/>
      </c>
      <c r="AU6" s="426">
        <f>$B$8</f>
        <v/>
      </c>
      <c r="AV6" s="426">
        <f>$B$8</f>
        <v/>
      </c>
      <c r="AW6" s="426">
        <f>$B$8</f>
        <v/>
      </c>
    </row>
    <row r="7">
      <c r="A7" s="248" t="inlineStr">
        <is>
          <t>Gassy/Non-Gassy</t>
        </is>
      </c>
      <c r="B7" s="249">
        <f>VLOOKUP($B$5,$A$29:$J$31,3)</f>
        <v/>
      </c>
      <c r="D7" s="250" t="inlineStr">
        <is>
          <t>A</t>
        </is>
      </c>
      <c r="E7" s="251">
        <f>0.23/12</f>
        <v/>
      </c>
      <c r="F7" s="251">
        <f>0.23/12</f>
        <v/>
      </c>
      <c r="G7" s="251">
        <f>0.23/12</f>
        <v/>
      </c>
      <c r="H7" s="251">
        <f>0.23/12</f>
        <v/>
      </c>
      <c r="I7" s="251">
        <f>0.23/12</f>
        <v/>
      </c>
      <c r="J7" s="251">
        <f>0.23/12</f>
        <v/>
      </c>
      <c r="K7" s="251">
        <f>0.23/12</f>
        <v/>
      </c>
      <c r="L7" s="251">
        <f>0.23/12</f>
        <v/>
      </c>
      <c r="M7" s="251">
        <f>0.23/12</f>
        <v/>
      </c>
      <c r="N7" s="251">
        <f>0.23/12</f>
        <v/>
      </c>
      <c r="O7" s="251">
        <f>0.23/12</f>
        <v/>
      </c>
      <c r="P7" s="251">
        <f>0.23/12</f>
        <v/>
      </c>
      <c r="Q7" s="251">
        <f>0.23/12</f>
        <v/>
      </c>
      <c r="R7" s="251">
        <f>0.23/12</f>
        <v/>
      </c>
      <c r="S7" s="251">
        <f>0.23/12</f>
        <v/>
      </c>
      <c r="T7" s="251">
        <f>0.23/12</f>
        <v/>
      </c>
      <c r="U7" s="251">
        <f>0.23/12</f>
        <v/>
      </c>
      <c r="V7" s="251">
        <f>0.23/12</f>
        <v/>
      </c>
      <c r="W7" s="251">
        <f>0.23/12</f>
        <v/>
      </c>
      <c r="X7" s="251">
        <f>0.23/12</f>
        <v/>
      </c>
      <c r="Y7" s="251">
        <f>0.23/12</f>
        <v/>
      </c>
      <c r="Z7" s="251">
        <f>0.23/12</f>
        <v/>
      </c>
      <c r="AA7" s="251">
        <f>0.23/12</f>
        <v/>
      </c>
      <c r="AB7" s="251">
        <f>0.23/12</f>
        <v/>
      </c>
      <c r="AC7" s="251">
        <f>0.23/12</f>
        <v/>
      </c>
      <c r="AD7" s="251">
        <f>0.23/12</f>
        <v/>
      </c>
      <c r="AE7" s="251">
        <f>0.23/12</f>
        <v/>
      </c>
      <c r="AF7" s="251">
        <f>0.23/12</f>
        <v/>
      </c>
      <c r="AG7" s="251">
        <f>0.23/12</f>
        <v/>
      </c>
      <c r="AH7" s="251">
        <f>0.23/12</f>
        <v/>
      </c>
      <c r="AI7" s="251">
        <f>0.23/12</f>
        <v/>
      </c>
      <c r="AJ7" s="251">
        <f>0.23/12</f>
        <v/>
      </c>
      <c r="AK7" s="251">
        <f>0.23/12</f>
        <v/>
      </c>
      <c r="AL7" s="251">
        <f>0.23/12</f>
        <v/>
      </c>
      <c r="AM7" s="251">
        <f>0.23/12</f>
        <v/>
      </c>
      <c r="AN7" s="251">
        <f>0.23/12</f>
        <v/>
      </c>
      <c r="AO7" s="251">
        <f>0.23/12</f>
        <v/>
      </c>
      <c r="AP7" s="251">
        <f>0.23/12</f>
        <v/>
      </c>
      <c r="AQ7" s="251">
        <f>0.23/12</f>
        <v/>
      </c>
      <c r="AR7" s="251">
        <f>0.23/12</f>
        <v/>
      </c>
      <c r="AS7" s="251">
        <f>0.23/12</f>
        <v/>
      </c>
      <c r="AT7" s="251">
        <f>0.23/12</f>
        <v/>
      </c>
      <c r="AU7" s="251">
        <f>0.23/12</f>
        <v/>
      </c>
      <c r="AV7" s="251">
        <f>0.23/12</f>
        <v/>
      </c>
      <c r="AW7" s="251">
        <f>0.23/12</f>
        <v/>
      </c>
    </row>
    <row r="8" ht="17" customHeight="1">
      <c r="A8" s="248" t="inlineStr">
        <is>
          <t>CH4 emissions from mine 12 month prior to closure</t>
        </is>
      </c>
      <c r="B8" s="429">
        <f>VLOOKUP($B$5,$A$29:$J$31,4)</f>
        <v/>
      </c>
      <c r="D8" s="250" t="inlineStr">
        <is>
          <t>b</t>
        </is>
      </c>
      <c r="E8" s="251" t="n">
        <v>-1.45</v>
      </c>
      <c r="F8" s="251" t="n">
        <v>-1.45</v>
      </c>
      <c r="G8" s="251" t="n">
        <v>-1.45</v>
      </c>
      <c r="H8" s="251" t="n">
        <v>-1.45</v>
      </c>
      <c r="I8" s="251" t="n">
        <v>-1.45</v>
      </c>
      <c r="J8" s="251" t="n">
        <v>-1.45</v>
      </c>
      <c r="K8" s="251" t="n">
        <v>-1.45</v>
      </c>
      <c r="L8" s="251" t="n">
        <v>-1.45</v>
      </c>
      <c r="M8" s="251" t="n">
        <v>-1.45</v>
      </c>
      <c r="N8" s="251" t="n">
        <v>-1.45</v>
      </c>
      <c r="O8" s="251" t="n">
        <v>-1.45</v>
      </c>
      <c r="P8" s="251" t="n">
        <v>-1.45</v>
      </c>
      <c r="Q8" s="251" t="n">
        <v>-1.45</v>
      </c>
      <c r="R8" s="251" t="n">
        <v>-1.45</v>
      </c>
      <c r="S8" s="251" t="n">
        <v>-1.45</v>
      </c>
      <c r="T8" s="251" t="n">
        <v>-1.45</v>
      </c>
      <c r="U8" s="251" t="n">
        <v>-1.45</v>
      </c>
      <c r="V8" s="251" t="n">
        <v>-1.45</v>
      </c>
      <c r="W8" s="251" t="n">
        <v>-1.45</v>
      </c>
      <c r="X8" s="251" t="n">
        <v>-1.45</v>
      </c>
      <c r="Y8" s="251" t="n">
        <v>-1.45</v>
      </c>
      <c r="Z8" s="251" t="n">
        <v>-1.45</v>
      </c>
      <c r="AA8" s="251" t="n">
        <v>-1.45</v>
      </c>
      <c r="AB8" s="251" t="n">
        <v>-1.45</v>
      </c>
      <c r="AC8" s="251" t="n">
        <v>-1.45</v>
      </c>
      <c r="AD8" s="251" t="n">
        <v>-1.45</v>
      </c>
      <c r="AE8" s="251" t="n">
        <v>-1.45</v>
      </c>
      <c r="AF8" s="251" t="n">
        <v>-1.45</v>
      </c>
      <c r="AG8" s="251" t="n">
        <v>-1.45</v>
      </c>
      <c r="AH8" s="251" t="n">
        <v>-1.45</v>
      </c>
      <c r="AI8" s="251" t="n">
        <v>-1.45</v>
      </c>
      <c r="AJ8" s="251" t="n">
        <v>-1.45</v>
      </c>
      <c r="AK8" s="251" t="n">
        <v>-1.45</v>
      </c>
      <c r="AL8" s="251" t="n">
        <v>-1.45</v>
      </c>
      <c r="AM8" s="251" t="n">
        <v>-1.45</v>
      </c>
      <c r="AN8" s="251" t="n">
        <v>-1.45</v>
      </c>
      <c r="AO8" s="251" t="n">
        <v>-1.45</v>
      </c>
      <c r="AP8" s="251" t="n">
        <v>-1.45</v>
      </c>
      <c r="AQ8" s="251" t="n">
        <v>-1.45</v>
      </c>
      <c r="AR8" s="251" t="n">
        <v>-1.45</v>
      </c>
      <c r="AS8" s="251" t="n">
        <v>-1.45</v>
      </c>
      <c r="AT8" s="251" t="n">
        <v>-1.45</v>
      </c>
      <c r="AU8" s="251" t="n">
        <v>-1.45</v>
      </c>
      <c r="AV8" s="251" t="n">
        <v>-1.45</v>
      </c>
      <c r="AW8" s="251" t="n">
        <v>-1.45</v>
      </c>
    </row>
    <row r="9" ht="15" customHeight="1">
      <c r="A9" s="248" t="inlineStr">
        <is>
          <t>Mine Void Volume (m3)</t>
        </is>
      </c>
      <c r="B9" s="430">
        <f>VLOOKUP($B$5,$A$29:$J$31,5)</f>
        <v/>
      </c>
      <c r="D9" s="250" t="inlineStr">
        <is>
          <t>c</t>
        </is>
      </c>
      <c r="E9" s="251" t="n">
        <v>0.024</v>
      </c>
      <c r="F9" s="251" t="n">
        <v>0.024</v>
      </c>
      <c r="G9" s="251" t="n">
        <v>0.024</v>
      </c>
      <c r="H9" s="251" t="n">
        <v>0.024</v>
      </c>
      <c r="I9" s="251" t="n">
        <v>0.024</v>
      </c>
      <c r="J9" s="251" t="n">
        <v>0.024</v>
      </c>
      <c r="K9" s="251" t="n">
        <v>0.024</v>
      </c>
      <c r="L9" s="251" t="n">
        <v>0.024</v>
      </c>
      <c r="M9" s="251" t="n">
        <v>0.024</v>
      </c>
      <c r="N9" s="251" t="n">
        <v>0.024</v>
      </c>
      <c r="O9" s="251" t="n">
        <v>0.024</v>
      </c>
      <c r="P9" s="251" t="n">
        <v>0.024</v>
      </c>
      <c r="Q9" s="251" t="n">
        <v>0.024</v>
      </c>
      <c r="R9" s="251" t="n">
        <v>0.024</v>
      </c>
      <c r="S9" s="251" t="n">
        <v>0.024</v>
      </c>
      <c r="T9" s="251" t="n">
        <v>0.024</v>
      </c>
      <c r="U9" s="251" t="n">
        <v>0.024</v>
      </c>
      <c r="V9" s="251" t="n">
        <v>0.024</v>
      </c>
      <c r="W9" s="251" t="n">
        <v>0.024</v>
      </c>
      <c r="X9" s="251" t="n">
        <v>0.024</v>
      </c>
      <c r="Y9" s="251" t="n">
        <v>0.024</v>
      </c>
      <c r="Z9" s="251" t="n">
        <v>0.024</v>
      </c>
      <c r="AA9" s="251" t="n">
        <v>0.024</v>
      </c>
      <c r="AB9" s="251" t="n">
        <v>0.024</v>
      </c>
      <c r="AC9" s="251" t="n">
        <v>0.024</v>
      </c>
      <c r="AD9" s="251" t="n">
        <v>0.024</v>
      </c>
      <c r="AE9" s="251" t="n">
        <v>0.024</v>
      </c>
      <c r="AF9" s="251" t="n">
        <v>0.024</v>
      </c>
      <c r="AG9" s="251" t="n">
        <v>0.024</v>
      </c>
      <c r="AH9" s="251" t="n">
        <v>0.024</v>
      </c>
      <c r="AI9" s="251" t="n">
        <v>0.024</v>
      </c>
      <c r="AJ9" s="251" t="n">
        <v>0.024</v>
      </c>
      <c r="AK9" s="251" t="n">
        <v>0.024</v>
      </c>
      <c r="AL9" s="251" t="n">
        <v>0.024</v>
      </c>
      <c r="AM9" s="251" t="n">
        <v>0.024</v>
      </c>
      <c r="AN9" s="251" t="n">
        <v>0.024</v>
      </c>
      <c r="AO9" s="251" t="n">
        <v>0.024</v>
      </c>
      <c r="AP9" s="251" t="n">
        <v>0.024</v>
      </c>
      <c r="AQ9" s="251" t="n">
        <v>0.024</v>
      </c>
      <c r="AR9" s="251" t="n">
        <v>0.024</v>
      </c>
      <c r="AS9" s="251" t="n">
        <v>0.024</v>
      </c>
      <c r="AT9" s="251" t="n">
        <v>0.024</v>
      </c>
      <c r="AU9" s="251" t="n">
        <v>0.024</v>
      </c>
      <c r="AV9" s="251" t="n">
        <v>0.024</v>
      </c>
      <c r="AW9" s="251" t="n">
        <v>0.024</v>
      </c>
    </row>
    <row r="10">
      <c r="A10" s="248" t="inlineStr">
        <is>
          <t>Year to Stop Reporting</t>
        </is>
      </c>
      <c r="B10" s="431">
        <f>(YEAR(B6))+21</f>
        <v/>
      </c>
      <c r="D10" s="250" t="inlineStr">
        <is>
          <t>Months (T)</t>
        </is>
      </c>
      <c r="E10" s="432">
        <f>IFERROR(DATEDIF($B$6,E$5,"M"),0)</f>
        <v/>
      </c>
      <c r="F10" s="432">
        <f>IFERROR(DATEDIF($B$6,F$5,"M"),0)</f>
        <v/>
      </c>
      <c r="G10" s="432">
        <f>IFERROR(DATEDIF($B$6,G$5,"M"),0)</f>
        <v/>
      </c>
      <c r="H10" s="432">
        <f>IFERROR(DATEDIF($B$6,H$5,"M"),0)</f>
        <v/>
      </c>
      <c r="I10" s="432">
        <f>IFERROR(DATEDIF($B$6,I$5,"M"),0)</f>
        <v/>
      </c>
      <c r="J10" s="432">
        <f>IFERROR(DATEDIF($B$6,J$5,"M"),0)</f>
        <v/>
      </c>
      <c r="K10" s="432">
        <f>IFERROR(DATEDIF($B$6,K$5,"M"),0)</f>
        <v/>
      </c>
      <c r="L10" s="432">
        <f>IFERROR(DATEDIF($B$6,L$5,"M"),0)</f>
        <v/>
      </c>
      <c r="M10" s="432">
        <f>IFERROR(DATEDIF($B$6,M$5,"M"),0)</f>
        <v/>
      </c>
      <c r="N10" s="432">
        <f>IFERROR(DATEDIF($B$6,N$5,"M"),0)</f>
        <v/>
      </c>
      <c r="O10" s="432">
        <f>IFERROR(DATEDIF($B$6,O$5,"M"),0)</f>
        <v/>
      </c>
      <c r="P10" s="432">
        <f>IFERROR(DATEDIF($B$6,P$5,"M"),0)</f>
        <v/>
      </c>
      <c r="Q10" s="432">
        <f>IFERROR(DATEDIF($B$6,Q$5,"M"),0)</f>
        <v/>
      </c>
      <c r="R10" s="432">
        <f>IFERROR(DATEDIF($B$6,R$5,"M"),0)</f>
        <v/>
      </c>
      <c r="S10" s="432">
        <f>IFERROR(DATEDIF($B$6,S$5,"M"),0)</f>
        <v/>
      </c>
      <c r="T10" s="432">
        <f>IFERROR(DATEDIF($B$6,T$5,"M"),0)</f>
        <v/>
      </c>
      <c r="U10" s="432">
        <f>IFERROR(DATEDIF($B$6,U$5,"M"),0)</f>
        <v/>
      </c>
      <c r="V10" s="432">
        <f>IFERROR(DATEDIF($B$6,V$5,"M"),0)</f>
        <v/>
      </c>
      <c r="W10" s="432">
        <f>IFERROR(DATEDIF($B$6,W$5,"M"),0)</f>
        <v/>
      </c>
      <c r="X10" s="432">
        <f>IFERROR(DATEDIF($B$6,X$5,"M"),0)</f>
        <v/>
      </c>
      <c r="Y10" s="432">
        <f>IFERROR(DATEDIF($B$6,Y$5,"M"),0)</f>
        <v/>
      </c>
      <c r="Z10" s="432">
        <f>IFERROR(DATEDIF($B$6,Z$5,"M"),0)</f>
        <v/>
      </c>
      <c r="AA10" s="432">
        <f>IFERROR(DATEDIF($B$6,AA$5,"M"),0)</f>
        <v/>
      </c>
      <c r="AB10" s="432">
        <f>IFERROR(DATEDIF($B$6,AB$5,"M"),0)</f>
        <v/>
      </c>
      <c r="AC10" s="432">
        <f>IFERROR(DATEDIF($B$6,AC$5,"M"),0)</f>
        <v/>
      </c>
      <c r="AD10" s="432">
        <f>IFERROR(DATEDIF($B$6,AD$5,"M"),0)</f>
        <v/>
      </c>
      <c r="AE10" s="432">
        <f>IFERROR(DATEDIF($B$6,AE$5,"M"),0)</f>
        <v/>
      </c>
      <c r="AF10" s="432">
        <f>IFERROR(DATEDIF($B$6,AF$5,"M"),0)</f>
        <v/>
      </c>
      <c r="AG10" s="432">
        <f>IFERROR(DATEDIF($B$6,AG$5,"M"),0)</f>
        <v/>
      </c>
      <c r="AH10" s="432">
        <f>IFERROR(DATEDIF($B$6,AH$5,"M"),0)</f>
        <v/>
      </c>
      <c r="AI10" s="432">
        <f>IFERROR(DATEDIF($B$6,AI$5,"M"),0)</f>
        <v/>
      </c>
      <c r="AJ10" s="432">
        <f>IFERROR(DATEDIF($B$6,AJ$5,"M"),0)</f>
        <v/>
      </c>
      <c r="AK10" s="432">
        <f>IFERROR(DATEDIF($B$6,AK$5,"M"),0)</f>
        <v/>
      </c>
      <c r="AL10" s="432">
        <f>IFERROR(DATEDIF($B$6,AL$5,"M"),0)</f>
        <v/>
      </c>
      <c r="AM10" s="432">
        <f>IFERROR(DATEDIF($B$6,AM$5,"M"),0)</f>
        <v/>
      </c>
      <c r="AN10" s="432">
        <f>IFERROR(DATEDIF($B$6,AN$5,"M"),0)</f>
        <v/>
      </c>
      <c r="AO10" s="432">
        <f>IFERROR(DATEDIF($B$6,AO$5,"M"),0)</f>
        <v/>
      </c>
      <c r="AP10" s="432">
        <f>IFERROR(DATEDIF($B$6,AP$5,"M"),0)</f>
        <v/>
      </c>
      <c r="AQ10" s="432">
        <f>IFERROR(DATEDIF($B$6,AQ$5,"M"),0)</f>
        <v/>
      </c>
      <c r="AR10" s="432">
        <f>IFERROR(DATEDIF($B$6,AR$5,"M"),0)</f>
        <v/>
      </c>
      <c r="AS10" s="432">
        <f>IFERROR(DATEDIF($B$6,AS$5,"M"),0)</f>
        <v/>
      </c>
      <c r="AT10" s="432">
        <f>IFERROR(DATEDIF($B$6,AT$5,"M"),0)</f>
        <v/>
      </c>
      <c r="AU10" s="432">
        <f>IFERROR(DATEDIF($B$6,AU$5,"M"),0)</f>
        <v/>
      </c>
      <c r="AV10" s="432">
        <f>IFERROR(DATEDIF($B$6,AV$5,"M"),0)</f>
        <v/>
      </c>
      <c r="AW10" s="432">
        <f>IFERROR(DATEDIF($B$6,AW$5,"M"),0)</f>
        <v/>
      </c>
    </row>
    <row r="11">
      <c r="B11" s="255">
        <f>DATE(B10,12,31)</f>
        <v/>
      </c>
      <c r="D11" s="256" t="inlineStr">
        <is>
          <t>Mwi</t>
        </is>
      </c>
      <c r="E11" s="433">
        <f>B13+B12</f>
        <v/>
      </c>
      <c r="F11" s="433">
        <f>$E$11</f>
        <v/>
      </c>
      <c r="G11" s="433">
        <f>$E$11</f>
        <v/>
      </c>
      <c r="H11" s="433">
        <f>$E$11</f>
        <v/>
      </c>
      <c r="I11" s="433">
        <f>$E$11</f>
        <v/>
      </c>
      <c r="J11" s="433">
        <f>$E$11</f>
        <v/>
      </c>
      <c r="K11" s="433">
        <f>$E$11</f>
        <v/>
      </c>
      <c r="L11" s="433">
        <f>$E$11</f>
        <v/>
      </c>
      <c r="M11" s="433">
        <f>$E$11</f>
        <v/>
      </c>
      <c r="N11" s="433">
        <f>$E$11</f>
        <v/>
      </c>
      <c r="O11" s="433">
        <f>$E$11</f>
        <v/>
      </c>
      <c r="P11" s="433">
        <f>$E$11</f>
        <v/>
      </c>
      <c r="Q11" s="433">
        <f>$E$11</f>
        <v/>
      </c>
      <c r="R11" s="433">
        <f>$E$11</f>
        <v/>
      </c>
      <c r="S11" s="433">
        <f>$E$11</f>
        <v/>
      </c>
      <c r="T11" s="433">
        <f>$E$11</f>
        <v/>
      </c>
      <c r="U11" s="433">
        <f>$E$11</f>
        <v/>
      </c>
      <c r="V11" s="433">
        <f>$E$11</f>
        <v/>
      </c>
      <c r="W11" s="433">
        <f>$E$11</f>
        <v/>
      </c>
      <c r="X11" s="433">
        <f>$E$11</f>
        <v/>
      </c>
      <c r="Y11" s="433">
        <f>$E$11</f>
        <v/>
      </c>
      <c r="Z11" s="433">
        <f>$E$11</f>
        <v/>
      </c>
      <c r="AA11" s="433">
        <f>$E$11</f>
        <v/>
      </c>
      <c r="AB11" s="433">
        <f>$E$11</f>
        <v/>
      </c>
      <c r="AC11" s="433">
        <f>$E$11</f>
        <v/>
      </c>
      <c r="AD11" s="433">
        <f>$E$11</f>
        <v/>
      </c>
      <c r="AE11" s="433">
        <f>$E$11</f>
        <v/>
      </c>
      <c r="AF11" s="433">
        <f>$E$11</f>
        <v/>
      </c>
      <c r="AG11" s="433">
        <f>$E$11</f>
        <v/>
      </c>
      <c r="AH11" s="433">
        <f>$E$11</f>
        <v/>
      </c>
      <c r="AI11" s="433">
        <f>$E$11</f>
        <v/>
      </c>
      <c r="AJ11" s="433">
        <f>$E$11</f>
        <v/>
      </c>
      <c r="AK11" s="433">
        <f>$E$11</f>
        <v/>
      </c>
      <c r="AL11" s="433">
        <f>$E$11</f>
        <v/>
      </c>
      <c r="AM11" s="433">
        <f>$E$11</f>
        <v/>
      </c>
      <c r="AN11" s="433">
        <f>$E$11</f>
        <v/>
      </c>
      <c r="AO11" s="433">
        <f>$E$11</f>
        <v/>
      </c>
      <c r="AP11" s="433">
        <f>$E$11</f>
        <v/>
      </c>
      <c r="AQ11" s="433">
        <f>$E$11</f>
        <v/>
      </c>
      <c r="AR11" s="433">
        <f>$E$11</f>
        <v/>
      </c>
      <c r="AS11" s="433">
        <f>$E$11</f>
        <v/>
      </c>
      <c r="AT11" s="433">
        <f>$E$11</f>
        <v/>
      </c>
      <c r="AU11" s="433">
        <f>$E$11</f>
        <v/>
      </c>
      <c r="AV11" s="433">
        <f>$E$11</f>
        <v/>
      </c>
      <c r="AW11" s="433">
        <f>$E$11</f>
        <v/>
      </c>
    </row>
    <row r="12">
      <c r="A12" s="248" t="inlineStr">
        <is>
          <t>Additional Annual Flood Volume m3</t>
        </is>
      </c>
      <c r="B12" s="434" t="n">
        <v>0</v>
      </c>
      <c r="D12" s="250" t="inlineStr">
        <is>
          <t>N</t>
        </is>
      </c>
      <c r="E12" s="433">
        <f>IF(E10&lt;12,E10,12)</f>
        <v/>
      </c>
      <c r="F12" s="433">
        <f>IF(F10&lt;12,F10,12)</f>
        <v/>
      </c>
      <c r="G12" s="433">
        <f>IF(G10&lt;12,G10,12)</f>
        <v/>
      </c>
      <c r="H12" s="433">
        <f>IF(H10&lt;12,H10,12)</f>
        <v/>
      </c>
      <c r="I12" s="433">
        <f>IF(I10&lt;12,I10,12)</f>
        <v/>
      </c>
      <c r="J12" s="433">
        <f>IF(J10&lt;12,J10,12)</f>
        <v/>
      </c>
      <c r="K12" s="433">
        <f>IF(K10&lt;12,K10,12)</f>
        <v/>
      </c>
      <c r="L12" s="433">
        <f>IF(L10&lt;12,L10,12)</f>
        <v/>
      </c>
      <c r="M12" s="433">
        <f>IF(M10&lt;12,M10,12)</f>
        <v/>
      </c>
      <c r="N12" s="433">
        <f>IF(N10&lt;12,N10,12)</f>
        <v/>
      </c>
      <c r="O12" s="433">
        <f>IF(O10&lt;12,O10,12)</f>
        <v/>
      </c>
      <c r="P12" s="433">
        <f>IF(P10&lt;12,P10,12)</f>
        <v/>
      </c>
      <c r="Q12" s="433">
        <f>IF(Q10&lt;12,Q10,12)</f>
        <v/>
      </c>
      <c r="R12" s="433">
        <f>IF(R10&lt;12,R10,12)</f>
        <v/>
      </c>
      <c r="S12" s="433">
        <f>IF(S10&lt;12,S10,12)</f>
        <v/>
      </c>
      <c r="T12" s="433">
        <f>IF(T10&lt;12,T10,12)</f>
        <v/>
      </c>
      <c r="U12" s="433">
        <f>IF(U10&lt;12,U10,12)</f>
        <v/>
      </c>
      <c r="V12" s="433">
        <f>IF(V10&lt;12,V10,12)</f>
        <v/>
      </c>
      <c r="W12" s="433">
        <f>IF(W10&lt;12,W10,12)</f>
        <v/>
      </c>
      <c r="X12" s="433">
        <f>IF(X10&lt;12,X10,12)</f>
        <v/>
      </c>
      <c r="Y12" s="433">
        <f>IF(Y10&lt;12,Y10,12)</f>
        <v/>
      </c>
      <c r="Z12" s="433">
        <f>IF(Z10&lt;12,Z10,12)</f>
        <v/>
      </c>
      <c r="AA12" s="433">
        <f>IF(AA10&lt;12,AA10,12)</f>
        <v/>
      </c>
      <c r="AB12" s="433">
        <f>IF(AB10&lt;12,AB10,12)</f>
        <v/>
      </c>
      <c r="AC12" s="433">
        <f>IF(AC10&lt;12,AC10,12)</f>
        <v/>
      </c>
      <c r="AD12" s="433">
        <f>IF(AD10&lt;12,AD10,12)</f>
        <v/>
      </c>
      <c r="AE12" s="433">
        <f>IF(AE10&lt;12,AE10,12)</f>
        <v/>
      </c>
      <c r="AF12" s="433">
        <f>IF(AF10&lt;12,AF10,12)</f>
        <v/>
      </c>
      <c r="AG12" s="433">
        <f>IF(AG10&lt;12,AG10,12)</f>
        <v/>
      </c>
      <c r="AH12" s="433">
        <f>IF(AH10&lt;12,AH10,12)</f>
        <v/>
      </c>
      <c r="AI12" s="433">
        <f>IF(AI10&lt;12,AI10,12)</f>
        <v/>
      </c>
      <c r="AJ12" s="433">
        <f>IF(AJ10&lt;12,AJ10,12)</f>
        <v/>
      </c>
      <c r="AK12" s="433">
        <f>IF(AK10&lt;12,AK10,12)</f>
        <v/>
      </c>
      <c r="AL12" s="433">
        <f>IF(AL10&lt;12,AL10,12)</f>
        <v/>
      </c>
      <c r="AM12" s="433">
        <f>IF(AM10&lt;12,AM10,12)</f>
        <v/>
      </c>
      <c r="AN12" s="433">
        <f>IF(AN10&lt;12,AN10,12)</f>
        <v/>
      </c>
      <c r="AO12" s="433">
        <f>IF(AO10&lt;12,AO10,12)</f>
        <v/>
      </c>
      <c r="AP12" s="433">
        <f>IF(AP10&lt;12,AP10,12)</f>
        <v/>
      </c>
      <c r="AQ12" s="433">
        <f>IF(AQ10&lt;12,AQ10,12)</f>
        <v/>
      </c>
      <c r="AR12" s="433">
        <f>IF(AR10&lt;12,AR10,12)</f>
        <v/>
      </c>
      <c r="AS12" s="433">
        <f>IF(AS10&lt;12,AS10,12)</f>
        <v/>
      </c>
      <c r="AT12" s="433">
        <f>IF(AT10&lt;12,AT10,12)</f>
        <v/>
      </c>
      <c r="AU12" s="433">
        <f>IF(AU10&lt;12,AU10,12)</f>
        <v/>
      </c>
      <c r="AV12" s="433">
        <f>IF(AV10&lt;12,AV10,12)</f>
        <v/>
      </c>
      <c r="AW12" s="433">
        <f>IF(AW10&lt;12,AW10,12)</f>
        <v/>
      </c>
    </row>
    <row r="13">
      <c r="A13" s="248" t="inlineStr">
        <is>
          <t>QLD Default Flood Volume M3</t>
        </is>
      </c>
      <c r="B13" s="435" t="n">
        <v>74000</v>
      </c>
      <c r="D13" s="258" t="inlineStr">
        <is>
          <t>Mvv</t>
        </is>
      </c>
      <c r="E13" s="432">
        <f>$B$9</f>
        <v/>
      </c>
      <c r="F13" s="432">
        <f>$B$9</f>
        <v/>
      </c>
      <c r="G13" s="432">
        <f>$B$9</f>
        <v/>
      </c>
      <c r="H13" s="432">
        <f>$B$9</f>
        <v/>
      </c>
      <c r="I13" s="432">
        <f>$B$9</f>
        <v/>
      </c>
      <c r="J13" s="432">
        <f>$B$9</f>
        <v/>
      </c>
      <c r="K13" s="432">
        <f>$B$9</f>
        <v/>
      </c>
      <c r="L13" s="432">
        <f>$B$9</f>
        <v/>
      </c>
      <c r="M13" s="432">
        <f>$B$9</f>
        <v/>
      </c>
      <c r="N13" s="432">
        <f>$B$9</f>
        <v/>
      </c>
      <c r="O13" s="432">
        <f>$B$9</f>
        <v/>
      </c>
      <c r="P13" s="432">
        <f>$B$9</f>
        <v/>
      </c>
      <c r="Q13" s="432">
        <f>$B$9</f>
        <v/>
      </c>
      <c r="R13" s="432">
        <f>$B$9</f>
        <v/>
      </c>
      <c r="S13" s="432">
        <f>$B$9</f>
        <v/>
      </c>
      <c r="T13" s="432">
        <f>$B$9</f>
        <v/>
      </c>
      <c r="U13" s="432">
        <f>$B$9</f>
        <v/>
      </c>
      <c r="V13" s="432">
        <f>$B$9</f>
        <v/>
      </c>
      <c r="W13" s="432">
        <f>$B$9</f>
        <v/>
      </c>
      <c r="X13" s="432">
        <f>$B$9</f>
        <v/>
      </c>
      <c r="Y13" s="432">
        <f>$B$9</f>
        <v/>
      </c>
      <c r="Z13" s="432">
        <f>$B$9</f>
        <v/>
      </c>
      <c r="AA13" s="432">
        <f>$B$9</f>
        <v/>
      </c>
      <c r="AB13" s="432">
        <f>$B$9</f>
        <v/>
      </c>
      <c r="AC13" s="432">
        <f>$B$9</f>
        <v/>
      </c>
      <c r="AD13" s="432">
        <f>$B$9</f>
        <v/>
      </c>
      <c r="AE13" s="432">
        <f>$B$9</f>
        <v/>
      </c>
      <c r="AF13" s="432">
        <f>$B$9</f>
        <v/>
      </c>
      <c r="AG13" s="432">
        <f>$B$9</f>
        <v/>
      </c>
      <c r="AH13" s="432">
        <f>$B$9</f>
        <v/>
      </c>
      <c r="AI13" s="432">
        <f>$B$9</f>
        <v/>
      </c>
      <c r="AJ13" s="432">
        <f>$B$9</f>
        <v/>
      </c>
      <c r="AK13" s="432">
        <f>$B$9</f>
        <v/>
      </c>
      <c r="AL13" s="432">
        <f>$B$9</f>
        <v/>
      </c>
      <c r="AM13" s="432">
        <f>$B$9</f>
        <v/>
      </c>
      <c r="AN13" s="432">
        <f>$B$9</f>
        <v/>
      </c>
      <c r="AO13" s="432">
        <f>$B$9</f>
        <v/>
      </c>
      <c r="AP13" s="432">
        <f>$B$9</f>
        <v/>
      </c>
      <c r="AQ13" s="432">
        <f>$B$9</f>
        <v/>
      </c>
      <c r="AR13" s="432">
        <f>$B$9</f>
        <v/>
      </c>
      <c r="AS13" s="432">
        <f>$B$9</f>
        <v/>
      </c>
      <c r="AT13" s="432">
        <f>$B$9</f>
        <v/>
      </c>
      <c r="AU13" s="432">
        <f>$B$9</f>
        <v/>
      </c>
      <c r="AV13" s="432">
        <f>$B$9</f>
        <v/>
      </c>
      <c r="AW13" s="432">
        <f>$B$9</f>
        <v/>
      </c>
    </row>
    <row r="14">
      <c r="D14" s="259" t="inlineStr">
        <is>
          <t>EFdm</t>
        </is>
      </c>
      <c r="E14" s="436">
        <f>(((1+E7*E10)^(1+E8)-(1+E7*(E10-E12))^(1+E8))/(E7*(1+E8))-E9*E12)/12</f>
        <v/>
      </c>
      <c r="F14" s="436">
        <f>(((1+F7*F10)^(1+F8)-(1+F7*(F10-F12))^(1+F8))/(F7*(1+F8))-F9*F12)/12</f>
        <v/>
      </c>
      <c r="G14" s="436">
        <f>(((1+G7*G10)^(1+G8)-(1+G7*(G10-G12))^(1+G8))/(G7*(1+G8))-G9*G12)/12</f>
        <v/>
      </c>
      <c r="H14" s="436">
        <f>(((1+H7*H10)^(1+H8)-(1+H7*(H10-H12))^(1+H8))/(H7*(1+H8))-H9*H12)/12</f>
        <v/>
      </c>
      <c r="I14" s="436">
        <f>(((1+I7*I10)^(1+I8)-(1+I7*(I10-I12))^(1+I8))/(I7*(1+I8))-I9*I12)/12</f>
        <v/>
      </c>
      <c r="J14" s="436">
        <f>(((1+J7*J10)^(1+J8)-(1+J7*(J10-J12))^(1+J8))/(J7*(1+J8))-J9*J12)/12</f>
        <v/>
      </c>
      <c r="K14" s="436">
        <f>(((1+K7*K10)^(1+K8)-(1+K7*(K10-K12))^(1+K8))/(K7*(1+K8))-K9*K12)/12</f>
        <v/>
      </c>
      <c r="L14" s="436">
        <f>(((1+L7*L10)^(1+L8)-(1+L7*(L10-L12))^(1+L8))/(L7*(1+L8))-L9*L12)/12</f>
        <v/>
      </c>
      <c r="M14" s="436">
        <f>(((1+M7*M10)^(1+M8)-(1+M7*(M10-M12))^(1+M8))/(M7*(1+M8))-M9*M12)/12</f>
        <v/>
      </c>
      <c r="N14" s="436">
        <f>(((1+N7*N10)^(1+N8)-(1+N7*(N10-N12))^(1+N8))/(N7*(1+N8))-N9*N12)/12</f>
        <v/>
      </c>
      <c r="O14" s="436">
        <f>(((1+O7*O10)^(1+O8)-(1+O7*(O10-O12))^(1+O8))/(O7*(1+O8))-O9*O12)/12</f>
        <v/>
      </c>
      <c r="P14" s="436">
        <f>(((1+P7*P10)^(1+P8)-(1+P7*(P10-P12))^(1+P8))/(P7*(1+P8))-P9*P12)/12</f>
        <v/>
      </c>
      <c r="Q14" s="436">
        <f>(((1+Q7*Q10)^(1+Q8)-(1+Q7*(Q10-Q12))^(1+Q8))/(Q7*(1+Q8))-Q9*Q12)/12</f>
        <v/>
      </c>
      <c r="R14" s="436">
        <f>(((1+R7*R10)^(1+R8)-(1+R7*(R10-R12))^(1+R8))/(R7*(1+R8))-R9*R12)/12</f>
        <v/>
      </c>
      <c r="S14" s="436">
        <f>(((1+S7*S10)^(1+S8)-(1+S7*(S10-S12))^(1+S8))/(S7*(1+S8))-S9*S12)/12</f>
        <v/>
      </c>
      <c r="T14" s="436">
        <f>(((1+T7*T10)^(1+T8)-(1+T7*(T10-T12))^(1+T8))/(T7*(1+T8))-T9*T12)/12</f>
        <v/>
      </c>
      <c r="U14" s="436">
        <f>(((1+U7*U10)^(1+U8)-(1+U7*(U10-U12))^(1+U8))/(U7*(1+U8))-U9*U12)/12</f>
        <v/>
      </c>
      <c r="V14" s="436">
        <f>(((1+V7*V10)^(1+V8)-(1+V7*(V10-V12))^(1+V8))/(V7*(1+V8))-V9*V12)/12</f>
        <v/>
      </c>
      <c r="W14" s="436">
        <f>(((1+W7*W10)^(1+W8)-(1+W7*(W10-W12))^(1+W8))/(W7*(1+W8))-W9*W12)/12</f>
        <v/>
      </c>
      <c r="X14" s="436">
        <f>(((1+X7*X10)^(1+X8)-(1+X7*(X10-X12))^(1+X8))/(X7*(1+X8))-X9*X12)/12</f>
        <v/>
      </c>
      <c r="Y14" s="436">
        <f>(((1+Y7*Y10)^(1+Y8)-(1+Y7*(Y10-Y12))^(1+Y8))/(Y7*(1+Y8))-Y9*Y12)/12</f>
        <v/>
      </c>
      <c r="Z14" s="436">
        <f>(((1+Z7*Z10)^(1+Z8)-(1+Z7*(Z10-Z12))^(1+Z8))/(Z7*(1+Z8))-Z9*Z12)/12</f>
        <v/>
      </c>
      <c r="AA14" s="436">
        <f>(((1+AA7*AA10)^(1+AA8)-(1+AA7*(AA10-AA12))^(1+AA8))/(AA7*(1+AA8))-AA9*AA12)/12</f>
        <v/>
      </c>
      <c r="AB14" s="436">
        <f>(((1+AB7*AB10)^(1+AB8)-(1+AB7*(AB10-AB12))^(1+AB8))/(AB7*(1+AB8))-AB9*AB12)/12</f>
        <v/>
      </c>
      <c r="AC14" s="436">
        <f>(((1+AC7*AC10)^(1+AC8)-(1+AC7*(AC10-AC12))^(1+AC8))/(AC7*(1+AC8))-AC9*AC12)/12</f>
        <v/>
      </c>
      <c r="AD14" s="436">
        <f>(((1+AD7*AD10)^(1+AD8)-(1+AD7*(AD10-AD12))^(1+AD8))/(AD7*(1+AD8))-AD9*AD12)/12</f>
        <v/>
      </c>
      <c r="AE14" s="436">
        <f>(((1+AE7*AE10)^(1+AE8)-(1+AE7*(AE10-AE12))^(1+AE8))/(AE7*(1+AE8))-AE9*AE12)/12</f>
        <v/>
      </c>
      <c r="AF14" s="436">
        <f>(((1+AF7*AF10)^(1+AF8)-(1+AF7*(AF10-AF12))^(1+AF8))/(AF7*(1+AF8))-AF9*AF12)/12</f>
        <v/>
      </c>
      <c r="AG14" s="436">
        <f>(((1+AG7*AG10)^(1+AG8)-(1+AG7*(AG10-AG12))^(1+AG8))/(AG7*(1+AG8))-AG9*AG12)/12</f>
        <v/>
      </c>
      <c r="AH14" s="436">
        <f>(((1+AH7*AH10)^(1+AH8)-(1+AH7*(AH10-AH12))^(1+AH8))/(AH7*(1+AH8))-AH9*AH12)/12</f>
        <v/>
      </c>
      <c r="AI14" s="436">
        <f>(((1+AI7*AI10)^(1+AI8)-(1+AI7*(AI10-AI12))^(1+AI8))/(AI7*(1+AI8))-AI9*AI12)/12</f>
        <v/>
      </c>
      <c r="AJ14" s="436">
        <f>(((1+AJ7*AJ10)^(1+AJ8)-(1+AJ7*(AJ10-AJ12))^(1+AJ8))/(AJ7*(1+AJ8))-AJ9*AJ12)/12</f>
        <v/>
      </c>
      <c r="AK14" s="436">
        <f>(((1+AK7*AK10)^(1+AK8)-(1+AK7*(AK10-AK12))^(1+AK8))/(AK7*(1+AK8))-AK9*AK12)/12</f>
        <v/>
      </c>
      <c r="AL14" s="436">
        <f>(((1+AL7*AL10)^(1+AL8)-(1+AL7*(AL10-AL12))^(1+AL8))/(AL7*(1+AL8))-AL9*AL12)/12</f>
        <v/>
      </c>
      <c r="AM14" s="436">
        <f>(((1+AM7*AM10)^(1+AM8)-(1+AM7*(AM10-AM12))^(1+AM8))/(AM7*(1+AM8))-AM9*AM12)/12</f>
        <v/>
      </c>
      <c r="AN14" s="436">
        <f>(((1+AN7*AN10)^(1+AN8)-(1+AN7*(AN10-AN12))^(1+AN8))/(AN7*(1+AN8))-AN9*AN12)/12</f>
        <v/>
      </c>
      <c r="AO14" s="436">
        <f>(((1+AO7*AO10)^(1+AO8)-(1+AO7*(AO10-AO12))^(1+AO8))/(AO7*(1+AO8))-AO9*AO12)/12</f>
        <v/>
      </c>
      <c r="AP14" s="436">
        <f>(((1+AP7*AP10)^(1+AP8)-(1+AP7*(AP10-AP12))^(1+AP8))/(AP7*(1+AP8))-AP9*AP12)/12</f>
        <v/>
      </c>
      <c r="AQ14" s="436">
        <f>(((1+AQ7*AQ10)^(1+AQ8)-(1+AQ7*(AQ10-AQ12))^(1+AQ8))/(AQ7*(1+AQ8))-AQ9*AQ12)/12</f>
        <v/>
      </c>
      <c r="AR14" s="436">
        <f>(((1+AR7*AR10)^(1+AR8)-(1+AR7*(AR10-AR12))^(1+AR8))/(AR7*(1+AR8))-AR9*AR12)/12</f>
        <v/>
      </c>
      <c r="AS14" s="436">
        <f>(((1+AS7*AS10)^(1+AS8)-(1+AS7*(AS10-AS12))^(1+AS8))/(AS7*(1+AS8))-AS9*AS12)/12</f>
        <v/>
      </c>
      <c r="AT14" s="436">
        <f>(((1+AT7*AT10)^(1+AT8)-(1+AT7*(AT10-AT12))^(1+AT8))/(AT7*(1+AT8))-AT9*AT12)/12</f>
        <v/>
      </c>
      <c r="AU14" s="436">
        <f>(((1+AU7*AU10)^(1+AU8)-(1+AU7*(AU10-AU12))^(1+AU8))/(AU7*(1+AU8))-AU9*AU12)/12</f>
        <v/>
      </c>
      <c r="AV14" s="436">
        <f>(((1+AV7*AV10)^(1+AV8)-(1+AV7*(AV10-AV12))^(1+AV8))/(AV7*(1+AV8))-AV9*AV12)/12</f>
        <v/>
      </c>
      <c r="AW14" s="436">
        <f>(((1+AW7*AW10)^(1+AW8)-(1+AW7*(AW10-AW12))^(1+AW8))/(AW7*(1+AW8))-AW9*AW12)/12</f>
        <v/>
      </c>
    </row>
    <row r="15">
      <c r="D15" s="258" t="inlineStr">
        <is>
          <t>Fdm</t>
        </is>
      </c>
      <c r="E15" s="261">
        <f>IFERROR(MIN(E11/E13*E10/12,1),0)</f>
        <v/>
      </c>
      <c r="F15" s="261">
        <f>IFERROR(MIN(F11/F13*F10/12,1),0)</f>
        <v/>
      </c>
      <c r="G15" s="261">
        <f>IFERROR(MIN(G11/G13*G10/12,1),0)</f>
        <v/>
      </c>
      <c r="H15" s="261">
        <f>IFERROR(MIN(H11/H13*H10/12,1),0)</f>
        <v/>
      </c>
      <c r="I15" s="261">
        <f>IFERROR(MIN(I11/I13*I10/12,1),0)</f>
        <v/>
      </c>
      <c r="J15" s="261">
        <f>IFERROR(MIN(J11/J13*J10/12,1),0)</f>
        <v/>
      </c>
      <c r="K15" s="261">
        <f>IFERROR(MIN(K11/K13*K10/12,1),0)</f>
        <v/>
      </c>
      <c r="L15" s="261">
        <f>IFERROR(MIN(L11/L13*L10/12,1),0)</f>
        <v/>
      </c>
      <c r="M15" s="261">
        <f>IFERROR(MIN(M11/M13*M10/12,1),0)</f>
        <v/>
      </c>
      <c r="N15" s="261">
        <f>IFERROR(MIN(N11/N13*N10/12,1),0)</f>
        <v/>
      </c>
      <c r="O15" s="261">
        <f>IFERROR(MIN(O11/O13*O10/12,1),0)</f>
        <v/>
      </c>
      <c r="P15" s="261">
        <f>IFERROR(MIN(P11/P13*P10/12,1),0)</f>
        <v/>
      </c>
      <c r="Q15" s="261">
        <f>IFERROR(MIN(Q11/Q13*Q10/12,1),0)</f>
        <v/>
      </c>
      <c r="R15" s="261">
        <f>IFERROR(MIN(R11/R13*R10/12,1),0)</f>
        <v/>
      </c>
      <c r="S15" s="261">
        <f>IFERROR(MIN(S11/S13*S10/12,1),0)</f>
        <v/>
      </c>
      <c r="T15" s="261">
        <f>IFERROR(MIN(T11/T13*T10/12,1),0)</f>
        <v/>
      </c>
      <c r="U15" s="261">
        <f>IFERROR(MIN(U11/U13*U10/12,1),0)</f>
        <v/>
      </c>
      <c r="V15" s="261">
        <f>IFERROR(MIN(V11/V13*V10/12,1),0)</f>
        <v/>
      </c>
      <c r="W15" s="261">
        <f>IFERROR(MIN(W11/W13*W10/12,1),0)</f>
        <v/>
      </c>
      <c r="X15" s="261">
        <f>IFERROR(MIN(X11/X13*X10/12,1),0)</f>
        <v/>
      </c>
      <c r="Y15" s="261">
        <f>IFERROR(MIN(Y11/Y13*Y10/12,1),0)</f>
        <v/>
      </c>
      <c r="Z15" s="261">
        <f>IFERROR(MIN(Z11/Z13*Z10/12,1),0)</f>
        <v/>
      </c>
      <c r="AA15" s="261">
        <f>IFERROR(MIN(AA11/AA13*AA10/12,1),0)</f>
        <v/>
      </c>
      <c r="AB15" s="261">
        <f>IFERROR(MIN(AB11/AB13*AB10/12,1),0)</f>
        <v/>
      </c>
      <c r="AC15" s="261">
        <f>IFERROR(MIN(AC11/AC13*AC10/12,1),0)</f>
        <v/>
      </c>
      <c r="AD15" s="261">
        <f>IFERROR(MIN(AD11/AD13*AD10/12,1),0)</f>
        <v/>
      </c>
      <c r="AE15" s="261">
        <f>IFERROR(MIN(AE11/AE13*AE10/12,1),0)</f>
        <v/>
      </c>
      <c r="AF15" s="261">
        <f>IFERROR(MIN(AF11/AF13*AF10/12,1),0)</f>
        <v/>
      </c>
      <c r="AG15" s="261">
        <f>IFERROR(MIN(AG11/AG13*AG10/12,1),0)</f>
        <v/>
      </c>
      <c r="AH15" s="261">
        <f>IFERROR(MIN(AH11/AH13*AH10/12,1),0)</f>
        <v/>
      </c>
      <c r="AI15" s="261">
        <f>IFERROR(MIN(AI11/AI13*AI10/12,1),0)</f>
        <v/>
      </c>
      <c r="AJ15" s="261">
        <f>IFERROR(MIN(AJ11/AJ13*AJ10/12,1),0)</f>
        <v/>
      </c>
      <c r="AK15" s="261">
        <f>IFERROR(MIN(AK11/AK13*AK10/12,1),0)</f>
        <v/>
      </c>
      <c r="AL15" s="261">
        <f>IFERROR(MIN(AL11/AL13*AL10/12,1),0)</f>
        <v/>
      </c>
      <c r="AM15" s="261">
        <f>IFERROR(MIN(AM11/AM13*AM10/12,1),0)</f>
        <v/>
      </c>
      <c r="AN15" s="261">
        <f>IFERROR(MIN(AN11/AN13*AN10/12,1),0)</f>
        <v/>
      </c>
      <c r="AO15" s="261">
        <f>IFERROR(MIN(AO11/AO13*AO10/12,1),0)</f>
        <v/>
      </c>
      <c r="AP15" s="261">
        <f>IFERROR(MIN(AP11/AP13*AP10/12,1),0)</f>
        <v/>
      </c>
      <c r="AQ15" s="261">
        <f>IFERROR(MIN(AQ11/AQ13*AQ10/12,1),0)</f>
        <v/>
      </c>
      <c r="AR15" s="261">
        <f>IFERROR(MIN(AR11/AR13*AR10/12,1),0)</f>
        <v/>
      </c>
      <c r="AS15" s="261">
        <f>IFERROR(MIN(AS11/AS13*AS10/12,1),0)</f>
        <v/>
      </c>
      <c r="AT15" s="261">
        <f>IFERROR(MIN(AT11/AT13*AT10/12,1),0)</f>
        <v/>
      </c>
      <c r="AU15" s="261">
        <f>IFERROR(MIN(AU11/AU13*AU10/12,1),0)</f>
        <v/>
      </c>
      <c r="AV15" s="261">
        <f>IFERROR(MIN(AV11/AV13*AV10/12,1),0)</f>
        <v/>
      </c>
      <c r="AW15" s="261">
        <f>IFERROR(MIN(AW11/AW13*AW10/12,1),0)</f>
        <v/>
      </c>
    </row>
    <row r="16">
      <c r="B16" s="262" t="n"/>
      <c r="C16" s="262" t="n"/>
      <c r="D16" s="263" t="inlineStr">
        <is>
          <t>Edm</t>
        </is>
      </c>
      <c r="E16" s="432">
        <f>IF(E10/12&lt;20,(E6*E14*(1-E15)),0)</f>
        <v/>
      </c>
      <c r="F16" s="432">
        <f>IF(F10/12&lt;20,(F6*F14*(1-F15)),0)</f>
        <v/>
      </c>
      <c r="G16" s="432">
        <f>IF(G10/12&lt;20,(G6*G14*(1-G15)),"0")</f>
        <v/>
      </c>
      <c r="H16" s="432">
        <f>IF(H10/12&lt;20,(H6*H14*(1-H15)),"0")</f>
        <v/>
      </c>
      <c r="I16" s="437">
        <f>IF(I10/12&lt;20,(I6*I14*(1-I15)),"0")</f>
        <v/>
      </c>
      <c r="J16" s="437">
        <f>IF(J10/12&lt;20,(J6*J14*(1-J15)),"0")</f>
        <v/>
      </c>
      <c r="K16" s="437">
        <f>IF(K10/12&lt;20,(K6*K14*(1-K15)),"0")</f>
        <v/>
      </c>
      <c r="L16" s="437">
        <f>IF(L10/12&lt;20,(L6*L14*(1-L15)),"0")</f>
        <v/>
      </c>
      <c r="M16" s="437">
        <f>IF(M10/12&lt;20,(M6*M14*(1-M15)),"0")</f>
        <v/>
      </c>
      <c r="N16" s="437">
        <f>IF(N10/12&lt;20,(N6*N14*(1-N15)),"0")</f>
        <v/>
      </c>
      <c r="O16" s="437">
        <f>IF(O10/12&lt;20,(O6*O14*(1-O15)),"0")</f>
        <v/>
      </c>
      <c r="P16" s="437">
        <f>IF(P10/12&lt;20,(P6*P14*(1-P15)),"0")</f>
        <v/>
      </c>
      <c r="Q16" s="437">
        <f>IF(Q10/12&lt;20,(Q6*Q14*(1-Q15)),"0")</f>
        <v/>
      </c>
      <c r="R16" s="437">
        <f>IF(R10/12&lt;20,(R6*R14*(1-R15)),"0")</f>
        <v/>
      </c>
      <c r="S16" s="437">
        <f>IF(S10/12&lt;20,(S6*S14*(1-S15)),"0")</f>
        <v/>
      </c>
      <c r="T16" s="437">
        <f>IF(T10/12&lt;20,(T6*T14*(1-T15)),"0")</f>
        <v/>
      </c>
      <c r="U16" s="437">
        <f>IF(U10/12&lt;20,(U6*U14*(1-U15)),"0")</f>
        <v/>
      </c>
      <c r="V16" s="437">
        <f>IF(V10/12&lt;20,(V6*V14*(1-V15)),"0")</f>
        <v/>
      </c>
      <c r="W16" s="437">
        <f>IF(W10/12&lt;20,(W6*W14*(1-W15)),"0")</f>
        <v/>
      </c>
      <c r="X16" s="437">
        <f>IF(X10/12&lt;20,(X6*X14*(1-X15)),"0")</f>
        <v/>
      </c>
      <c r="Y16" s="437">
        <f>IF(Y10/12&lt;20,(Y6*Y14*(1-Y15)),"0")</f>
        <v/>
      </c>
      <c r="Z16" s="437">
        <f>IF(Z10/12&lt;20,(Z6*Z14*(1-Z15)),"0")</f>
        <v/>
      </c>
      <c r="AA16" s="437">
        <f>IF(AA10/12&lt;20,(AA6*AA14*(1-AA15)),"0")</f>
        <v/>
      </c>
      <c r="AB16" s="437">
        <f>IF(AB10/12&lt;20,(AB6*AB14*(1-AB15)),"0")</f>
        <v/>
      </c>
      <c r="AC16" s="432">
        <f>IF(AC10/12&lt;20,(AC6*AC14*(1-AC15)),"0")</f>
        <v/>
      </c>
      <c r="AD16" s="432">
        <f>IF(AD10/12&lt;20,(AD6*AD14*(1-AD15)),"0")</f>
        <v/>
      </c>
      <c r="AE16" s="432">
        <f>IF(AE10/12&lt;20,(AE6*AE14*(1-AE15)),"0")</f>
        <v/>
      </c>
      <c r="AF16" s="432">
        <f>IF(AF10/12&lt;20,(AF6*AF14*(1-AF15)),"0")</f>
        <v/>
      </c>
      <c r="AG16" s="432">
        <f>IF(AG10/12&lt;20,(AG6*AG14*(1-AG15)),"0")</f>
        <v/>
      </c>
      <c r="AH16" s="432">
        <f>IF(AH10/12&lt;20,(AH6*AH14*(1-AH15)),"0")</f>
        <v/>
      </c>
      <c r="AI16" s="432">
        <f>IF(AI10/12&lt;20,(AI6*AI14*(1-AI15)),"0")</f>
        <v/>
      </c>
      <c r="AJ16" s="432">
        <f>IF(AJ10/12&lt;20,(AJ6*AJ14*(1-AJ15)),"0")</f>
        <v/>
      </c>
      <c r="AK16" s="432">
        <f>IF(AK10/12&lt;20,(AK6*AK14*(1-AK15)),"0")</f>
        <v/>
      </c>
      <c r="AL16" s="432">
        <f>IF(AL10/12&lt;20,(AL6*AL14*(1-AL15)),"0")</f>
        <v/>
      </c>
      <c r="AM16" s="432">
        <f>IF(AM10/12&lt;20,(AM6*AM14*(1-AM15)),"0")</f>
        <v/>
      </c>
      <c r="AN16" s="432">
        <f>IF(AN10/12&lt;20,(AN6*AN14*(1-AN15)),"0")</f>
        <v/>
      </c>
      <c r="AO16" s="432">
        <f>IF(AO10/12&lt;20,(AO6*AO14*(1-AO15)),"0")</f>
        <v/>
      </c>
      <c r="AP16" s="432">
        <f>IF(AP10/12&lt;20,(AP6*AP14*(1-AP15)),"0")</f>
        <v/>
      </c>
      <c r="AQ16" s="432">
        <f>IF(AQ10/12&lt;20,(AQ6*AQ14*(1-AQ15)),"0")</f>
        <v/>
      </c>
      <c r="AR16" s="432">
        <f>IF(AR10/12&lt;20,(AR6*AR14*(1-AR15)),"0")</f>
        <v/>
      </c>
      <c r="AS16" s="432">
        <f>IF(AS10/12&lt;20,(AS6*AS14*(1-AS15)),"0")</f>
        <v/>
      </c>
      <c r="AT16" s="432">
        <f>IF(AT10/12&lt;20,(AT6*AT14*(1-AT15)),"0")</f>
        <v/>
      </c>
      <c r="AU16" s="432">
        <f>IF(AU10/12&lt;20,(AU6*AU14*(1-AU15)),"0")</f>
        <v/>
      </c>
      <c r="AV16" s="432">
        <f>IF(AV10/12&lt;20,(AV6*AV14*(1-AV15)),"0")</f>
        <v/>
      </c>
      <c r="AW16" s="432">
        <f>IF(AW10/12&lt;20,(AW6*AW14*(1-AW15)),"0")</f>
        <v/>
      </c>
    </row>
    <row r="17">
      <c r="D17" s="284" t="n"/>
      <c r="E17" s="438" t="n"/>
      <c r="F17" s="438" t="n"/>
      <c r="G17" s="438" t="n"/>
      <c r="H17" s="438" t="n"/>
      <c r="I17" s="439" t="n"/>
      <c r="J17" s="439" t="n"/>
      <c r="K17" s="439" t="n"/>
      <c r="L17" s="439" t="n"/>
      <c r="M17" s="439" t="n"/>
      <c r="N17" s="439" t="n"/>
      <c r="O17" s="439" t="n"/>
      <c r="P17" s="439" t="n"/>
      <c r="Q17" s="439" t="n"/>
      <c r="R17" s="439" t="n"/>
      <c r="S17" s="439" t="n"/>
      <c r="T17" s="439" t="n"/>
      <c r="U17" s="439" t="n"/>
      <c r="V17" s="439" t="n"/>
      <c r="W17" s="439" t="n"/>
      <c r="X17" s="439" t="n"/>
      <c r="Y17" s="439" t="n"/>
      <c r="Z17" s="439" t="n"/>
      <c r="AA17" s="439" t="n"/>
      <c r="AB17" s="439" t="n"/>
      <c r="AC17" s="438" t="n"/>
      <c r="AD17" s="438" t="n"/>
      <c r="AE17" s="438" t="n"/>
      <c r="AF17" s="438" t="n"/>
      <c r="AG17" s="438" t="n"/>
      <c r="AH17" s="438" t="n"/>
      <c r="AI17" s="438" t="n"/>
      <c r="AJ17" s="438" t="n"/>
      <c r="AK17" s="438" t="n"/>
      <c r="AL17" s="438" t="n"/>
      <c r="AM17" s="438" t="n"/>
      <c r="AN17" s="438" t="n"/>
      <c r="AO17" s="438" t="n"/>
      <c r="AP17" s="438" t="n"/>
      <c r="AQ17" s="438" t="n"/>
      <c r="AR17" s="438" t="n"/>
      <c r="AS17" s="438" t="n"/>
      <c r="AT17" s="438" t="n"/>
      <c r="AU17" s="438" t="n"/>
      <c r="AV17" s="438" t="n"/>
      <c r="AW17" s="438" t="n"/>
    </row>
    <row r="18">
      <c r="D18" s="284" t="n"/>
      <c r="E18" s="438" t="n"/>
      <c r="F18" s="438" t="n"/>
      <c r="G18" s="438" t="n"/>
      <c r="H18" s="438" t="n"/>
      <c r="I18" s="439" t="n"/>
      <c r="J18" s="439" t="n"/>
      <c r="K18" s="439" t="n"/>
      <c r="L18" s="439" t="n"/>
      <c r="M18" s="439" t="n"/>
      <c r="N18" s="439" t="n"/>
      <c r="O18" s="439" t="n"/>
      <c r="P18" s="439" t="n"/>
      <c r="Q18" s="439" t="n"/>
      <c r="R18" s="439" t="n"/>
      <c r="S18" s="439" t="n"/>
      <c r="T18" s="439" t="n"/>
      <c r="U18" s="439" t="n"/>
      <c r="V18" s="439" t="n"/>
      <c r="W18" s="439" t="n"/>
      <c r="X18" s="439" t="n"/>
      <c r="Y18" s="439" t="n"/>
      <c r="Z18" s="439" t="n"/>
      <c r="AA18" s="439" t="n"/>
      <c r="AB18" s="439" t="n"/>
      <c r="AC18" s="438" t="n"/>
      <c r="AD18" s="438" t="n"/>
      <c r="AE18" s="438" t="n"/>
      <c r="AF18" s="438" t="n"/>
      <c r="AG18" s="438" t="n"/>
      <c r="AH18" s="438" t="n"/>
      <c r="AI18" s="438" t="n"/>
      <c r="AJ18" s="438" t="n"/>
      <c r="AK18" s="438" t="n"/>
      <c r="AL18" s="438" t="n"/>
      <c r="AM18" s="438" t="n"/>
      <c r="AN18" s="438" t="n"/>
      <c r="AO18" s="438" t="n"/>
      <c r="AP18" s="438" t="n"/>
      <c r="AQ18" s="438" t="n"/>
      <c r="AR18" s="438" t="n"/>
      <c r="AS18" s="438" t="n"/>
      <c r="AT18" s="438" t="n"/>
      <c r="AU18" s="438" t="n"/>
      <c r="AV18" s="438" t="n"/>
      <c r="AW18" s="438" t="n"/>
    </row>
    <row r="19">
      <c r="D19" s="284" t="n"/>
      <c r="E19" s="438" t="n"/>
      <c r="F19" s="438" t="n"/>
      <c r="G19" s="438" t="n"/>
      <c r="H19" s="438" t="n"/>
      <c r="I19" s="439" t="n"/>
      <c r="J19" s="439" t="n"/>
      <c r="K19" s="439" t="n"/>
      <c r="L19" s="439" t="n"/>
      <c r="M19" s="439" t="n"/>
      <c r="N19" s="439" t="n"/>
      <c r="O19" s="439" t="n"/>
      <c r="P19" s="439" t="n"/>
      <c r="Q19" s="439" t="n"/>
      <c r="R19" s="439" t="n"/>
      <c r="S19" s="439" t="n"/>
      <c r="T19" s="439" t="n"/>
      <c r="U19" s="439" t="n"/>
      <c r="V19" s="439" t="n"/>
      <c r="W19" s="439" t="n"/>
      <c r="X19" s="439" t="n"/>
      <c r="Y19" s="439" t="n"/>
      <c r="Z19" s="439" t="n"/>
      <c r="AA19" s="439" t="n"/>
      <c r="AB19" s="439" t="n"/>
      <c r="AC19" s="438" t="n"/>
      <c r="AD19" s="438" t="n"/>
      <c r="AE19" s="438" t="n"/>
      <c r="AF19" s="438" t="n"/>
      <c r="AG19" s="438" t="n"/>
      <c r="AH19" s="438" t="n"/>
      <c r="AI19" s="438" t="n"/>
      <c r="AJ19" s="438" t="n"/>
      <c r="AK19" s="438" t="n"/>
      <c r="AL19" s="438" t="n"/>
      <c r="AM19" s="438" t="n"/>
      <c r="AN19" s="438" t="n"/>
      <c r="AO19" s="438" t="n"/>
      <c r="AP19" s="438" t="n"/>
      <c r="AQ19" s="438" t="n"/>
      <c r="AR19" s="438" t="n"/>
      <c r="AS19" s="438" t="n"/>
      <c r="AT19" s="438" t="n"/>
      <c r="AU19" s="438" t="n"/>
      <c r="AV19" s="438" t="n"/>
      <c r="AW19" s="438" t="n"/>
    </row>
    <row r="20" hidden="1">
      <c r="D20" s="284" t="inlineStr">
        <is>
          <t>Baseline Calculation Inputs</t>
        </is>
      </c>
      <c r="E20" s="438" t="n"/>
      <c r="F20" s="438" t="n"/>
      <c r="G20" s="438" t="n"/>
      <c r="H20" s="438" t="n"/>
      <c r="I20" s="439" t="n"/>
      <c r="J20" s="439" t="n"/>
      <c r="K20" s="439" t="n"/>
      <c r="L20" s="439" t="n"/>
      <c r="M20" s="439" t="n"/>
      <c r="N20" s="439" t="n"/>
      <c r="O20" s="439" t="n"/>
      <c r="P20" s="439" t="n"/>
      <c r="Q20" s="439" t="n"/>
      <c r="R20" s="439" t="n"/>
      <c r="S20" s="439" t="n"/>
      <c r="T20" s="439" t="n"/>
      <c r="U20" s="439" t="n"/>
      <c r="V20" s="439" t="n"/>
      <c r="W20" s="439" t="n"/>
      <c r="X20" s="439" t="n"/>
      <c r="Y20" s="439" t="n"/>
      <c r="Z20" s="439" t="n"/>
      <c r="AA20" s="439" t="n"/>
      <c r="AB20" s="439" t="n"/>
      <c r="AC20" s="438" t="n"/>
      <c r="AD20" s="438" t="n"/>
      <c r="AE20" s="438" t="n"/>
      <c r="AF20" s="438" t="n"/>
      <c r="AG20" s="438" t="n"/>
      <c r="AH20" s="438" t="n"/>
      <c r="AI20" s="438" t="n"/>
      <c r="AJ20" s="438" t="n"/>
      <c r="AK20" s="438" t="n"/>
      <c r="AL20" s="438" t="n"/>
      <c r="AM20" s="438" t="n"/>
      <c r="AN20" s="438" t="n"/>
      <c r="AO20" s="438" t="n"/>
      <c r="AP20" s="438" t="n"/>
      <c r="AQ20" s="438" t="n"/>
      <c r="AR20" s="438" t="n"/>
      <c r="AS20" s="438" t="n"/>
      <c r="AT20" s="438" t="n"/>
      <c r="AU20" s="438" t="n"/>
      <c r="AV20" s="438" t="n"/>
      <c r="AW20" s="438" t="n"/>
    </row>
    <row r="21" hidden="1">
      <c r="D21" s="287" t="inlineStr">
        <is>
          <t>Decom Mines emissions Baseline EI</t>
        </is>
      </c>
      <c r="E21" s="288" t="n">
        <v>0.7794999999999999</v>
      </c>
      <c r="F21" s="288" t="n">
        <v>0.7304999999999997</v>
      </c>
      <c r="G21" s="288" t="n">
        <v>0.6814999999999998</v>
      </c>
      <c r="H21" s="288" t="n">
        <v>0.6405749999999997</v>
      </c>
      <c r="I21" s="288" t="n">
        <v>0.6077249999999998</v>
      </c>
      <c r="J21" s="288" t="n">
        <v>0.5748749999999998</v>
      </c>
      <c r="K21" s="288" t="n">
        <v>0.542025</v>
      </c>
      <c r="L21" s="288" t="n">
        <v>0.5091749999999999</v>
      </c>
      <c r="M21" s="288" t="n">
        <v>0.476325</v>
      </c>
      <c r="N21" s="288" t="n">
        <v>0.443475</v>
      </c>
      <c r="O21" s="288" t="n">
        <v>0.410625</v>
      </c>
      <c r="P21" s="288" t="n">
        <v>0.377775</v>
      </c>
      <c r="Q21" s="288" t="n">
        <v>0.344925</v>
      </c>
      <c r="R21" s="288" t="n">
        <v>0.312075</v>
      </c>
      <c r="S21" s="288" t="n">
        <v>0.2792250000000001</v>
      </c>
      <c r="T21" s="288" t="n">
        <v>0.246375</v>
      </c>
      <c r="U21" s="288" t="n">
        <v>0.213525</v>
      </c>
      <c r="V21" s="288" t="n">
        <v>0.1806750000000001</v>
      </c>
      <c r="W21" s="288" t="n">
        <v>0.1478250000000001</v>
      </c>
      <c r="X21" s="288" t="n">
        <v>0.1149750000000001</v>
      </c>
      <c r="Y21" s="288" t="n">
        <v>0.08212500000000009</v>
      </c>
      <c r="Z21" s="288" t="n">
        <v>0.0492750000000001</v>
      </c>
      <c r="AA21" s="288" t="n">
        <v>0.01642500000000012</v>
      </c>
      <c r="AB21" s="288" t="n">
        <v>1.249000902703301e-16</v>
      </c>
      <c r="AC21" s="288" t="n">
        <v>1.249000902703301e-16</v>
      </c>
      <c r="AD21" s="288" t="n">
        <v>1.249000902703301e-16</v>
      </c>
      <c r="AE21" s="288" t="n">
        <v>1.249000902703301e-16</v>
      </c>
      <c r="AF21" s="288" t="n">
        <v>1.249000902703301e-16</v>
      </c>
      <c r="AG21" s="288" t="n">
        <v>1.249000902703301e-16</v>
      </c>
      <c r="AH21" s="288" t="n">
        <v>1.249000902703301e-16</v>
      </c>
      <c r="AI21" s="288" t="n">
        <v>1.249000902703301e-16</v>
      </c>
      <c r="AJ21" s="288" t="n">
        <v>1.249000902703301e-16</v>
      </c>
      <c r="AK21" s="288" t="n">
        <v>1.249000902703301e-16</v>
      </c>
      <c r="AL21" s="288" t="n">
        <v>1.249000902703301e-16</v>
      </c>
      <c r="AM21" s="288" t="n">
        <v>1.249000902703301e-16</v>
      </c>
      <c r="AN21" s="288" t="n">
        <v>1.249000902703301e-16</v>
      </c>
      <c r="AO21" s="288" t="n">
        <v>1.249000902703301e-16</v>
      </c>
      <c r="AP21" s="288" t="n">
        <v>1.249000902703301e-16</v>
      </c>
      <c r="AQ21" s="288" t="n">
        <v>1.249000902703301e-16</v>
      </c>
      <c r="AR21" s="288" t="n">
        <v>1.249000902703301e-16</v>
      </c>
      <c r="AS21" s="288" t="n">
        <v>1.249000902703301e-16</v>
      </c>
      <c r="AT21" s="288" t="n">
        <v>1.249000902703301e-16</v>
      </c>
      <c r="AU21" s="288" t="n">
        <v>1.249000902703301e-16</v>
      </c>
      <c r="AV21" s="288" t="n">
        <v>1.249000902703301e-16</v>
      </c>
      <c r="AW21" s="288" t="n">
        <v>1.249000902703301e-16</v>
      </c>
      <c r="BA21" s="264" t="n"/>
      <c r="BB21" s="264" t="n"/>
      <c r="BC21" s="264" t="n"/>
      <c r="BD21" s="264" t="n"/>
      <c r="BE21" s="264" t="n"/>
      <c r="BF21" s="264" t="n"/>
      <c r="BG21" s="264" t="n"/>
      <c r="BH21" s="264" t="n"/>
      <c r="BI21" s="264" t="n"/>
      <c r="BJ21" s="264" t="n"/>
      <c r="BK21" s="264" t="n"/>
      <c r="BL21" s="264" t="n"/>
      <c r="BM21" s="264" t="n"/>
      <c r="BN21" s="264" t="n"/>
      <c r="BO21" s="264" t="n"/>
      <c r="BP21" s="264" t="n"/>
      <c r="BQ21" s="264" t="n"/>
      <c r="BR21" s="264" t="n"/>
      <c r="BS21" s="264" t="n"/>
      <c r="BT21" s="264" t="n"/>
      <c r="BU21" s="264" t="n"/>
      <c r="BV21" s="264" t="n"/>
      <c r="BW21" s="264" t="n"/>
      <c r="BX21" s="264" t="n"/>
      <c r="BY21" s="264" t="n"/>
      <c r="BZ21" s="264" t="n"/>
      <c r="CA21" s="264" t="n"/>
      <c r="CB21" s="264" t="n"/>
      <c r="CC21" s="264" t="n"/>
      <c r="CD21" s="264" t="n"/>
      <c r="CE21" s="264" t="n"/>
      <c r="CF21" s="264" t="n"/>
      <c r="CG21" s="264" t="n"/>
      <c r="CH21" s="264" t="n"/>
      <c r="CI21" s="264" t="n"/>
      <c r="CJ21" s="264" t="n"/>
      <c r="CK21" s="264" t="n"/>
      <c r="CL21" s="264" t="n"/>
      <c r="CM21" s="264" t="n"/>
      <c r="CN21" s="264" t="n"/>
      <c r="CO21" s="264" t="n"/>
      <c r="CP21" s="264" t="n"/>
      <c r="CQ21" s="264" t="n"/>
      <c r="CR21" s="264" t="n"/>
      <c r="CS21" s="264" t="n"/>
      <c r="CT21" s="264" t="n"/>
      <c r="CU21" s="264" t="n"/>
      <c r="CV21" s="264" t="n"/>
      <c r="CW21" s="264" t="n"/>
      <c r="CX21" s="264" t="n"/>
      <c r="CY21" s="264" t="n"/>
      <c r="CZ21" s="264" t="n"/>
      <c r="DA21" s="264" t="n"/>
      <c r="DB21" s="264" t="n"/>
      <c r="DC21" s="264" t="n"/>
      <c r="DD21" s="264" t="n"/>
      <c r="DE21" s="264" t="n"/>
      <c r="DF21" s="264" t="n"/>
      <c r="DG21" s="264" t="n"/>
      <c r="DH21" s="264" t="n"/>
      <c r="DI21" s="264" t="n"/>
      <c r="DJ21" s="264" t="n"/>
      <c r="DK21" s="264" t="n"/>
      <c r="DL21" s="264" t="n"/>
      <c r="DM21" s="264" t="n"/>
      <c r="DN21" s="264" t="n"/>
      <c r="DO21" s="264" t="n"/>
      <c r="DP21" s="264" t="n"/>
      <c r="DQ21" s="264" t="n"/>
      <c r="DR21" s="264" t="n"/>
      <c r="DS21" s="264" t="n"/>
      <c r="DT21" s="264" t="n"/>
      <c r="DU21" s="264" t="n"/>
      <c r="DV21" s="264" t="n"/>
      <c r="DW21" s="264" t="n"/>
      <c r="DX21" s="264" t="n"/>
      <c r="DY21" s="264" t="n"/>
      <c r="DZ21" s="264" t="n"/>
      <c r="EA21" s="264" t="n"/>
      <c r="EB21" s="264" t="n"/>
      <c r="EC21" s="264" t="n"/>
      <c r="ED21" s="264" t="n"/>
    </row>
    <row r="22" hidden="1">
      <c r="D22" s="440" t="inlineStr">
        <is>
          <t>ROM Baseline EI</t>
        </is>
      </c>
      <c r="E22" s="441" t="n">
        <v>0.08206856999999998</v>
      </c>
      <c r="F22" s="441" t="n">
        <v>0.07302750999999998</v>
      </c>
      <c r="G22" s="441" t="n">
        <v>0.06450780999999997</v>
      </c>
      <c r="H22" s="441" t="n">
        <v>0.05886884249999998</v>
      </c>
      <c r="I22" s="441" t="n">
        <v>0.05584992749999998</v>
      </c>
      <c r="J22" s="441" t="n">
        <v>0.05283101249999998</v>
      </c>
      <c r="K22" s="441" t="n">
        <v>0.04981209749999999</v>
      </c>
      <c r="L22" s="441" t="n">
        <v>0.0467931825</v>
      </c>
      <c r="M22" s="441" t="n">
        <v>0.0437742675</v>
      </c>
      <c r="N22" s="441" t="n">
        <v>0.04075535249999999</v>
      </c>
      <c r="O22" s="441" t="n">
        <v>0.0377364375</v>
      </c>
      <c r="P22" s="441" t="n">
        <v>0.0347175225</v>
      </c>
      <c r="Q22" s="441" t="n">
        <v>0.0316986075</v>
      </c>
      <c r="R22" s="441" t="n">
        <v>0.0286796925</v>
      </c>
      <c r="S22" s="441" t="n">
        <v>0.0256607775</v>
      </c>
      <c r="T22" s="441" t="n">
        <v>0.0226418625</v>
      </c>
      <c r="U22" s="441" t="n">
        <v>0.0196229475</v>
      </c>
      <c r="V22" s="441" t="n">
        <v>0.0166040325</v>
      </c>
      <c r="W22" s="441" t="n">
        <v>0.0135851175</v>
      </c>
      <c r="X22" s="441" t="n">
        <v>0.01056620250000001</v>
      </c>
      <c r="Y22" s="441" t="n">
        <v>0.007547287500000007</v>
      </c>
      <c r="Z22" s="441" t="n">
        <v>0.004528372500000009</v>
      </c>
      <c r="AA22" s="441" t="n">
        <v>0.00150945750000001</v>
      </c>
      <c r="AB22" s="441" t="n">
        <v>1.147831829584334e-17</v>
      </c>
      <c r="AC22" s="441" t="n">
        <v>1.147831829584334e-17</v>
      </c>
      <c r="AD22" s="441" t="n">
        <v>1.147831829584334e-17</v>
      </c>
      <c r="AE22" s="441" t="n">
        <v>1.147831829584334e-17</v>
      </c>
      <c r="AF22" s="441" t="n">
        <v>1.147831829584334e-17</v>
      </c>
      <c r="AG22" s="441" t="n">
        <v>1.147831829584334e-17</v>
      </c>
      <c r="AH22" s="441" t="n">
        <v>1.147831829584334e-17</v>
      </c>
      <c r="AI22" s="441" t="n">
        <v>1.147831829584334e-17</v>
      </c>
      <c r="AJ22" s="441" t="n">
        <v>1.147831829584334e-17</v>
      </c>
      <c r="AK22" s="441" t="n">
        <v>1.147831829584334e-17</v>
      </c>
      <c r="AL22" s="441" t="n">
        <v>1.147831829584334e-17</v>
      </c>
      <c r="AM22" s="441" t="n">
        <v>1.147831829584334e-17</v>
      </c>
      <c r="AN22" s="441" t="n">
        <v>1.147831829584334e-17</v>
      </c>
      <c r="AO22" s="441" t="n">
        <v>1.147831829584334e-17</v>
      </c>
      <c r="AP22" s="441" t="n">
        <v>1.147831829584334e-17</v>
      </c>
      <c r="AQ22" s="441" t="n">
        <v>1.147831829584334e-17</v>
      </c>
      <c r="AR22" s="441" t="n">
        <v>1.147831829584334e-17</v>
      </c>
      <c r="AS22" s="441" t="n">
        <v>1.147831829584334e-17</v>
      </c>
      <c r="AT22" s="441" t="n">
        <v>1.147831829584334e-17</v>
      </c>
      <c r="AU22" s="441" t="n">
        <v>1.147831829584334e-17</v>
      </c>
      <c r="AV22" s="441" t="n">
        <v>1.147831829584334e-17</v>
      </c>
      <c r="AW22" s="441" t="n">
        <v>1.147831829584334e-17</v>
      </c>
      <c r="BA22" s="442" t="n"/>
      <c r="BB22" s="442" t="n"/>
      <c r="BC22" s="442" t="n"/>
      <c r="BD22" s="442" t="n"/>
      <c r="BE22" s="442" t="n"/>
      <c r="BF22" s="442" t="n"/>
      <c r="BG22" s="442" t="n"/>
      <c r="BH22" s="442" t="n"/>
      <c r="BI22" s="442" t="n"/>
      <c r="BJ22" s="442" t="n"/>
      <c r="BK22" s="442" t="n"/>
      <c r="BL22" s="442" t="n"/>
      <c r="BM22" s="442" t="n"/>
      <c r="BN22" s="442" t="n"/>
      <c r="BO22" s="442" t="n"/>
      <c r="BP22" s="442" t="n"/>
      <c r="BQ22" s="442" t="n"/>
      <c r="BR22" s="442" t="n"/>
    </row>
    <row r="23">
      <c r="E23" s="442" t="n"/>
      <c r="F23" s="442" t="n"/>
      <c r="G23" s="442" t="n"/>
      <c r="H23" s="442" t="n"/>
      <c r="I23" s="442" t="n"/>
      <c r="J23" s="442" t="n"/>
      <c r="K23" s="442" t="n"/>
      <c r="L23" s="443" t="n"/>
      <c r="M23" s="444" t="n"/>
      <c r="N23" s="442" t="n"/>
      <c r="O23" s="442" t="n"/>
      <c r="P23" s="442" t="n"/>
      <c r="Q23" s="442" t="n"/>
      <c r="R23" s="442" t="n"/>
      <c r="S23" s="442" t="n"/>
      <c r="T23" s="442" t="n"/>
      <c r="U23" s="442" t="n"/>
      <c r="V23" s="442" t="n"/>
      <c r="W23" s="442" t="n"/>
      <c r="X23" s="442" t="n"/>
      <c r="Y23" s="442" t="n"/>
      <c r="Z23" s="442" t="n"/>
      <c r="AA23" s="442" t="n"/>
      <c r="AB23" s="442" t="n"/>
      <c r="AC23" s="442" t="n"/>
      <c r="AD23" s="442" t="n"/>
      <c r="AE23" s="442" t="n"/>
      <c r="AF23" s="442" t="n"/>
      <c r="AG23" s="442" t="n"/>
      <c r="AH23" s="442" t="n"/>
      <c r="AI23" s="442" t="n"/>
      <c r="AJ23" s="442" t="n"/>
      <c r="AK23" s="442" t="n"/>
      <c r="AL23" s="442" t="n"/>
      <c r="AM23" s="442" t="n"/>
      <c r="AN23" s="442" t="n"/>
      <c r="AO23" s="442" t="n"/>
      <c r="AP23" s="442" t="n"/>
      <c r="AQ23" s="442" t="n"/>
      <c r="AR23" s="442" t="n"/>
      <c r="AS23" s="442" t="n"/>
      <c r="AT23" s="442" t="n"/>
      <c r="AU23" s="442" t="n"/>
      <c r="AV23" s="442" t="n"/>
      <c r="AW23" s="442" t="n"/>
      <c r="AX23" s="442" t="n"/>
      <c r="AY23" s="442" t="n"/>
      <c r="AZ23" s="442" t="n"/>
      <c r="BA23" s="442" t="n"/>
      <c r="BB23" s="442" t="n"/>
      <c r="BC23" s="442" t="n"/>
      <c r="BD23" s="442" t="n"/>
      <c r="BE23" s="442" t="n"/>
      <c r="BF23" s="442" t="n"/>
      <c r="BG23" s="442" t="n"/>
      <c r="BH23" s="442" t="n"/>
      <c r="BI23" s="442" t="n"/>
      <c r="BJ23" s="442" t="n"/>
      <c r="BK23" s="442" t="n"/>
      <c r="BL23" s="442" t="n"/>
      <c r="BM23" s="442" t="n"/>
      <c r="BN23" s="442" t="n"/>
      <c r="BO23" s="442" t="n"/>
      <c r="BP23" s="442" t="n"/>
      <c r="BQ23" s="442" t="n"/>
      <c r="BR23" s="442" t="n"/>
    </row>
    <row r="27" ht="21" customHeight="1">
      <c r="A27" s="291" t="inlineStr">
        <is>
          <t>Change the drop down in B5 to match the selected proposal</t>
        </is>
      </c>
    </row>
    <row r="28" ht="97.5" customHeight="1">
      <c r="A28" s="270" t="inlineStr">
        <is>
          <t>Option</t>
        </is>
      </c>
      <c r="B28" s="270" t="inlineStr">
        <is>
          <t>the tonnes of coal mine waste gas (CO2-e) flared</t>
        </is>
      </c>
      <c r="C28" s="270" t="inlineStr">
        <is>
          <t>whether the mine is a gassy mine or a non-gassy mine</t>
        </is>
      </c>
      <c r="D28" s="270" t="inlineStr">
        <is>
          <t>The tonnes of methane emissions (CO2-e) from the mine in the last 12 month period before the mine became a decommissioned underground coal mine</t>
        </is>
      </c>
      <c r="E28" s="270" t="inlineStr">
        <is>
          <t>Mine Void (m3)</t>
        </is>
      </c>
      <c r="F28" s="270" t="inlineStr">
        <is>
          <t>the date that the mine was Sealed</t>
        </is>
      </c>
      <c r="G28" s="270" t="inlineStr">
        <is>
          <t>Mine Closure Year</t>
        </is>
      </c>
      <c r="H28" s="270" t="inlineStr">
        <is>
          <t>Year to Stop Reporting</t>
        </is>
      </c>
      <c r="I28" s="269" t="inlineStr">
        <is>
          <t>Method</t>
        </is>
      </c>
      <c r="J28" s="269" t="inlineStr">
        <is>
          <t>Flood Rate m3 per year</t>
        </is>
      </c>
      <c r="K28" s="265" t="n"/>
      <c r="L28" s="266" t="n"/>
      <c r="M28" s="238" t="n"/>
    </row>
    <row r="29">
      <c r="A29" s="271" t="inlineStr">
        <is>
          <t>Springbok</t>
        </is>
      </c>
      <c r="B29" s="445" t="n">
        <v>0</v>
      </c>
      <c r="C29" s="273" t="inlineStr">
        <is>
          <t>Gassy</t>
        </is>
      </c>
      <c r="D29" s="446">
        <f>Springbok!H22</f>
        <v/>
      </c>
      <c r="E29" s="446" t="n">
        <v>21159588</v>
      </c>
      <c r="F29" s="275" t="n">
        <v>48213</v>
      </c>
      <c r="G29" s="273">
        <f>YEAR(F29)</f>
        <v/>
      </c>
      <c r="H29" s="273">
        <f>G29+20</f>
        <v/>
      </c>
      <c r="I29" s="273" t="inlineStr">
        <is>
          <t>Method 1 (3.32 Pt2)</t>
        </is>
      </c>
      <c r="J29" s="446" t="n">
        <v>74000</v>
      </c>
      <c r="K29" s="265" t="n"/>
      <c r="L29" s="266" t="n"/>
      <c r="M29" s="238" t="n"/>
    </row>
    <row r="30">
      <c r="A30" s="271" t="inlineStr">
        <is>
          <t>Springbok + Brave Blossom</t>
        </is>
      </c>
      <c r="B30" s="445" t="n">
        <v>0</v>
      </c>
      <c r="C30" s="273" t="inlineStr">
        <is>
          <t>Gassy</t>
        </is>
      </c>
      <c r="D30" s="446">
        <f>'Brave Blossom '!AA22</f>
        <v/>
      </c>
      <c r="E30" s="446" t="n">
        <v>42319176</v>
      </c>
      <c r="F30" s="275" t="n">
        <v>55153</v>
      </c>
      <c r="G30" s="273" t="n">
        <v>2050</v>
      </c>
      <c r="H30" s="273">
        <f>G30+20</f>
        <v/>
      </c>
      <c r="I30" s="273" t="inlineStr">
        <is>
          <t>Method 1 (3.32 Pt2)</t>
        </is>
      </c>
      <c r="J30" s="446" t="n">
        <v>74000</v>
      </c>
      <c r="K30" s="265" t="n"/>
      <c r="L30" s="266" t="n"/>
      <c r="M30" s="238" t="n"/>
    </row>
    <row r="31">
      <c r="A31" s="271" t="inlineStr">
        <is>
          <t>Springbok Delayed 12 Months</t>
        </is>
      </c>
      <c r="B31" s="445" t="n">
        <v>0</v>
      </c>
      <c r="C31" s="273" t="inlineStr">
        <is>
          <t>Gassy</t>
        </is>
      </c>
      <c r="D31" s="446">
        <f>D29*0.5</f>
        <v/>
      </c>
      <c r="E31" s="446" t="n">
        <v>21159588</v>
      </c>
      <c r="F31" s="275" t="n">
        <v>48579</v>
      </c>
      <c r="G31" s="273">
        <f>YEAR(F31)</f>
        <v/>
      </c>
      <c r="H31" s="273">
        <f>G31+20</f>
        <v/>
      </c>
      <c r="I31" s="273" t="inlineStr">
        <is>
          <t>Method 1 (3.32 Pt2)</t>
        </is>
      </c>
      <c r="J31" s="446" t="n">
        <v>74000</v>
      </c>
      <c r="K31" s="265" t="n"/>
      <c r="L31" s="266" t="n"/>
      <c r="M31" s="238" t="n"/>
    </row>
    <row r="33">
      <c r="E33" s="447" t="n"/>
    </row>
    <row r="34" hidden="1">
      <c r="A34" s="284" t="inlineStr">
        <is>
          <t>Baseline Calculation Inputs - OC Clean</t>
        </is>
      </c>
      <c r="B34" s="293" t="n">
        <v>2024</v>
      </c>
      <c r="C34" s="293">
        <f>B34+1</f>
        <v/>
      </c>
      <c r="D34" s="293">
        <f>C34+1</f>
        <v/>
      </c>
      <c r="E34" s="293">
        <f>D34+1</f>
        <v/>
      </c>
      <c r="F34" s="293">
        <f>E34+1</f>
        <v/>
      </c>
      <c r="G34" s="293">
        <f>F34+1</f>
        <v/>
      </c>
      <c r="H34" s="293">
        <f>G34+1</f>
        <v/>
      </c>
      <c r="I34" s="293">
        <f>H34+1</f>
        <v/>
      </c>
      <c r="J34" s="293">
        <f>I34+1</f>
        <v/>
      </c>
      <c r="K34" s="293">
        <f>J34+1</f>
        <v/>
      </c>
      <c r="L34" s="293">
        <f>K34+1</f>
        <v/>
      </c>
      <c r="M34" s="293">
        <f>L34+1</f>
        <v/>
      </c>
      <c r="N34" s="293">
        <f>M34+1</f>
        <v/>
      </c>
      <c r="O34" s="293">
        <f>N34+1</f>
        <v/>
      </c>
      <c r="P34" s="293">
        <f>O34+1</f>
        <v/>
      </c>
      <c r="Q34" s="293">
        <f>P34+1</f>
        <v/>
      </c>
      <c r="R34" s="293">
        <f>Q34+1</f>
        <v/>
      </c>
      <c r="S34" s="293">
        <f>R34+1</f>
        <v/>
      </c>
      <c r="T34" s="293">
        <f>S34+1</f>
        <v/>
      </c>
      <c r="U34" s="293">
        <f>T34+1</f>
        <v/>
      </c>
      <c r="V34" s="293">
        <f>U34+1</f>
        <v/>
      </c>
      <c r="W34" s="293">
        <f>V34+1</f>
        <v/>
      </c>
      <c r="X34" s="293">
        <f>W34+1</f>
        <v/>
      </c>
      <c r="Y34" s="293">
        <f>X34+1</f>
        <v/>
      </c>
      <c r="Z34" s="293">
        <f>Y34+1</f>
        <v/>
      </c>
      <c r="AA34" s="293">
        <f>Z34+1</f>
        <v/>
      </c>
      <c r="AB34" s="293">
        <f>AA34+1</f>
        <v/>
      </c>
      <c r="AC34" s="293">
        <f>AB34+1</f>
        <v/>
      </c>
      <c r="AD34" s="293">
        <f>AC34+1</f>
        <v/>
      </c>
      <c r="AE34" s="293">
        <f>AD34+1</f>
        <v/>
      </c>
      <c r="AF34" s="293">
        <f>AE34+1</f>
        <v/>
      </c>
      <c r="AG34" s="293">
        <f>AF34+1</f>
        <v/>
      </c>
      <c r="AH34" s="293">
        <f>AG34+1</f>
        <v/>
      </c>
      <c r="AI34" s="293">
        <f>AH34+1</f>
        <v/>
      </c>
      <c r="AJ34" s="293">
        <f>AI34+1</f>
        <v/>
      </c>
      <c r="AK34" s="293">
        <f>AJ34+1</f>
        <v/>
      </c>
      <c r="AL34" s="293">
        <f>AK34+1</f>
        <v/>
      </c>
      <c r="AM34" s="293">
        <f>AL34+1</f>
        <v/>
      </c>
      <c r="AN34" s="293">
        <f>AM34+1</f>
        <v/>
      </c>
      <c r="AO34" s="293">
        <f>AN34+1</f>
        <v/>
      </c>
      <c r="AP34" s="293">
        <f>AO34+1</f>
        <v/>
      </c>
      <c r="AQ34" s="293">
        <f>AP34+1</f>
        <v/>
      </c>
      <c r="AR34" s="293">
        <f>AQ34+1</f>
        <v/>
      </c>
      <c r="AS34" s="293">
        <f>AR34+1</f>
        <v/>
      </c>
      <c r="AT34" s="293">
        <f>AS34+1</f>
        <v/>
      </c>
      <c r="AU34" s="293">
        <f>AT34+1</f>
        <v/>
      </c>
      <c r="AV34" s="293">
        <f>AU34+1</f>
        <v/>
      </c>
      <c r="AW34" s="293">
        <f>AV34+1</f>
        <v/>
      </c>
      <c r="AX34" s="293" t="n"/>
      <c r="AY34" s="293" t="n"/>
      <c r="AZ34" s="293" t="n"/>
      <c r="BA34" s="293" t="n"/>
      <c r="BB34" s="293" t="n"/>
      <c r="BC34" s="293" t="n"/>
      <c r="BD34" s="293" t="n"/>
      <c r="BE34" s="293" t="n"/>
      <c r="BF34" s="293" t="n"/>
      <c r="BG34" s="293" t="n"/>
      <c r="BH34" s="293" t="n"/>
      <c r="BI34" s="293" t="n"/>
      <c r="BJ34" s="293" t="n"/>
      <c r="BK34" s="293" t="n"/>
      <c r="BL34" s="293" t="n"/>
      <c r="BM34" s="293" t="n"/>
      <c r="BN34" s="293" t="n"/>
      <c r="BO34" s="293" t="n"/>
      <c r="BP34" s="293" t="n"/>
      <c r="BQ34" s="293" t="n"/>
      <c r="BR34" s="293" t="n"/>
    </row>
    <row r="35" hidden="1">
      <c r="A35" s="440" t="inlineStr">
        <is>
          <t>ROM Baseline EI</t>
        </is>
      </c>
      <c r="B35" s="441" t="n">
        <v>0.02423169282124302</v>
      </c>
      <c r="C35" s="441" t="n">
        <v>0.02645160131739205</v>
      </c>
      <c r="D35" s="441" t="n">
        <v>0.02867150981354108</v>
      </c>
      <c r="E35" s="441" t="n">
        <v>0.03200137255776461</v>
      </c>
      <c r="F35" s="441" t="n">
        <v>0.03644118955006267</v>
      </c>
      <c r="G35" s="441" t="n">
        <v>0.04088100654236072</v>
      </c>
      <c r="H35" s="441" t="n">
        <v>0.04310091503850974</v>
      </c>
      <c r="I35" s="441" t="n">
        <v>0.04310091503850974</v>
      </c>
      <c r="J35" s="441" t="n">
        <v>0.04310091503850974</v>
      </c>
      <c r="K35" s="441" t="n">
        <v>0.04310091503850974</v>
      </c>
      <c r="L35" s="441" t="n">
        <v>0.04310091503850974</v>
      </c>
      <c r="M35" s="441" t="n">
        <v>0.04310091503850974</v>
      </c>
      <c r="N35" s="441" t="n">
        <v>0.04310091503850974</v>
      </c>
      <c r="O35" s="441" t="n">
        <v>0.04310091503850974</v>
      </c>
      <c r="P35" s="441" t="n">
        <v>0.04310091503850974</v>
      </c>
      <c r="Q35" s="441" t="n">
        <v>0.04310091503850974</v>
      </c>
      <c r="R35" s="441" t="n">
        <v>0.04310091503850974</v>
      </c>
      <c r="S35" s="441" t="n">
        <v>0.04310091503850974</v>
      </c>
      <c r="T35" s="441" t="n">
        <v>0.04310091503850974</v>
      </c>
      <c r="U35" s="441" t="n">
        <v>0.04310091503850974</v>
      </c>
      <c r="V35" s="441" t="n">
        <v>0.04310091503850974</v>
      </c>
      <c r="W35" s="441" t="n">
        <v>0.04310091503850974</v>
      </c>
      <c r="X35" s="441" t="n">
        <v>0.04310091503850974</v>
      </c>
      <c r="Y35" s="441" t="n">
        <v>0.04310091503850974</v>
      </c>
      <c r="Z35" s="441" t="n">
        <v>0.04310091503850974</v>
      </c>
      <c r="AA35" s="441" t="n">
        <v>0.04310091503850974</v>
      </c>
      <c r="AB35" s="441" t="n">
        <v>0.04310091503850974</v>
      </c>
      <c r="AC35" s="441" t="n">
        <v>0.04310091503850974</v>
      </c>
      <c r="AD35" s="441" t="n">
        <v>0.04310091503850974</v>
      </c>
      <c r="AE35" s="441" t="n">
        <v>0.04310091503850974</v>
      </c>
      <c r="AF35" s="441" t="n">
        <v>0.04310091503850974</v>
      </c>
      <c r="AG35" s="441" t="n">
        <v>0.04310091503850974</v>
      </c>
      <c r="AH35" s="441" t="n">
        <v>0.04310091503850974</v>
      </c>
      <c r="AI35" s="441" t="n">
        <v>0.04310091503850974</v>
      </c>
      <c r="AJ35" s="441" t="n">
        <v>0.04310091503850974</v>
      </c>
      <c r="AK35" s="441" t="n">
        <v>0.04310091503850974</v>
      </c>
      <c r="AL35" s="441" t="n">
        <v>0.04310091503850974</v>
      </c>
      <c r="AM35" s="441" t="n">
        <v>0.04310091503850974</v>
      </c>
      <c r="AN35" s="441" t="n">
        <v>0.04310091503850974</v>
      </c>
      <c r="AO35" s="441" t="n">
        <v>0.04310091503850974</v>
      </c>
      <c r="AP35" s="441" t="n">
        <v>0.04310091503850974</v>
      </c>
      <c r="AQ35" s="441" t="n">
        <v>0.04310091503850974</v>
      </c>
      <c r="AR35" s="441" t="n">
        <v>0.04310091503850974</v>
      </c>
      <c r="AS35" s="441" t="n">
        <v>0.04310091503850974</v>
      </c>
      <c r="AT35" s="441" t="n">
        <v>0.04310091503850974</v>
      </c>
      <c r="AU35" s="441" t="n">
        <v>0.04310091503850974</v>
      </c>
      <c r="AV35" s="441" t="n">
        <v>0.04310091503850974</v>
      </c>
      <c r="AW35" s="441" t="n">
        <v>0.04310091503850974</v>
      </c>
    </row>
    <row r="36">
      <c r="E36" s="448" t="n"/>
    </row>
  </sheetData>
  <mergeCells count="1">
    <mergeCell ref="A4:B4"/>
  </mergeCells>
  <dataValidations count="1">
    <dataValidation sqref="B5" showDropDown="0" showInputMessage="1" showErrorMessage="1" allowBlank="1" type="list">
      <formula1>$A$29:$A$31</formula1>
    </dataValidation>
  </dataValidations>
  <pageMargins left="0.75" right="0.75" top="1" bottom="1" header="0.5" footer="0.5"/>
  <pageSetup orientation="portrait" paperSize="9" horizontalDpi="300" verticalDpi="300"/>
  <headerFooter alignWithMargins="0">
    <oddHeader>&amp;L_x000a__x000a__x000a_Bulga UG - Decommissioned Mine Testing 2015&amp;RPreparer: RH 13/10/2015_x000a_Reviewer: PRW 14/10/2015 ST 14/10/2015 PMR 15/10/2015 PRD 20/10/2015_x000a__x000a_6140: &amp;P/&amp;N</oddHeader>
    <oddFooter>&amp;LGlencore Coal S19 NGER Assurance 2015 _x000a_Period End: 30/06/2015&amp;R&amp;D &amp;T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2026-08-29T08:55:46Z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0x01010099D80041B18D6345A9109912AF88970F</vt:lpwstr>
  </property>
</Properties>
</file>